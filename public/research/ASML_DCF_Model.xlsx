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SysAdmin\Log\Research2\prime8_temp_downloads\model_checkouts\"/>
    </mc:Choice>
  </mc:AlternateContent>
  <xr:revisionPtr revIDLastSave="0" documentId="13_ncr:1_{18000DDD-0F5B-444D-9EE8-692431A5312A}" xr6:coauthVersionLast="47" xr6:coauthVersionMax="47" xr10:uidLastSave="{00000000-0000-0000-0000-000000000000}"/>
  <bookViews>
    <workbookView xWindow="7332" yWindow="1920" windowWidth="19020" windowHeight="12036" tabRatio="800" activeTab="1" xr2:uid="{00000000-000D-0000-FFFF-FFFF00000000}"/>
  </bookViews>
  <sheets>
    <sheet name="CircularReferenceAlert" sheetId="38" r:id="rId1"/>
    <sheet name="ImportantDisclosures" sheetId="35" r:id="rId2"/>
    <sheet name="Cover" sheetId="1" r:id="rId3"/>
    <sheet name="Sales" sheetId="9" r:id="rId4"/>
    <sheet name="Financials" sheetId="4" r:id="rId5"/>
    <sheet name="Summary" sheetId="5" r:id="rId6"/>
    <sheet name="IndexInformation" sheetId="36" r:id="rId7"/>
    <sheet name="ModPubIndex" sheetId="37" r:id="rId8"/>
  </sheets>
  <definedNames>
    <definedName name="\0">#REF!</definedName>
    <definedName name="\d">#REF!</definedName>
    <definedName name="\l">#REF!</definedName>
    <definedName name="\r">#REF!</definedName>
    <definedName name="__FDS_HYPERLINK_TOGGLE_STATE__" hidden="1">"ON"</definedName>
    <definedName name="__FDS_UNIQUE_RANGE_ID_GENERATOR_COUNTER" hidden="1">1</definedName>
    <definedName name="__FDS_USED_FOR_REUSING_RANGE_IDS_RECYCLE">{1,1,1,1,1,1,1,1,1,1,1,1,1,1,1,1,1,1,1,1,1,1,1,1,1,1,1,1,1,1}</definedName>
    <definedName name="_1__123Graph_AR_M_MARG" hidden="1">#REF!</definedName>
    <definedName name="_1__FDSAUDITLINK__" hidden="1">{"fdsup://directions/FAT Viewer?action=UPDATE&amp;creator=factset&amp;DYN_ARGS=TRUE&amp;DOC_NAME=FAT:FQL_AUDITING_CLIENT_TEMPLATE.FAT&amp;display_string=Audit&amp;VAR:KEY=AJAVYHOBQR&amp;VAR:QUERY=RkZfU0hTX0ZMT0FUKEFOTiw0MDU3NCk=&amp;WINDOW=FIRST_POPUP&amp;HEIGHT=450&amp;WIDTH=450&amp;START_MAXIMI","ZED=FALSE&amp;VAR:CALENDAR=US&amp;VAR:SYMBOL=LVS&amp;VAR:INDEX=0"}</definedName>
    <definedName name="_10__123Graph_AR_M_VOLUMES" hidden="1">#REF!</definedName>
    <definedName name="_10__123Graph_BR_M_MARGINS" hidden="1">#REF!</definedName>
    <definedName name="_10__123Graph_BR_M_VOLUMES" hidden="1">#REF!</definedName>
    <definedName name="_10__123Graph_XR_M_VOLUMES" hidden="1">#REF!</definedName>
    <definedName name="_10__FDSAUDITLINK__" hidden="1">{"fdsup://directions/FAT Viewer?action=UPDATE&amp;creator=factset&amp;DYN_ARGS=TRUE&amp;DOC_NAME=FAT:FQL_AUDITING_CLIENT_TEMPLATE.FAT&amp;display_string=Audit&amp;VAR:KEY=WZKBOHYPWT&amp;VAR:QUERY=RkZfU0hTX0ZMT0FUKEFOTiwp&amp;WINDOW=FIRST_POPUP&amp;HEIGHT=450&amp;WIDTH=450&amp;START_MAXIMIZED=FALS","E&amp;VAR:CALENDAR=US&amp;VAR:SYMBOL=MGM RESORTS INT'L&amp;VAR:INDEX=0"}</definedName>
    <definedName name="_100__FDSAUDITLINK__" hidden="1">{"fdsup://directions/FAT Viewer?action=UPDATE&amp;creator=factset&amp;DYN_ARGS=TRUE&amp;DOC_NAME=FAT:FQL_AUDITING_CLIENT_TEMPLATE.FAT&amp;display_string=Audit&amp;VAR:KEY=UXSJCHSPGH&amp;VAR:QUERY=RkZfU0hTX0ZMT0FUKEFOTiw0MDYwMik=&amp;WINDOW=FIRST_POPUP&amp;HEIGHT=450&amp;WIDTH=450&amp;START_MAXIMI","ZED=FALSE&amp;VAR:CALENDAR=US&amp;VAR:SYMBOL=PENN&amp;VAR:INDEX=0"}</definedName>
    <definedName name="_1000__FDSAUDITLINK__" hidden="1">{"fdsup://Directions/FactSet Auditing Viewer?action=AUDIT_VALUE&amp;DB=129&amp;ID1=25454310&amp;VALUEID=02001&amp;SDATE=200902&amp;PERIODTYPE=QTR_STD&amp;SCFT=3&amp;window=popup_no_bar&amp;width=385&amp;height=120&amp;START_MAXIMIZED=FALSE&amp;creator=factset&amp;display_string=Audit"}</definedName>
    <definedName name="_1001__FDSAUDITLINK__" hidden="1">{"fdsup://Directions/FactSet Auditing Viewer?action=AUDIT_VALUE&amp;DB=129&amp;ID1=24702R10&amp;VALUEID=02001&amp;SDATE=200902&amp;PERIODTYPE=QTR_STD&amp;SCFT=3&amp;window=popup_no_bar&amp;width=385&amp;height=120&amp;START_MAXIMIZED=FALSE&amp;creator=factset&amp;display_string=Audit"}</definedName>
    <definedName name="_1002__FDSAUDITLINK__" hidden="1">{"fdsup://Directions/FactSet Auditing Viewer?action=AUDIT_VALUE&amp;DB=129&amp;ID1=24702R10&amp;VALUEID=02001&amp;SDATE=200902&amp;PERIODTYPE=QTR_STD&amp;SCFT=3&amp;window=popup_no_bar&amp;width=385&amp;height=120&amp;START_MAXIMIZED=FALSE&amp;creator=factset&amp;display_string=Audit"}</definedName>
    <definedName name="_1003__FDSAUDITLINK__" hidden="1">{"fdsup://Directions/FactSet Auditing Viewer?action=AUDIT_VALUE&amp;DB=129&amp;ID1=23257210&amp;VALUEID=02001&amp;SDATE=200902&amp;PERIODTYPE=QTR_STD&amp;SCFT=3&amp;window=popup_no_bar&amp;width=385&amp;height=120&amp;START_MAXIMIZED=FALSE&amp;creator=factset&amp;display_string=Audit"}</definedName>
    <definedName name="_1004__FDSAUDITLINK__" hidden="1">{"fdsup://Directions/FactSet Auditing Viewer?action=AUDIT_VALUE&amp;DB=129&amp;ID1=23257210&amp;VALUEID=02001&amp;SDATE=200902&amp;PERIODTYPE=QTR_STD&amp;SCFT=3&amp;window=popup_no_bar&amp;width=385&amp;height=120&amp;START_MAXIMIZED=FALSE&amp;creator=factset&amp;display_string=Audit"}</definedName>
    <definedName name="_1005__FDSAUDITLINK__" hidden="1">{"fdsup://Directions/FactSet Auditing Viewer?action=AUDIT_VALUE&amp;DB=129&amp;ID1=23280610&amp;VALUEID=02001&amp;SDATE=200902&amp;PERIODTYPE=QTR_STD&amp;SCFT=3&amp;window=popup_no_bar&amp;width=385&amp;height=120&amp;START_MAXIMIZED=FALSE&amp;creator=factset&amp;display_string=Audit"}</definedName>
    <definedName name="_1006__FDSAUDITLINK__" hidden="1">{"fdsup://Directions/FactSet Auditing Viewer?action=AUDIT_VALUE&amp;DB=129&amp;ID1=23280610&amp;VALUEID=02001&amp;SDATE=200902&amp;PERIODTYPE=QTR_STD&amp;SCFT=3&amp;window=popup_no_bar&amp;width=385&amp;height=120&amp;START_MAXIMIZED=FALSE&amp;creator=factset&amp;display_string=Audit"}</definedName>
    <definedName name="_1007__FDSAUDITLINK__" hidden="1">{"fdsup://Directions/FactSet Auditing Viewer?action=AUDIT_VALUE&amp;DB=129&amp;ID1=20714230&amp;VALUEID=02001&amp;SDATE=200903&amp;PERIODTYPE=QTR_STD&amp;SCFT=3&amp;window=popup_no_bar&amp;width=385&amp;height=120&amp;START_MAXIMIZED=FALSE&amp;creator=factset&amp;display_string=Audit"}</definedName>
    <definedName name="_1008__FDSAUDITLINK__" hidden="1">{"fdsup://Directions/FactSet Auditing Viewer?action=AUDIT_VALUE&amp;DB=129&amp;ID1=20714230&amp;VALUEID=02001&amp;SDATE=200903&amp;PERIODTYPE=QTR_STD&amp;SCFT=3&amp;window=popup_no_bar&amp;width=385&amp;height=120&amp;START_MAXIMIZED=FALSE&amp;creator=factset&amp;display_string=Audit"}</definedName>
    <definedName name="_1009__FDSAUDITLINK__" hidden="1">{"fdsup://Directions/FactSet Auditing Viewer?action=AUDIT_VALUE&amp;DB=129&amp;ID1=12738710&amp;VALUEID=02001&amp;SDATE=200902&amp;PERIODTYPE=QTR_STD&amp;SCFT=3&amp;window=popup_no_bar&amp;width=385&amp;height=120&amp;START_MAXIMIZED=FALSE&amp;creator=factset&amp;display_string=Audit"}</definedName>
    <definedName name="_101__FDSAUDITLINK__" hidden="1">{"fdsup://directions/FAT Viewer?action=UPDATE&amp;creator=factset&amp;DYN_ARGS=TRUE&amp;DOC_NAME=FAT:FQL_AUDITING_CLIENT_TEMPLATE.FAT&amp;display_string=Audit&amp;VAR:KEY=KXGBKRMFAV&amp;VAR:QUERY=RkZfU0hTX0ZMT0FUKEFOTiw0MDU3NCk=&amp;WINDOW=FIRST_POPUP&amp;HEIGHT=450&amp;WIDTH=450&amp;START_MAXIMI","ZED=FALSE&amp;VAR:CALENDAR=US&amp;VAR:SYMBOL=PENN&amp;VAR:INDEX=0"}</definedName>
    <definedName name="_1010__FDSAUDITLINK__" hidden="1">{"fdsup://Directions/FactSet Auditing Viewer?action=AUDIT_VALUE&amp;DB=129&amp;ID1=12738710&amp;VALUEID=02001&amp;SDATE=200902&amp;PERIODTYPE=QTR_STD&amp;SCFT=3&amp;window=popup_no_bar&amp;width=385&amp;height=120&amp;START_MAXIMIZED=FALSE&amp;creator=factset&amp;display_string=Audit"}</definedName>
    <definedName name="_1011__FDSAUDITLINK__" hidden="1">{"fdsup://Directions/FactSet Auditing Viewer?action=AUDIT_VALUE&amp;DB=129&amp;ID1=14964U10&amp;VALUEID=02001&amp;SDATE=200902&amp;PERIODTYPE=QTR_STD&amp;SCFT=3&amp;window=popup_no_bar&amp;width=385&amp;height=120&amp;START_MAXIMIZED=FALSE&amp;creator=factset&amp;display_string=Audit"}</definedName>
    <definedName name="_1012__FDSAUDITLINK__" hidden="1">{"fdsup://Directions/FactSet Auditing Viewer?action=AUDIT_VALUE&amp;DB=129&amp;ID1=14964U10&amp;VALUEID=02001&amp;SDATE=200902&amp;PERIODTYPE=QTR_STD&amp;SCFT=3&amp;window=popup_no_bar&amp;width=385&amp;height=120&amp;START_MAXIMIZED=FALSE&amp;creator=factset&amp;display_string=Audit"}</definedName>
    <definedName name="_1013__FDSAUDITLINK__" hidden="1">{"fdsup://Directions/FactSet Auditing Viewer?action=AUDIT_VALUE&amp;DB=129&amp;ID1=11162130&amp;VALUEID=02001&amp;SDATE=200903&amp;PERIODTYPE=QTR_STD&amp;SCFT=3&amp;window=popup_no_bar&amp;width=385&amp;height=120&amp;START_MAXIMIZED=FALSE&amp;creator=factset&amp;display_string=Audit"}</definedName>
    <definedName name="_1014__FDSAUDITLINK__" hidden="1">{"fdsup://Directions/FactSet Auditing Viewer?action=AUDIT_VALUE&amp;DB=129&amp;ID1=11162130&amp;VALUEID=02001&amp;SDATE=200903&amp;PERIODTYPE=QTR_STD&amp;SCFT=3&amp;window=popup_no_bar&amp;width=385&amp;height=120&amp;START_MAXIMIZED=FALSE&amp;creator=factset&amp;display_string=Audit"}</definedName>
    <definedName name="_1015__FDSAUDITLINK__" hidden="1">{"fdsup://Directions/FactSet Auditing Viewer?action=AUDIT_VALUE&amp;DB=129&amp;ID1=Y0486S10&amp;VALUEID=02001&amp;SDATE=200903&amp;PERIODTYPE=QTR_STD&amp;SCFT=3&amp;window=popup_no_bar&amp;width=385&amp;height=120&amp;START_MAXIMIZED=FALSE&amp;creator=factset&amp;display_string=Audit"}</definedName>
    <definedName name="_1016__FDSAUDITLINK__" hidden="1">{"fdsup://Directions/FactSet Auditing Viewer?action=AUDIT_VALUE&amp;DB=129&amp;ID1=Y0486S10&amp;VALUEID=02001&amp;SDATE=200903&amp;PERIODTYPE=QTR_STD&amp;SCFT=3&amp;window=popup_no_bar&amp;width=385&amp;height=120&amp;START_MAXIMIZED=FALSE&amp;creator=factset&amp;display_string=Audit"}</definedName>
    <definedName name="_1017__FDSAUDITLINK__" hidden="1">{"fdsup://Directions/FactSet Auditing Viewer?action=AUDIT_VALUE&amp;DB=129&amp;ID1=04743P10&amp;VALUEID=02001&amp;SDATE=200902&amp;PERIODTYPE=QTR_STD&amp;SCFT=3&amp;window=popup_no_bar&amp;width=385&amp;height=120&amp;START_MAXIMIZED=FALSE&amp;creator=factset&amp;display_string=Audit"}</definedName>
    <definedName name="_1018__FDSAUDITLINK__" hidden="1">{"fdsup://Directions/FactSet Auditing Viewer?action=AUDIT_VALUE&amp;DB=129&amp;ID1=04743P10&amp;VALUEID=02001&amp;SDATE=200902&amp;PERIODTYPE=QTR_STD&amp;SCFT=3&amp;window=popup_no_bar&amp;width=385&amp;height=120&amp;START_MAXIMIZED=FALSE&amp;creator=factset&amp;display_string=Audit"}</definedName>
    <definedName name="_1019__FDSAUDITLINK__" hidden="1">{"fdsup://Directions/FactSet Auditing Viewer?action=AUDIT_VALUE&amp;DB=129&amp;ID1=03251510&amp;VALUEID=02001&amp;SDATE=200902&amp;PERIODTYPE=QTR_STD&amp;SCFT=3&amp;window=popup_no_bar&amp;width=385&amp;height=120&amp;START_MAXIMIZED=FALSE&amp;creator=factset&amp;display_string=Audit"}</definedName>
    <definedName name="_102__FDSAUDITLINK__" hidden="1">{"fdsup://Directions/FactSet Auditing Viewer?action=AUDIT_VALUE&amp;DB=129&amp;ID1=45811810&amp;VALUEID=02001&amp;SDATE=201004&amp;PERIODTYPE=QTR_STD&amp;SCFT=3&amp;window=popup_no_bar&amp;width=385&amp;height=120&amp;START_MAXIMIZED=FALSE&amp;creator=factset&amp;display_string=Audit"}</definedName>
    <definedName name="_1020__FDSAUDITLINK__" hidden="1">{"fdsup://Directions/FactSet Auditing Viewer?action=AUDIT_VALUE&amp;DB=129&amp;ID1=03251510&amp;VALUEID=02001&amp;SDATE=200902&amp;PERIODTYPE=QTR_STD&amp;SCFT=3&amp;window=popup_no_bar&amp;width=385&amp;height=120&amp;START_MAXIMIZED=FALSE&amp;creator=factset&amp;display_string=Audit"}</definedName>
    <definedName name="_1021__FDSAUDITLINK__" hidden="1">{"fdsup://Directions/FactSet Auditing Viewer?action=AUDIT_VALUE&amp;DB=129&amp;ID1=00790310&amp;VALUEID=02001&amp;SDATE=200902&amp;PERIODTYPE=QTR_STD&amp;SCFT=3&amp;window=popup_no_bar&amp;width=385&amp;height=120&amp;START_MAXIMIZED=FALSE&amp;creator=factset&amp;display_string=Audit"}</definedName>
    <definedName name="_1022__FDSAUDITLINK__" hidden="1">{"fdsup://Directions/FactSet Auditing Viewer?action=AUDIT_VALUE&amp;DB=129&amp;ID1=00790310&amp;VALUEID=02001&amp;SDATE=200902&amp;PERIODTYPE=QTR_STD&amp;SCFT=3&amp;window=popup_no_bar&amp;width=385&amp;height=120&amp;START_MAXIMIZED=FALSE&amp;creator=factset&amp;display_string=Audit"}</definedName>
    <definedName name="_1023__FDSAUDITLINK__" hidden="1">{"fdsup://Directions/FactSet Auditing Viewer?action=AUDIT_VALUE&amp;DB=129&amp;ID1=03822W40&amp;VALUEID=02001&amp;SDATE=200901&amp;PERIODTYPE=QTR_STD&amp;SCFT=3&amp;window=popup_no_bar&amp;width=385&amp;height=120&amp;START_MAXIMIZED=FALSE&amp;creator=factset&amp;display_string=Audit"}</definedName>
    <definedName name="_1024__FDSAUDITLINK__" hidden="1">{"fdsup://Directions/FactSet Auditing Viewer?action=AUDIT_VALUE&amp;DB=129&amp;ID1=03822W40&amp;VALUEID=02001&amp;SDATE=200901&amp;PERIODTYPE=QTR_STD&amp;SCFT=3&amp;window=popup_no_bar&amp;width=385&amp;height=120&amp;START_MAXIMIZED=FALSE&amp;creator=factset&amp;display_string=Audit"}</definedName>
    <definedName name="_1025__FDSAUDITLINK__" hidden="1">{"fdsup://Directions/FactSet Auditing Viewer?action=AUDIT_VALUE&amp;DB=129&amp;ID1=03822210&amp;VALUEID=02001&amp;SDATE=200903&amp;PERIODTYPE=QTR_STD&amp;SCFT=3&amp;window=popup_no_bar&amp;width=385&amp;height=120&amp;START_MAXIMIZED=FALSE&amp;creator=factset&amp;display_string=Audit"}</definedName>
    <definedName name="_1026__FDSAUDITLINK__" hidden="1">{"fdsup://Directions/FactSet Auditing Viewer?action=AUDIT_VALUE&amp;DB=129&amp;ID1=03822210&amp;VALUEID=02001&amp;SDATE=200903&amp;PERIODTYPE=QTR_STD&amp;SCFT=3&amp;window=popup_no_bar&amp;width=385&amp;height=120&amp;START_MAXIMIZED=FALSE&amp;creator=factset&amp;display_string=Audit"}</definedName>
    <definedName name="_1027__FDSAUDITLINK__" hidden="1">{"fdsup://Directions/FactSet Auditing Viewer?action=AUDIT_VALUE&amp;DB=129&amp;ID1=02144110&amp;VALUEID=02001&amp;SDATE=200902&amp;PERIODTYPE=QTR_STD&amp;SCFT=3&amp;window=popup_no_bar&amp;width=385&amp;height=120&amp;START_MAXIMIZED=FALSE&amp;creator=factset&amp;display_string=Audit"}</definedName>
    <definedName name="_1028__FDSAUDITLINK__" hidden="1">{"fdsup://Directions/FactSet Auditing Viewer?action=AUDIT_VALUE&amp;DB=129&amp;ID1=02144110&amp;VALUEID=02001&amp;SDATE=200902&amp;PERIODTYPE=QTR_STD&amp;SCFT=3&amp;window=popup_no_bar&amp;width=385&amp;height=120&amp;START_MAXIMIZED=FALSE&amp;creator=factset&amp;display_string=Audit"}</definedName>
    <definedName name="_1029__FDSAUDITLINK__" hidden="1">{"fdsup://Directions/FactSet Auditing Viewer?action=AUDIT_VALUE&amp;DB=129&amp;ID1=03265410&amp;VALUEID=02001&amp;SDATE=200903&amp;PERIODTYPE=QTR_STD&amp;SCFT=3&amp;window=popup_no_bar&amp;width=385&amp;height=120&amp;START_MAXIMIZED=FALSE&amp;creator=factset&amp;display_string=Audit"}</definedName>
    <definedName name="_103__FDSAUDITLINK__" hidden="1">{"fdsup://Directions/FactSet Auditing Viewer?action=AUDIT_VALUE&amp;DB=129&amp;ID1=42823610&amp;VALUEID=02001&amp;SDATE=201102&amp;PERIODTYPE=QTR_STD&amp;SCFT=3&amp;window=popup_no_bar&amp;width=385&amp;height=120&amp;START_MAXIMIZED=FALSE&amp;creator=factset&amp;display_string=Audit"}</definedName>
    <definedName name="_1030__FDSAUDITLINK__" hidden="1">{"fdsup://Directions/FactSet Auditing Viewer?action=AUDIT_VALUE&amp;DB=129&amp;ID1=03265410&amp;VALUEID=02001&amp;SDATE=200903&amp;PERIODTYPE=QTR_STD&amp;SCFT=3&amp;window=popup_no_bar&amp;width=385&amp;height=120&amp;START_MAXIMIZED=FALSE&amp;creator=factset&amp;display_string=Audit"}</definedName>
    <definedName name="_1031__FDSAUDITLINK__" hidden="1">{"fdsup://Directions/FactSet Auditing Viewer?action=AUDIT_VALUE&amp;DB=129&amp;ID1=00752J10&amp;VALUEID=02001&amp;SDATE=200902&amp;PERIODTYPE=QTR_STD&amp;SCFT=3&amp;window=popup_no_bar&amp;width=385&amp;height=120&amp;START_MAXIMIZED=FALSE&amp;creator=factset&amp;display_string=Audit"}</definedName>
    <definedName name="_1032__FDSAUDITLINK__" hidden="1">{"fdsup://Directions/FactSet Auditing Viewer?action=AUDIT_VALUE&amp;DB=129&amp;ID1=00752J10&amp;VALUEID=02001&amp;SDATE=200902&amp;PERIODTYPE=QTR_STD&amp;SCFT=3&amp;window=popup_no_bar&amp;width=385&amp;height=120&amp;START_MAXIMIZED=FALSE&amp;creator=factset&amp;display_string=Audit"}</definedName>
    <definedName name="_1033__FDSAUDITLINK__" hidden="1">{"fdsup://Directions/FactSet Auditing Viewer?action=AUDIT_VALUE&amp;DB=129&amp;ID1=98975F10&amp;VALUEID=02001&amp;SDATE=200901&amp;PERIODTYPE=QTR_STD&amp;SCFT=3&amp;window=popup_no_bar&amp;width=385&amp;height=120&amp;START_MAXIMIZED=FALSE&amp;creator=factset&amp;display_string=Audit"}</definedName>
    <definedName name="_1034__FDSAUDITLINK__" hidden="1">{"fdsup://Directions/FactSet Auditing Viewer?action=AUDIT_VALUE&amp;DB=129&amp;ID1=98975F10&amp;VALUEID=02001&amp;SDATE=200901&amp;PERIODTYPE=QTR_STD&amp;SCFT=3&amp;window=popup_no_bar&amp;width=385&amp;height=120&amp;START_MAXIMIZED=FALSE&amp;creator=factset&amp;display_string=Audit"}</definedName>
    <definedName name="_1035__FDSAUDITLINK__" hidden="1">{"fdsup://Directions/FactSet Auditing Viewer?action=AUDIT_VALUE&amp;DB=129&amp;ID1=95810210&amp;VALUEID=02001&amp;SDATE=200903&amp;PERIODTYPE=QTR_STD&amp;SCFT=3&amp;window=popup_no_bar&amp;width=385&amp;height=120&amp;START_MAXIMIZED=FALSE&amp;creator=factset&amp;display_string=Audit"}</definedName>
    <definedName name="_1036__FDSAUDITLINK__" hidden="1">{"fdsup://Directions/FactSet Auditing Viewer?action=AUDIT_VALUE&amp;DB=129&amp;ID1=95810210&amp;VALUEID=02001&amp;SDATE=200903&amp;PERIODTYPE=QTR_STD&amp;SCFT=3&amp;window=popup_no_bar&amp;width=385&amp;height=120&amp;START_MAXIMIZED=FALSE&amp;creator=factset&amp;display_string=Audit"}</definedName>
    <definedName name="_1037__FDSAUDITLINK__" hidden="1">{"fdsup://Directions/FactSet Auditing Viewer?action=AUDIT_VALUE&amp;DB=129&amp;ID1=92849730&amp;VALUEID=02001&amp;SDATE=200902&amp;PERIODTYPE=QTR_STD&amp;SCFT=3&amp;window=popup_no_bar&amp;width=385&amp;height=120&amp;START_MAXIMIZED=FALSE&amp;creator=factset&amp;display_string=Audit"}</definedName>
    <definedName name="_1038__FDSAUDITLINK__" hidden="1">{"fdsup://Directions/FactSet Auditing Viewer?action=AUDIT_VALUE&amp;DB=129&amp;ID1=92849730&amp;VALUEID=02001&amp;SDATE=200902&amp;PERIODTYPE=QTR_STD&amp;SCFT=3&amp;window=popup_no_bar&amp;width=385&amp;height=120&amp;START_MAXIMIZED=FALSE&amp;creator=factset&amp;display_string=Audit"}</definedName>
    <definedName name="_1039__FDSAUDITLINK__" hidden="1">{"fdsup://Directions/FactSet Auditing Viewer?action=AUDIT_VALUE&amp;DB=129&amp;ID1=92829810&amp;VALUEID=02001&amp;SDATE=200901&amp;PERIODTYPE=QTR_STD&amp;SCFT=3&amp;window=popup_no_bar&amp;width=385&amp;height=120&amp;START_MAXIMIZED=FALSE&amp;creator=factset&amp;display_string=Audit"}</definedName>
    <definedName name="_104__FDSAUDITLINK__" hidden="1">{"fdsup://Directions/FactSet Auditing Viewer?action=AUDIT_VALUE&amp;DB=129&amp;ID1=42823610&amp;VALUEID=02001&amp;SDATE=201102&amp;PERIODTYPE=QTR_STD&amp;SCFT=3&amp;window=popup_no_bar&amp;width=385&amp;height=120&amp;START_MAXIMIZED=FALSE&amp;creator=factset&amp;display_string=Audit"}</definedName>
    <definedName name="_1040__FDSAUDITLINK__" hidden="1">{"fdsup://Directions/FactSet Auditing Viewer?action=AUDIT_VALUE&amp;DB=129&amp;ID1=92829810&amp;VALUEID=02001&amp;SDATE=200901&amp;PERIODTYPE=QTR_STD&amp;SCFT=3&amp;window=popup_no_bar&amp;width=385&amp;height=120&amp;START_MAXIMIZED=FALSE&amp;creator=factset&amp;display_string=Audit"}</definedName>
    <definedName name="_1041__FDSAUDITLINK__" hidden="1">{"fdsup://Directions/FactSet Auditing Viewer?action=AUDIT_VALUE&amp;DB=129&amp;ID1=88250810&amp;VALUEID=02001&amp;SDATE=200901&amp;PERIODTYPE=QTR_STD&amp;SCFT=3&amp;window=popup_no_bar&amp;width=385&amp;height=120&amp;START_MAXIMIZED=FALSE&amp;creator=factset&amp;display_string=Audit"}</definedName>
    <definedName name="_1042__FDSAUDITLINK__" hidden="1">{"fdsup://Directions/FactSet Auditing Viewer?action=AUDIT_VALUE&amp;DB=129&amp;ID1=88250810&amp;VALUEID=02001&amp;SDATE=200901&amp;PERIODTYPE=QTR_STD&amp;SCFT=3&amp;window=popup_no_bar&amp;width=385&amp;height=120&amp;START_MAXIMIZED=FALSE&amp;creator=factset&amp;display_string=Audit"}</definedName>
    <definedName name="_1043__FDSAUDITLINK__" hidden="1">{"fdsup://Directions/FactSet Auditing Viewer?action=AUDIT_VALUE&amp;DB=129&amp;ID1=89674K10&amp;VALUEID=02001&amp;SDATE=200901&amp;PERIODTYPE=QTR_STD&amp;SCFT=3&amp;window=popup_no_bar&amp;width=385&amp;height=120&amp;START_MAXIMIZED=FALSE&amp;creator=factset&amp;display_string=Audit"}</definedName>
    <definedName name="_1044__FDSAUDITLINK__" hidden="1">{"fdsup://Directions/FactSet Auditing Viewer?action=AUDIT_VALUE&amp;DB=129&amp;ID1=89674K10&amp;VALUEID=02001&amp;SDATE=200901&amp;PERIODTYPE=QTR_STD&amp;SCFT=3&amp;window=popup_no_bar&amp;width=385&amp;height=120&amp;START_MAXIMIZED=FALSE&amp;creator=factset&amp;display_string=Audit"}</definedName>
    <definedName name="_1045__FDSAUDITLINK__" hidden="1">{"fdsup://Directions/FactSet Auditing Viewer?action=AUDIT_VALUE&amp;DB=129&amp;ID1=83088M10&amp;VALUEID=02001&amp;SDATE=200902&amp;PERIODTYPE=QTR_STD&amp;SCFT=3&amp;window=popup_no_bar&amp;width=385&amp;height=120&amp;START_MAXIMIZED=FALSE&amp;creator=factset&amp;display_string=Audit"}</definedName>
    <definedName name="_1046__FDSAUDITLINK__" hidden="1">{"fdsup://Directions/FactSet Auditing Viewer?action=AUDIT_VALUE&amp;DB=129&amp;ID1=83088M10&amp;VALUEID=02001&amp;SDATE=200902&amp;PERIODTYPE=QTR_STD&amp;SCFT=3&amp;window=popup_no_bar&amp;width=385&amp;height=120&amp;START_MAXIMIZED=FALSE&amp;creator=factset&amp;display_string=Audit"}</definedName>
    <definedName name="_1047__FDSAUDITLINK__" hidden="1">{"fdsup://Directions/FactSet Auditing Viewer?action=AUDIT_VALUE&amp;DB=129&amp;ID1=G7945M10&amp;VALUEID=02001&amp;SDATE=200903&amp;PERIODTYPE=QTR_STD&amp;SCFT=3&amp;window=popup_no_bar&amp;width=385&amp;height=120&amp;START_MAXIMIZED=FALSE&amp;creator=factset&amp;display_string=Audit"}</definedName>
    <definedName name="_1048__FDSAUDITLINK__" hidden="1">{"fdsup://Directions/FactSet Auditing Viewer?action=AUDIT_VALUE&amp;DB=129&amp;ID1=G7945M10&amp;VALUEID=02001&amp;SDATE=200903&amp;PERIODTYPE=QTR_STD&amp;SCFT=3&amp;window=popup_no_bar&amp;width=385&amp;height=120&amp;START_MAXIMIZED=FALSE&amp;creator=factset&amp;display_string=Audit"}</definedName>
    <definedName name="_1049__FDSAUDITLINK__" hidden="1">{"fdsup://Directions/FactSet Auditing Viewer?action=AUDIT_VALUE&amp;DB=129&amp;ID1=78477410&amp;VALUEID=02001&amp;SDATE=200901&amp;PERIODTYPE=QTR_STD&amp;SCFT=3&amp;window=popup_no_bar&amp;width=385&amp;height=120&amp;START_MAXIMIZED=FALSE&amp;creator=factset&amp;display_string=Audit"}</definedName>
    <definedName name="_105__FDSAUDITLINK__" hidden="1">{"fdsup://Directions/FactSet Auditing Viewer?action=AUDIT_VALUE&amp;DB=129&amp;ID1=H2906T10&amp;VALUEID=02001&amp;SDATE=201101&amp;PERIODTYPE=QTR_STD&amp;SCFT=3&amp;window=popup_no_bar&amp;width=385&amp;height=120&amp;START_MAXIMIZED=FALSE&amp;creator=factset&amp;display_string=Audit"}</definedName>
    <definedName name="_1050__FDSAUDITLINK__" hidden="1">{"fdsup://Directions/FactSet Auditing Viewer?action=AUDIT_VALUE&amp;DB=129&amp;ID1=78477410&amp;VALUEID=02001&amp;SDATE=200901&amp;PERIODTYPE=QTR_STD&amp;SCFT=3&amp;window=popup_no_bar&amp;width=385&amp;height=120&amp;START_MAXIMIZED=FALSE&amp;creator=factset&amp;display_string=Audit"}</definedName>
    <definedName name="_1051__FDSAUDITLINK__" hidden="1">{"fdsup://Directions/FactSet Auditing Viewer?action=AUDIT_VALUE&amp;DB=129&amp;ID1=82705710&amp;VALUEID=02001&amp;SDATE=200901&amp;PERIODTYPE=QTR_STD&amp;SCFT=3&amp;window=popup_no_bar&amp;width=385&amp;height=120&amp;START_MAXIMIZED=FALSE&amp;creator=factset&amp;display_string=Audit"}</definedName>
    <definedName name="_1052__FDSAUDITLINK__" hidden="1">{"fdsup://Directions/FactSet Auditing Viewer?action=AUDIT_VALUE&amp;DB=129&amp;ID1=82705710&amp;VALUEID=02001&amp;SDATE=200901&amp;PERIODTYPE=QTR_STD&amp;SCFT=3&amp;window=popup_no_bar&amp;width=385&amp;height=120&amp;START_MAXIMIZED=FALSE&amp;creator=factset&amp;display_string=Audit"}</definedName>
    <definedName name="_1053__FDSAUDITLINK__" hidden="1">{"fdsup://Directions/FactSet Auditing Viewer?action=AUDIT_VALUE&amp;DB=129&amp;ID1=83547010&amp;VALUEID=02001&amp;SDATE=200901&amp;PERIODTYPE=QTR_STD&amp;SCFT=3&amp;window=popup_no_bar&amp;width=385&amp;height=120&amp;START_MAXIMIZED=FALSE&amp;creator=factset&amp;display_string=Audit"}</definedName>
    <definedName name="_1054__FDSAUDITLINK__" hidden="1">{"fdsup://Directions/FactSet Auditing Viewer?action=AUDIT_VALUE&amp;DB=129&amp;ID1=83547010&amp;VALUEID=02001&amp;SDATE=200901&amp;PERIODTYPE=QTR_STD&amp;SCFT=3&amp;window=popup_no_bar&amp;width=385&amp;height=120&amp;START_MAXIMIZED=FALSE&amp;creator=factset&amp;display_string=Audit"}</definedName>
    <definedName name="_1055__FDSAUDITLINK__" hidden="1">{"fdsup://Directions/FactSet Auditing Viewer?action=AUDIT_VALUE&amp;DB=129&amp;ID1=80004C10&amp;VALUEID=02001&amp;SDATE=200901&amp;PERIODTYPE=QTR_STD&amp;SCFT=3&amp;window=popup_no_bar&amp;width=385&amp;height=120&amp;START_MAXIMIZED=FALSE&amp;creator=factset&amp;display_string=Audit"}</definedName>
    <definedName name="_1056__FDSAUDITLINK__" hidden="1">{"fdsup://Directions/FactSet Auditing Viewer?action=AUDIT_VALUE&amp;DB=129&amp;ID1=80004C10&amp;VALUEID=02001&amp;SDATE=200901&amp;PERIODTYPE=QTR_STD&amp;SCFT=3&amp;window=popup_no_bar&amp;width=385&amp;height=120&amp;START_MAXIMIZED=FALSE&amp;creator=factset&amp;display_string=Audit"}</definedName>
    <definedName name="_1057__FDSAUDITLINK__" hidden="1">{"fdsup://Directions/FactSet Auditing Viewer?action=AUDIT_VALUE&amp;DB=129&amp;ID1=82691910&amp;VALUEID=02001&amp;SDATE=200901&amp;PERIODTYPE=QTR_STD&amp;SCFT=3&amp;window=popup_no_bar&amp;width=385&amp;height=120&amp;START_MAXIMIZED=FALSE&amp;creator=factset&amp;display_string=Audit"}</definedName>
    <definedName name="_1058__FDSAUDITLINK__" hidden="1">{"fdsup://Directions/FactSet Auditing Viewer?action=AUDIT_VALUE&amp;DB=129&amp;ID1=82691910&amp;VALUEID=02001&amp;SDATE=200901&amp;PERIODTYPE=QTR_STD&amp;SCFT=3&amp;window=popup_no_bar&amp;width=385&amp;height=120&amp;START_MAXIMIZED=FALSE&amp;creator=factset&amp;display_string=Audit"}</definedName>
    <definedName name="_1059__FDSAUDITLINK__" hidden="1">{"fdsup://Directions/FactSet Auditing Viewer?action=AUDIT_VALUE&amp;DB=129&amp;ID1=82705T10&amp;VALUEID=02001&amp;SDATE=200901&amp;PERIODTYPE=QTR_STD&amp;SCFT=3&amp;window=popup_no_bar&amp;width=385&amp;height=120&amp;START_MAXIMIZED=FALSE&amp;creator=factset&amp;display_string=Audit"}</definedName>
    <definedName name="_106__FDSAUDITLINK__" hidden="1">{"fdsup://Directions/FactSet Auditing Viewer?action=AUDIT_VALUE&amp;DB=129&amp;ID1=H2906T10&amp;VALUEID=02001&amp;SDATE=201101&amp;PERIODTYPE=QTR_STD&amp;SCFT=3&amp;window=popup_no_bar&amp;width=385&amp;height=120&amp;START_MAXIMIZED=FALSE&amp;creator=factset&amp;display_string=Audit"}</definedName>
    <definedName name="_1060__FDSAUDITLINK__" hidden="1">{"fdsup://Directions/FactSet Auditing Viewer?action=AUDIT_VALUE&amp;DB=129&amp;ID1=82705T10&amp;VALUEID=02001&amp;SDATE=200901&amp;PERIODTYPE=QTR_STD&amp;SCFT=3&amp;window=popup_no_bar&amp;width=385&amp;height=120&amp;START_MAXIMIZED=FALSE&amp;creator=factset&amp;display_string=Audit"}</definedName>
    <definedName name="_1061__FDSAUDITLINK__" hidden="1">{"fdsup://Directions/FactSet Auditing Viewer?action=AUDIT_VALUE&amp;DB=129&amp;ID1=75091710&amp;VALUEID=02001&amp;SDATE=200901&amp;PERIODTYPE=QTR_STD&amp;SCFT=3&amp;window=popup_no_bar&amp;width=385&amp;height=120&amp;START_MAXIMIZED=FALSE&amp;creator=factset&amp;display_string=Audit"}</definedName>
    <definedName name="_1062__FDSAUDITLINK__" hidden="1">{"fdsup://Directions/FactSet Auditing Viewer?action=AUDIT_VALUE&amp;DB=129&amp;ID1=75091710&amp;VALUEID=02001&amp;SDATE=200901&amp;PERIODTYPE=QTR_STD&amp;SCFT=3&amp;window=popup_no_bar&amp;width=385&amp;height=120&amp;START_MAXIMIZED=FALSE&amp;creator=factset&amp;display_string=Audit"}</definedName>
    <definedName name="_1063__FDSAUDITLINK__" hidden="1">{"fdsup://Directions/FactSet Auditing Viewer?action=AUDIT_VALUE&amp;DB=129&amp;ID1=74752510&amp;VALUEID=02001&amp;SDATE=200902&amp;PERIODTYPE=QTR_STD&amp;SCFT=3&amp;window=popup_no_bar&amp;width=385&amp;height=120&amp;START_MAXIMIZED=FALSE&amp;creator=factset&amp;display_string=Audit"}</definedName>
    <definedName name="_1064__FDSAUDITLINK__" hidden="1">{"fdsup://Directions/FactSet Auditing Viewer?action=AUDIT_VALUE&amp;DB=129&amp;ID1=74752510&amp;VALUEID=02001&amp;SDATE=200902&amp;PERIODTYPE=QTR_STD&amp;SCFT=3&amp;window=popup_no_bar&amp;width=385&amp;height=120&amp;START_MAXIMIZED=FALSE&amp;creator=factset&amp;display_string=Audit"}</definedName>
    <definedName name="_1065__FDSAUDITLINK__" hidden="1">{"fdsup://Directions/FactSet Auditing Viewer?action=AUDIT_VALUE&amp;DB=129&amp;ID1=72581M30&amp;VALUEID=02001&amp;SDATE=200901&amp;PERIODTYPE=QTR_STD&amp;SCFT=3&amp;window=popup_no_bar&amp;width=385&amp;height=120&amp;START_MAXIMIZED=FALSE&amp;creator=factset&amp;display_string=Audit"}</definedName>
    <definedName name="_1066__FDSAUDITLINK__" hidden="1">{"fdsup://Directions/FactSet Auditing Viewer?action=AUDIT_VALUE&amp;DB=129&amp;ID1=72581M30&amp;VALUEID=02001&amp;SDATE=200901&amp;PERIODTYPE=QTR_STD&amp;SCFT=3&amp;window=popup_no_bar&amp;width=385&amp;height=120&amp;START_MAXIMIZED=FALSE&amp;creator=factset&amp;display_string=Audit"}</definedName>
    <definedName name="_1067__FDSAUDITLINK__" hidden="1">{"fdsup://Directions/FactSet Auditing Viewer?action=AUDIT_VALUE&amp;DB=129&amp;ID1=73927610&amp;VALUEID=02001&amp;SDATE=200901&amp;PERIODTYPE=QTR_STD&amp;SCFT=3&amp;window=popup_no_bar&amp;width=385&amp;height=120&amp;START_MAXIMIZED=FALSE&amp;creator=factset&amp;display_string=Audit"}</definedName>
    <definedName name="_1068__FDSAUDITLINK__" hidden="1">{"fdsup://Directions/FactSet Auditing Viewer?action=AUDIT_VALUE&amp;DB=129&amp;ID1=73927610&amp;VALUEID=02001&amp;SDATE=200901&amp;PERIODTYPE=QTR_STD&amp;SCFT=3&amp;window=popup_no_bar&amp;width=385&amp;height=120&amp;START_MAXIMIZED=FALSE&amp;creator=factset&amp;display_string=Audit"}</definedName>
    <definedName name="_1069__FDSAUDITLINK__" hidden="1">{"fdsup://Directions/FactSet Auditing Viewer?action=AUDIT_VALUE&amp;DB=129&amp;ID1=69344F10&amp;VALUEID=02001&amp;SDATE=200901&amp;PERIODTYPE=QTR_STD&amp;SCFT=3&amp;window=popup_no_bar&amp;width=385&amp;height=120&amp;START_MAXIMIZED=FALSE&amp;creator=factset&amp;display_string=Audit"}</definedName>
    <definedName name="_107__FDSAUDITLINK__" hidden="1">{"fdsup://Directions/FactSet Auditing Viewer?action=AUDIT_VALUE&amp;DB=129&amp;ID1=34637510&amp;VALUEID=02001&amp;SDATE=201101&amp;PERIODTYPE=QTR_STD&amp;SCFT=3&amp;window=popup_no_bar&amp;width=385&amp;height=120&amp;START_MAXIMIZED=FALSE&amp;creator=factset&amp;display_string=Audit"}</definedName>
    <definedName name="_1070__FDSAUDITLINK__" hidden="1">{"fdsup://Directions/FactSet Auditing Viewer?action=AUDIT_VALUE&amp;DB=129&amp;ID1=69344F10&amp;VALUEID=02001&amp;SDATE=200901&amp;PERIODTYPE=QTR_STD&amp;SCFT=3&amp;window=popup_no_bar&amp;width=385&amp;height=120&amp;START_MAXIMIZED=FALSE&amp;creator=factset&amp;display_string=Audit"}</definedName>
    <definedName name="_1071__FDSAUDITLINK__" hidden="1">{"fdsup://Directions/FactSet Auditing Viewer?action=AUDIT_VALUE&amp;DB=129&amp;ID1=69341710&amp;VALUEID=02001&amp;SDATE=200901&amp;PERIODTYPE=QTR_STD&amp;SCFT=3&amp;window=popup_no_bar&amp;width=385&amp;height=120&amp;START_MAXIMIZED=FALSE&amp;creator=factset&amp;display_string=Audit"}</definedName>
    <definedName name="_1072__FDSAUDITLINK__" hidden="1">{"fdsup://Directions/FactSet Auditing Viewer?action=AUDIT_VALUE&amp;DB=129&amp;ID1=69341710&amp;VALUEID=02001&amp;SDATE=200901&amp;PERIODTYPE=QTR_STD&amp;SCFT=3&amp;window=popup_no_bar&amp;width=385&amp;height=120&amp;START_MAXIMIZED=FALSE&amp;creator=factset&amp;display_string=Audit"}</definedName>
    <definedName name="_1073__FDSAUDITLINK__" hidden="1">{"fdsup://Directions/FactSet Auditing Viewer?action=AUDIT_VALUE&amp;DB=129&amp;ID1=68218910&amp;VALUEID=02001&amp;SDATE=200901&amp;PERIODTYPE=QTR_STD&amp;SCFT=3&amp;window=popup_no_bar&amp;width=385&amp;height=120&amp;START_MAXIMIZED=FALSE&amp;creator=factset&amp;display_string=Audit"}</definedName>
    <definedName name="_1074__FDSAUDITLINK__" hidden="1">{"fdsup://Directions/FactSet Auditing Viewer?action=AUDIT_VALUE&amp;DB=129&amp;ID1=68218910&amp;VALUEID=02001&amp;SDATE=200901&amp;PERIODTYPE=QTR_STD&amp;SCFT=3&amp;window=popup_no_bar&amp;width=385&amp;height=120&amp;START_MAXIMIZED=FALSE&amp;creator=factset&amp;display_string=Audit"}</definedName>
    <definedName name="_1075__FDSAUDITLINK__" hidden="1">{"fdsup://Directions/FactSet Auditing Viewer?action=AUDIT_VALUE&amp;DB=129&amp;ID1=B505PN&amp;VALUEID=02001&amp;SDATE=200901&amp;PERIODTYPE=QTR_STD&amp;SCFT=3&amp;window=popup_no_bar&amp;width=385&amp;height=120&amp;START_MAXIMIZED=FALSE&amp;creator=factset&amp;display_string=Audit"}</definedName>
    <definedName name="_1076__FDSAUDITLINK__" hidden="1">{"fdsup://Directions/FactSet Auditing Viewer?action=AUDIT_VALUE&amp;DB=129&amp;ID1=B505PN&amp;VALUEID=02001&amp;SDATE=200901&amp;PERIODTYPE=QTR_STD&amp;SCFT=3&amp;window=popup_no_bar&amp;width=385&amp;height=120&amp;START_MAXIMIZED=FALSE&amp;creator=factset&amp;display_string=Audit"}</definedName>
    <definedName name="_1077__FDSAUDITLINK__" hidden="1">{"fdsup://Directions/FactSet Auditing Viewer?action=AUDIT_VALUE&amp;DB=129&amp;ID1=67000810&amp;VALUEID=02001&amp;SDATE=200901&amp;PERIODTYPE=QTR_STD&amp;SCFT=3&amp;window=popup_no_bar&amp;width=385&amp;height=120&amp;START_MAXIMIZED=FALSE&amp;creator=factset&amp;display_string=Audit"}</definedName>
    <definedName name="_1078__FDSAUDITLINK__" hidden="1">{"fdsup://Directions/FactSet Auditing Viewer?action=AUDIT_VALUE&amp;DB=129&amp;ID1=67000810&amp;VALUEID=02001&amp;SDATE=200901&amp;PERIODTYPE=QTR_STD&amp;SCFT=3&amp;window=popup_no_bar&amp;width=385&amp;height=120&amp;START_MAXIMIZED=FALSE&amp;creator=factset&amp;display_string=Audit"}</definedName>
    <definedName name="_1079__FDSAUDITLINK__" hidden="1">{"fdsup://Directions/FactSet Auditing Viewer?action=AUDIT_VALUE&amp;DB=129&amp;ID1=63764010&amp;VALUEID=02001&amp;SDATE=200803&amp;PERIODTYPE=QTR_STD&amp;SCFT=3&amp;window=popup_no_bar&amp;width=385&amp;height=120&amp;START_MAXIMIZED=FALSE&amp;creator=factset&amp;display_string=Audit"}</definedName>
    <definedName name="_108__FDSAUDITLINK__" hidden="1">{"fdsup://Directions/FactSet Auditing Viewer?action=AUDIT_VALUE&amp;DB=129&amp;ID1=34637510&amp;VALUEID=02001&amp;SDATE=201101&amp;PERIODTYPE=QTR_STD&amp;SCFT=3&amp;window=popup_no_bar&amp;width=385&amp;height=120&amp;START_MAXIMIZED=FALSE&amp;creator=factset&amp;display_string=Audit"}</definedName>
    <definedName name="_1080__FDSAUDITLINK__" hidden="1">{"fdsup://Directions/FactSet Auditing Viewer?action=AUDIT_VALUE&amp;DB=129&amp;ID1=63764010&amp;VALUEID=02001&amp;SDATE=200803&amp;PERIODTYPE=QTR_STD&amp;SCFT=3&amp;window=popup_no_bar&amp;width=385&amp;height=120&amp;START_MAXIMIZED=FALSE&amp;creator=factset&amp;display_string=Audit"}</definedName>
    <definedName name="_1081__FDSAUDITLINK__" hidden="1">{"fdsup://Directions/FactSet Auditing Viewer?action=AUDIT_VALUE&amp;DB=129&amp;ID1=64118B10&amp;VALUEID=02001&amp;SDATE=200901&amp;PERIODTYPE=QTR_STD&amp;SCFT=3&amp;window=popup_no_bar&amp;width=385&amp;height=120&amp;START_MAXIMIZED=FALSE&amp;creator=factset&amp;display_string=Audit"}</definedName>
    <definedName name="_1082__FDSAUDITLINK__" hidden="1">{"fdsup://Directions/FactSet Auditing Viewer?action=AUDIT_VALUE&amp;DB=129&amp;ID1=64118B10&amp;VALUEID=02001&amp;SDATE=200901&amp;PERIODTYPE=QTR_STD&amp;SCFT=3&amp;window=popup_no_bar&amp;width=385&amp;height=120&amp;START_MAXIMIZED=FALSE&amp;creator=factset&amp;display_string=Audit"}</definedName>
    <definedName name="_1083__FDSAUDITLINK__" hidden="1">{"fdsup://Directions/FactSet Auditing Viewer?action=AUDIT_VALUE&amp;DB=129&amp;ID1=57772K10&amp;VALUEID=02001&amp;SDATE=200903&amp;PERIODTYPE=QTR_STD&amp;SCFT=3&amp;window=popup_no_bar&amp;width=385&amp;height=120&amp;START_MAXIMIZED=FALSE&amp;creator=factset&amp;display_string=Audit"}</definedName>
    <definedName name="_1084__FDSAUDITLINK__" hidden="1">{"fdsup://Directions/FactSet Auditing Viewer?action=AUDIT_VALUE&amp;DB=129&amp;ID1=57772K10&amp;VALUEID=02001&amp;SDATE=200903&amp;PERIODTYPE=QTR_STD&amp;SCFT=3&amp;window=popup_no_bar&amp;width=385&amp;height=120&amp;START_MAXIMIZED=FALSE&amp;creator=factset&amp;display_string=Audit"}</definedName>
    <definedName name="_1085__FDSAUDITLINK__" hidden="1">{"fdsup://Directions/FactSet Auditing Viewer?action=AUDIT_VALUE&amp;DB=129&amp;ID1=59511210&amp;VALUEID=02001&amp;SDATE=200902&amp;PERIODTYPE=QTR_STD&amp;SCFT=3&amp;window=popup_no_bar&amp;width=385&amp;height=120&amp;START_MAXIMIZED=FALSE&amp;creator=factset&amp;display_string=Audit"}</definedName>
    <definedName name="_1086__FDSAUDITLINK__" hidden="1">{"fdsup://Directions/FactSet Auditing Viewer?action=AUDIT_VALUE&amp;DB=129&amp;ID1=59511210&amp;VALUEID=02001&amp;SDATE=200902&amp;PERIODTYPE=QTR_STD&amp;SCFT=3&amp;window=popup_no_bar&amp;width=385&amp;height=120&amp;START_MAXIMIZED=FALSE&amp;creator=factset&amp;display_string=Audit"}</definedName>
    <definedName name="_1087__FDSAUDITLINK__" hidden="1">{"fdsup://Directions/FactSet Auditing Viewer?action=AUDIT_VALUE&amp;DB=129&amp;ID1=59513710&amp;VALUEID=02001&amp;SDATE=200902&amp;PERIODTYPE=QTR_STD&amp;SCFT=3&amp;window=popup_no_bar&amp;width=385&amp;height=120&amp;START_MAXIMIZED=FALSE&amp;creator=factset&amp;display_string=Audit"}</definedName>
    <definedName name="_1088__FDSAUDITLINK__" hidden="1">{"fdsup://Directions/FactSet Auditing Viewer?action=AUDIT_VALUE&amp;DB=129&amp;ID1=59513710&amp;VALUEID=02001&amp;SDATE=200902&amp;PERIODTYPE=QTR_STD&amp;SCFT=3&amp;window=popup_no_bar&amp;width=385&amp;height=120&amp;START_MAXIMIZED=FALSE&amp;creator=factset&amp;display_string=Audit"}</definedName>
    <definedName name="_1089__FDSAUDITLINK__" hidden="1">{"fdsup://Directions/FactSet Auditing Viewer?action=AUDIT_VALUE&amp;DB=129&amp;ID1=62007630&amp;VALUEID=02001&amp;SDATE=200901&amp;PERIODTYPE=QTR_STD&amp;SCFT=3&amp;window=popup_no_bar&amp;width=385&amp;height=120&amp;START_MAXIMIZED=FALSE&amp;creator=factset&amp;display_string=Audit"}</definedName>
    <definedName name="_109__FDSAUDITLINK__" hidden="1">{"fdsup://Directions/FactSet Auditing Viewer?action=AUDIT_VALUE&amp;DB=129&amp;ID1=31561610&amp;VALUEID=02001&amp;SDATE=201102&amp;PERIODTYPE=QTR_STD&amp;SCFT=3&amp;window=popup_no_bar&amp;width=385&amp;height=120&amp;START_MAXIMIZED=FALSE&amp;creator=factset&amp;display_string=Audit"}</definedName>
    <definedName name="_1090__FDSAUDITLINK__" hidden="1">{"fdsup://Directions/FactSet Auditing Viewer?action=AUDIT_VALUE&amp;DB=129&amp;ID1=62007630&amp;VALUEID=02001&amp;SDATE=200901&amp;PERIODTYPE=QTR_STD&amp;SCFT=3&amp;window=popup_no_bar&amp;width=385&amp;height=120&amp;START_MAXIMIZED=FALSE&amp;creator=factset&amp;display_string=Audit"}</definedName>
    <definedName name="_1091__FDSAUDITLINK__" hidden="1">{"fdsup://Directions/FactSet Auditing Viewer?action=AUDIT_VALUE&amp;DB=129&amp;ID1=59479310&amp;VALUEID=02001&amp;SDATE=200901&amp;PERIODTYPE=QTR_STD&amp;SCFT=3&amp;window=popup_no_bar&amp;width=385&amp;height=120&amp;START_MAXIMIZED=FALSE&amp;creator=factset&amp;display_string=Audit"}</definedName>
    <definedName name="_1092__FDSAUDITLINK__" hidden="1">{"fdsup://Directions/FactSet Auditing Viewer?action=AUDIT_VALUE&amp;DB=129&amp;ID1=59479310&amp;VALUEID=02001&amp;SDATE=200901&amp;PERIODTYPE=QTR_STD&amp;SCFT=3&amp;window=popup_no_bar&amp;width=385&amp;height=120&amp;START_MAXIMIZED=FALSE&amp;creator=factset&amp;display_string=Audit"}</definedName>
    <definedName name="_1093__FDSAUDITLINK__" hidden="1">{"fdsup://Directions/FactSet Auditing Viewer?action=AUDIT_VALUE&amp;DB=129&amp;ID1=50216110&amp;VALUEID=02001&amp;SDATE=200901&amp;PERIODTYPE=QTR_STD&amp;SCFT=3&amp;window=popup_no_bar&amp;width=385&amp;height=120&amp;START_MAXIMIZED=FALSE&amp;creator=factset&amp;display_string=Audit"}</definedName>
    <definedName name="_1094__FDSAUDITLINK__" hidden="1">{"fdsup://Directions/FactSet Auditing Viewer?action=AUDIT_VALUE&amp;DB=129&amp;ID1=50216110&amp;VALUEID=02001&amp;SDATE=200901&amp;PERIODTYPE=QTR_STD&amp;SCFT=3&amp;window=popup_no_bar&amp;width=385&amp;height=120&amp;START_MAXIMIZED=FALSE&amp;creator=factset&amp;display_string=Audit"}</definedName>
    <definedName name="_1095__FDSAUDITLINK__" hidden="1">{"fdsup://Directions/FactSet Auditing Viewer?action=AUDIT_VALUE&amp;DB=129&amp;ID1=51841510&amp;VALUEID=02001&amp;SDATE=200901&amp;PERIODTYPE=QTR_STD&amp;SCFT=3&amp;window=popup_no_bar&amp;width=385&amp;height=120&amp;START_MAXIMIZED=FALSE&amp;creator=factset&amp;display_string=Audit"}</definedName>
    <definedName name="_1096__FDSAUDITLINK__" hidden="1">{"fdsup://Directions/FactSet Auditing Viewer?action=AUDIT_VALUE&amp;DB=129&amp;ID1=51841510&amp;VALUEID=02001&amp;SDATE=200901&amp;PERIODTYPE=QTR_STD&amp;SCFT=3&amp;window=popup_no_bar&amp;width=385&amp;height=120&amp;START_MAXIMIZED=FALSE&amp;creator=factset&amp;display_string=Audit"}</definedName>
    <definedName name="_1097__FDSAUDITLINK__" hidden="1">{"fdsup://Directions/FactSet Auditing Viewer?action=AUDIT_VALUE&amp;DB=129&amp;ID1=51280710&amp;VALUEID=02001&amp;SDATE=200903&amp;PERIODTYPE=QTR_STD&amp;SCFT=3&amp;window=popup_no_bar&amp;width=385&amp;height=120&amp;START_MAXIMIZED=FALSE&amp;creator=factset&amp;display_string=Audit"}</definedName>
    <definedName name="_1098__FDSAUDITLINK__" hidden="1">{"fdsup://Directions/FactSet Auditing Viewer?action=AUDIT_VALUE&amp;DB=129&amp;ID1=51280710&amp;VALUEID=02001&amp;SDATE=200903&amp;PERIODTYPE=QTR_STD&amp;SCFT=3&amp;window=popup_no_bar&amp;width=385&amp;height=120&amp;START_MAXIMIZED=FALSE&amp;creator=factset&amp;display_string=Audit"}</definedName>
    <definedName name="_1099__FDSAUDITLINK__" hidden="1">{"fdsup://Directions/FactSet Auditing Viewer?action=AUDIT_VALUE&amp;DB=129&amp;ID1=53567810&amp;VALUEID=02001&amp;SDATE=200903&amp;PERIODTYPE=QTR_STD&amp;SCFT=3&amp;window=popup_no_bar&amp;width=385&amp;height=120&amp;START_MAXIMIZED=FALSE&amp;creator=factset&amp;display_string=Audit"}</definedName>
    <definedName name="_11__123Graph_BR_M_MARGINS" hidden="1">#REF!</definedName>
    <definedName name="_11__123Graph_BR_M_VOLUMES" hidden="1">#REF!</definedName>
    <definedName name="_11__123Graph_XR_M_MARGINS" hidden="1">#REF!</definedName>
    <definedName name="_11__FDSAUDITLINK__" hidden="1">{"fdsup://directions/FAT Viewer?action=UPDATE&amp;creator=factset&amp;DYN_ARGS=TRUE&amp;DOC_NAME=FAT:FQL_AUDITING_CLIENT_TEMPLATE.FAT&amp;display_string=Audit&amp;VAR:KEY=WZKBOHYPWT&amp;VAR:QUERY=RkZfU0hTX0ZMT0FUKEFOTiwp&amp;WINDOW=FIRST_POPUP&amp;HEIGHT=450&amp;WIDTH=450&amp;START_MAXIMIZED=FALS","E&amp;VAR:CALENDAR=US&amp;VAR:SYMBOL=MGM RESORTS INT'L&amp;VAR:INDEX=0"}</definedName>
    <definedName name="_110__FDSAUDITLINK__" hidden="1">{"fdsup://Directions/FactSet Auditing Viewer?action=AUDIT_VALUE&amp;DB=129&amp;ID1=31561610&amp;VALUEID=02001&amp;SDATE=201102&amp;PERIODTYPE=QTR_STD&amp;SCFT=3&amp;window=popup_no_bar&amp;width=385&amp;height=120&amp;START_MAXIMIZED=FALSE&amp;creator=factset&amp;display_string=Audit"}</definedName>
    <definedName name="_1100__FDSAUDITLINK__" hidden="1">{"fdsup://Directions/FactSet Auditing Viewer?action=AUDIT_VALUE&amp;DB=129&amp;ID1=53567810&amp;VALUEID=02001&amp;SDATE=200903&amp;PERIODTYPE=QTR_STD&amp;SCFT=3&amp;window=popup_no_bar&amp;width=385&amp;height=120&amp;START_MAXIMIZED=FALSE&amp;creator=factset&amp;display_string=Audit"}</definedName>
    <definedName name="_1101__FDSAUDITLINK__" hidden="1">{"fdsup://Directions/FactSet Auditing Viewer?action=AUDIT_VALUE&amp;DB=129&amp;ID1=48248010&amp;VALUEID=02001&amp;SDATE=200903&amp;PERIODTYPE=QTR_STD&amp;SCFT=3&amp;window=popup_no_bar&amp;width=385&amp;height=120&amp;START_MAXIMIZED=FALSE&amp;creator=factset&amp;display_string=Audit"}</definedName>
    <definedName name="_1102__FDSAUDITLINK__" hidden="1">{"fdsup://Directions/FactSet Auditing Viewer?action=AUDIT_VALUE&amp;DB=129&amp;ID1=48248010&amp;VALUEID=02001&amp;SDATE=200903&amp;PERIODTYPE=QTR_STD&amp;SCFT=3&amp;window=popup_no_bar&amp;width=385&amp;height=120&amp;START_MAXIMIZED=FALSE&amp;creator=factset&amp;display_string=Audit"}</definedName>
    <definedName name="_1103__FDSAUDITLINK__" hidden="1">{"fdsup://Directions/FactSet Auditing Viewer?action=AUDIT_VALUE&amp;DB=129&amp;ID1=48203R10&amp;VALUEID=02001&amp;SDATE=200901&amp;PERIODTYPE=QTR_STD&amp;SCFT=3&amp;window=popup_no_bar&amp;width=385&amp;height=120&amp;START_MAXIMIZED=FALSE&amp;creator=factset&amp;display_string=Audit"}</definedName>
    <definedName name="_1104__FDSAUDITLINK__" hidden="1">{"fdsup://Directions/FactSet Auditing Viewer?action=AUDIT_VALUE&amp;DB=129&amp;ID1=48203R10&amp;VALUEID=02001&amp;SDATE=200901&amp;PERIODTYPE=QTR_STD&amp;SCFT=3&amp;window=popup_no_bar&amp;width=385&amp;height=120&amp;START_MAXIMIZED=FALSE&amp;creator=factset&amp;display_string=Audit"}</definedName>
    <definedName name="_1105__FDSAUDITLINK__" hidden="1">{"fdsup://Directions/FactSet Auditing Viewer?action=AUDIT_VALUE&amp;DB=129&amp;ID1=86681020&amp;VALUEID=02001&amp;SDATE=200903&amp;PERIODTYPE=QTR_STD&amp;SCFT=3&amp;window=popup_no_bar&amp;width=385&amp;height=120&amp;START_MAXIMIZED=FALSE&amp;creator=factset&amp;display_string=Audit"}</definedName>
    <definedName name="_1106__FDSAUDITLINK__" hidden="1">{"fdsup://Directions/FactSet Auditing Viewer?action=AUDIT_VALUE&amp;DB=129&amp;ID1=86681020&amp;VALUEID=02001&amp;SDATE=200903&amp;PERIODTYPE=QTR_STD&amp;SCFT=3&amp;window=popup_no_bar&amp;width=385&amp;height=120&amp;START_MAXIMIZED=FALSE&amp;creator=factset&amp;display_string=Audit"}</definedName>
    <definedName name="_1107__FDSAUDITLINK__" hidden="1">{"fdsup://Directions/FactSet Auditing Viewer?action=AUDIT_VALUE&amp;DB=129&amp;ID1=46069S10&amp;VALUEID=02001&amp;SDATE=200901&amp;PERIODTYPE=QTR_STD&amp;SCFT=3&amp;window=popup_no_bar&amp;width=385&amp;height=120&amp;START_MAXIMIZED=FALSE&amp;creator=factset&amp;display_string=Audit"}</definedName>
    <definedName name="_1108__FDSAUDITLINK__" hidden="1">{"fdsup://Directions/FactSet Auditing Viewer?action=AUDIT_VALUE&amp;DB=129&amp;ID1=46069S10&amp;VALUEID=02001&amp;SDATE=200901&amp;PERIODTYPE=QTR_STD&amp;SCFT=3&amp;window=popup_no_bar&amp;width=385&amp;height=120&amp;START_MAXIMIZED=FALSE&amp;creator=factset&amp;display_string=Audit"}</definedName>
    <definedName name="_1109__FDSAUDITLINK__" hidden="1">{"fdsup://Directions/FactSet Auditing Viewer?action=AUDIT_VALUE&amp;DB=129&amp;ID1=46025410&amp;VALUEID=02001&amp;SDATE=200903&amp;PERIODTYPE=QTR_STD&amp;SCFT=3&amp;window=popup_no_bar&amp;width=385&amp;height=120&amp;START_MAXIMIZED=FALSE&amp;creator=factset&amp;display_string=Audit"}</definedName>
    <definedName name="_111__FDSAUDITLINK__" hidden="1">{"fdsup://Directions/FactSet Auditing Viewer?action=AUDIT_VALUE&amp;DB=129&amp;ID1=29247520&amp;VALUEID=02001&amp;SDATE=201103&amp;PERIODTYPE=QTR_STD&amp;SCFT=3&amp;window=popup_no_bar&amp;width=385&amp;height=120&amp;START_MAXIMIZED=FALSE&amp;creator=factset&amp;display_string=Audit"}</definedName>
    <definedName name="_1110__FDSAUDITLINK__" hidden="1">{"fdsup://Directions/FactSet Auditing Viewer?action=AUDIT_VALUE&amp;DB=129&amp;ID1=46025410&amp;VALUEID=02001&amp;SDATE=200903&amp;PERIODTYPE=QTR_STD&amp;SCFT=3&amp;window=popup_no_bar&amp;width=385&amp;height=120&amp;START_MAXIMIZED=FALSE&amp;creator=factset&amp;display_string=Audit"}</definedName>
    <definedName name="_1111__FDSAUDITLINK__" hidden="1">{"fdsup://Directions/FactSet Auditing Viewer?action=AUDIT_VALUE&amp;DB=129&amp;ID1=45814010&amp;VALUEID=02001&amp;SDATE=200901&amp;PERIODTYPE=QTR_STD&amp;SCFT=3&amp;window=popup_no_bar&amp;width=385&amp;height=120&amp;START_MAXIMIZED=FALSE&amp;creator=factset&amp;display_string=Audit"}</definedName>
    <definedName name="_1112__FDSAUDITLINK__" hidden="1">{"fdsup://Directions/FactSet Auditing Viewer?action=AUDIT_VALUE&amp;DB=129&amp;ID1=45814010&amp;VALUEID=02001&amp;SDATE=200901&amp;PERIODTYPE=QTR_STD&amp;SCFT=3&amp;window=popup_no_bar&amp;width=385&amp;height=120&amp;START_MAXIMIZED=FALSE&amp;creator=factset&amp;display_string=Audit"}</definedName>
    <definedName name="_1113__FDSAUDITLINK__" hidden="1">{"fdsup://Directions/FactSet Auditing Viewer?action=AUDIT_VALUE&amp;DB=129&amp;ID1=42823610&amp;VALUEID=02001&amp;SDATE=200902&amp;PERIODTYPE=QTR_STD&amp;SCFT=3&amp;window=popup_no_bar&amp;width=385&amp;height=120&amp;START_MAXIMIZED=FALSE&amp;creator=factset&amp;display_string=Audit"}</definedName>
    <definedName name="_1114__FDSAUDITLINK__" hidden="1">{"fdsup://Directions/FactSet Auditing Viewer?action=AUDIT_VALUE&amp;DB=129&amp;ID1=42823610&amp;VALUEID=02001&amp;SDATE=200902&amp;PERIODTYPE=QTR_STD&amp;SCFT=3&amp;window=popup_no_bar&amp;width=385&amp;height=120&amp;START_MAXIMIZED=FALSE&amp;creator=factset&amp;display_string=Audit"}</definedName>
    <definedName name="_1115__FDSAUDITLINK__" hidden="1">{"fdsup://Directions/FactSet Auditing Viewer?action=AUDIT_VALUE&amp;DB=129&amp;ID1=H2906T10&amp;VALUEID=02001&amp;SDATE=200901&amp;PERIODTYPE=QTR_STD&amp;SCFT=3&amp;window=popup_no_bar&amp;width=385&amp;height=120&amp;START_MAXIMIZED=FALSE&amp;creator=factset&amp;display_string=Audit"}</definedName>
    <definedName name="_1116__FDSAUDITLINK__" hidden="1">{"fdsup://Directions/FactSet Auditing Viewer?action=AUDIT_VALUE&amp;DB=129&amp;ID1=H2906T10&amp;VALUEID=02001&amp;SDATE=200901&amp;PERIODTYPE=QTR_STD&amp;SCFT=3&amp;window=popup_no_bar&amp;width=385&amp;height=120&amp;START_MAXIMIZED=FALSE&amp;creator=factset&amp;display_string=Audit"}</definedName>
    <definedName name="_1117__FDSAUDITLINK__" hidden="1">{"fdsup://Directions/FactSet Auditing Viewer?action=AUDIT_VALUE&amp;DB=129&amp;ID1=34637510&amp;VALUEID=02001&amp;SDATE=200901&amp;PERIODTYPE=QTR_STD&amp;SCFT=3&amp;window=popup_no_bar&amp;width=385&amp;height=120&amp;START_MAXIMIZED=FALSE&amp;creator=factset&amp;display_string=Audit"}</definedName>
    <definedName name="_1118__FDSAUDITLINK__" hidden="1">{"fdsup://Directions/FactSet Auditing Viewer?action=AUDIT_VALUE&amp;DB=129&amp;ID1=34637510&amp;VALUEID=02001&amp;SDATE=200901&amp;PERIODTYPE=QTR_STD&amp;SCFT=3&amp;window=popup_no_bar&amp;width=385&amp;height=120&amp;START_MAXIMIZED=FALSE&amp;creator=factset&amp;display_string=Audit"}</definedName>
    <definedName name="_1119__FDSAUDITLINK__" hidden="1">{"fdsup://Directions/FactSet Auditing Viewer?action=AUDIT_VALUE&amp;DB=129&amp;ID1=31561610&amp;VALUEID=02001&amp;SDATE=200902&amp;PERIODTYPE=QTR_STD&amp;SCFT=3&amp;window=popup_no_bar&amp;width=385&amp;height=120&amp;START_MAXIMIZED=FALSE&amp;creator=factset&amp;display_string=Audit"}</definedName>
    <definedName name="_112__FDSAUDITLINK__" hidden="1">{"fdsup://Directions/FactSet Auditing Viewer?action=AUDIT_VALUE&amp;DB=129&amp;ID1=29247520&amp;VALUEID=02001&amp;SDATE=201103&amp;PERIODTYPE=QTR_STD&amp;SCFT=3&amp;window=popup_no_bar&amp;width=385&amp;height=120&amp;START_MAXIMIZED=FALSE&amp;creator=factset&amp;display_string=Audit"}</definedName>
    <definedName name="_1120__FDSAUDITLINK__" hidden="1">{"fdsup://Directions/FactSet Auditing Viewer?action=AUDIT_VALUE&amp;DB=129&amp;ID1=31561610&amp;VALUEID=02001&amp;SDATE=200902&amp;PERIODTYPE=QTR_STD&amp;SCFT=3&amp;window=popup_no_bar&amp;width=385&amp;height=120&amp;START_MAXIMIZED=FALSE&amp;creator=factset&amp;display_string=Audit"}</definedName>
    <definedName name="_1121__FDSAUDITLINK__" hidden="1">{"fdsup://Directions/FactSet Auditing Viewer?action=AUDIT_VALUE&amp;DB=129&amp;ID1=29247520&amp;VALUEID=02001&amp;SDATE=200903&amp;PERIODTYPE=QTR_STD&amp;SCFT=3&amp;window=popup_no_bar&amp;width=385&amp;height=120&amp;START_MAXIMIZED=FALSE&amp;creator=factset&amp;display_string=Audit"}</definedName>
    <definedName name="_1122__FDSAUDITLINK__" hidden="1">{"fdsup://Directions/FactSet Auditing Viewer?action=AUDIT_VALUE&amp;DB=129&amp;ID1=29247520&amp;VALUEID=02001&amp;SDATE=200903&amp;PERIODTYPE=QTR_STD&amp;SCFT=3&amp;window=popup_no_bar&amp;width=385&amp;height=120&amp;START_MAXIMIZED=FALSE&amp;creator=factset&amp;display_string=Audit"}</definedName>
    <definedName name="_1123__FDSAUDITLINK__" hidden="1">{"fdsup://Directions/FactSet Auditing Viewer?action=AUDIT_VALUE&amp;DB=129&amp;ID1=25454310&amp;VALUEID=02001&amp;SDATE=200901&amp;PERIODTYPE=QTR_STD&amp;SCFT=3&amp;window=popup_no_bar&amp;width=385&amp;height=120&amp;START_MAXIMIZED=FALSE&amp;creator=factset&amp;display_string=Audit"}</definedName>
    <definedName name="_1124__FDSAUDITLINK__" hidden="1">{"fdsup://Directions/FactSet Auditing Viewer?action=AUDIT_VALUE&amp;DB=129&amp;ID1=25454310&amp;VALUEID=02001&amp;SDATE=200901&amp;PERIODTYPE=QTR_STD&amp;SCFT=3&amp;window=popup_no_bar&amp;width=385&amp;height=120&amp;START_MAXIMIZED=FALSE&amp;creator=factset&amp;display_string=Audit"}</definedName>
    <definedName name="_1125__FDSAUDITLINK__" hidden="1">{"fdsup://Directions/FactSet Auditing Viewer?action=AUDIT_VALUE&amp;DB=129&amp;ID1=23257210&amp;VALUEID=02001&amp;SDATE=200901&amp;PERIODTYPE=QTR_STD&amp;SCFT=3&amp;window=popup_no_bar&amp;width=385&amp;height=120&amp;START_MAXIMIZED=FALSE&amp;creator=factset&amp;display_string=Audit"}</definedName>
    <definedName name="_1126__FDSAUDITLINK__" hidden="1">{"fdsup://Directions/FactSet Auditing Viewer?action=AUDIT_VALUE&amp;DB=129&amp;ID1=23257210&amp;VALUEID=02001&amp;SDATE=200901&amp;PERIODTYPE=QTR_STD&amp;SCFT=3&amp;window=popup_no_bar&amp;width=385&amp;height=120&amp;START_MAXIMIZED=FALSE&amp;creator=factset&amp;display_string=Audit"}</definedName>
    <definedName name="_1127__FDSAUDITLINK__" hidden="1">{"fdsup://Directions/FactSet Auditing Viewer?action=AUDIT_VALUE&amp;DB=129&amp;ID1=23280610&amp;VALUEID=02001&amp;SDATE=200901&amp;PERIODTYPE=QTR_STD&amp;SCFT=3&amp;window=popup_no_bar&amp;width=385&amp;height=120&amp;START_MAXIMIZED=FALSE&amp;creator=factset&amp;display_string=Audit"}</definedName>
    <definedName name="_1128__FDSAUDITLINK__" hidden="1">{"fdsup://Directions/FactSet Auditing Viewer?action=AUDIT_VALUE&amp;DB=129&amp;ID1=23280610&amp;VALUEID=02001&amp;SDATE=200901&amp;PERIODTYPE=QTR_STD&amp;SCFT=3&amp;window=popup_no_bar&amp;width=385&amp;height=120&amp;START_MAXIMIZED=FALSE&amp;creator=factset&amp;display_string=Audit"}</definedName>
    <definedName name="_1129__FDSAUDITLINK__" hidden="1">{"fdsup://Directions/FactSet Auditing Viewer?action=AUDIT_VALUE&amp;DB=129&amp;ID1=17275R10&amp;VALUEID=02001&amp;SDATE=200903&amp;PERIODTYPE=QTR_STD&amp;SCFT=3&amp;window=popup_no_bar&amp;width=385&amp;height=120&amp;START_MAXIMIZED=FALSE&amp;creator=factset&amp;display_string=Audit"}</definedName>
    <definedName name="_113__FDSAUDITLINK__" hidden="1">{"fdsup://Directions/FactSet Auditing Viewer?action=AUDIT_VALUE&amp;DB=129&amp;ID1=25454310&amp;VALUEID=02001&amp;SDATE=201101&amp;PERIODTYPE=QTR_STD&amp;SCFT=3&amp;window=popup_no_bar&amp;width=385&amp;height=120&amp;START_MAXIMIZED=FALSE&amp;creator=factset&amp;display_string=Audit"}</definedName>
    <definedName name="_1130__FDSAUDITLINK__" hidden="1">{"fdsup://Directions/FactSet Auditing Viewer?action=AUDIT_VALUE&amp;DB=129&amp;ID1=17275R10&amp;VALUEID=02001&amp;SDATE=200903&amp;PERIODTYPE=QTR_STD&amp;SCFT=3&amp;window=popup_no_bar&amp;width=385&amp;height=120&amp;START_MAXIMIZED=FALSE&amp;creator=factset&amp;display_string=Audit"}</definedName>
    <definedName name="_1131__FDSAUDITLINK__" hidden="1">{"fdsup://Directions/FactSet Auditing Viewer?action=AUDIT_VALUE&amp;DB=129&amp;ID1=22544710&amp;VALUEID=02001&amp;SDATE=200903&amp;PERIODTYPE=QTR_STD&amp;SCFT=3&amp;window=popup_no_bar&amp;width=385&amp;height=120&amp;START_MAXIMIZED=FALSE&amp;creator=factset&amp;display_string=Audit"}</definedName>
    <definedName name="_1132__FDSAUDITLINK__" hidden="1">{"fdsup://Directions/FactSet Auditing Viewer?action=AUDIT_VALUE&amp;DB=129&amp;ID1=22544710&amp;VALUEID=02001&amp;SDATE=200903&amp;PERIODTYPE=QTR_STD&amp;SCFT=3&amp;window=popup_no_bar&amp;width=385&amp;height=120&amp;START_MAXIMIZED=FALSE&amp;creator=factset&amp;display_string=Audit"}</definedName>
    <definedName name="_1133__FDSAUDITLINK__" hidden="1">{"fdsup://Directions/FactSet Auditing Viewer?action=AUDIT_VALUE&amp;DB=129&amp;ID1=20714230&amp;VALUEID=02001&amp;SDATE=200902&amp;PERIODTYPE=QTR_STD&amp;SCFT=3&amp;window=popup_no_bar&amp;width=385&amp;height=120&amp;START_MAXIMIZED=FALSE&amp;creator=factset&amp;display_string=Audit"}</definedName>
    <definedName name="_1134__FDSAUDITLINK__" hidden="1">{"fdsup://Directions/FactSet Auditing Viewer?action=AUDIT_VALUE&amp;DB=129&amp;ID1=20714230&amp;VALUEID=02001&amp;SDATE=200902&amp;PERIODTYPE=QTR_STD&amp;SCFT=3&amp;window=popup_no_bar&amp;width=385&amp;height=120&amp;START_MAXIMIZED=FALSE&amp;creator=factset&amp;display_string=Audit"}</definedName>
    <definedName name="_1135__FDSAUDITLINK__" hidden="1">{"fdsup://Directions/FactSet Auditing Viewer?action=AUDIT_VALUE&amp;DB=129&amp;ID1=12738710&amp;VALUEID=02001&amp;SDATE=200901&amp;PERIODTYPE=QTR_STD&amp;SCFT=3&amp;window=popup_no_bar&amp;width=385&amp;height=120&amp;START_MAXIMIZED=FALSE&amp;creator=factset&amp;display_string=Audit"}</definedName>
    <definedName name="_1136__FDSAUDITLINK__" hidden="1">{"fdsup://Directions/FactSet Auditing Viewer?action=AUDIT_VALUE&amp;DB=129&amp;ID1=12738710&amp;VALUEID=02001&amp;SDATE=200901&amp;PERIODTYPE=QTR_STD&amp;SCFT=3&amp;window=popup_no_bar&amp;width=385&amp;height=120&amp;START_MAXIMIZED=FALSE&amp;creator=factset&amp;display_string=Audit"}</definedName>
    <definedName name="_1137__FDSAUDITLINK__" hidden="1">{"fdsup://Directions/FactSet Auditing Viewer?action=AUDIT_VALUE&amp;DB=129&amp;ID1=14964U10&amp;VALUEID=02001&amp;SDATE=200901&amp;PERIODTYPE=QTR_STD&amp;SCFT=3&amp;window=popup_no_bar&amp;width=385&amp;height=120&amp;START_MAXIMIZED=FALSE&amp;creator=factset&amp;display_string=Audit"}</definedName>
    <definedName name="_1138__FDSAUDITLINK__" hidden="1">{"fdsup://Directions/FactSet Auditing Viewer?action=AUDIT_VALUE&amp;DB=129&amp;ID1=14964U10&amp;VALUEID=02001&amp;SDATE=200901&amp;PERIODTYPE=QTR_STD&amp;SCFT=3&amp;window=popup_no_bar&amp;width=385&amp;height=120&amp;START_MAXIMIZED=FALSE&amp;creator=factset&amp;display_string=Audit"}</definedName>
    <definedName name="_1139__FDSAUDITLINK__" hidden="1">{"fdsup://Directions/FactSet Auditing Viewer?action=AUDIT_VALUE&amp;DB=129&amp;ID1=11162130&amp;VALUEID=02001&amp;SDATE=200902&amp;PERIODTYPE=QTR_STD&amp;SCFT=3&amp;window=popup_no_bar&amp;width=385&amp;height=120&amp;START_MAXIMIZED=FALSE&amp;creator=factset&amp;display_string=Audit"}</definedName>
    <definedName name="_114__FDSAUDITLINK__" hidden="1">{"fdsup://Directions/FactSet Auditing Viewer?action=AUDIT_VALUE&amp;DB=129&amp;ID1=25454310&amp;VALUEID=02001&amp;SDATE=201101&amp;PERIODTYPE=QTR_STD&amp;SCFT=3&amp;window=popup_no_bar&amp;width=385&amp;height=120&amp;START_MAXIMIZED=FALSE&amp;creator=factset&amp;display_string=Audit"}</definedName>
    <definedName name="_1140__FDSAUDITLINK__" hidden="1">{"fdsup://Directions/FactSet Auditing Viewer?action=AUDIT_VALUE&amp;DB=129&amp;ID1=11162130&amp;VALUEID=02001&amp;SDATE=200902&amp;PERIODTYPE=QTR_STD&amp;SCFT=3&amp;window=popup_no_bar&amp;width=385&amp;height=120&amp;START_MAXIMIZED=FALSE&amp;creator=factset&amp;display_string=Audit"}</definedName>
    <definedName name="_1141__FDSAUDITLINK__" hidden="1">{"fdsup://Directions/FactSet Auditing Viewer?action=AUDIT_VALUE&amp;DB=129&amp;ID1=Y0486S10&amp;VALUEID=02001&amp;SDATE=200902&amp;PERIODTYPE=QTR_STD&amp;SCFT=3&amp;window=popup_no_bar&amp;width=385&amp;height=120&amp;START_MAXIMIZED=FALSE&amp;creator=factset&amp;display_string=Audit"}</definedName>
    <definedName name="_1142__FDSAUDITLINK__" hidden="1">{"fdsup://Directions/FactSet Auditing Viewer?action=AUDIT_VALUE&amp;DB=129&amp;ID1=Y0486S10&amp;VALUEID=02001&amp;SDATE=200902&amp;PERIODTYPE=QTR_STD&amp;SCFT=3&amp;window=popup_no_bar&amp;width=385&amp;height=120&amp;START_MAXIMIZED=FALSE&amp;creator=factset&amp;display_string=Audit"}</definedName>
    <definedName name="_1143__FDSAUDITLINK__" hidden="1">{"fdsup://Directions/FactSet Auditing Viewer?action=AUDIT_VALUE&amp;DB=129&amp;ID1=04743P10&amp;VALUEID=02001&amp;SDATE=200901&amp;PERIODTYPE=QTR_STD&amp;SCFT=3&amp;window=popup_no_bar&amp;width=385&amp;height=120&amp;START_MAXIMIZED=FALSE&amp;creator=factset&amp;display_string=Audit"}</definedName>
    <definedName name="_1144__FDSAUDITLINK__" hidden="1">{"fdsup://Directions/FactSet Auditing Viewer?action=AUDIT_VALUE&amp;DB=129&amp;ID1=04743P10&amp;VALUEID=02001&amp;SDATE=200901&amp;PERIODTYPE=QTR_STD&amp;SCFT=3&amp;window=popup_no_bar&amp;width=385&amp;height=120&amp;START_MAXIMIZED=FALSE&amp;creator=factset&amp;display_string=Audit"}</definedName>
    <definedName name="_1145__FDSAUDITLINK__" hidden="1">{"fdsup://Directions/FactSet Auditing Viewer?action=AUDIT_VALUE&amp;DB=129&amp;ID1=03251510&amp;VALUEID=02001&amp;SDATE=200901&amp;PERIODTYPE=QTR_STD&amp;SCFT=3&amp;window=popup_no_bar&amp;width=385&amp;height=120&amp;START_MAXIMIZED=FALSE&amp;creator=factset&amp;display_string=Audit"}</definedName>
    <definedName name="_1146__FDSAUDITLINK__" hidden="1">{"fdsup://Directions/FactSet Auditing Viewer?action=AUDIT_VALUE&amp;DB=129&amp;ID1=03251510&amp;VALUEID=02001&amp;SDATE=200901&amp;PERIODTYPE=QTR_STD&amp;SCFT=3&amp;window=popup_no_bar&amp;width=385&amp;height=120&amp;START_MAXIMIZED=FALSE&amp;creator=factset&amp;display_string=Audit"}</definedName>
    <definedName name="_1147__FDSAUDITLINK__" hidden="1">{"fdsup://Directions/FactSet Auditing Viewer?action=AUDIT_VALUE&amp;DB=129&amp;ID1=00790310&amp;VALUEID=02001&amp;SDATE=200901&amp;PERIODTYPE=QTR_STD&amp;SCFT=3&amp;window=popup_no_bar&amp;width=385&amp;height=120&amp;START_MAXIMIZED=FALSE&amp;creator=factset&amp;display_string=Audit"}</definedName>
    <definedName name="_1148__FDSAUDITLINK__" hidden="1">{"fdsup://Directions/FactSet Auditing Viewer?action=AUDIT_VALUE&amp;DB=129&amp;ID1=00790310&amp;VALUEID=02001&amp;SDATE=200901&amp;PERIODTYPE=QTR_STD&amp;SCFT=3&amp;window=popup_no_bar&amp;width=385&amp;height=120&amp;START_MAXIMIZED=FALSE&amp;creator=factset&amp;display_string=Audit"}</definedName>
    <definedName name="_1149__FDSAUDITLINK__" hidden="1">{"fdsup://Directions/FactSet Auditing Viewer?action=AUDIT_VALUE&amp;DB=129&amp;ID1=02144110&amp;VALUEID=02001&amp;SDATE=200901&amp;PERIODTYPE=QTR_STD&amp;SCFT=3&amp;window=popup_no_bar&amp;width=385&amp;height=120&amp;START_MAXIMIZED=FALSE&amp;creator=factset&amp;display_string=Audit"}</definedName>
    <definedName name="_115__FDSAUDITLINK__" hidden="1">{"fdsup://Directions/FactSet Auditing Viewer?action=AUDIT_VALUE&amp;DB=129&amp;ID1=24702R10&amp;VALUEID=02001&amp;SDATE=201101&amp;PERIODTYPE=QTR_STD&amp;SCFT=3&amp;window=popup_no_bar&amp;width=385&amp;height=120&amp;START_MAXIMIZED=FALSE&amp;creator=factset&amp;display_string=Audit"}</definedName>
    <definedName name="_1150__FDSAUDITLINK__" hidden="1">{"fdsup://Directions/FactSet Auditing Viewer?action=AUDIT_VALUE&amp;DB=129&amp;ID1=02144110&amp;VALUEID=02001&amp;SDATE=200901&amp;PERIODTYPE=QTR_STD&amp;SCFT=3&amp;window=popup_no_bar&amp;width=385&amp;height=120&amp;START_MAXIMIZED=FALSE&amp;creator=factset&amp;display_string=Audit"}</definedName>
    <definedName name="_1151__FDSAUDITLINK__" hidden="1">{"fdsup://Directions/FactSet Auditing Viewer?action=AUDIT_VALUE&amp;DB=129&amp;ID1=00752J10&amp;VALUEID=02001&amp;SDATE=200901&amp;PERIODTYPE=QTR_STD&amp;SCFT=3&amp;window=popup_no_bar&amp;width=385&amp;height=120&amp;START_MAXIMIZED=FALSE&amp;creator=factset&amp;display_string=Audit"}</definedName>
    <definedName name="_1152__FDSAUDITLINK__" hidden="1">{"fdsup://Directions/FactSet Auditing Viewer?action=AUDIT_VALUE&amp;DB=129&amp;ID1=00752J10&amp;VALUEID=02001&amp;SDATE=200901&amp;PERIODTYPE=QTR_STD&amp;SCFT=3&amp;window=popup_no_bar&amp;width=385&amp;height=120&amp;START_MAXIMIZED=FALSE&amp;creator=factset&amp;display_string=Audit"}</definedName>
    <definedName name="_1153__FDSAUDITLINK__" hidden="1">{"fdsup://Directions/FactSet Auditing Viewer?action=AUDIT_VALUE&amp;DB=129&amp;ID1=98391910&amp;VALUEID=02001&amp;SDATE=200803&amp;PERIODTYPE=QTR_STD&amp;SCFT=3&amp;window=popup_no_bar&amp;width=385&amp;height=120&amp;START_MAXIMIZED=FALSE&amp;creator=factset&amp;display_string=Audit"}</definedName>
    <definedName name="_1154__FDSAUDITLINK__" hidden="1">{"fdsup://Directions/FactSet Auditing Viewer?action=AUDIT_VALUE&amp;DB=129&amp;ID1=98391910&amp;VALUEID=02001&amp;SDATE=200803&amp;PERIODTYPE=QTR_STD&amp;SCFT=3&amp;window=popup_no_bar&amp;width=385&amp;height=120&amp;START_MAXIMIZED=FALSE&amp;creator=factset&amp;display_string=Audit"}</definedName>
    <definedName name="_1155__FDSAUDITLINK__" hidden="1">{"fdsup://Directions/FactSet Auditing Viewer?action=AUDIT_VALUE&amp;DB=129&amp;ID1=95810210&amp;VALUEID=02001&amp;SDATE=200902&amp;PERIODTYPE=QTR_STD&amp;SCFT=3&amp;window=popup_no_bar&amp;width=385&amp;height=120&amp;START_MAXIMIZED=FALSE&amp;creator=factset&amp;display_string=Audit"}</definedName>
    <definedName name="_1156__FDSAUDITLINK__" hidden="1">{"fdsup://Directions/FactSet Auditing Viewer?action=AUDIT_VALUE&amp;DB=129&amp;ID1=95810210&amp;VALUEID=02001&amp;SDATE=200902&amp;PERIODTYPE=QTR_STD&amp;SCFT=3&amp;window=popup_no_bar&amp;width=385&amp;height=120&amp;START_MAXIMIZED=FALSE&amp;creator=factset&amp;display_string=Audit"}</definedName>
    <definedName name="_1157__FDSAUDITLINK__" hidden="1">{"fdsup://Directions/FactSet Auditing Viewer?action=AUDIT_VALUE&amp;DB=129&amp;ID1=92849730&amp;VALUEID=02001&amp;SDATE=200901&amp;PERIODTYPE=QTR_STD&amp;SCFT=3&amp;window=popup_no_bar&amp;width=385&amp;height=120&amp;START_MAXIMIZED=FALSE&amp;creator=factset&amp;display_string=Audit"}</definedName>
    <definedName name="_1158__FDSAUDITLINK__" hidden="1">{"fdsup://Directions/FactSet Auditing Viewer?action=AUDIT_VALUE&amp;DB=129&amp;ID1=92849730&amp;VALUEID=02001&amp;SDATE=200901&amp;PERIODTYPE=QTR_STD&amp;SCFT=3&amp;window=popup_no_bar&amp;width=385&amp;height=120&amp;START_MAXIMIZED=FALSE&amp;creator=factset&amp;display_string=Audit"}</definedName>
    <definedName name="_1159__FDSAUDITLINK__" hidden="1">{"fdsup://Directions/FactSet Auditing Viewer?action=AUDIT_VALUE&amp;DB=129&amp;ID1=83088M10&amp;VALUEID=02001&amp;SDATE=200901&amp;PERIODTYPE=QTR_STD&amp;SCFT=3&amp;window=popup_no_bar&amp;width=385&amp;height=120&amp;START_MAXIMIZED=FALSE&amp;creator=factset&amp;display_string=Audit"}</definedName>
    <definedName name="_116__FDSAUDITLINK__" hidden="1">{"fdsup://Directions/FactSet Auditing Viewer?action=AUDIT_VALUE&amp;DB=129&amp;ID1=24702R10&amp;VALUEID=02001&amp;SDATE=201101&amp;PERIODTYPE=QTR_STD&amp;SCFT=3&amp;window=popup_no_bar&amp;width=385&amp;height=120&amp;START_MAXIMIZED=FALSE&amp;creator=factset&amp;display_string=Audit"}</definedName>
    <definedName name="_1160__FDSAUDITLINK__" hidden="1">{"fdsup://Directions/FactSet Auditing Viewer?action=AUDIT_VALUE&amp;DB=129&amp;ID1=83088M10&amp;VALUEID=02001&amp;SDATE=200901&amp;PERIODTYPE=QTR_STD&amp;SCFT=3&amp;window=popup_no_bar&amp;width=385&amp;height=120&amp;START_MAXIMIZED=FALSE&amp;creator=factset&amp;display_string=Audit"}</definedName>
    <definedName name="_1161__FDSAUDITLINK__" hidden="1">{"fdsup://Directions/FactSet Auditing Viewer?action=AUDIT_VALUE&amp;DB=129&amp;ID1=G7945M10&amp;VALUEID=02001&amp;SDATE=200902&amp;PERIODTYPE=QTR_STD&amp;SCFT=3&amp;window=popup_no_bar&amp;width=385&amp;height=120&amp;START_MAXIMIZED=FALSE&amp;creator=factset&amp;display_string=Audit"}</definedName>
    <definedName name="_1162__FDSAUDITLINK__" hidden="1">{"fdsup://Directions/FactSet Auditing Viewer?action=AUDIT_VALUE&amp;DB=129&amp;ID1=G7945M10&amp;VALUEID=02001&amp;SDATE=200902&amp;PERIODTYPE=QTR_STD&amp;SCFT=3&amp;window=popup_no_bar&amp;width=385&amp;height=120&amp;START_MAXIMIZED=FALSE&amp;creator=factset&amp;display_string=Audit"}</definedName>
    <definedName name="_1163__FDSAUDITLINK__" hidden="1">{"fdsup://Directions/FactSet Auditing Viewer?action=AUDIT_VALUE&amp;DB=129&amp;ID1=87160710&amp;VALUEID=02001&amp;SDATE=200901&amp;PERIODTYPE=QTR_STD&amp;SCFT=3&amp;window=popup_no_bar&amp;width=385&amp;height=120&amp;START_MAXIMIZED=FALSE&amp;creator=factset&amp;display_string=Audit"}</definedName>
    <definedName name="_1164__FDSAUDITLINK__" hidden="1">{"fdsup://Directions/FactSet Auditing Viewer?action=AUDIT_VALUE&amp;DB=129&amp;ID1=87160710&amp;VALUEID=02001&amp;SDATE=200901&amp;PERIODTYPE=QTR_STD&amp;SCFT=3&amp;window=popup_no_bar&amp;width=385&amp;height=120&amp;START_MAXIMIZED=FALSE&amp;creator=factset&amp;display_string=Audit"}</definedName>
    <definedName name="_1165__FDSAUDITLINK__" hidden="1">{"fdsup://Directions/FactSet Auditing Viewer?action=AUDIT_VALUE&amp;DB=129&amp;ID1=74994110&amp;VALUEID=02001&amp;SDATE=200803&amp;PERIODTYPE=QTR_STD&amp;SCFT=3&amp;window=popup_no_bar&amp;width=385&amp;height=120&amp;START_MAXIMIZED=FALSE&amp;creator=factset&amp;display_string=Audit"}</definedName>
    <definedName name="_1166__FDSAUDITLINK__" hidden="1">{"fdsup://Directions/FactSet Auditing Viewer?action=AUDIT_VALUE&amp;DB=129&amp;ID1=74994110&amp;VALUEID=02001&amp;SDATE=200803&amp;PERIODTYPE=QTR_STD&amp;SCFT=3&amp;window=popup_no_bar&amp;width=385&amp;height=120&amp;START_MAXIMIZED=FALSE&amp;creator=factset&amp;display_string=Audit"}</definedName>
    <definedName name="_1167__FDSAUDITLINK__" hidden="1">{"fdsup://Directions/FactSet Auditing Viewer?action=AUDIT_VALUE&amp;DB=129&amp;ID1=74727710&amp;VALUEID=02001&amp;SDATE=200803&amp;PERIODTYPE=QTR_STD&amp;SCFT=3&amp;window=popup_no_bar&amp;width=385&amp;height=120&amp;START_MAXIMIZED=FALSE&amp;creator=factset&amp;display_string=Audit"}</definedName>
    <definedName name="_1168__FDSAUDITLINK__" hidden="1">{"fdsup://Directions/FactSet Auditing Viewer?action=AUDIT_VALUE&amp;DB=129&amp;ID1=74727710&amp;VALUEID=02001&amp;SDATE=200803&amp;PERIODTYPE=QTR_STD&amp;SCFT=3&amp;window=popup_no_bar&amp;width=385&amp;height=120&amp;START_MAXIMIZED=FALSE&amp;creator=factset&amp;display_string=Audit"}</definedName>
    <definedName name="_1169__FDSAUDITLINK__" hidden="1">{"fdsup://Directions/FactSet Auditing Viewer?action=AUDIT_VALUE&amp;DB=129&amp;ID1=74752510&amp;VALUEID=02001&amp;SDATE=200901&amp;PERIODTYPE=QTR_STD&amp;SCFT=3&amp;window=popup_no_bar&amp;width=385&amp;height=120&amp;START_MAXIMIZED=FALSE&amp;creator=factset&amp;display_string=Audit"}</definedName>
    <definedName name="_117__FDSAUDITLINK__" hidden="1">{"fdsup://Directions/FactSet Auditing Viewer?action=AUDIT_VALUE&amp;DB=129&amp;ID1=23257210&amp;VALUEID=02001&amp;SDATE=201101&amp;PERIODTYPE=QTR_STD&amp;SCFT=3&amp;window=popup_no_bar&amp;width=385&amp;height=120&amp;START_MAXIMIZED=FALSE&amp;creator=factset&amp;display_string=Audit"}</definedName>
    <definedName name="_1170__FDSAUDITLINK__" hidden="1">{"fdsup://Directions/FactSet Auditing Viewer?action=AUDIT_VALUE&amp;DB=129&amp;ID1=74752510&amp;VALUEID=02001&amp;SDATE=200901&amp;PERIODTYPE=QTR_STD&amp;SCFT=3&amp;window=popup_no_bar&amp;width=385&amp;height=120&amp;START_MAXIMIZED=FALSE&amp;creator=factset&amp;display_string=Audit"}</definedName>
    <definedName name="_1171__FDSAUDITLINK__" hidden="1">{"fdsup://Directions/FactSet Auditing Viewer?action=AUDIT_VALUE&amp;DB=129&amp;ID1=B505PN&amp;VALUEID=02001&amp;SDATE=200804&amp;PERIODTYPE=QTR_STD&amp;SCFT=3&amp;window=popup_no_bar&amp;width=385&amp;height=120&amp;START_MAXIMIZED=FALSE&amp;creator=factset&amp;display_string=Audit"}</definedName>
    <definedName name="_1172__FDSAUDITLINK__" hidden="1">{"fdsup://Directions/FactSet Auditing Viewer?action=AUDIT_VALUE&amp;DB=129&amp;ID1=B505PN&amp;VALUEID=02001&amp;SDATE=200804&amp;PERIODTYPE=QTR_STD&amp;SCFT=3&amp;window=popup_no_bar&amp;width=385&amp;height=120&amp;START_MAXIMIZED=FALSE&amp;creator=factset&amp;display_string=Audit"}</definedName>
    <definedName name="_1173__FDSAUDITLINK__" hidden="1">{"fdsup://Directions/FactSet Auditing Viewer?action=AUDIT_VALUE&amp;DB=129&amp;ID1=63764010&amp;VALUEID=02001&amp;SDATE=200802&amp;PERIODTYPE=QTR_STD&amp;SCFT=3&amp;window=popup_no_bar&amp;width=385&amp;height=120&amp;START_MAXIMIZED=FALSE&amp;creator=factset&amp;display_string=Audit"}</definedName>
    <definedName name="_1174__FDSAUDITLINK__" hidden="1">{"fdsup://Directions/FactSet Auditing Viewer?action=AUDIT_VALUE&amp;DB=129&amp;ID1=63764010&amp;VALUEID=02001&amp;SDATE=200802&amp;PERIODTYPE=QTR_STD&amp;SCFT=3&amp;window=popup_no_bar&amp;width=385&amp;height=120&amp;START_MAXIMIZED=FALSE&amp;creator=factset&amp;display_string=Audit"}</definedName>
    <definedName name="_1175__FDSAUDITLINK__" hidden="1">{"fdsup://Directions/FactSet Auditing Viewer?action=AUDIT_VALUE&amp;DB=129&amp;ID1=57772K10&amp;VALUEID=02001&amp;SDATE=200902&amp;PERIODTYPE=QTR_STD&amp;SCFT=3&amp;window=popup_no_bar&amp;width=385&amp;height=120&amp;START_MAXIMIZED=FALSE&amp;creator=factset&amp;display_string=Audit"}</definedName>
    <definedName name="_1176__FDSAUDITLINK__" hidden="1">{"fdsup://Directions/FactSet Auditing Viewer?action=AUDIT_VALUE&amp;DB=129&amp;ID1=57772K10&amp;VALUEID=02001&amp;SDATE=200902&amp;PERIODTYPE=QTR_STD&amp;SCFT=3&amp;window=popup_no_bar&amp;width=385&amp;height=120&amp;START_MAXIMIZED=FALSE&amp;creator=factset&amp;display_string=Audit"}</definedName>
    <definedName name="_1177__FDSAUDITLINK__" hidden="1">{"fdsup://Directions/FactSet Auditing Viewer?action=AUDIT_VALUE&amp;DB=129&amp;ID1=59511210&amp;VALUEID=02001&amp;SDATE=200901&amp;PERIODTYPE=QTR_STD&amp;SCFT=3&amp;window=popup_no_bar&amp;width=385&amp;height=120&amp;START_MAXIMIZED=FALSE&amp;creator=factset&amp;display_string=Audit"}</definedName>
    <definedName name="_1178__FDSAUDITLINK__" hidden="1">{"fdsup://Directions/FactSet Auditing Viewer?action=AUDIT_VALUE&amp;DB=129&amp;ID1=59511210&amp;VALUEID=02001&amp;SDATE=200901&amp;PERIODTYPE=QTR_STD&amp;SCFT=3&amp;window=popup_no_bar&amp;width=385&amp;height=120&amp;START_MAXIMIZED=FALSE&amp;creator=factset&amp;display_string=Audit"}</definedName>
    <definedName name="_1179__FDSAUDITLINK__" hidden="1">{"fdsup://Directions/FactSet Auditing Viewer?action=AUDIT_VALUE&amp;DB=129&amp;ID1=59513710&amp;VALUEID=02001&amp;SDATE=200901&amp;PERIODTYPE=QTR_STD&amp;SCFT=3&amp;window=popup_no_bar&amp;width=385&amp;height=120&amp;START_MAXIMIZED=FALSE&amp;creator=factset&amp;display_string=Audit"}</definedName>
    <definedName name="_118__FDSAUDITLINK__" hidden="1">{"fdsup://Directions/FactSet Auditing Viewer?action=AUDIT_VALUE&amp;DB=129&amp;ID1=23257210&amp;VALUEID=02001&amp;SDATE=201101&amp;PERIODTYPE=QTR_STD&amp;SCFT=3&amp;window=popup_no_bar&amp;width=385&amp;height=120&amp;START_MAXIMIZED=FALSE&amp;creator=factset&amp;display_string=Audit"}</definedName>
    <definedName name="_1180__FDSAUDITLINK__" hidden="1">{"fdsup://Directions/FactSet Auditing Viewer?action=AUDIT_VALUE&amp;DB=129&amp;ID1=59513710&amp;VALUEID=02001&amp;SDATE=200901&amp;PERIODTYPE=QTR_STD&amp;SCFT=3&amp;window=popup_no_bar&amp;width=385&amp;height=120&amp;START_MAXIMIZED=FALSE&amp;creator=factset&amp;display_string=Audit"}</definedName>
    <definedName name="_1181__FDSAUDITLINK__" hidden="1">{"fdsup://Directions/FactSet Auditing Viewer?action=AUDIT_VALUE&amp;DB=129&amp;ID1=59501710&amp;VALUEID=02001&amp;SDATE=200803&amp;PERIODTYPE=QTR_STD&amp;SCFT=3&amp;window=popup_no_bar&amp;width=385&amp;height=120&amp;START_MAXIMIZED=FALSE&amp;creator=factset&amp;display_string=Audit"}</definedName>
    <definedName name="_1182__FDSAUDITLINK__" hidden="1">{"fdsup://Directions/FactSet Auditing Viewer?action=AUDIT_VALUE&amp;DB=129&amp;ID1=59501710&amp;VALUEID=02001&amp;SDATE=200803&amp;PERIODTYPE=QTR_STD&amp;SCFT=3&amp;window=popup_no_bar&amp;width=385&amp;height=120&amp;START_MAXIMIZED=FALSE&amp;creator=factset&amp;display_string=Audit"}</definedName>
    <definedName name="_1183__FDSAUDITLINK__" hidden="1">{"fdsup://Directions/FactSet Auditing Viewer?action=AUDIT_VALUE&amp;DB=129&amp;ID1=51280710&amp;VALUEID=02001&amp;SDATE=200902&amp;PERIODTYPE=QTR_STD&amp;SCFT=3&amp;window=popup_no_bar&amp;width=385&amp;height=120&amp;START_MAXIMIZED=FALSE&amp;creator=factset&amp;display_string=Audit"}</definedName>
    <definedName name="_1184__FDSAUDITLINK__" hidden="1">{"fdsup://Directions/FactSet Auditing Viewer?action=AUDIT_VALUE&amp;DB=129&amp;ID1=51280710&amp;VALUEID=02001&amp;SDATE=200902&amp;PERIODTYPE=QTR_STD&amp;SCFT=3&amp;window=popup_no_bar&amp;width=385&amp;height=120&amp;START_MAXIMIZED=FALSE&amp;creator=factset&amp;display_string=Audit"}</definedName>
    <definedName name="_1185__FDSAUDITLINK__" hidden="1">{"fdsup://Directions/FactSet Auditing Viewer?action=AUDIT_VALUE&amp;DB=129&amp;ID1=53567810&amp;VALUEID=02001&amp;SDATE=200902&amp;PERIODTYPE=QTR_STD&amp;SCFT=3&amp;window=popup_no_bar&amp;width=385&amp;height=120&amp;START_MAXIMIZED=FALSE&amp;creator=factset&amp;display_string=Audit"}</definedName>
    <definedName name="_1186__FDSAUDITLINK__" hidden="1">{"fdsup://Directions/FactSet Auditing Viewer?action=AUDIT_VALUE&amp;DB=129&amp;ID1=53567810&amp;VALUEID=02001&amp;SDATE=200902&amp;PERIODTYPE=QTR_STD&amp;SCFT=3&amp;window=popup_no_bar&amp;width=385&amp;height=120&amp;START_MAXIMIZED=FALSE&amp;creator=factset&amp;display_string=Audit"}</definedName>
    <definedName name="_1187__FDSAUDITLINK__" hidden="1">{"fdsup://Directions/FactSet Auditing Viewer?action=AUDIT_VALUE&amp;DB=129&amp;ID1=48248010&amp;VALUEID=02001&amp;SDATE=200902&amp;PERIODTYPE=QTR_STD&amp;SCFT=3&amp;window=popup_no_bar&amp;width=385&amp;height=120&amp;START_MAXIMIZED=FALSE&amp;creator=factset&amp;display_string=Audit"}</definedName>
    <definedName name="_1188__FDSAUDITLINK__" hidden="1">{"fdsup://Directions/FactSet Auditing Viewer?action=AUDIT_VALUE&amp;DB=129&amp;ID1=48248010&amp;VALUEID=02001&amp;SDATE=200902&amp;PERIODTYPE=QTR_STD&amp;SCFT=3&amp;window=popup_no_bar&amp;width=385&amp;height=120&amp;START_MAXIMIZED=FALSE&amp;creator=factset&amp;display_string=Audit"}</definedName>
    <definedName name="_1189__FDSAUDITLINK__" hidden="1">{"fdsup://Directions/FactSet Auditing Viewer?action=AUDIT_VALUE&amp;DB=129&amp;ID1=48836020&amp;VALUEID=02001&amp;SDATE=200803&amp;PERIODTYPE=QTR_STD&amp;SCFT=3&amp;window=popup_no_bar&amp;width=385&amp;height=120&amp;START_MAXIMIZED=FALSE&amp;creator=factset&amp;display_string=Audit"}</definedName>
    <definedName name="_119__FDSAUDITLINK__" hidden="1">{"fdsup://Directions/FactSet Auditing Viewer?action=AUDIT_VALUE&amp;DB=129&amp;ID1=23280610&amp;VALUEID=02001&amp;SDATE=201101&amp;PERIODTYPE=QTR_STD&amp;SCFT=3&amp;window=popup_no_bar&amp;width=385&amp;height=120&amp;START_MAXIMIZED=FALSE&amp;creator=factset&amp;display_string=Audit"}</definedName>
    <definedName name="_1190__FDSAUDITLINK__" hidden="1">{"fdsup://Directions/FactSet Auditing Viewer?action=AUDIT_VALUE&amp;DB=129&amp;ID1=48836020&amp;VALUEID=02001&amp;SDATE=200803&amp;PERIODTYPE=QTR_STD&amp;SCFT=3&amp;window=popup_no_bar&amp;width=385&amp;height=120&amp;START_MAXIMIZED=FALSE&amp;creator=factset&amp;display_string=Audit"}</definedName>
    <definedName name="_1191__FDSAUDITLINK__" hidden="1">{"fdsup://Directions/FactSet Auditing Viewer?action=AUDIT_VALUE&amp;DB=129&amp;ID1=86681020&amp;VALUEID=02001&amp;SDATE=200902&amp;PERIODTYPE=QTR_STD&amp;SCFT=3&amp;window=popup_no_bar&amp;width=385&amp;height=120&amp;START_MAXIMIZED=FALSE&amp;creator=factset&amp;display_string=Audit"}</definedName>
    <definedName name="_1192__FDSAUDITLINK__" hidden="1">{"fdsup://Directions/FactSet Auditing Viewer?action=AUDIT_VALUE&amp;DB=129&amp;ID1=86681020&amp;VALUEID=02001&amp;SDATE=200902&amp;PERIODTYPE=QTR_STD&amp;SCFT=3&amp;window=popup_no_bar&amp;width=385&amp;height=120&amp;START_MAXIMIZED=FALSE&amp;creator=factset&amp;display_string=Audit"}</definedName>
    <definedName name="_1193__FDSAUDITLINK__" hidden="1">{"fdsup://Directions/FactSet Auditing Viewer?action=AUDIT_VALUE&amp;DB=129&amp;ID1=46025410&amp;VALUEID=02001&amp;SDATE=200902&amp;PERIODTYPE=QTR_STD&amp;SCFT=3&amp;window=popup_no_bar&amp;width=385&amp;height=120&amp;START_MAXIMIZED=FALSE&amp;creator=factset&amp;display_string=Audit"}</definedName>
    <definedName name="_1194__FDSAUDITLINK__" hidden="1">{"fdsup://Directions/FactSet Auditing Viewer?action=AUDIT_VALUE&amp;DB=129&amp;ID1=46025410&amp;VALUEID=02001&amp;SDATE=200902&amp;PERIODTYPE=QTR_STD&amp;SCFT=3&amp;window=popup_no_bar&amp;width=385&amp;height=120&amp;START_MAXIMIZED=FALSE&amp;creator=factset&amp;display_string=Audit"}</definedName>
    <definedName name="_1195__FDSAUDITLINK__" hidden="1">{"fdsup://Directions/FactSet Auditing Viewer?action=AUDIT_VALUE&amp;DB=129&amp;ID1=45811810&amp;VALUEID=02001&amp;SDATE=200803&amp;PERIODTYPE=QTR_STD&amp;SCFT=3&amp;window=popup_no_bar&amp;width=385&amp;height=120&amp;START_MAXIMIZED=FALSE&amp;creator=factset&amp;display_string=Audit"}</definedName>
    <definedName name="_1196__FDSAUDITLINK__" hidden="1">{"fdsup://Directions/FactSet Auditing Viewer?action=AUDIT_VALUE&amp;DB=129&amp;ID1=45811810&amp;VALUEID=02001&amp;SDATE=200803&amp;PERIODTYPE=QTR_STD&amp;SCFT=3&amp;window=popup_no_bar&amp;width=385&amp;height=120&amp;START_MAXIMIZED=FALSE&amp;creator=factset&amp;display_string=Audit"}</definedName>
    <definedName name="_1197__FDSAUDITLINK__" hidden="1">{"fdsup://Directions/FactSet Auditing Viewer?action=AUDIT_VALUE&amp;DB=129&amp;ID1=42823610&amp;VALUEID=02001&amp;SDATE=200901&amp;PERIODTYPE=QTR_STD&amp;SCFT=3&amp;window=popup_no_bar&amp;width=385&amp;height=120&amp;START_MAXIMIZED=FALSE&amp;creator=factset&amp;display_string=Audit"}</definedName>
    <definedName name="_1198__FDSAUDITLINK__" hidden="1">{"fdsup://Directions/FactSet Auditing Viewer?action=AUDIT_VALUE&amp;DB=129&amp;ID1=42823610&amp;VALUEID=02001&amp;SDATE=200901&amp;PERIODTYPE=QTR_STD&amp;SCFT=3&amp;window=popup_no_bar&amp;width=385&amp;height=120&amp;START_MAXIMIZED=FALSE&amp;creator=factset&amp;display_string=Audit"}</definedName>
    <definedName name="_1199__FDSAUDITLINK__" hidden="1">{"fdsup://Directions/FactSet Auditing Viewer?action=AUDIT_VALUE&amp;DB=129&amp;ID1=31561610&amp;VALUEID=02001&amp;SDATE=200901&amp;PERIODTYPE=QTR_STD&amp;SCFT=3&amp;window=popup_no_bar&amp;width=385&amp;height=120&amp;START_MAXIMIZED=FALSE&amp;creator=factset&amp;display_string=Audit"}</definedName>
    <definedName name="_12__123Graph_BR_M_VOLUMES" hidden="1">#REF!</definedName>
    <definedName name="_12__123Graph_XR_M_MARGINS" hidden="1">#REF!</definedName>
    <definedName name="_12__123Graph_XR_M_VOLUMES" hidden="1">#REF!</definedName>
    <definedName name="_12__FDSAUDITLINK__" hidden="1">{"fdsup://directions/FAT Viewer?action=UPDATE&amp;creator=factset&amp;DYN_ARGS=TRUE&amp;DOC_NAME=FAT:FQL_AUDITING_CLIENT_TEMPLATE.FAT&amp;display_string=Audit&amp;VAR:KEY=WZKBOHYPWT&amp;VAR:QUERY=RkZfU0hTX0ZMT0FUKEFOTiwp&amp;WINDOW=FIRST_POPUP&amp;HEIGHT=450&amp;WIDTH=450&amp;START_MAXIMIZED=FALS","E&amp;VAR:CALENDAR=US&amp;VAR:SYMBOL=MGM RESORTS INT'L&amp;VAR:INDEX=0"}</definedName>
    <definedName name="_120__FDSAUDITLINK__" hidden="1">{"fdsup://Directions/FactSet Auditing Viewer?action=AUDIT_VALUE&amp;DB=129&amp;ID1=23280610&amp;VALUEID=02001&amp;SDATE=201101&amp;PERIODTYPE=QTR_STD&amp;SCFT=3&amp;window=popup_no_bar&amp;width=385&amp;height=120&amp;START_MAXIMIZED=FALSE&amp;creator=factset&amp;display_string=Audit"}</definedName>
    <definedName name="_1200__FDSAUDITLINK__" hidden="1">{"fdsup://Directions/FactSet Auditing Viewer?action=AUDIT_VALUE&amp;DB=129&amp;ID1=31561610&amp;VALUEID=02001&amp;SDATE=200901&amp;PERIODTYPE=QTR_STD&amp;SCFT=3&amp;window=popup_no_bar&amp;width=385&amp;height=120&amp;START_MAXIMIZED=FALSE&amp;creator=factset&amp;display_string=Audit"}</definedName>
    <definedName name="_1201__FDSAUDITLINK__" hidden="1">{"fdsup://Directions/FactSet Auditing Viewer?action=AUDIT_VALUE&amp;DB=129&amp;ID1=29247520&amp;VALUEID=02001&amp;SDATE=200902&amp;PERIODTYPE=QTR_STD&amp;SCFT=3&amp;window=popup_no_bar&amp;width=385&amp;height=120&amp;START_MAXIMIZED=FALSE&amp;creator=factset&amp;display_string=Audit"}</definedName>
    <definedName name="_1202__FDSAUDITLINK__" hidden="1">{"fdsup://Directions/FactSet Auditing Viewer?action=AUDIT_VALUE&amp;DB=129&amp;ID1=29247520&amp;VALUEID=02001&amp;SDATE=200902&amp;PERIODTYPE=QTR_STD&amp;SCFT=3&amp;window=popup_no_bar&amp;width=385&amp;height=120&amp;START_MAXIMIZED=FALSE&amp;creator=factset&amp;display_string=Audit"}</definedName>
    <definedName name="_1203__FDSAUDITLINK__" hidden="1">{"fdsup://Directions/FactSet Auditing Viewer?action=AUDIT_VALUE&amp;DB=129&amp;ID1=17275R10&amp;VALUEID=02001&amp;SDATE=200902&amp;PERIODTYPE=QTR_STD&amp;SCFT=3&amp;window=popup_no_bar&amp;width=385&amp;height=120&amp;START_MAXIMIZED=FALSE&amp;creator=factset&amp;display_string=Audit"}</definedName>
    <definedName name="_1204__FDSAUDITLINK__" hidden="1">{"fdsup://Directions/FactSet Auditing Viewer?action=AUDIT_VALUE&amp;DB=129&amp;ID1=17275R10&amp;VALUEID=02001&amp;SDATE=200902&amp;PERIODTYPE=QTR_STD&amp;SCFT=3&amp;window=popup_no_bar&amp;width=385&amp;height=120&amp;START_MAXIMIZED=FALSE&amp;creator=factset&amp;display_string=Audit"}</definedName>
    <definedName name="_1205__FDSAUDITLINK__" hidden="1">{"fdsup://Directions/FactSet Auditing Viewer?action=AUDIT_VALUE&amp;DB=129&amp;ID1=22544710&amp;VALUEID=02001&amp;SDATE=200902&amp;PERIODTYPE=QTR_STD&amp;SCFT=3&amp;window=popup_no_bar&amp;width=385&amp;height=120&amp;START_MAXIMIZED=FALSE&amp;creator=factset&amp;display_string=Audit"}</definedName>
    <definedName name="_1206__FDSAUDITLINK__" hidden="1">{"fdsup://Directions/FactSet Auditing Viewer?action=AUDIT_VALUE&amp;DB=129&amp;ID1=22544710&amp;VALUEID=02001&amp;SDATE=200902&amp;PERIODTYPE=QTR_STD&amp;SCFT=3&amp;window=popup_no_bar&amp;width=385&amp;height=120&amp;START_MAXIMIZED=FALSE&amp;creator=factset&amp;display_string=Audit"}</definedName>
    <definedName name="_1207__FDSAUDITLINK__" hidden="1">{"fdsup://Directions/FactSet Auditing Viewer?action=AUDIT_VALUE&amp;DB=129&amp;ID1=20714230&amp;VALUEID=02001&amp;SDATE=200901&amp;PERIODTYPE=QTR_STD&amp;SCFT=3&amp;window=popup_no_bar&amp;width=385&amp;height=120&amp;START_MAXIMIZED=FALSE&amp;creator=factset&amp;display_string=Audit"}</definedName>
    <definedName name="_1208__FDSAUDITLINK__" hidden="1">{"fdsup://Directions/FactSet Auditing Viewer?action=AUDIT_VALUE&amp;DB=129&amp;ID1=20714230&amp;VALUEID=02001&amp;SDATE=200901&amp;PERIODTYPE=QTR_STD&amp;SCFT=3&amp;window=popup_no_bar&amp;width=385&amp;height=120&amp;START_MAXIMIZED=FALSE&amp;creator=factset&amp;display_string=Audit"}</definedName>
    <definedName name="_1209__FDSAUDITLINK__" hidden="1">{"fdsup://Directions/FactSet Auditing Viewer?action=AUDIT_VALUE&amp;DB=129&amp;ID1=11162130&amp;VALUEID=02001&amp;SDATE=200901&amp;PERIODTYPE=QTR_STD&amp;SCFT=3&amp;window=popup_no_bar&amp;width=385&amp;height=120&amp;START_MAXIMIZED=FALSE&amp;creator=factset&amp;display_string=Audit"}</definedName>
    <definedName name="_121__FDSAUDITLINK__" hidden="1">{"fdsup://Directions/FactSet Auditing Viewer?action=AUDIT_VALUE&amp;DB=129&amp;ID1=17275R10&amp;VALUEID=02001&amp;SDATE=201103&amp;PERIODTYPE=QTR_STD&amp;SCFT=3&amp;window=popup_no_bar&amp;width=385&amp;height=120&amp;START_MAXIMIZED=FALSE&amp;creator=factset&amp;display_string=Audit"}</definedName>
    <definedName name="_1210__FDSAUDITLINK__" hidden="1">{"fdsup://Directions/FactSet Auditing Viewer?action=AUDIT_VALUE&amp;DB=129&amp;ID1=11162130&amp;VALUEID=02001&amp;SDATE=200901&amp;PERIODTYPE=QTR_STD&amp;SCFT=3&amp;window=popup_no_bar&amp;width=385&amp;height=120&amp;START_MAXIMIZED=FALSE&amp;creator=factset&amp;display_string=Audit"}</definedName>
    <definedName name="_1211__FDSAUDITLINK__" hidden="1">{"fdsup://Directions/FactSet Auditing Viewer?action=AUDIT_VALUE&amp;DB=129&amp;ID1=Y0486S10&amp;VALUEID=02001&amp;SDATE=200901&amp;PERIODTYPE=QTR_STD&amp;SCFT=3&amp;window=popup_no_bar&amp;width=385&amp;height=120&amp;START_MAXIMIZED=FALSE&amp;creator=factset&amp;display_string=Audit"}</definedName>
    <definedName name="_1212__FDSAUDITLINK__" hidden="1">{"fdsup://Directions/FactSet Auditing Viewer?action=AUDIT_VALUE&amp;DB=129&amp;ID1=Y0486S10&amp;VALUEID=02001&amp;SDATE=200901&amp;PERIODTYPE=QTR_STD&amp;SCFT=3&amp;window=popup_no_bar&amp;width=385&amp;height=120&amp;START_MAXIMIZED=FALSE&amp;creator=factset&amp;display_string=Audit"}</definedName>
    <definedName name="_1213__FDSAUDITLINK__" hidden="1">{"fdsup://Directions/FactSet Auditing Viewer?action=AUDIT_VALUE&amp;DB=129&amp;ID1=03822W40&amp;VALUEID=02001&amp;SDATE=200803&amp;PERIODTYPE=QTR_STD&amp;SCFT=3&amp;window=popup_no_bar&amp;width=385&amp;height=120&amp;START_MAXIMIZED=FALSE&amp;creator=factset&amp;display_string=Audit"}</definedName>
    <definedName name="_1214__FDSAUDITLINK__" hidden="1">{"fdsup://Directions/FactSet Auditing Viewer?action=AUDIT_VALUE&amp;DB=129&amp;ID1=03822W40&amp;VALUEID=02001&amp;SDATE=200803&amp;PERIODTYPE=QTR_STD&amp;SCFT=3&amp;window=popup_no_bar&amp;width=385&amp;height=120&amp;START_MAXIMIZED=FALSE&amp;creator=factset&amp;display_string=Audit"}</definedName>
    <definedName name="_1215__FDSAUDITLINK__" hidden="1">{"fdsup://Directions/FactSet Auditing Viewer?action=AUDIT_VALUE&amp;DB=129&amp;ID1=03822210&amp;VALUEID=02001&amp;SDATE=200901&amp;PERIODTYPE=QTR_STD&amp;SCFT=3&amp;window=popup_no_bar&amp;width=385&amp;height=120&amp;START_MAXIMIZED=FALSE&amp;creator=factset&amp;display_string=Audit"}</definedName>
    <definedName name="_1216__FDSAUDITLINK__" hidden="1">{"fdsup://Directions/FactSet Auditing Viewer?action=AUDIT_VALUE&amp;DB=129&amp;ID1=03822210&amp;VALUEID=02001&amp;SDATE=200901&amp;PERIODTYPE=QTR_STD&amp;SCFT=3&amp;window=popup_no_bar&amp;width=385&amp;height=120&amp;START_MAXIMIZED=FALSE&amp;creator=factset&amp;display_string=Audit"}</definedName>
    <definedName name="_1217__FDSAUDITLINK__" hidden="1">{"fdsup://Directions/FactSet Auditing Viewer?action=AUDIT_VALUE&amp;DB=129&amp;ID1=03265410&amp;VALUEID=02001&amp;SDATE=200901&amp;PERIODTYPE=QTR_STD&amp;SCFT=3&amp;window=popup_no_bar&amp;width=385&amp;height=120&amp;START_MAXIMIZED=FALSE&amp;creator=factset&amp;display_string=Audit"}</definedName>
    <definedName name="_1218__FDSAUDITLINK__" hidden="1">{"fdsup://Directions/FactSet Auditing Viewer?action=AUDIT_VALUE&amp;DB=129&amp;ID1=03265410&amp;VALUEID=02001&amp;SDATE=200901&amp;PERIODTYPE=QTR_STD&amp;SCFT=3&amp;window=popup_no_bar&amp;width=385&amp;height=120&amp;START_MAXIMIZED=FALSE&amp;creator=factset&amp;display_string=Audit"}</definedName>
    <definedName name="_1219__FDSAUDITLINK__" hidden="1">{"fdsup://Directions/FactSet Auditing Viewer?action=AUDIT_VALUE&amp;DB=129&amp;ID1=98975F10&amp;VALUEID=02001&amp;SDATE=200803&amp;PERIODTYPE=QTR_STD&amp;SCFT=3&amp;window=popup_no_bar&amp;width=385&amp;height=120&amp;START_MAXIMIZED=FALSE&amp;creator=factset&amp;display_string=Audit"}</definedName>
    <definedName name="_122__FDSAUDITLINK__" hidden="1">{"fdsup://Directions/FactSet Auditing Viewer?action=AUDIT_VALUE&amp;DB=129&amp;ID1=17275R10&amp;VALUEID=02001&amp;SDATE=201103&amp;PERIODTYPE=QTR_STD&amp;SCFT=3&amp;window=popup_no_bar&amp;width=385&amp;height=120&amp;START_MAXIMIZED=FALSE&amp;creator=factset&amp;display_string=Audit"}</definedName>
    <definedName name="_1220__FDSAUDITLINK__" hidden="1">{"fdsup://Directions/FactSet Auditing Viewer?action=AUDIT_VALUE&amp;DB=129&amp;ID1=98975F10&amp;VALUEID=02001&amp;SDATE=200803&amp;PERIODTYPE=QTR_STD&amp;SCFT=3&amp;window=popup_no_bar&amp;width=385&amp;height=120&amp;START_MAXIMIZED=FALSE&amp;creator=factset&amp;display_string=Audit"}</definedName>
    <definedName name="_1221__FDSAUDITLINK__" hidden="1">{"fdsup://Directions/FactSet Auditing Viewer?action=AUDIT_VALUE&amp;DB=129&amp;ID1=98391910&amp;VALUEID=02001&amp;SDATE=200802&amp;PERIODTYPE=QTR_STD&amp;SCFT=3&amp;window=popup_no_bar&amp;width=385&amp;height=120&amp;START_MAXIMIZED=FALSE&amp;creator=factset&amp;display_string=Audit"}</definedName>
    <definedName name="_1222__FDSAUDITLINK__" hidden="1">{"fdsup://Directions/FactSet Auditing Viewer?action=AUDIT_VALUE&amp;DB=129&amp;ID1=98391910&amp;VALUEID=02001&amp;SDATE=200802&amp;PERIODTYPE=QTR_STD&amp;SCFT=3&amp;window=popup_no_bar&amp;width=385&amp;height=120&amp;START_MAXIMIZED=FALSE&amp;creator=factset&amp;display_string=Audit"}</definedName>
    <definedName name="_1223__FDSAUDITLINK__" hidden="1">{"fdsup://Directions/FactSet Auditing Viewer?action=AUDIT_VALUE&amp;DB=129&amp;ID1=95810210&amp;VALUEID=02001&amp;SDATE=200901&amp;PERIODTYPE=QTR_STD&amp;SCFT=3&amp;window=popup_no_bar&amp;width=385&amp;height=120&amp;START_MAXIMIZED=FALSE&amp;creator=factset&amp;display_string=Audit"}</definedName>
    <definedName name="_1224__FDSAUDITLINK__" hidden="1">{"fdsup://Directions/FactSet Auditing Viewer?action=AUDIT_VALUE&amp;DB=129&amp;ID1=95810210&amp;VALUEID=02001&amp;SDATE=200901&amp;PERIODTYPE=QTR_STD&amp;SCFT=3&amp;window=popup_no_bar&amp;width=385&amp;height=120&amp;START_MAXIMIZED=FALSE&amp;creator=factset&amp;display_string=Audit"}</definedName>
    <definedName name="_1225__FDSAUDITLINK__" hidden="1">{"fdsup://Directions/FactSet Auditing Viewer?action=AUDIT_VALUE&amp;DB=129&amp;ID1=92829810&amp;VALUEID=02001&amp;SDATE=200803&amp;PERIODTYPE=QTR_STD&amp;SCFT=3&amp;window=popup_no_bar&amp;width=385&amp;height=120&amp;START_MAXIMIZED=FALSE&amp;creator=factset&amp;display_string=Audit"}</definedName>
    <definedName name="_1226__FDSAUDITLINK__" hidden="1">{"fdsup://Directions/FactSet Auditing Viewer?action=AUDIT_VALUE&amp;DB=129&amp;ID1=92829810&amp;VALUEID=02001&amp;SDATE=200803&amp;PERIODTYPE=QTR_STD&amp;SCFT=3&amp;window=popup_no_bar&amp;width=385&amp;height=120&amp;START_MAXIMIZED=FALSE&amp;creator=factset&amp;display_string=Audit"}</definedName>
    <definedName name="_1227__FDSAUDITLINK__" hidden="1">{"fdsup://Directions/FactSet Auditing Viewer?action=AUDIT_VALUE&amp;DB=129&amp;ID1=88250810&amp;VALUEID=02001&amp;SDATE=200803&amp;PERIODTYPE=QTR_STD&amp;SCFT=3&amp;window=popup_no_bar&amp;width=385&amp;height=120&amp;START_MAXIMIZED=FALSE&amp;creator=factset&amp;display_string=Audit"}</definedName>
    <definedName name="_1228__FDSAUDITLINK__" hidden="1">{"fdsup://Directions/FactSet Auditing Viewer?action=AUDIT_VALUE&amp;DB=129&amp;ID1=88250810&amp;VALUEID=02001&amp;SDATE=200803&amp;PERIODTYPE=QTR_STD&amp;SCFT=3&amp;window=popup_no_bar&amp;width=385&amp;height=120&amp;START_MAXIMIZED=FALSE&amp;creator=factset&amp;display_string=Audit"}</definedName>
    <definedName name="_1229__FDSAUDITLINK__" hidden="1">{"fdsup://Directions/FactSet Auditing Viewer?action=AUDIT_VALUE&amp;DB=129&amp;ID1=89674K10&amp;VALUEID=02001&amp;SDATE=200803&amp;PERIODTYPE=QTR_STD&amp;SCFT=3&amp;window=popup_no_bar&amp;width=385&amp;height=120&amp;START_MAXIMIZED=FALSE&amp;creator=factset&amp;display_string=Audit"}</definedName>
    <definedName name="_123__FDSAUDITLINK__" hidden="1">{"fdsup://Directions/FactSet Auditing Viewer?action=AUDIT_VALUE&amp;DB=129&amp;ID1=22544710&amp;VALUEID=02001&amp;SDATE=201103&amp;PERIODTYPE=QTR_STD&amp;SCFT=3&amp;window=popup_no_bar&amp;width=385&amp;height=120&amp;START_MAXIMIZED=FALSE&amp;creator=factset&amp;display_string=Audit"}</definedName>
    <definedName name="_1230__FDSAUDITLINK__" hidden="1">{"fdsup://Directions/FactSet Auditing Viewer?action=AUDIT_VALUE&amp;DB=129&amp;ID1=89674K10&amp;VALUEID=02001&amp;SDATE=200803&amp;PERIODTYPE=QTR_STD&amp;SCFT=3&amp;window=popup_no_bar&amp;width=385&amp;height=120&amp;START_MAXIMIZED=FALSE&amp;creator=factset&amp;display_string=Audit"}</definedName>
    <definedName name="_1231__FDSAUDITLINK__" hidden="1">{"fdsup://Directions/FactSet Auditing Viewer?action=AUDIT_VALUE&amp;DB=129&amp;ID1=G7945M10&amp;VALUEID=02001&amp;SDATE=200901&amp;PERIODTYPE=QTR_STD&amp;SCFT=3&amp;window=popup_no_bar&amp;width=385&amp;height=120&amp;START_MAXIMIZED=FALSE&amp;creator=factset&amp;display_string=Audit"}</definedName>
    <definedName name="_1232__FDSAUDITLINK__" hidden="1">{"fdsup://Directions/FactSet Auditing Viewer?action=AUDIT_VALUE&amp;DB=129&amp;ID1=G7945M10&amp;VALUEID=02001&amp;SDATE=200901&amp;PERIODTYPE=QTR_STD&amp;SCFT=3&amp;window=popup_no_bar&amp;width=385&amp;height=120&amp;START_MAXIMIZED=FALSE&amp;creator=factset&amp;display_string=Audit"}</definedName>
    <definedName name="_1233__FDSAUDITLINK__" hidden="1">{"fdsup://Directions/FactSet Auditing Viewer?action=AUDIT_VALUE&amp;DB=129&amp;ID1=78477410&amp;VALUEID=02001&amp;SDATE=200803&amp;PERIODTYPE=QTR_STD&amp;SCFT=3&amp;window=popup_no_bar&amp;width=385&amp;height=120&amp;START_MAXIMIZED=FALSE&amp;creator=factset&amp;display_string=Audit"}</definedName>
    <definedName name="_1234__FDSAUDITLINK__" hidden="1">{"fdsup://Directions/FactSet Auditing Viewer?action=AUDIT_VALUE&amp;DB=129&amp;ID1=78477410&amp;VALUEID=02001&amp;SDATE=200803&amp;PERIODTYPE=QTR_STD&amp;SCFT=3&amp;window=popup_no_bar&amp;width=385&amp;height=120&amp;START_MAXIMIZED=FALSE&amp;creator=factset&amp;display_string=Audit"}</definedName>
    <definedName name="_1235__FDSAUDITLINK__" hidden="1">{"fdsup://Directions/FactSet Auditing Viewer?action=AUDIT_VALUE&amp;DB=129&amp;ID1=82705710&amp;VALUEID=02001&amp;SDATE=200803&amp;PERIODTYPE=QTR_STD&amp;SCFT=3&amp;window=popup_no_bar&amp;width=385&amp;height=120&amp;START_MAXIMIZED=FALSE&amp;creator=factset&amp;display_string=Audit"}</definedName>
    <definedName name="_1236__FDSAUDITLINK__" hidden="1">{"fdsup://Directions/FactSet Auditing Viewer?action=AUDIT_VALUE&amp;DB=129&amp;ID1=82705710&amp;VALUEID=02001&amp;SDATE=200803&amp;PERIODTYPE=QTR_STD&amp;SCFT=3&amp;window=popup_no_bar&amp;width=385&amp;height=120&amp;START_MAXIMIZED=FALSE&amp;creator=factset&amp;display_string=Audit"}</definedName>
    <definedName name="_1237__FDSAUDITLINK__" hidden="1">{"fdsup://Directions/FactSet Auditing Viewer?action=AUDIT_VALUE&amp;DB=129&amp;ID1=83547010&amp;VALUEID=02001&amp;SDATE=200803&amp;PERIODTYPE=QTR_STD&amp;SCFT=3&amp;window=popup_no_bar&amp;width=385&amp;height=120&amp;START_MAXIMIZED=FALSE&amp;creator=factset&amp;display_string=Audit"}</definedName>
    <definedName name="_1238__FDSAUDITLINK__" hidden="1">{"fdsup://Directions/FactSet Auditing Viewer?action=AUDIT_VALUE&amp;DB=129&amp;ID1=83547010&amp;VALUEID=02001&amp;SDATE=200803&amp;PERIODTYPE=QTR_STD&amp;SCFT=3&amp;window=popup_no_bar&amp;width=385&amp;height=120&amp;START_MAXIMIZED=FALSE&amp;creator=factset&amp;display_string=Audit"}</definedName>
    <definedName name="_1239__FDSAUDITLINK__" hidden="1">{"fdsup://Directions/FactSet Auditing Viewer?action=AUDIT_VALUE&amp;DB=129&amp;ID1=80004C10&amp;VALUEID=02001&amp;SDATE=200803&amp;PERIODTYPE=QTR_STD&amp;SCFT=3&amp;window=popup_no_bar&amp;width=385&amp;height=120&amp;START_MAXIMIZED=FALSE&amp;creator=factset&amp;display_string=Audit"}</definedName>
    <definedName name="_124__FDSAUDITLINK__" hidden="1">{"fdsup://Directions/FactSet Auditing Viewer?action=AUDIT_VALUE&amp;DB=129&amp;ID1=22544710&amp;VALUEID=02001&amp;SDATE=201103&amp;PERIODTYPE=QTR_STD&amp;SCFT=3&amp;window=popup_no_bar&amp;width=385&amp;height=120&amp;START_MAXIMIZED=FALSE&amp;creator=factset&amp;display_string=Audit"}</definedName>
    <definedName name="_1240__FDSAUDITLINK__" hidden="1">{"fdsup://Directions/FactSet Auditing Viewer?action=AUDIT_VALUE&amp;DB=129&amp;ID1=80004C10&amp;VALUEID=02001&amp;SDATE=200803&amp;PERIODTYPE=QTR_STD&amp;SCFT=3&amp;window=popup_no_bar&amp;width=385&amp;height=120&amp;START_MAXIMIZED=FALSE&amp;creator=factset&amp;display_string=Audit"}</definedName>
    <definedName name="_1241__FDSAUDITLINK__" hidden="1">{"fdsup://Directions/FactSet Auditing Viewer?action=AUDIT_VALUE&amp;DB=129&amp;ID1=81685010&amp;VALUEID=02001&amp;SDATE=200803&amp;PERIODTYPE=QTR_STD&amp;SCFT=3&amp;window=popup_no_bar&amp;width=385&amp;height=120&amp;START_MAXIMIZED=FALSE&amp;creator=factset&amp;display_string=Audit"}</definedName>
    <definedName name="_1242__FDSAUDITLINK__" hidden="1">{"fdsup://Directions/FactSet Auditing Viewer?action=AUDIT_VALUE&amp;DB=129&amp;ID1=81685010&amp;VALUEID=02001&amp;SDATE=200803&amp;PERIODTYPE=QTR_STD&amp;SCFT=3&amp;window=popup_no_bar&amp;width=385&amp;height=120&amp;START_MAXIMIZED=FALSE&amp;creator=factset&amp;display_string=Audit"}</definedName>
    <definedName name="_1243__FDSAUDITLINK__" hidden="1">{"fdsup://Directions/FactSet Auditing Viewer?action=AUDIT_VALUE&amp;DB=129&amp;ID1=82691910&amp;VALUEID=02001&amp;SDATE=200803&amp;PERIODTYPE=QTR_STD&amp;SCFT=3&amp;window=popup_no_bar&amp;width=385&amp;height=120&amp;START_MAXIMIZED=FALSE&amp;creator=factset&amp;display_string=Audit"}</definedName>
    <definedName name="_1244__FDSAUDITLINK__" hidden="1">{"fdsup://Directions/FactSet Auditing Viewer?action=AUDIT_VALUE&amp;DB=129&amp;ID1=82691910&amp;VALUEID=02001&amp;SDATE=200803&amp;PERIODTYPE=QTR_STD&amp;SCFT=3&amp;window=popup_no_bar&amp;width=385&amp;height=120&amp;START_MAXIMIZED=FALSE&amp;creator=factset&amp;display_string=Audit"}</definedName>
    <definedName name="_1245__FDSAUDITLINK__" hidden="1">{"fdsup://Directions/FactSet Auditing Viewer?action=AUDIT_VALUE&amp;DB=129&amp;ID1=82705T10&amp;VALUEID=02001&amp;SDATE=200803&amp;PERIODTYPE=QTR_STD&amp;SCFT=3&amp;window=popup_no_bar&amp;width=385&amp;height=120&amp;START_MAXIMIZED=FALSE&amp;creator=factset&amp;display_string=Audit"}</definedName>
    <definedName name="_1246__FDSAUDITLINK__" hidden="1">{"fdsup://Directions/FactSet Auditing Viewer?action=AUDIT_VALUE&amp;DB=129&amp;ID1=82705T10&amp;VALUEID=02001&amp;SDATE=200803&amp;PERIODTYPE=QTR_STD&amp;SCFT=3&amp;window=popup_no_bar&amp;width=385&amp;height=120&amp;START_MAXIMIZED=FALSE&amp;creator=factset&amp;display_string=Audit"}</definedName>
    <definedName name="_1247__FDSAUDITLINK__" hidden="1">{"fdsup://Directions/FactSet Auditing Viewer?action=AUDIT_VALUE&amp;DB=129&amp;ID1=75091710&amp;VALUEID=02001&amp;SDATE=200803&amp;PERIODTYPE=QTR_STD&amp;SCFT=3&amp;window=popup_no_bar&amp;width=385&amp;height=120&amp;START_MAXIMIZED=FALSE&amp;creator=factset&amp;display_string=Audit"}</definedName>
    <definedName name="_1248__FDSAUDITLINK__" hidden="1">{"fdsup://Directions/FactSet Auditing Viewer?action=AUDIT_VALUE&amp;DB=129&amp;ID1=75091710&amp;VALUEID=02001&amp;SDATE=200803&amp;PERIODTYPE=QTR_STD&amp;SCFT=3&amp;window=popup_no_bar&amp;width=385&amp;height=120&amp;START_MAXIMIZED=FALSE&amp;creator=factset&amp;display_string=Audit"}</definedName>
    <definedName name="_1249__FDSAUDITLINK__" hidden="1">{"fdsup://Directions/FactSet Auditing Viewer?action=AUDIT_VALUE&amp;DB=129&amp;ID1=74994110&amp;VALUEID=02001&amp;SDATE=200802&amp;PERIODTYPE=QTR_STD&amp;SCFT=3&amp;window=popup_no_bar&amp;width=385&amp;height=120&amp;START_MAXIMIZED=FALSE&amp;creator=factset&amp;display_string=Audit"}</definedName>
    <definedName name="_125__FDSAUDITLINK__" hidden="1">{"fdsup://Directions/FactSet Auditing Viewer?action=AUDIT_VALUE&amp;DB=129&amp;ID1=20714230&amp;VALUEID=02001&amp;SDATE=201102&amp;PERIODTYPE=QTR_STD&amp;SCFT=3&amp;window=popup_no_bar&amp;width=385&amp;height=120&amp;START_MAXIMIZED=FALSE&amp;creator=factset&amp;display_string=Audit"}</definedName>
    <definedName name="_1250__FDSAUDITLINK__" hidden="1">{"fdsup://Directions/FactSet Auditing Viewer?action=AUDIT_VALUE&amp;DB=129&amp;ID1=74994110&amp;VALUEID=02001&amp;SDATE=200802&amp;PERIODTYPE=QTR_STD&amp;SCFT=3&amp;window=popup_no_bar&amp;width=385&amp;height=120&amp;START_MAXIMIZED=FALSE&amp;creator=factset&amp;display_string=Audit"}</definedName>
    <definedName name="_1251__FDSAUDITLINK__" hidden="1">{"fdsup://Directions/FactSet Auditing Viewer?action=AUDIT_VALUE&amp;DB=129&amp;ID1=74727710&amp;VALUEID=02001&amp;SDATE=200802&amp;PERIODTYPE=QTR_STD&amp;SCFT=3&amp;window=popup_no_bar&amp;width=385&amp;height=120&amp;START_MAXIMIZED=FALSE&amp;creator=factset&amp;display_string=Audit"}</definedName>
    <definedName name="_1252__FDSAUDITLINK__" hidden="1">{"fdsup://Directions/FactSet Auditing Viewer?action=AUDIT_VALUE&amp;DB=129&amp;ID1=74727710&amp;VALUEID=02001&amp;SDATE=200802&amp;PERIODTYPE=QTR_STD&amp;SCFT=3&amp;window=popup_no_bar&amp;width=385&amp;height=120&amp;START_MAXIMIZED=FALSE&amp;creator=factset&amp;display_string=Audit"}</definedName>
    <definedName name="_1253__FDSAUDITLINK__" hidden="1">{"fdsup://Directions/FactSet Auditing Viewer?action=AUDIT_VALUE&amp;DB=129&amp;ID1=72581M30&amp;VALUEID=02001&amp;SDATE=200803&amp;PERIODTYPE=QTR_STD&amp;SCFT=3&amp;window=popup_no_bar&amp;width=385&amp;height=120&amp;START_MAXIMIZED=FALSE&amp;creator=factset&amp;display_string=Audit"}</definedName>
    <definedName name="_1254__FDSAUDITLINK__" hidden="1">{"fdsup://Directions/FactSet Auditing Viewer?action=AUDIT_VALUE&amp;DB=129&amp;ID1=72581M30&amp;VALUEID=02001&amp;SDATE=200803&amp;PERIODTYPE=QTR_STD&amp;SCFT=3&amp;window=popup_no_bar&amp;width=385&amp;height=120&amp;START_MAXIMIZED=FALSE&amp;creator=factset&amp;display_string=Audit"}</definedName>
    <definedName name="_1255__FDSAUDITLINK__" hidden="1">{"fdsup://Directions/FactSet Auditing Viewer?action=AUDIT_VALUE&amp;DB=129&amp;ID1=73927610&amp;VALUEID=02001&amp;SDATE=200803&amp;PERIODTYPE=QTR_STD&amp;SCFT=3&amp;window=popup_no_bar&amp;width=385&amp;height=120&amp;START_MAXIMIZED=FALSE&amp;creator=factset&amp;display_string=Audit"}</definedName>
    <definedName name="_1256__FDSAUDITLINK__" hidden="1">{"fdsup://Directions/FactSet Auditing Viewer?action=AUDIT_VALUE&amp;DB=129&amp;ID1=73927610&amp;VALUEID=02001&amp;SDATE=200803&amp;PERIODTYPE=QTR_STD&amp;SCFT=3&amp;window=popup_no_bar&amp;width=385&amp;height=120&amp;START_MAXIMIZED=FALSE&amp;creator=factset&amp;display_string=Audit"}</definedName>
    <definedName name="_1257__FDSAUDITLINK__" hidden="1">{"fdsup://Directions/FactSet Auditing Viewer?action=AUDIT_VALUE&amp;DB=129&amp;ID1=69344F10&amp;VALUEID=02001&amp;SDATE=200803&amp;PERIODTYPE=QTR_STD&amp;SCFT=3&amp;window=popup_no_bar&amp;width=385&amp;height=120&amp;START_MAXIMIZED=FALSE&amp;creator=factset&amp;display_string=Audit"}</definedName>
    <definedName name="_1258__FDSAUDITLINK__" hidden="1">{"fdsup://Directions/FactSet Auditing Viewer?action=AUDIT_VALUE&amp;DB=129&amp;ID1=69344F10&amp;VALUEID=02001&amp;SDATE=200803&amp;PERIODTYPE=QTR_STD&amp;SCFT=3&amp;window=popup_no_bar&amp;width=385&amp;height=120&amp;START_MAXIMIZED=FALSE&amp;creator=factset&amp;display_string=Audit"}</definedName>
    <definedName name="_1259__FDSAUDITLINK__" hidden="1">{"fdsup://Directions/FactSet Auditing Viewer?action=AUDIT_VALUE&amp;DB=129&amp;ID1=69341710&amp;VALUEID=02001&amp;SDATE=200803&amp;PERIODTYPE=QTR_STD&amp;SCFT=3&amp;window=popup_no_bar&amp;width=385&amp;height=120&amp;START_MAXIMIZED=FALSE&amp;creator=factset&amp;display_string=Audit"}</definedName>
    <definedName name="_126__FDSAUDITLINK__" hidden="1">{"fdsup://Directions/FactSet Auditing Viewer?action=AUDIT_VALUE&amp;DB=129&amp;ID1=20714230&amp;VALUEID=02001&amp;SDATE=201102&amp;PERIODTYPE=QTR_STD&amp;SCFT=3&amp;window=popup_no_bar&amp;width=385&amp;height=120&amp;START_MAXIMIZED=FALSE&amp;creator=factset&amp;display_string=Audit"}</definedName>
    <definedName name="_1260__FDSAUDITLINK__" hidden="1">{"fdsup://Directions/FactSet Auditing Viewer?action=AUDIT_VALUE&amp;DB=129&amp;ID1=69341710&amp;VALUEID=02001&amp;SDATE=200803&amp;PERIODTYPE=QTR_STD&amp;SCFT=3&amp;window=popup_no_bar&amp;width=385&amp;height=120&amp;START_MAXIMIZED=FALSE&amp;creator=factset&amp;display_string=Audit"}</definedName>
    <definedName name="_1261__FDSAUDITLINK__" hidden="1">{"fdsup://Directions/FactSet Auditing Viewer?action=AUDIT_VALUE&amp;DB=129&amp;ID1=68218910&amp;VALUEID=02001&amp;SDATE=200803&amp;PERIODTYPE=QTR_STD&amp;SCFT=3&amp;window=popup_no_bar&amp;width=385&amp;height=120&amp;START_MAXIMIZED=FALSE&amp;creator=factset&amp;display_string=Audit"}</definedName>
    <definedName name="_1262__FDSAUDITLINK__" hidden="1">{"fdsup://Directions/FactSet Auditing Viewer?action=AUDIT_VALUE&amp;DB=129&amp;ID1=68218910&amp;VALUEID=02001&amp;SDATE=200803&amp;PERIODTYPE=QTR_STD&amp;SCFT=3&amp;window=popup_no_bar&amp;width=385&amp;height=120&amp;START_MAXIMIZED=FALSE&amp;creator=factset&amp;display_string=Audit"}</definedName>
    <definedName name="_1263__FDSAUDITLINK__" hidden="1">{"fdsup://Directions/FactSet Auditing Viewer?action=AUDIT_VALUE&amp;DB=129&amp;ID1=B505PN&amp;VALUEID=02001&amp;SDATE=200803&amp;PERIODTYPE=QTR_STD&amp;SCFT=3&amp;window=popup_no_bar&amp;width=385&amp;height=120&amp;START_MAXIMIZED=FALSE&amp;creator=factset&amp;display_string=Audit"}</definedName>
    <definedName name="_1264__FDSAUDITLINK__" hidden="1">{"fdsup://Directions/FactSet Auditing Viewer?action=AUDIT_VALUE&amp;DB=129&amp;ID1=B505PN&amp;VALUEID=02001&amp;SDATE=200803&amp;PERIODTYPE=QTR_STD&amp;SCFT=3&amp;window=popup_no_bar&amp;width=385&amp;height=120&amp;START_MAXIMIZED=FALSE&amp;creator=factset&amp;display_string=Audit"}</definedName>
    <definedName name="_1265__FDSAUDITLINK__" hidden="1">{"fdsup://Directions/FactSet Auditing Viewer?action=AUDIT_VALUE&amp;DB=129&amp;ID1=67000810&amp;VALUEID=02001&amp;SDATE=200803&amp;PERIODTYPE=QTR_STD&amp;SCFT=3&amp;window=popup_no_bar&amp;width=385&amp;height=120&amp;START_MAXIMIZED=FALSE&amp;creator=factset&amp;display_string=Audit"}</definedName>
    <definedName name="_1266__FDSAUDITLINK__" hidden="1">{"fdsup://Directions/FactSet Auditing Viewer?action=AUDIT_VALUE&amp;DB=129&amp;ID1=67000810&amp;VALUEID=02001&amp;SDATE=200803&amp;PERIODTYPE=QTR_STD&amp;SCFT=3&amp;window=popup_no_bar&amp;width=385&amp;height=120&amp;START_MAXIMIZED=FALSE&amp;creator=factset&amp;display_string=Audit"}</definedName>
    <definedName name="_1267__FDSAUDITLINK__" hidden="1">{"fdsup://Directions/FactSet Auditing Viewer?action=AUDIT_VALUE&amp;DB=129&amp;ID1=67066G10&amp;VALUEID=02001&amp;SDATE=200803&amp;PERIODTYPE=QTR_STD&amp;SCFT=3&amp;window=popup_no_bar&amp;width=385&amp;height=120&amp;START_MAXIMIZED=FALSE&amp;creator=factset&amp;display_string=Audit"}</definedName>
    <definedName name="_1268__FDSAUDITLINK__" hidden="1">{"fdsup://Directions/FactSet Auditing Viewer?action=AUDIT_VALUE&amp;DB=129&amp;ID1=67066G10&amp;VALUEID=02001&amp;SDATE=200803&amp;PERIODTYPE=QTR_STD&amp;SCFT=3&amp;window=popup_no_bar&amp;width=385&amp;height=120&amp;START_MAXIMIZED=FALSE&amp;creator=factset&amp;display_string=Audit"}</definedName>
    <definedName name="_1269__FDSAUDITLINK__" hidden="1">{"fdsup://Directions/FactSet Auditing Viewer?action=AUDIT_VALUE&amp;DB=129&amp;ID1=63764010&amp;VALUEID=02001&amp;SDATE=200801&amp;PERIODTYPE=QTR_STD&amp;SCFT=3&amp;window=popup_no_bar&amp;width=385&amp;height=120&amp;START_MAXIMIZED=FALSE&amp;creator=factset&amp;display_string=Audit"}</definedName>
    <definedName name="_127__FDSAUDITLINK__" hidden="1">{"fdsup://Directions/FactSet Auditing Viewer?action=AUDIT_VALUE&amp;DB=129&amp;ID1=12738710&amp;VALUEID=02001&amp;SDATE=201101&amp;PERIODTYPE=QTR_STD&amp;SCFT=3&amp;window=popup_no_bar&amp;width=385&amp;height=120&amp;START_MAXIMIZED=FALSE&amp;creator=factset&amp;display_string=Audit"}</definedName>
    <definedName name="_1270__FDSAUDITLINK__" hidden="1">{"fdsup://Directions/FactSet Auditing Viewer?action=AUDIT_VALUE&amp;DB=129&amp;ID1=63764010&amp;VALUEID=02001&amp;SDATE=200801&amp;PERIODTYPE=QTR_STD&amp;SCFT=3&amp;window=popup_no_bar&amp;width=385&amp;height=120&amp;START_MAXIMIZED=FALSE&amp;creator=factset&amp;display_string=Audit"}</definedName>
    <definedName name="_1271__FDSAUDITLINK__" hidden="1">{"fdsup://Directions/FactSet Auditing Viewer?action=AUDIT_VALUE&amp;DB=129&amp;ID1=64118B10&amp;VALUEID=02001&amp;SDATE=200803&amp;PERIODTYPE=QTR_STD&amp;SCFT=3&amp;window=popup_no_bar&amp;width=385&amp;height=120&amp;START_MAXIMIZED=FALSE&amp;creator=factset&amp;display_string=Audit"}</definedName>
    <definedName name="_1272__FDSAUDITLINK__" hidden="1">{"fdsup://Directions/FactSet Auditing Viewer?action=AUDIT_VALUE&amp;DB=129&amp;ID1=64118B10&amp;VALUEID=02001&amp;SDATE=200803&amp;PERIODTYPE=QTR_STD&amp;SCFT=3&amp;window=popup_no_bar&amp;width=385&amp;height=120&amp;START_MAXIMIZED=FALSE&amp;creator=factset&amp;display_string=Audit"}</definedName>
    <definedName name="_1273__FDSAUDITLINK__" hidden="1">{"fdsup://Directions/FactSet Auditing Viewer?action=AUDIT_VALUE&amp;DB=129&amp;ID1=G5876H10&amp;VALUEID=02001&amp;SDATE=200803&amp;PERIODTYPE=QTR_STD&amp;SCFT=3&amp;window=popup_no_bar&amp;width=385&amp;height=120&amp;START_MAXIMIZED=FALSE&amp;creator=factset&amp;display_string=Audit"}</definedName>
    <definedName name="_1274__FDSAUDITLINK__" hidden="1">{"fdsup://Directions/FactSet Auditing Viewer?action=AUDIT_VALUE&amp;DB=129&amp;ID1=G5876H10&amp;VALUEID=02001&amp;SDATE=200803&amp;PERIODTYPE=QTR_STD&amp;SCFT=3&amp;window=popup_no_bar&amp;width=385&amp;height=120&amp;START_MAXIMIZED=FALSE&amp;creator=factset&amp;display_string=Audit"}</definedName>
    <definedName name="_1275__FDSAUDITLINK__" hidden="1">{"fdsup://Directions/FactSet Auditing Viewer?action=AUDIT_VALUE&amp;DB=129&amp;ID1=62007630&amp;VALUEID=02001&amp;SDATE=200803&amp;PERIODTYPE=QTR_STD&amp;SCFT=3&amp;window=popup_no_bar&amp;width=385&amp;height=120&amp;START_MAXIMIZED=FALSE&amp;creator=factset&amp;display_string=Audit"}</definedName>
    <definedName name="_1276__FDSAUDITLINK__" hidden="1">{"fdsup://Directions/FactSet Auditing Viewer?action=AUDIT_VALUE&amp;DB=129&amp;ID1=62007630&amp;VALUEID=02001&amp;SDATE=200803&amp;PERIODTYPE=QTR_STD&amp;SCFT=3&amp;window=popup_no_bar&amp;width=385&amp;height=120&amp;START_MAXIMIZED=FALSE&amp;creator=factset&amp;display_string=Audit"}</definedName>
    <definedName name="_1277__FDSAUDITLINK__" hidden="1">{"fdsup://Directions/FactSet Auditing Viewer?action=AUDIT_VALUE&amp;DB=129&amp;ID1=60456710&amp;VALUEID=02001&amp;SDATE=200901&amp;PERIODTYPE=QTR_STD&amp;SCFT=3&amp;window=popup_no_bar&amp;width=385&amp;height=120&amp;START_MAXIMIZED=FALSE&amp;creator=factset&amp;display_string=Audit"}</definedName>
    <definedName name="_1278__FDSAUDITLINK__" hidden="1">{"fdsup://Directions/FactSet Auditing Viewer?action=AUDIT_VALUE&amp;DB=129&amp;ID1=60456710&amp;VALUEID=02001&amp;SDATE=200901&amp;PERIODTYPE=QTR_STD&amp;SCFT=3&amp;window=popup_no_bar&amp;width=385&amp;height=120&amp;START_MAXIMIZED=FALSE&amp;creator=factset&amp;display_string=Audit"}</definedName>
    <definedName name="_1279__FDSAUDITLINK__" hidden="1">{"fdsup://Directions/FactSet Auditing Viewer?action=AUDIT_VALUE&amp;DB=129&amp;ID1=59479310&amp;VALUEID=02001&amp;SDATE=200803&amp;PERIODTYPE=QTR_STD&amp;SCFT=3&amp;window=popup_no_bar&amp;width=385&amp;height=120&amp;START_MAXIMIZED=FALSE&amp;creator=factset&amp;display_string=Audit"}</definedName>
    <definedName name="_128__FDSAUDITLINK__" hidden="1">{"fdsup://Directions/FactSet Auditing Viewer?action=AUDIT_VALUE&amp;DB=129&amp;ID1=12738710&amp;VALUEID=02001&amp;SDATE=201101&amp;PERIODTYPE=QTR_STD&amp;SCFT=3&amp;window=popup_no_bar&amp;width=385&amp;height=120&amp;START_MAXIMIZED=FALSE&amp;creator=factset&amp;display_string=Audit"}</definedName>
    <definedName name="_1280__FDSAUDITLINK__" hidden="1">{"fdsup://Directions/FactSet Auditing Viewer?action=AUDIT_VALUE&amp;DB=129&amp;ID1=59479310&amp;VALUEID=02001&amp;SDATE=200803&amp;PERIODTYPE=QTR_STD&amp;SCFT=3&amp;window=popup_no_bar&amp;width=385&amp;height=120&amp;START_MAXIMIZED=FALSE&amp;creator=factset&amp;display_string=Audit"}</definedName>
    <definedName name="_1281__FDSAUDITLINK__" hidden="1">{"fdsup://Directions/FactSet Auditing Viewer?action=AUDIT_VALUE&amp;DB=129&amp;ID1=59501710&amp;VALUEID=02001&amp;SDATE=200802&amp;PERIODTYPE=QTR_STD&amp;SCFT=3&amp;window=popup_no_bar&amp;width=385&amp;height=120&amp;START_MAXIMIZED=FALSE&amp;creator=factset&amp;display_string=Audit"}</definedName>
    <definedName name="_1282__FDSAUDITLINK__" hidden="1">{"fdsup://Directions/FactSet Auditing Viewer?action=AUDIT_VALUE&amp;DB=129&amp;ID1=59501710&amp;VALUEID=02001&amp;SDATE=200802&amp;PERIODTYPE=QTR_STD&amp;SCFT=3&amp;window=popup_no_bar&amp;width=385&amp;height=120&amp;START_MAXIMIZED=FALSE&amp;creator=factset&amp;display_string=Audit"}</definedName>
    <definedName name="_1283__FDSAUDITLINK__" hidden="1">{"fdsup://Directions/FactSet Auditing Viewer?action=AUDIT_VALUE&amp;DB=129&amp;ID1=50216110&amp;VALUEID=02001&amp;SDATE=200803&amp;PERIODTYPE=QTR_STD&amp;SCFT=3&amp;window=popup_no_bar&amp;width=385&amp;height=120&amp;START_MAXIMIZED=FALSE&amp;creator=factset&amp;display_string=Audit"}</definedName>
    <definedName name="_1284__FDSAUDITLINK__" hidden="1">{"fdsup://Directions/FactSet Auditing Viewer?action=AUDIT_VALUE&amp;DB=129&amp;ID1=50216110&amp;VALUEID=02001&amp;SDATE=200803&amp;PERIODTYPE=QTR_STD&amp;SCFT=3&amp;window=popup_no_bar&amp;width=385&amp;height=120&amp;START_MAXIMIZED=FALSE&amp;creator=factset&amp;display_string=Audit"}</definedName>
    <definedName name="_1285__FDSAUDITLINK__" hidden="1">{"fdsup://Directions/FactSet Auditing Viewer?action=AUDIT_VALUE&amp;DB=129&amp;ID1=51841510&amp;VALUEID=02001&amp;SDATE=200803&amp;PERIODTYPE=QTR_STD&amp;SCFT=3&amp;window=popup_no_bar&amp;width=385&amp;height=120&amp;START_MAXIMIZED=FALSE&amp;creator=factset&amp;display_string=Audit"}</definedName>
    <definedName name="_1286__FDSAUDITLINK__" hidden="1">{"fdsup://Directions/FactSet Auditing Viewer?action=AUDIT_VALUE&amp;DB=129&amp;ID1=51841510&amp;VALUEID=02001&amp;SDATE=200803&amp;PERIODTYPE=QTR_STD&amp;SCFT=3&amp;window=popup_no_bar&amp;width=385&amp;height=120&amp;START_MAXIMIZED=FALSE&amp;creator=factset&amp;display_string=Audit"}</definedName>
    <definedName name="_1287__FDSAUDITLINK__" hidden="1">{"fdsup://Directions/FactSet Auditing Viewer?action=AUDIT_VALUE&amp;DB=129&amp;ID1=51280710&amp;VALUEID=02001&amp;SDATE=200901&amp;PERIODTYPE=QTR_STD&amp;SCFT=3&amp;window=popup_no_bar&amp;width=385&amp;height=120&amp;START_MAXIMIZED=FALSE&amp;creator=factset&amp;display_string=Audit"}</definedName>
    <definedName name="_1288__FDSAUDITLINK__" hidden="1">{"fdsup://Directions/FactSet Auditing Viewer?action=AUDIT_VALUE&amp;DB=129&amp;ID1=51280710&amp;VALUEID=02001&amp;SDATE=200901&amp;PERIODTYPE=QTR_STD&amp;SCFT=3&amp;window=popup_no_bar&amp;width=385&amp;height=120&amp;START_MAXIMIZED=FALSE&amp;creator=factset&amp;display_string=Audit"}</definedName>
    <definedName name="_1289__FDSAUDITLINK__" hidden="1">{"fdsup://Directions/FactSet Auditing Viewer?action=AUDIT_VALUE&amp;DB=129&amp;ID1=53567810&amp;VALUEID=02001&amp;SDATE=200901&amp;PERIODTYPE=QTR_STD&amp;SCFT=3&amp;window=popup_no_bar&amp;width=385&amp;height=120&amp;START_MAXIMIZED=FALSE&amp;creator=factset&amp;display_string=Audit"}</definedName>
    <definedName name="_129__FDSAUDITLINK__" hidden="1">{"fdsup://Directions/FactSet Auditing Viewer?action=AUDIT_VALUE&amp;DB=129&amp;ID1=14964U10&amp;VALUEID=02001&amp;SDATE=201101&amp;PERIODTYPE=QTR_STD&amp;SCFT=3&amp;window=popup_no_bar&amp;width=385&amp;height=120&amp;START_MAXIMIZED=FALSE&amp;creator=factset&amp;display_string=Audit"}</definedName>
    <definedName name="_1290__FDSAUDITLINK__" hidden="1">{"fdsup://Directions/FactSet Auditing Viewer?action=AUDIT_VALUE&amp;DB=129&amp;ID1=53567810&amp;VALUEID=02001&amp;SDATE=200901&amp;PERIODTYPE=QTR_STD&amp;SCFT=3&amp;window=popup_no_bar&amp;width=385&amp;height=120&amp;START_MAXIMIZED=FALSE&amp;creator=factset&amp;display_string=Audit"}</definedName>
    <definedName name="_1291__FDSAUDITLINK__" hidden="1">{"fdsup://Directions/FactSet Auditing Viewer?action=AUDIT_VALUE&amp;DB=129&amp;ID1=48248010&amp;VALUEID=02001&amp;SDATE=200901&amp;PERIODTYPE=QTR_STD&amp;SCFT=3&amp;window=popup_no_bar&amp;width=385&amp;height=120&amp;START_MAXIMIZED=FALSE&amp;creator=factset&amp;display_string=Audit"}</definedName>
    <definedName name="_1292__FDSAUDITLINK__" hidden="1">{"fdsup://Directions/FactSet Auditing Viewer?action=AUDIT_VALUE&amp;DB=129&amp;ID1=48248010&amp;VALUEID=02001&amp;SDATE=200901&amp;PERIODTYPE=QTR_STD&amp;SCFT=3&amp;window=popup_no_bar&amp;width=385&amp;height=120&amp;START_MAXIMIZED=FALSE&amp;creator=factset&amp;display_string=Audit"}</definedName>
    <definedName name="_1293__FDSAUDITLINK__" hidden="1">{"fdsup://Directions/FactSet Auditing Viewer?action=AUDIT_VALUE&amp;DB=129&amp;ID1=48836020&amp;VALUEID=02001&amp;SDATE=200802&amp;PERIODTYPE=QTR_STD&amp;SCFT=3&amp;window=popup_no_bar&amp;width=385&amp;height=120&amp;START_MAXIMIZED=FALSE&amp;creator=factset&amp;display_string=Audit"}</definedName>
    <definedName name="_1294__FDSAUDITLINK__" hidden="1">{"fdsup://Directions/FactSet Auditing Viewer?action=AUDIT_VALUE&amp;DB=129&amp;ID1=48836020&amp;VALUEID=02001&amp;SDATE=200802&amp;PERIODTYPE=QTR_STD&amp;SCFT=3&amp;window=popup_no_bar&amp;width=385&amp;height=120&amp;START_MAXIMIZED=FALSE&amp;creator=factset&amp;display_string=Audit"}</definedName>
    <definedName name="_1295__FDSAUDITLINK__" hidden="1">{"fdsup://Directions/FactSet Auditing Viewer?action=AUDIT_VALUE&amp;DB=129&amp;ID1=48203R10&amp;VALUEID=02001&amp;SDATE=200803&amp;PERIODTYPE=QTR_STD&amp;SCFT=3&amp;window=popup_no_bar&amp;width=385&amp;height=120&amp;START_MAXIMIZED=FALSE&amp;creator=factset&amp;display_string=Audit"}</definedName>
    <definedName name="_1296__FDSAUDITLINK__" hidden="1">{"fdsup://Directions/FactSet Auditing Viewer?action=AUDIT_VALUE&amp;DB=129&amp;ID1=48203R10&amp;VALUEID=02001&amp;SDATE=200803&amp;PERIODTYPE=QTR_STD&amp;SCFT=3&amp;window=popup_no_bar&amp;width=385&amp;height=120&amp;START_MAXIMIZED=FALSE&amp;creator=factset&amp;display_string=Audit"}</definedName>
    <definedName name="_1297__FDSAUDITLINK__" hidden="1">{"fdsup://Directions/FactSet Auditing Viewer?action=AUDIT_VALUE&amp;DB=129&amp;ID1=86681020&amp;VALUEID=02001&amp;SDATE=200901&amp;PERIODTYPE=QTR_STD&amp;SCFT=3&amp;window=popup_no_bar&amp;width=385&amp;height=120&amp;START_MAXIMIZED=FALSE&amp;creator=factset&amp;display_string=Audit"}</definedName>
    <definedName name="_1298__FDSAUDITLINK__" hidden="1">{"fdsup://Directions/FactSet Auditing Viewer?action=AUDIT_VALUE&amp;DB=129&amp;ID1=86681020&amp;VALUEID=02001&amp;SDATE=200901&amp;PERIODTYPE=QTR_STD&amp;SCFT=3&amp;window=popup_no_bar&amp;width=385&amp;height=120&amp;START_MAXIMIZED=FALSE&amp;creator=factset&amp;display_string=Audit"}</definedName>
    <definedName name="_1299__FDSAUDITLINK__" hidden="1">{"fdsup://Directions/FactSet Auditing Viewer?action=AUDIT_VALUE&amp;DB=129&amp;ID1=46069S10&amp;VALUEID=02001&amp;SDATE=200803&amp;PERIODTYPE=QTR_STD&amp;SCFT=3&amp;window=popup_no_bar&amp;width=385&amp;height=120&amp;START_MAXIMIZED=FALSE&amp;creator=factset&amp;display_string=Audit"}</definedName>
    <definedName name="_13__123Graph_XR_M_MARGINS" hidden="1">#REF!</definedName>
    <definedName name="_13__123Graph_XR_M_VOLUMES" hidden="1">#REF!</definedName>
    <definedName name="_13__FDSAUDITLINK__" hidden="1">{"fdsup://directions/FAT Viewer?action=UPDATE&amp;creator=factset&amp;DYN_ARGS=TRUE&amp;DOC_NAME=FAT:FQL_AUDITING_CLIENT_TEMPLATE.FAT&amp;display_string=Audit&amp;VAR:KEY=GLKDQTYVIN&amp;VAR:QUERY=RkZfU0hTX0ZMT0FUKEFOTiwp&amp;WINDOW=FIRST_POPUP&amp;HEIGHT=450&amp;WIDTH=450&amp;START_MAXIMIZED=FALS","E&amp;VAR:CALENDAR=US&amp;VAR:SYMBOL=WYNN RESORTS&amp;VAR:INDEX=0"}</definedName>
    <definedName name="_130__FDSAUDITLINK__" hidden="1">{"fdsup://Directions/FactSet Auditing Viewer?action=AUDIT_VALUE&amp;DB=129&amp;ID1=14964U10&amp;VALUEID=02001&amp;SDATE=201101&amp;PERIODTYPE=QTR_STD&amp;SCFT=3&amp;window=popup_no_bar&amp;width=385&amp;height=120&amp;START_MAXIMIZED=FALSE&amp;creator=factset&amp;display_string=Audit"}</definedName>
    <definedName name="_1300__FDSAUDITLINK__" hidden="1">{"fdsup://Directions/FactSet Auditing Viewer?action=AUDIT_VALUE&amp;DB=129&amp;ID1=46069S10&amp;VALUEID=02001&amp;SDATE=200803&amp;PERIODTYPE=QTR_STD&amp;SCFT=3&amp;window=popup_no_bar&amp;width=385&amp;height=120&amp;START_MAXIMIZED=FALSE&amp;creator=factset&amp;display_string=Audit"}</definedName>
    <definedName name="_1301__FDSAUDITLINK__" hidden="1">{"fdsup://Directions/FactSet Auditing Viewer?action=AUDIT_VALUE&amp;DB=129&amp;ID1=46025410&amp;VALUEID=02001&amp;SDATE=200901&amp;PERIODTYPE=QTR_STD&amp;SCFT=3&amp;window=popup_no_bar&amp;width=385&amp;height=120&amp;START_MAXIMIZED=FALSE&amp;creator=factset&amp;display_string=Audit"}</definedName>
    <definedName name="_1302__FDSAUDITLINK__" hidden="1">{"fdsup://Directions/FactSet Auditing Viewer?action=AUDIT_VALUE&amp;DB=129&amp;ID1=46025410&amp;VALUEID=02001&amp;SDATE=200901&amp;PERIODTYPE=QTR_STD&amp;SCFT=3&amp;window=popup_no_bar&amp;width=385&amp;height=120&amp;START_MAXIMIZED=FALSE&amp;creator=factset&amp;display_string=Audit"}</definedName>
    <definedName name="_1303__FDSAUDITLINK__" hidden="1">{"fdsup://Directions/FactSet Auditing Viewer?action=AUDIT_VALUE&amp;DB=129&amp;ID1=45814010&amp;VALUEID=02001&amp;SDATE=200803&amp;PERIODTYPE=QTR_STD&amp;SCFT=3&amp;window=popup_no_bar&amp;width=385&amp;height=120&amp;START_MAXIMIZED=FALSE&amp;creator=factset&amp;display_string=Audit"}</definedName>
    <definedName name="_1304__FDSAUDITLINK__" hidden="1">{"fdsup://Directions/FactSet Auditing Viewer?action=AUDIT_VALUE&amp;DB=129&amp;ID1=45814010&amp;VALUEID=02001&amp;SDATE=200803&amp;PERIODTYPE=QTR_STD&amp;SCFT=3&amp;window=popup_no_bar&amp;width=385&amp;height=120&amp;START_MAXIMIZED=FALSE&amp;creator=factset&amp;display_string=Audit"}</definedName>
    <definedName name="_1305__FDSAUDITLINK__" hidden="1">{"fdsup://Directions/FactSet Auditing Viewer?action=AUDIT_VALUE&amp;DB=129&amp;ID1=45811810&amp;VALUEID=02001&amp;SDATE=200802&amp;PERIODTYPE=QTR_STD&amp;SCFT=3&amp;window=popup_no_bar&amp;width=385&amp;height=120&amp;START_MAXIMIZED=FALSE&amp;creator=factset&amp;display_string=Audit"}</definedName>
    <definedName name="_1306__FDSAUDITLINK__" hidden="1">{"fdsup://Directions/FactSet Auditing Viewer?action=AUDIT_VALUE&amp;DB=129&amp;ID1=45811810&amp;VALUEID=02001&amp;SDATE=200802&amp;PERIODTYPE=QTR_STD&amp;SCFT=3&amp;window=popup_no_bar&amp;width=385&amp;height=120&amp;START_MAXIMIZED=FALSE&amp;creator=factset&amp;display_string=Audit"}</definedName>
    <definedName name="_1307__FDSAUDITLINK__" hidden="1">{"fdsup://Directions/FactSet Auditing Viewer?action=AUDIT_VALUE&amp;DB=129&amp;ID1=H2906T10&amp;VALUEID=02001&amp;SDATE=200803&amp;PERIODTYPE=QTR_STD&amp;SCFT=3&amp;window=popup_no_bar&amp;width=385&amp;height=120&amp;START_MAXIMIZED=FALSE&amp;creator=factset&amp;display_string=Audit"}</definedName>
    <definedName name="_1308__FDSAUDITLINK__" hidden="1">{"fdsup://Directions/FactSet Auditing Viewer?action=AUDIT_VALUE&amp;DB=129&amp;ID1=H2906T10&amp;VALUEID=02001&amp;SDATE=200803&amp;PERIODTYPE=QTR_STD&amp;SCFT=3&amp;window=popup_no_bar&amp;width=385&amp;height=120&amp;START_MAXIMIZED=FALSE&amp;creator=factset&amp;display_string=Audit"}</definedName>
    <definedName name="_1309__FDSAUDITLINK__" hidden="1">{"fdsup://Directions/FactSet Auditing Viewer?action=AUDIT_VALUE&amp;DB=129&amp;ID1=34637510&amp;VALUEID=02001&amp;SDATE=200803&amp;PERIODTYPE=QTR_STD&amp;SCFT=3&amp;window=popup_no_bar&amp;width=385&amp;height=120&amp;START_MAXIMIZED=FALSE&amp;creator=factset&amp;display_string=Audit"}</definedName>
    <definedName name="_131__FDSAUDITLINK__" hidden="1">{"fdsup://Directions/FactSet Auditing Viewer?action=AUDIT_VALUE&amp;DB=129&amp;ID1=11162130&amp;VALUEID=02001&amp;SDATE=201102&amp;PERIODTYPE=QTR_STD&amp;SCFT=3&amp;window=popup_no_bar&amp;width=385&amp;height=120&amp;START_MAXIMIZED=FALSE&amp;creator=factset&amp;display_string=Audit"}</definedName>
    <definedName name="_1310__FDSAUDITLINK__" hidden="1">{"fdsup://Directions/FactSet Auditing Viewer?action=AUDIT_VALUE&amp;DB=129&amp;ID1=34637510&amp;VALUEID=02001&amp;SDATE=200803&amp;PERIODTYPE=QTR_STD&amp;SCFT=3&amp;window=popup_no_bar&amp;width=385&amp;height=120&amp;START_MAXIMIZED=FALSE&amp;creator=factset&amp;display_string=Audit"}</definedName>
    <definedName name="_1311__FDSAUDITLINK__" hidden="1">{"fdsup://Directions/FactSet Auditing Viewer?action=AUDIT_VALUE&amp;DB=129&amp;ID1=29247520&amp;VALUEID=02001&amp;SDATE=200901&amp;PERIODTYPE=QTR_STD&amp;SCFT=3&amp;window=popup_no_bar&amp;width=385&amp;height=120&amp;START_MAXIMIZED=FALSE&amp;creator=factset&amp;display_string=Audit"}</definedName>
    <definedName name="_1312__FDSAUDITLINK__" hidden="1">{"fdsup://Directions/FactSet Auditing Viewer?action=AUDIT_VALUE&amp;DB=129&amp;ID1=29247520&amp;VALUEID=02001&amp;SDATE=200901&amp;PERIODTYPE=QTR_STD&amp;SCFT=3&amp;window=popup_no_bar&amp;width=385&amp;height=120&amp;START_MAXIMIZED=FALSE&amp;creator=factset&amp;display_string=Audit"}</definedName>
    <definedName name="_1313__FDSAUDITLINK__" hidden="1">{"fdsup://Directions/FactSet Auditing Viewer?action=AUDIT_VALUE&amp;DB=129&amp;ID1=25454310&amp;VALUEID=02001&amp;SDATE=200803&amp;PERIODTYPE=QTR_STD&amp;SCFT=3&amp;window=popup_no_bar&amp;width=385&amp;height=120&amp;START_MAXIMIZED=FALSE&amp;creator=factset&amp;display_string=Audit"}</definedName>
    <definedName name="_1314__FDSAUDITLINK__" hidden="1">{"fdsup://Directions/FactSet Auditing Viewer?action=AUDIT_VALUE&amp;DB=129&amp;ID1=25454310&amp;VALUEID=02001&amp;SDATE=200803&amp;PERIODTYPE=QTR_STD&amp;SCFT=3&amp;window=popup_no_bar&amp;width=385&amp;height=120&amp;START_MAXIMIZED=FALSE&amp;creator=factset&amp;display_string=Audit"}</definedName>
    <definedName name="_1315__FDSAUDITLINK__" hidden="1">{"fdsup://Directions/FactSet Auditing Viewer?action=AUDIT_VALUE&amp;DB=129&amp;ID1=24702R10&amp;VALUEID=02001&amp;SDATE=200803&amp;PERIODTYPE=QTR_STD&amp;SCFT=3&amp;window=popup_no_bar&amp;width=385&amp;height=120&amp;START_MAXIMIZED=FALSE&amp;creator=factset&amp;display_string=Audit"}</definedName>
    <definedName name="_1316__FDSAUDITLINK__" hidden="1">{"fdsup://Directions/FactSet Auditing Viewer?action=AUDIT_VALUE&amp;DB=129&amp;ID1=24702R10&amp;VALUEID=02001&amp;SDATE=200803&amp;PERIODTYPE=QTR_STD&amp;SCFT=3&amp;window=popup_no_bar&amp;width=385&amp;height=120&amp;START_MAXIMIZED=FALSE&amp;creator=factset&amp;display_string=Audit"}</definedName>
    <definedName name="_1317__FDSAUDITLINK__" hidden="1">{"fdsup://Directions/FactSet Auditing Viewer?action=AUDIT_VALUE&amp;DB=129&amp;ID1=23257210&amp;VALUEID=02001&amp;SDATE=200803&amp;PERIODTYPE=QTR_STD&amp;SCFT=3&amp;window=popup_no_bar&amp;width=385&amp;height=120&amp;START_MAXIMIZED=FALSE&amp;creator=factset&amp;display_string=Audit"}</definedName>
    <definedName name="_1318__FDSAUDITLINK__" hidden="1">{"fdsup://Directions/FactSet Auditing Viewer?action=AUDIT_VALUE&amp;DB=129&amp;ID1=23257210&amp;VALUEID=02001&amp;SDATE=200803&amp;PERIODTYPE=QTR_STD&amp;SCFT=3&amp;window=popup_no_bar&amp;width=385&amp;height=120&amp;START_MAXIMIZED=FALSE&amp;creator=factset&amp;display_string=Audit"}</definedName>
    <definedName name="_1319__FDSAUDITLINK__" hidden="1">{"fdsup://Directions/FactSet Auditing Viewer?action=AUDIT_VALUE&amp;DB=129&amp;ID1=23280610&amp;VALUEID=02001&amp;SDATE=200803&amp;PERIODTYPE=QTR_STD&amp;SCFT=3&amp;window=popup_no_bar&amp;width=385&amp;height=120&amp;START_MAXIMIZED=FALSE&amp;creator=factset&amp;display_string=Audit"}</definedName>
    <definedName name="_132__FDSAUDITLINK__" hidden="1">{"fdsup://Directions/FactSet Auditing Viewer?action=AUDIT_VALUE&amp;DB=129&amp;ID1=11162130&amp;VALUEID=02001&amp;SDATE=201102&amp;PERIODTYPE=QTR_STD&amp;SCFT=3&amp;window=popup_no_bar&amp;width=385&amp;height=120&amp;START_MAXIMIZED=FALSE&amp;creator=factset&amp;display_string=Audit"}</definedName>
    <definedName name="_1320__FDSAUDITLINK__" hidden="1">{"fdsup://Directions/FactSet Auditing Viewer?action=AUDIT_VALUE&amp;DB=129&amp;ID1=23280610&amp;VALUEID=02001&amp;SDATE=200803&amp;PERIODTYPE=QTR_STD&amp;SCFT=3&amp;window=popup_no_bar&amp;width=385&amp;height=120&amp;START_MAXIMIZED=FALSE&amp;creator=factset&amp;display_string=Audit"}</definedName>
    <definedName name="_1321__FDSAUDITLINK__" hidden="1">{"fdsup://Directions/FactSet Auditing Viewer?action=AUDIT_VALUE&amp;DB=129&amp;ID1=17275R10&amp;VALUEID=02001&amp;SDATE=200901&amp;PERIODTYPE=QTR_STD&amp;SCFT=3&amp;window=popup_no_bar&amp;width=385&amp;height=120&amp;START_MAXIMIZED=FALSE&amp;creator=factset&amp;display_string=Audit"}</definedName>
    <definedName name="_1322__FDSAUDITLINK__" hidden="1">{"fdsup://Directions/FactSet Auditing Viewer?action=AUDIT_VALUE&amp;DB=129&amp;ID1=17275R10&amp;VALUEID=02001&amp;SDATE=200901&amp;PERIODTYPE=QTR_STD&amp;SCFT=3&amp;window=popup_no_bar&amp;width=385&amp;height=120&amp;START_MAXIMIZED=FALSE&amp;creator=factset&amp;display_string=Audit"}</definedName>
    <definedName name="_1323__FDSAUDITLINK__" hidden="1">{"fdsup://Directions/FactSet Auditing Viewer?action=AUDIT_VALUE&amp;DB=129&amp;ID1=22544710&amp;VALUEID=02001&amp;SDATE=200901&amp;PERIODTYPE=QTR_STD&amp;SCFT=3&amp;window=popup_no_bar&amp;width=385&amp;height=120&amp;START_MAXIMIZED=FALSE&amp;creator=factset&amp;display_string=Audit"}</definedName>
    <definedName name="_1324__FDSAUDITLINK__" hidden="1">{"fdsup://Directions/FactSet Auditing Viewer?action=AUDIT_VALUE&amp;DB=129&amp;ID1=22544710&amp;VALUEID=02001&amp;SDATE=200901&amp;PERIODTYPE=QTR_STD&amp;SCFT=3&amp;window=popup_no_bar&amp;width=385&amp;height=120&amp;START_MAXIMIZED=FALSE&amp;creator=factset&amp;display_string=Audit"}</definedName>
    <definedName name="_1325__FDSAUDITLINK__" hidden="1">{"fdsup://Directions/FactSet Auditing Viewer?action=AUDIT_VALUE&amp;DB=129&amp;ID1=12738710&amp;VALUEID=02001&amp;SDATE=200803&amp;PERIODTYPE=QTR_STD&amp;SCFT=3&amp;window=popup_no_bar&amp;width=385&amp;height=120&amp;START_MAXIMIZED=FALSE&amp;creator=factset&amp;display_string=Audit"}</definedName>
    <definedName name="_1326__FDSAUDITLINK__" hidden="1">{"fdsup://Directions/FactSet Auditing Viewer?action=AUDIT_VALUE&amp;DB=129&amp;ID1=12738710&amp;VALUEID=02001&amp;SDATE=200803&amp;PERIODTYPE=QTR_STD&amp;SCFT=3&amp;window=popup_no_bar&amp;width=385&amp;height=120&amp;START_MAXIMIZED=FALSE&amp;creator=factset&amp;display_string=Audit"}</definedName>
    <definedName name="_1327__FDSAUDITLINK__" hidden="1">{"fdsup://Directions/FactSet Auditing Viewer?action=AUDIT_VALUE&amp;DB=129&amp;ID1=14964U10&amp;VALUEID=02001&amp;SDATE=200803&amp;PERIODTYPE=QTR_STD&amp;SCFT=3&amp;window=popup_no_bar&amp;width=385&amp;height=120&amp;START_MAXIMIZED=FALSE&amp;creator=factset&amp;display_string=Audit"}</definedName>
    <definedName name="_1328__FDSAUDITLINK__" hidden="1">{"fdsup://Directions/FactSet Auditing Viewer?action=AUDIT_VALUE&amp;DB=129&amp;ID1=14964U10&amp;VALUEID=02001&amp;SDATE=200803&amp;PERIODTYPE=QTR_STD&amp;SCFT=3&amp;window=popup_no_bar&amp;width=385&amp;height=120&amp;START_MAXIMIZED=FALSE&amp;creator=factset&amp;display_string=Audit"}</definedName>
    <definedName name="_1329__FDSAUDITLINK__" hidden="1">{"fdsup://Directions/FactSet Auditing Viewer?action=AUDIT_VALUE&amp;DB=129&amp;ID1=04743P10&amp;VALUEID=02001&amp;SDATE=200803&amp;PERIODTYPE=QTR_STD&amp;SCFT=3&amp;window=popup_no_bar&amp;width=385&amp;height=120&amp;START_MAXIMIZED=FALSE&amp;creator=factset&amp;display_string=Audit"}</definedName>
    <definedName name="_133__FDSAUDITLINK__" hidden="1">{"fdsup://Directions/FactSet Auditing Viewer?action=AUDIT_VALUE&amp;DB=129&amp;ID1=Y0486S10&amp;VALUEID=02001&amp;SDATE=201102&amp;PERIODTYPE=QTR_STD&amp;SCFT=3&amp;window=popup_no_bar&amp;width=385&amp;height=120&amp;START_MAXIMIZED=FALSE&amp;creator=factset&amp;display_string=Audit"}</definedName>
    <definedName name="_1330__FDSAUDITLINK__" hidden="1">{"fdsup://Directions/FactSet Auditing Viewer?action=AUDIT_VALUE&amp;DB=129&amp;ID1=04743P10&amp;VALUEID=02001&amp;SDATE=200803&amp;PERIODTYPE=QTR_STD&amp;SCFT=3&amp;window=popup_no_bar&amp;width=385&amp;height=120&amp;START_MAXIMIZED=FALSE&amp;creator=factset&amp;display_string=Audit"}</definedName>
    <definedName name="_1331__FDSAUDITLINK__" hidden="1">{"fdsup://Directions/FactSet Auditing Viewer?action=AUDIT_VALUE&amp;DB=129&amp;ID1=03251510&amp;VALUEID=02001&amp;SDATE=200803&amp;PERIODTYPE=QTR_STD&amp;SCFT=3&amp;window=popup_no_bar&amp;width=385&amp;height=120&amp;START_MAXIMIZED=FALSE&amp;creator=factset&amp;display_string=Audit"}</definedName>
    <definedName name="_1332__FDSAUDITLINK__" hidden="1">{"fdsup://Directions/FactSet Auditing Viewer?action=AUDIT_VALUE&amp;DB=129&amp;ID1=03251510&amp;VALUEID=02001&amp;SDATE=200803&amp;PERIODTYPE=QTR_STD&amp;SCFT=3&amp;window=popup_no_bar&amp;width=385&amp;height=120&amp;START_MAXIMIZED=FALSE&amp;creator=factset&amp;display_string=Audit"}</definedName>
    <definedName name="_1333__FDSAUDITLINK__" hidden="1">{"fdsup://Directions/FactSet Auditing Viewer?action=AUDIT_VALUE&amp;DB=129&amp;ID1=00790310&amp;VALUEID=02001&amp;SDATE=200803&amp;PERIODTYPE=QTR_STD&amp;SCFT=3&amp;window=popup_no_bar&amp;width=385&amp;height=120&amp;START_MAXIMIZED=FALSE&amp;creator=factset&amp;display_string=Audit"}</definedName>
    <definedName name="_1334__FDSAUDITLINK__" hidden="1">{"fdsup://Directions/FactSet Auditing Viewer?action=AUDIT_VALUE&amp;DB=129&amp;ID1=00790310&amp;VALUEID=02001&amp;SDATE=200803&amp;PERIODTYPE=QTR_STD&amp;SCFT=3&amp;window=popup_no_bar&amp;width=385&amp;height=120&amp;START_MAXIMIZED=FALSE&amp;creator=factset&amp;display_string=Audit"}</definedName>
    <definedName name="_1335__FDSAUDITLINK__" hidden="1">{"fdsup://Directions/FactSet Auditing Viewer?action=AUDIT_VALUE&amp;DB=129&amp;ID1=03822W40&amp;VALUEID=02001&amp;SDATE=200802&amp;PERIODTYPE=QTR_STD&amp;SCFT=3&amp;window=popup_no_bar&amp;width=385&amp;height=120&amp;START_MAXIMIZED=FALSE&amp;creator=factset&amp;display_string=Audit"}</definedName>
    <definedName name="_1336__FDSAUDITLINK__" hidden="1">{"fdsup://Directions/FactSet Auditing Viewer?action=AUDIT_VALUE&amp;DB=129&amp;ID1=03822W40&amp;VALUEID=02001&amp;SDATE=200802&amp;PERIODTYPE=QTR_STD&amp;SCFT=3&amp;window=popup_no_bar&amp;width=385&amp;height=120&amp;START_MAXIMIZED=FALSE&amp;creator=factset&amp;display_string=Audit"}</definedName>
    <definedName name="_1337__FDSAUDITLINK__" hidden="1">{"fdsup://Directions/FactSet Auditing Viewer?action=AUDIT_VALUE&amp;DB=129&amp;ID1=02144110&amp;VALUEID=02001&amp;SDATE=200803&amp;PERIODTYPE=QTR_STD&amp;SCFT=3&amp;window=popup_no_bar&amp;width=385&amp;height=120&amp;START_MAXIMIZED=FALSE&amp;creator=factset&amp;display_string=Audit"}</definedName>
    <definedName name="_1338__FDSAUDITLINK__" hidden="1">{"fdsup://Directions/FactSet Auditing Viewer?action=AUDIT_VALUE&amp;DB=129&amp;ID1=02144110&amp;VALUEID=02001&amp;SDATE=200803&amp;PERIODTYPE=QTR_STD&amp;SCFT=3&amp;window=popup_no_bar&amp;width=385&amp;height=120&amp;START_MAXIMIZED=FALSE&amp;creator=factset&amp;display_string=Audit"}</definedName>
    <definedName name="_1339__FDSAUDITLINK__" hidden="1">{"fdsup://Directions/FactSet Auditing Viewer?action=AUDIT_VALUE&amp;DB=129&amp;ID1=00752J10&amp;VALUEID=02001&amp;SDATE=200803&amp;PERIODTYPE=QTR_STD&amp;SCFT=3&amp;window=popup_no_bar&amp;width=385&amp;height=120&amp;START_MAXIMIZED=FALSE&amp;creator=factset&amp;display_string=Audit"}</definedName>
    <definedName name="_134__FDSAUDITLINK__" hidden="1">{"fdsup://Directions/FactSet Auditing Viewer?action=AUDIT_VALUE&amp;DB=129&amp;ID1=Y0486S10&amp;VALUEID=02001&amp;SDATE=201102&amp;PERIODTYPE=QTR_STD&amp;SCFT=3&amp;window=popup_no_bar&amp;width=385&amp;height=120&amp;START_MAXIMIZED=FALSE&amp;creator=factset&amp;display_string=Audit"}</definedName>
    <definedName name="_1340__FDSAUDITLINK__" hidden="1">{"fdsup://Directions/FactSet Auditing Viewer?action=AUDIT_VALUE&amp;DB=129&amp;ID1=00752J10&amp;VALUEID=02001&amp;SDATE=200803&amp;PERIODTYPE=QTR_STD&amp;SCFT=3&amp;window=popup_no_bar&amp;width=385&amp;height=120&amp;START_MAXIMIZED=FALSE&amp;creator=factset&amp;display_string=Audit"}</definedName>
    <definedName name="_1341__FDSAUDITLINK__" hidden="1">{"fdsup://Directions/FactSet Auditing Viewer?action=AUDIT_VALUE&amp;DB=129&amp;ID1=98975F10&amp;VALUEID=02001&amp;SDATE=200802&amp;PERIODTYPE=QTR_STD&amp;SCFT=3&amp;window=popup_no_bar&amp;width=385&amp;height=120&amp;START_MAXIMIZED=FALSE&amp;creator=factset&amp;display_string=Audit"}</definedName>
    <definedName name="_1342__FDSAUDITLINK__" hidden="1">{"fdsup://Directions/FactSet Auditing Viewer?action=AUDIT_VALUE&amp;DB=129&amp;ID1=98975F10&amp;VALUEID=02001&amp;SDATE=200802&amp;PERIODTYPE=QTR_STD&amp;SCFT=3&amp;window=popup_no_bar&amp;width=385&amp;height=120&amp;START_MAXIMIZED=FALSE&amp;creator=factset&amp;display_string=Audit"}</definedName>
    <definedName name="_1343__FDSAUDITLINK__" hidden="1">{"fdsup://Directions/FactSet Auditing Viewer?action=AUDIT_VALUE&amp;DB=129&amp;ID1=98391910&amp;VALUEID=02001&amp;SDATE=200801&amp;PERIODTYPE=QTR_STD&amp;SCFT=3&amp;window=popup_no_bar&amp;width=385&amp;height=120&amp;START_MAXIMIZED=FALSE&amp;creator=factset&amp;display_string=Audit"}</definedName>
    <definedName name="_1344__FDSAUDITLINK__" hidden="1">{"fdsup://Directions/FactSet Auditing Viewer?action=AUDIT_VALUE&amp;DB=129&amp;ID1=98391910&amp;VALUEID=02001&amp;SDATE=200801&amp;PERIODTYPE=QTR_STD&amp;SCFT=3&amp;window=popup_no_bar&amp;width=385&amp;height=120&amp;START_MAXIMIZED=FALSE&amp;creator=factset&amp;display_string=Audit"}</definedName>
    <definedName name="_1345__FDSAUDITLINK__" hidden="1">{"fdsup://Directions/FactSet Auditing Viewer?action=AUDIT_VALUE&amp;DB=129&amp;ID1=92849730&amp;VALUEID=02001&amp;SDATE=200803&amp;PERIODTYPE=QTR_STD&amp;SCFT=3&amp;window=popup_no_bar&amp;width=385&amp;height=120&amp;START_MAXIMIZED=FALSE&amp;creator=factset&amp;display_string=Audit"}</definedName>
    <definedName name="_1346__FDSAUDITLINK__" hidden="1">{"fdsup://Directions/FactSet Auditing Viewer?action=AUDIT_VALUE&amp;DB=129&amp;ID1=92849730&amp;VALUEID=02001&amp;SDATE=200803&amp;PERIODTYPE=QTR_STD&amp;SCFT=3&amp;window=popup_no_bar&amp;width=385&amp;height=120&amp;START_MAXIMIZED=FALSE&amp;creator=factset&amp;display_string=Audit"}</definedName>
    <definedName name="_1347__FDSAUDITLINK__" hidden="1">{"fdsup://Directions/FactSet Auditing Viewer?action=AUDIT_VALUE&amp;DB=129&amp;ID1=92829810&amp;VALUEID=02001&amp;SDATE=200802&amp;PERIODTYPE=QTR_STD&amp;SCFT=3&amp;window=popup_no_bar&amp;width=385&amp;height=120&amp;START_MAXIMIZED=FALSE&amp;creator=factset&amp;display_string=Audit"}</definedName>
    <definedName name="_1348__FDSAUDITLINK__" hidden="1">{"fdsup://Directions/FactSet Auditing Viewer?action=AUDIT_VALUE&amp;DB=129&amp;ID1=92829810&amp;VALUEID=02001&amp;SDATE=200802&amp;PERIODTYPE=QTR_STD&amp;SCFT=3&amp;window=popup_no_bar&amp;width=385&amp;height=120&amp;START_MAXIMIZED=FALSE&amp;creator=factset&amp;display_string=Audit"}</definedName>
    <definedName name="_1349__FDSAUDITLINK__" hidden="1">{"fdsup://Directions/FactSet Auditing Viewer?action=AUDIT_VALUE&amp;DB=129&amp;ID1=88250810&amp;VALUEID=02001&amp;SDATE=200802&amp;PERIODTYPE=QTR_STD&amp;SCFT=3&amp;window=popup_no_bar&amp;width=385&amp;height=120&amp;START_MAXIMIZED=FALSE&amp;creator=factset&amp;display_string=Audit"}</definedName>
    <definedName name="_135__FDSAUDITLINK__" hidden="1">{"fdsup://Directions/FactSet Auditing Viewer?action=AUDIT_VALUE&amp;DB=129&amp;ID1=04743P10&amp;VALUEID=02001&amp;SDATE=201101&amp;PERIODTYPE=QTR_STD&amp;SCFT=3&amp;window=popup_no_bar&amp;width=385&amp;height=120&amp;START_MAXIMIZED=FALSE&amp;creator=factset&amp;display_string=Audit"}</definedName>
    <definedName name="_1350__FDSAUDITLINK__" hidden="1">{"fdsup://Directions/FactSet Auditing Viewer?action=AUDIT_VALUE&amp;DB=129&amp;ID1=88250810&amp;VALUEID=02001&amp;SDATE=200802&amp;PERIODTYPE=QTR_STD&amp;SCFT=3&amp;window=popup_no_bar&amp;width=385&amp;height=120&amp;START_MAXIMIZED=FALSE&amp;creator=factset&amp;display_string=Audit"}</definedName>
    <definedName name="_1351__FDSAUDITLINK__" hidden="1">{"fdsup://Directions/FactSet Auditing Viewer?action=AUDIT_VALUE&amp;DB=129&amp;ID1=89674K10&amp;VALUEID=02001&amp;SDATE=200802&amp;PERIODTYPE=QTR_STD&amp;SCFT=3&amp;window=popup_no_bar&amp;width=385&amp;height=120&amp;START_MAXIMIZED=FALSE&amp;creator=factset&amp;display_string=Audit"}</definedName>
    <definedName name="_1352__FDSAUDITLINK__" hidden="1">{"fdsup://Directions/FactSet Auditing Viewer?action=AUDIT_VALUE&amp;DB=129&amp;ID1=89674K10&amp;VALUEID=02001&amp;SDATE=200802&amp;PERIODTYPE=QTR_STD&amp;SCFT=3&amp;window=popup_no_bar&amp;width=385&amp;height=120&amp;START_MAXIMIZED=FALSE&amp;creator=factset&amp;display_string=Audit"}</definedName>
    <definedName name="_1353__FDSAUDITLINK__" hidden="1">{"fdsup://Directions/FactSet Auditing Viewer?action=AUDIT_VALUE&amp;DB=129&amp;ID1=83088M10&amp;VALUEID=02001&amp;SDATE=200803&amp;PERIODTYPE=QTR_STD&amp;SCFT=3&amp;window=popup_no_bar&amp;width=385&amp;height=120&amp;START_MAXIMIZED=FALSE&amp;creator=factset&amp;display_string=Audit"}</definedName>
    <definedName name="_1354__FDSAUDITLINK__" hidden="1">{"fdsup://Directions/FactSet Auditing Viewer?action=AUDIT_VALUE&amp;DB=129&amp;ID1=83088M10&amp;VALUEID=02001&amp;SDATE=200803&amp;PERIODTYPE=QTR_STD&amp;SCFT=3&amp;window=popup_no_bar&amp;width=385&amp;height=120&amp;START_MAXIMIZED=FALSE&amp;creator=factset&amp;display_string=Audit"}</definedName>
    <definedName name="_1355__FDSAUDITLINK__" hidden="1">{"fdsup://Directions/FactSet Auditing Viewer?action=AUDIT_VALUE&amp;DB=129&amp;ID1=78477410&amp;VALUEID=02001&amp;SDATE=200802&amp;PERIODTYPE=QTR_STD&amp;SCFT=3&amp;window=popup_no_bar&amp;width=385&amp;height=120&amp;START_MAXIMIZED=FALSE&amp;creator=factset&amp;display_string=Audit"}</definedName>
    <definedName name="_1356__FDSAUDITLINK__" hidden="1">{"fdsup://Directions/FactSet Auditing Viewer?action=AUDIT_VALUE&amp;DB=129&amp;ID1=78477410&amp;VALUEID=02001&amp;SDATE=200802&amp;PERIODTYPE=QTR_STD&amp;SCFT=3&amp;window=popup_no_bar&amp;width=385&amp;height=120&amp;START_MAXIMIZED=FALSE&amp;creator=factset&amp;display_string=Audit"}</definedName>
    <definedName name="_1357__FDSAUDITLINK__" hidden="1">{"fdsup://Directions/FactSet Auditing Viewer?action=AUDIT_VALUE&amp;DB=129&amp;ID1=82705710&amp;VALUEID=02001&amp;SDATE=200802&amp;PERIODTYPE=QTR_STD&amp;SCFT=3&amp;window=popup_no_bar&amp;width=385&amp;height=120&amp;START_MAXIMIZED=FALSE&amp;creator=factset&amp;display_string=Audit"}</definedName>
    <definedName name="_1358__FDSAUDITLINK__" hidden="1">{"fdsup://Directions/FactSet Auditing Viewer?action=AUDIT_VALUE&amp;DB=129&amp;ID1=82705710&amp;VALUEID=02001&amp;SDATE=200802&amp;PERIODTYPE=QTR_STD&amp;SCFT=3&amp;window=popup_no_bar&amp;width=385&amp;height=120&amp;START_MAXIMIZED=FALSE&amp;creator=factset&amp;display_string=Audit"}</definedName>
    <definedName name="_1359__FDSAUDITLINK__" hidden="1">{"fdsup://Directions/FactSet Auditing Viewer?action=AUDIT_VALUE&amp;DB=129&amp;ID1=83547010&amp;VALUEID=02001&amp;SDATE=200802&amp;PERIODTYPE=QTR_STD&amp;SCFT=3&amp;window=popup_no_bar&amp;width=385&amp;height=120&amp;START_MAXIMIZED=FALSE&amp;creator=factset&amp;display_string=Audit"}</definedName>
    <definedName name="_136__FDSAUDITLINK__" hidden="1">{"fdsup://Directions/FactSet Auditing Viewer?action=AUDIT_VALUE&amp;DB=129&amp;ID1=04743P10&amp;VALUEID=02001&amp;SDATE=201101&amp;PERIODTYPE=QTR_STD&amp;SCFT=3&amp;window=popup_no_bar&amp;width=385&amp;height=120&amp;START_MAXIMIZED=FALSE&amp;creator=factset&amp;display_string=Audit"}</definedName>
    <definedName name="_1360__FDSAUDITLINK__" hidden="1">{"fdsup://Directions/FactSet Auditing Viewer?action=AUDIT_VALUE&amp;DB=129&amp;ID1=83547010&amp;VALUEID=02001&amp;SDATE=200802&amp;PERIODTYPE=QTR_STD&amp;SCFT=3&amp;window=popup_no_bar&amp;width=385&amp;height=120&amp;START_MAXIMIZED=FALSE&amp;creator=factset&amp;display_string=Audit"}</definedName>
    <definedName name="_1361__FDSAUDITLINK__" hidden="1">{"fdsup://Directions/FactSet Auditing Viewer?action=AUDIT_VALUE&amp;DB=129&amp;ID1=87160710&amp;VALUEID=02001&amp;SDATE=200803&amp;PERIODTYPE=QTR_STD&amp;SCFT=3&amp;window=popup_no_bar&amp;width=385&amp;height=120&amp;START_MAXIMIZED=FALSE&amp;creator=factset&amp;display_string=Audit"}</definedName>
    <definedName name="_1362__FDSAUDITLINK__" hidden="1">{"fdsup://Directions/FactSet Auditing Viewer?action=AUDIT_VALUE&amp;DB=129&amp;ID1=87160710&amp;VALUEID=02001&amp;SDATE=200803&amp;PERIODTYPE=QTR_STD&amp;SCFT=3&amp;window=popup_no_bar&amp;width=385&amp;height=120&amp;START_MAXIMIZED=FALSE&amp;creator=factset&amp;display_string=Audit"}</definedName>
    <definedName name="_1363__FDSAUDITLINK__" hidden="1">{"fdsup://Directions/FactSet Auditing Viewer?action=AUDIT_VALUE&amp;DB=129&amp;ID1=80004C10&amp;VALUEID=02001&amp;SDATE=200802&amp;PERIODTYPE=QTR_STD&amp;SCFT=3&amp;window=popup_no_bar&amp;width=385&amp;height=120&amp;START_MAXIMIZED=FALSE&amp;creator=factset&amp;display_string=Audit"}</definedName>
    <definedName name="_1364__FDSAUDITLINK__" hidden="1">{"fdsup://Directions/FactSet Auditing Viewer?action=AUDIT_VALUE&amp;DB=129&amp;ID1=80004C10&amp;VALUEID=02001&amp;SDATE=200802&amp;PERIODTYPE=QTR_STD&amp;SCFT=3&amp;window=popup_no_bar&amp;width=385&amp;height=120&amp;START_MAXIMIZED=FALSE&amp;creator=factset&amp;display_string=Audit"}</definedName>
    <definedName name="_1365__FDSAUDITLINK__" hidden="1">{"fdsup://Directions/FactSet Auditing Viewer?action=AUDIT_VALUE&amp;DB=129&amp;ID1=81685010&amp;VALUEID=02001&amp;SDATE=200802&amp;PERIODTYPE=QTR_STD&amp;SCFT=3&amp;window=popup_no_bar&amp;width=385&amp;height=120&amp;START_MAXIMIZED=FALSE&amp;creator=factset&amp;display_string=Audit"}</definedName>
    <definedName name="_1366__FDSAUDITLINK__" hidden="1">{"fdsup://Directions/FactSet Auditing Viewer?action=AUDIT_VALUE&amp;DB=129&amp;ID1=81685010&amp;VALUEID=02001&amp;SDATE=200802&amp;PERIODTYPE=QTR_STD&amp;SCFT=3&amp;window=popup_no_bar&amp;width=385&amp;height=120&amp;START_MAXIMIZED=FALSE&amp;creator=factset&amp;display_string=Audit"}</definedName>
    <definedName name="_1367__FDSAUDITLINK__" hidden="1">{"fdsup://Directions/FactSet Auditing Viewer?action=AUDIT_VALUE&amp;DB=129&amp;ID1=82691910&amp;VALUEID=02001&amp;SDATE=200802&amp;PERIODTYPE=QTR_STD&amp;SCFT=3&amp;window=popup_no_bar&amp;width=385&amp;height=120&amp;START_MAXIMIZED=FALSE&amp;creator=factset&amp;display_string=Audit"}</definedName>
    <definedName name="_1368__FDSAUDITLINK__" hidden="1">{"fdsup://Directions/FactSet Auditing Viewer?action=AUDIT_VALUE&amp;DB=129&amp;ID1=82691910&amp;VALUEID=02001&amp;SDATE=200802&amp;PERIODTYPE=QTR_STD&amp;SCFT=3&amp;window=popup_no_bar&amp;width=385&amp;height=120&amp;START_MAXIMIZED=FALSE&amp;creator=factset&amp;display_string=Audit"}</definedName>
    <definedName name="_1369__FDSAUDITLINK__" hidden="1">{"fdsup://Directions/FactSet Auditing Viewer?action=AUDIT_VALUE&amp;DB=129&amp;ID1=82705T10&amp;VALUEID=02001&amp;SDATE=200802&amp;PERIODTYPE=QTR_STD&amp;SCFT=3&amp;window=popup_no_bar&amp;width=385&amp;height=120&amp;START_MAXIMIZED=FALSE&amp;creator=factset&amp;display_string=Audit"}</definedName>
    <definedName name="_137__FDSAUDITLINK__" hidden="1">{"fdsup://Directions/FactSet Auditing Viewer?action=AUDIT_VALUE&amp;DB=129&amp;ID1=03251510&amp;VALUEID=02001&amp;SDATE=201101&amp;PERIODTYPE=QTR_STD&amp;SCFT=3&amp;window=popup_no_bar&amp;width=385&amp;height=120&amp;START_MAXIMIZED=FALSE&amp;creator=factset&amp;display_string=Audit"}</definedName>
    <definedName name="_1370__FDSAUDITLINK__" hidden="1">{"fdsup://Directions/FactSet Auditing Viewer?action=AUDIT_VALUE&amp;DB=129&amp;ID1=82705T10&amp;VALUEID=02001&amp;SDATE=200802&amp;PERIODTYPE=QTR_STD&amp;SCFT=3&amp;window=popup_no_bar&amp;width=385&amp;height=120&amp;START_MAXIMIZED=FALSE&amp;creator=factset&amp;display_string=Audit"}</definedName>
    <definedName name="_1371__FDSAUDITLINK__" hidden="1">{"fdsup://Directions/FactSet Auditing Viewer?action=AUDIT_VALUE&amp;DB=129&amp;ID1=75091710&amp;VALUEID=02001&amp;SDATE=200802&amp;PERIODTYPE=QTR_STD&amp;SCFT=3&amp;window=popup_no_bar&amp;width=385&amp;height=120&amp;START_MAXIMIZED=FALSE&amp;creator=factset&amp;display_string=Audit"}</definedName>
    <definedName name="_1372__FDSAUDITLINK__" hidden="1">{"fdsup://Directions/FactSet Auditing Viewer?action=AUDIT_VALUE&amp;DB=129&amp;ID1=75091710&amp;VALUEID=02001&amp;SDATE=200802&amp;PERIODTYPE=QTR_STD&amp;SCFT=3&amp;window=popup_no_bar&amp;width=385&amp;height=120&amp;START_MAXIMIZED=FALSE&amp;creator=factset&amp;display_string=Audit"}</definedName>
    <definedName name="_1373__FDSAUDITLINK__" hidden="1">{"fdsup://Directions/FactSet Auditing Viewer?action=AUDIT_VALUE&amp;DB=129&amp;ID1=74994110&amp;VALUEID=02001&amp;SDATE=200801&amp;PERIODTYPE=QTR_STD&amp;SCFT=3&amp;window=popup_no_bar&amp;width=385&amp;height=120&amp;START_MAXIMIZED=FALSE&amp;creator=factset&amp;display_string=Audit"}</definedName>
    <definedName name="_1374__FDSAUDITLINK__" hidden="1">{"fdsup://Directions/FactSet Auditing Viewer?action=AUDIT_VALUE&amp;DB=129&amp;ID1=74994110&amp;VALUEID=02001&amp;SDATE=200801&amp;PERIODTYPE=QTR_STD&amp;SCFT=3&amp;window=popup_no_bar&amp;width=385&amp;height=120&amp;START_MAXIMIZED=FALSE&amp;creator=factset&amp;display_string=Audit"}</definedName>
    <definedName name="_1375__FDSAUDITLINK__" hidden="1">{"fdsup://Directions/FactSet Auditing Viewer?action=AUDIT_VALUE&amp;DB=129&amp;ID1=74727710&amp;VALUEID=02001&amp;SDATE=200801&amp;PERIODTYPE=QTR_STD&amp;SCFT=3&amp;window=popup_no_bar&amp;width=385&amp;height=120&amp;START_MAXIMIZED=FALSE&amp;creator=factset&amp;display_string=Audit"}</definedName>
    <definedName name="_1376__FDSAUDITLINK__" hidden="1">{"fdsup://Directions/FactSet Auditing Viewer?action=AUDIT_VALUE&amp;DB=129&amp;ID1=74727710&amp;VALUEID=02001&amp;SDATE=200801&amp;PERIODTYPE=QTR_STD&amp;SCFT=3&amp;window=popup_no_bar&amp;width=385&amp;height=120&amp;START_MAXIMIZED=FALSE&amp;creator=factset&amp;display_string=Audit"}</definedName>
    <definedName name="_1377__FDSAUDITLINK__" hidden="1">{"fdsup://Directions/FactSet Auditing Viewer?action=AUDIT_VALUE&amp;DB=129&amp;ID1=74752510&amp;VALUEID=02001&amp;SDATE=200803&amp;PERIODTYPE=QTR_STD&amp;SCFT=3&amp;window=popup_no_bar&amp;width=385&amp;height=120&amp;START_MAXIMIZED=FALSE&amp;creator=factset&amp;display_string=Audit"}</definedName>
    <definedName name="_1378__FDSAUDITLINK__" hidden="1">{"fdsup://Directions/FactSet Auditing Viewer?action=AUDIT_VALUE&amp;DB=129&amp;ID1=74752510&amp;VALUEID=02001&amp;SDATE=200803&amp;PERIODTYPE=QTR_STD&amp;SCFT=3&amp;window=popup_no_bar&amp;width=385&amp;height=120&amp;START_MAXIMIZED=FALSE&amp;creator=factset&amp;display_string=Audit"}</definedName>
    <definedName name="_1379__FDSAUDITLINK__" hidden="1">{"fdsup://Directions/FactSet Auditing Viewer?action=AUDIT_VALUE&amp;DB=129&amp;ID1=72581M30&amp;VALUEID=02001&amp;SDATE=200802&amp;PERIODTYPE=QTR_STD&amp;SCFT=3&amp;window=popup_no_bar&amp;width=385&amp;height=120&amp;START_MAXIMIZED=FALSE&amp;creator=factset&amp;display_string=Audit"}</definedName>
    <definedName name="_138__FDSAUDITLINK__" hidden="1">{"fdsup://Directions/FactSet Auditing Viewer?action=AUDIT_VALUE&amp;DB=129&amp;ID1=03251510&amp;VALUEID=02001&amp;SDATE=201101&amp;PERIODTYPE=QTR_STD&amp;SCFT=3&amp;window=popup_no_bar&amp;width=385&amp;height=120&amp;START_MAXIMIZED=FALSE&amp;creator=factset&amp;display_string=Audit"}</definedName>
    <definedName name="_1380__FDSAUDITLINK__" hidden="1">{"fdsup://Directions/FactSet Auditing Viewer?action=AUDIT_VALUE&amp;DB=129&amp;ID1=72581M30&amp;VALUEID=02001&amp;SDATE=200802&amp;PERIODTYPE=QTR_STD&amp;SCFT=3&amp;window=popup_no_bar&amp;width=385&amp;height=120&amp;START_MAXIMIZED=FALSE&amp;creator=factset&amp;display_string=Audit"}</definedName>
    <definedName name="_1381__FDSAUDITLINK__" hidden="1">{"fdsup://Directions/FactSet Auditing Viewer?action=AUDIT_VALUE&amp;DB=129&amp;ID1=73927610&amp;VALUEID=02001&amp;SDATE=200802&amp;PERIODTYPE=QTR_STD&amp;SCFT=3&amp;window=popup_no_bar&amp;width=385&amp;height=120&amp;START_MAXIMIZED=FALSE&amp;creator=factset&amp;display_string=Audit"}</definedName>
    <definedName name="_1382__FDSAUDITLINK__" hidden="1">{"fdsup://Directions/FactSet Auditing Viewer?action=AUDIT_VALUE&amp;DB=129&amp;ID1=73927610&amp;VALUEID=02001&amp;SDATE=200802&amp;PERIODTYPE=QTR_STD&amp;SCFT=3&amp;window=popup_no_bar&amp;width=385&amp;height=120&amp;START_MAXIMIZED=FALSE&amp;creator=factset&amp;display_string=Audit"}</definedName>
    <definedName name="_1383__FDSAUDITLINK__" hidden="1">{"fdsup://Directions/FactSet Auditing Viewer?action=AUDIT_VALUE&amp;DB=129&amp;ID1=69344F10&amp;VALUEID=02001&amp;SDATE=200802&amp;PERIODTYPE=QTR_STD&amp;SCFT=3&amp;window=popup_no_bar&amp;width=385&amp;height=120&amp;START_MAXIMIZED=FALSE&amp;creator=factset&amp;display_string=Audit"}</definedName>
    <definedName name="_1384__FDSAUDITLINK__" hidden="1">{"fdsup://Directions/FactSet Auditing Viewer?action=AUDIT_VALUE&amp;DB=129&amp;ID1=69344F10&amp;VALUEID=02001&amp;SDATE=200802&amp;PERIODTYPE=QTR_STD&amp;SCFT=3&amp;window=popup_no_bar&amp;width=385&amp;height=120&amp;START_MAXIMIZED=FALSE&amp;creator=factset&amp;display_string=Audit"}</definedName>
    <definedName name="_1385__FDSAUDITLINK__" hidden="1">{"fdsup://Directions/FactSet Auditing Viewer?action=AUDIT_VALUE&amp;DB=129&amp;ID1=69341710&amp;VALUEID=02001&amp;SDATE=200802&amp;PERIODTYPE=QTR_STD&amp;SCFT=3&amp;window=popup_no_bar&amp;width=385&amp;height=120&amp;START_MAXIMIZED=FALSE&amp;creator=factset&amp;display_string=Audit"}</definedName>
    <definedName name="_1386__FDSAUDITLINK__" hidden="1">{"fdsup://Directions/FactSet Auditing Viewer?action=AUDIT_VALUE&amp;DB=129&amp;ID1=69341710&amp;VALUEID=02001&amp;SDATE=200802&amp;PERIODTYPE=QTR_STD&amp;SCFT=3&amp;window=popup_no_bar&amp;width=385&amp;height=120&amp;START_MAXIMIZED=FALSE&amp;creator=factset&amp;display_string=Audit"}</definedName>
    <definedName name="_1387__FDSAUDITLINK__" hidden="1">{"fdsup://Directions/FactSet Auditing Viewer?action=AUDIT_VALUE&amp;DB=129&amp;ID1=68218910&amp;VALUEID=02001&amp;SDATE=200802&amp;PERIODTYPE=QTR_STD&amp;SCFT=3&amp;window=popup_no_bar&amp;width=385&amp;height=120&amp;START_MAXIMIZED=FALSE&amp;creator=factset&amp;display_string=Audit"}</definedName>
    <definedName name="_1388__FDSAUDITLINK__" hidden="1">{"fdsup://Directions/FactSet Auditing Viewer?action=AUDIT_VALUE&amp;DB=129&amp;ID1=68218910&amp;VALUEID=02001&amp;SDATE=200802&amp;PERIODTYPE=QTR_STD&amp;SCFT=3&amp;window=popup_no_bar&amp;width=385&amp;height=120&amp;START_MAXIMIZED=FALSE&amp;creator=factset&amp;display_string=Audit"}</definedName>
    <definedName name="_1389__FDSAUDITLINK__" hidden="1">{"fdsup://Directions/FactSet Auditing Viewer?action=AUDIT_VALUE&amp;DB=129&amp;ID1=B505PN&amp;VALUEID=02001&amp;SDATE=200802&amp;PERIODTYPE=QTR_STD&amp;SCFT=3&amp;window=popup_no_bar&amp;width=385&amp;height=120&amp;START_MAXIMIZED=FALSE&amp;creator=factset&amp;display_string=Audit"}</definedName>
    <definedName name="_139__FDSAUDITLINK__" hidden="1">{"fdsup://Directions/FactSet Auditing Viewer?action=AUDIT_VALUE&amp;DB=129&amp;ID1=00790310&amp;VALUEID=02001&amp;SDATE=201101&amp;PERIODTYPE=QTR_STD&amp;SCFT=3&amp;window=popup_no_bar&amp;width=385&amp;height=120&amp;START_MAXIMIZED=FALSE&amp;creator=factset&amp;display_string=Audit"}</definedName>
    <definedName name="_1390__FDSAUDITLINK__" hidden="1">{"fdsup://Directions/FactSet Auditing Viewer?action=AUDIT_VALUE&amp;DB=129&amp;ID1=B505PN&amp;VALUEID=02001&amp;SDATE=200802&amp;PERIODTYPE=QTR_STD&amp;SCFT=3&amp;window=popup_no_bar&amp;width=385&amp;height=120&amp;START_MAXIMIZED=FALSE&amp;creator=factset&amp;display_string=Audit"}</definedName>
    <definedName name="_1391__FDSAUDITLINK__" hidden="1">{"fdsup://Directions/FactSet Auditing Viewer?action=AUDIT_VALUE&amp;DB=129&amp;ID1=67000810&amp;VALUEID=02001&amp;SDATE=200802&amp;PERIODTYPE=QTR_STD&amp;SCFT=3&amp;window=popup_no_bar&amp;width=385&amp;height=120&amp;START_MAXIMIZED=FALSE&amp;creator=factset&amp;display_string=Audit"}</definedName>
    <definedName name="_1392__FDSAUDITLINK__" hidden="1">{"fdsup://Directions/FactSet Auditing Viewer?action=AUDIT_VALUE&amp;DB=129&amp;ID1=67000810&amp;VALUEID=02001&amp;SDATE=200802&amp;PERIODTYPE=QTR_STD&amp;SCFT=3&amp;window=popup_no_bar&amp;width=385&amp;height=120&amp;START_MAXIMIZED=FALSE&amp;creator=factset&amp;display_string=Audit"}</definedName>
    <definedName name="_1393__FDSAUDITLINK__" hidden="1">{"fdsup://Directions/FactSet Auditing Viewer?action=AUDIT_VALUE&amp;DB=129&amp;ID1=67066G10&amp;VALUEID=02001&amp;SDATE=200802&amp;PERIODTYPE=QTR_STD&amp;SCFT=3&amp;window=popup_no_bar&amp;width=385&amp;height=120&amp;START_MAXIMIZED=FALSE&amp;creator=factset&amp;display_string=Audit"}</definedName>
    <definedName name="_1394__FDSAUDITLINK__" hidden="1">{"fdsup://Directions/FactSet Auditing Viewer?action=AUDIT_VALUE&amp;DB=129&amp;ID1=67066G10&amp;VALUEID=02001&amp;SDATE=200802&amp;PERIODTYPE=QTR_STD&amp;SCFT=3&amp;window=popup_no_bar&amp;width=385&amp;height=120&amp;START_MAXIMIZED=FALSE&amp;creator=factset&amp;display_string=Audit"}</definedName>
    <definedName name="_1395__FDSAUDITLINK__" hidden="1">{"fdsup://Directions/FactSet Auditing Viewer?action=AUDIT_VALUE&amp;DB=129&amp;ID1=64118B10&amp;VALUEID=02001&amp;SDATE=200802&amp;PERIODTYPE=QTR_STD&amp;SCFT=3&amp;window=popup_no_bar&amp;width=385&amp;height=120&amp;START_MAXIMIZED=FALSE&amp;creator=factset&amp;display_string=Audit"}</definedName>
    <definedName name="_1396__FDSAUDITLINK__" hidden="1">{"fdsup://Directions/FactSet Auditing Viewer?action=AUDIT_VALUE&amp;DB=129&amp;ID1=64118B10&amp;VALUEID=02001&amp;SDATE=200802&amp;PERIODTYPE=QTR_STD&amp;SCFT=3&amp;window=popup_no_bar&amp;width=385&amp;height=120&amp;START_MAXIMIZED=FALSE&amp;creator=factset&amp;display_string=Audit"}</definedName>
    <definedName name="_1397__FDSAUDITLINK__" hidden="1">{"fdsup://Directions/FactSet Auditing Viewer?action=AUDIT_VALUE&amp;DB=129&amp;ID1=59511210&amp;VALUEID=02001&amp;SDATE=200803&amp;PERIODTYPE=QTR_STD&amp;SCFT=3&amp;window=popup_no_bar&amp;width=385&amp;height=120&amp;START_MAXIMIZED=FALSE&amp;creator=factset&amp;display_string=Audit"}</definedName>
    <definedName name="_1398__FDSAUDITLINK__" hidden="1">{"fdsup://Directions/FactSet Auditing Viewer?action=AUDIT_VALUE&amp;DB=129&amp;ID1=59511210&amp;VALUEID=02001&amp;SDATE=200803&amp;PERIODTYPE=QTR_STD&amp;SCFT=3&amp;window=popup_no_bar&amp;width=385&amp;height=120&amp;START_MAXIMIZED=FALSE&amp;creator=factset&amp;display_string=Audit"}</definedName>
    <definedName name="_1399__FDSAUDITLINK__" hidden="1">{"fdsup://Directions/FactSet Auditing Viewer?action=AUDIT_VALUE&amp;DB=129&amp;ID1=59513710&amp;VALUEID=02001&amp;SDATE=200803&amp;PERIODTYPE=QTR_STD&amp;SCFT=3&amp;window=popup_no_bar&amp;width=385&amp;height=120&amp;START_MAXIMIZED=FALSE&amp;creator=factset&amp;display_string=Audit"}</definedName>
    <definedName name="_14__123Graph_XR_M_VOLUMES" hidden="1">#REF!</definedName>
    <definedName name="_14__FDSAUDITLINK__" hidden="1">{"fdsup://directions/FAT Viewer?action=UPDATE&amp;creator=factset&amp;DYN_ARGS=TRUE&amp;DOC_NAME=FAT:FQL_AUDITING_CLIENT_TEMPLATE.FAT&amp;display_string=Audit&amp;VAR:KEY=GLKDQTYVIN&amp;VAR:QUERY=RkZfU0hTX0ZMT0FUKEFOTiwp&amp;WINDOW=FIRST_POPUP&amp;HEIGHT=450&amp;WIDTH=450&amp;START_MAXIMIZED=FALS","E&amp;VAR:CALENDAR=US&amp;VAR:SYMBOL=WYNN RESORTS&amp;VAR:INDEX=0"}</definedName>
    <definedName name="_140__FDSAUDITLINK__" hidden="1">{"fdsup://Directions/FactSet Auditing Viewer?action=AUDIT_VALUE&amp;DB=129&amp;ID1=00790310&amp;VALUEID=02001&amp;SDATE=201101&amp;PERIODTYPE=QTR_STD&amp;SCFT=3&amp;window=popup_no_bar&amp;width=385&amp;height=120&amp;START_MAXIMIZED=FALSE&amp;creator=factset&amp;display_string=Audit"}</definedName>
    <definedName name="_1400__FDSAUDITLINK__" hidden="1">{"fdsup://Directions/FactSet Auditing Viewer?action=AUDIT_VALUE&amp;DB=129&amp;ID1=59513710&amp;VALUEID=02001&amp;SDATE=200803&amp;PERIODTYPE=QTR_STD&amp;SCFT=3&amp;window=popup_no_bar&amp;width=385&amp;height=120&amp;START_MAXIMIZED=FALSE&amp;creator=factset&amp;display_string=Audit"}</definedName>
    <definedName name="_1401__FDSAUDITLINK__" hidden="1">{"fdsup://Directions/FactSet Auditing Viewer?action=AUDIT_VALUE&amp;DB=129&amp;ID1=G5876H10&amp;VALUEID=02001&amp;SDATE=200802&amp;PERIODTYPE=QTR_STD&amp;SCFT=3&amp;window=popup_no_bar&amp;width=385&amp;height=120&amp;START_MAXIMIZED=FALSE&amp;creator=factset&amp;display_string=Audit"}</definedName>
    <definedName name="_1402__FDSAUDITLINK__" hidden="1">{"fdsup://Directions/FactSet Auditing Viewer?action=AUDIT_VALUE&amp;DB=129&amp;ID1=G5876H10&amp;VALUEID=02001&amp;SDATE=200802&amp;PERIODTYPE=QTR_STD&amp;SCFT=3&amp;window=popup_no_bar&amp;width=385&amp;height=120&amp;START_MAXIMIZED=FALSE&amp;creator=factset&amp;display_string=Audit"}</definedName>
    <definedName name="_1403__FDSAUDITLINK__" hidden="1">{"fdsup://Directions/FactSet Auditing Viewer?action=AUDIT_VALUE&amp;DB=129&amp;ID1=62007630&amp;VALUEID=02001&amp;SDATE=200802&amp;PERIODTYPE=QTR_STD&amp;SCFT=3&amp;window=popup_no_bar&amp;width=385&amp;height=120&amp;START_MAXIMIZED=FALSE&amp;creator=factset&amp;display_string=Audit"}</definedName>
    <definedName name="_1404__FDSAUDITLINK__" hidden="1">{"fdsup://Directions/FactSet Auditing Viewer?action=AUDIT_VALUE&amp;DB=129&amp;ID1=62007630&amp;VALUEID=02001&amp;SDATE=200802&amp;PERIODTYPE=QTR_STD&amp;SCFT=3&amp;window=popup_no_bar&amp;width=385&amp;height=120&amp;START_MAXIMIZED=FALSE&amp;creator=factset&amp;display_string=Audit"}</definedName>
    <definedName name="_1405__FDSAUDITLINK__" hidden="1">{"fdsup://Directions/FactSet Auditing Viewer?action=AUDIT_VALUE&amp;DB=129&amp;ID1=59479310&amp;VALUEID=02001&amp;SDATE=200802&amp;PERIODTYPE=QTR_STD&amp;SCFT=3&amp;window=popup_no_bar&amp;width=385&amp;height=120&amp;START_MAXIMIZED=FALSE&amp;creator=factset&amp;display_string=Audit"}</definedName>
    <definedName name="_1406__FDSAUDITLINK__" hidden="1">{"fdsup://Directions/FactSet Auditing Viewer?action=AUDIT_VALUE&amp;DB=129&amp;ID1=59479310&amp;VALUEID=02001&amp;SDATE=200802&amp;PERIODTYPE=QTR_STD&amp;SCFT=3&amp;window=popup_no_bar&amp;width=385&amp;height=120&amp;START_MAXIMIZED=FALSE&amp;creator=factset&amp;display_string=Audit"}</definedName>
    <definedName name="_1407__FDSAUDITLINK__" hidden="1">{"fdsup://Directions/FactSet Auditing Viewer?action=AUDIT_VALUE&amp;DB=129&amp;ID1=59501710&amp;VALUEID=02001&amp;SDATE=200801&amp;PERIODTYPE=QTR_STD&amp;SCFT=3&amp;window=popup_no_bar&amp;width=385&amp;height=120&amp;START_MAXIMIZED=FALSE&amp;creator=factset&amp;display_string=Audit"}</definedName>
    <definedName name="_1408__FDSAUDITLINK__" hidden="1">{"fdsup://Directions/FactSet Auditing Viewer?action=AUDIT_VALUE&amp;DB=129&amp;ID1=59501710&amp;VALUEID=02001&amp;SDATE=200801&amp;PERIODTYPE=QTR_STD&amp;SCFT=3&amp;window=popup_no_bar&amp;width=385&amp;height=120&amp;START_MAXIMIZED=FALSE&amp;creator=factset&amp;display_string=Audit"}</definedName>
    <definedName name="_1409__FDSAUDITLINK__" hidden="1">{"fdsup://Directions/FactSet Auditing Viewer?action=AUDIT_VALUE&amp;DB=129&amp;ID1=50216110&amp;VALUEID=02001&amp;SDATE=200802&amp;PERIODTYPE=QTR_STD&amp;SCFT=3&amp;window=popup_no_bar&amp;width=385&amp;height=120&amp;START_MAXIMIZED=FALSE&amp;creator=factset&amp;display_string=Audit"}</definedName>
    <definedName name="_141__FDSAUDITLINK__" hidden="1">{"fdsup://Directions/FactSet Auditing Viewer?action=AUDIT_VALUE&amp;DB=129&amp;ID1=03822W40&amp;VALUEID=02001&amp;SDATE=201004&amp;PERIODTYPE=QTR_STD&amp;SCFT=3&amp;window=popup_no_bar&amp;width=385&amp;height=120&amp;START_MAXIMIZED=FALSE&amp;creator=factset&amp;display_string=Audit"}</definedName>
    <definedName name="_1410__FDSAUDITLINK__" hidden="1">{"fdsup://Directions/FactSet Auditing Viewer?action=AUDIT_VALUE&amp;DB=129&amp;ID1=50216110&amp;VALUEID=02001&amp;SDATE=200802&amp;PERIODTYPE=QTR_STD&amp;SCFT=3&amp;window=popup_no_bar&amp;width=385&amp;height=120&amp;START_MAXIMIZED=FALSE&amp;creator=factset&amp;display_string=Audit"}</definedName>
    <definedName name="_1411__FDSAUDITLINK__" hidden="1">{"fdsup://Directions/FactSet Auditing Viewer?action=AUDIT_VALUE&amp;DB=129&amp;ID1=51841510&amp;VALUEID=02001&amp;SDATE=200802&amp;PERIODTYPE=QTR_STD&amp;SCFT=3&amp;window=popup_no_bar&amp;width=385&amp;height=120&amp;START_MAXIMIZED=FALSE&amp;creator=factset&amp;display_string=Audit"}</definedName>
    <definedName name="_1412__FDSAUDITLINK__" hidden="1">{"fdsup://Directions/FactSet Auditing Viewer?action=AUDIT_VALUE&amp;DB=129&amp;ID1=51841510&amp;VALUEID=02001&amp;SDATE=200802&amp;PERIODTYPE=QTR_STD&amp;SCFT=3&amp;window=popup_no_bar&amp;width=385&amp;height=120&amp;START_MAXIMIZED=FALSE&amp;creator=factset&amp;display_string=Audit"}</definedName>
    <definedName name="_1413__FDSAUDITLINK__" hidden="1">{"fdsup://Directions/FactSet Auditing Viewer?action=AUDIT_VALUE&amp;DB=129&amp;ID1=48836020&amp;VALUEID=02001&amp;SDATE=200801&amp;PERIODTYPE=QTR_STD&amp;SCFT=3&amp;window=popup_no_bar&amp;width=385&amp;height=120&amp;START_MAXIMIZED=FALSE&amp;creator=factset&amp;display_string=Audit"}</definedName>
    <definedName name="_1414__FDSAUDITLINK__" hidden="1">{"fdsup://Directions/FactSet Auditing Viewer?action=AUDIT_VALUE&amp;DB=129&amp;ID1=48836020&amp;VALUEID=02001&amp;SDATE=200801&amp;PERIODTYPE=QTR_STD&amp;SCFT=3&amp;window=popup_no_bar&amp;width=385&amp;height=120&amp;START_MAXIMIZED=FALSE&amp;creator=factset&amp;display_string=Audit"}</definedName>
    <definedName name="_1415__FDSAUDITLINK__" hidden="1">{"fdsup://Directions/FactSet Auditing Viewer?action=AUDIT_VALUE&amp;DB=129&amp;ID1=48203R10&amp;VALUEID=02001&amp;SDATE=200802&amp;PERIODTYPE=QTR_STD&amp;SCFT=3&amp;window=popup_no_bar&amp;width=385&amp;height=120&amp;START_MAXIMIZED=FALSE&amp;creator=factset&amp;display_string=Audit"}</definedName>
    <definedName name="_1416__FDSAUDITLINK__" hidden="1">{"fdsup://Directions/FactSet Auditing Viewer?action=AUDIT_VALUE&amp;DB=129&amp;ID1=48203R10&amp;VALUEID=02001&amp;SDATE=200802&amp;PERIODTYPE=QTR_STD&amp;SCFT=3&amp;window=popup_no_bar&amp;width=385&amp;height=120&amp;START_MAXIMIZED=FALSE&amp;creator=factset&amp;display_string=Audit"}</definedName>
    <definedName name="_1417__FDSAUDITLINK__" hidden="1">{"fdsup://Directions/FactSet Auditing Viewer?action=AUDIT_VALUE&amp;DB=129&amp;ID1=46069S10&amp;VALUEID=02001&amp;SDATE=200802&amp;PERIODTYPE=QTR_STD&amp;SCFT=3&amp;window=popup_no_bar&amp;width=385&amp;height=120&amp;START_MAXIMIZED=FALSE&amp;creator=factset&amp;display_string=Audit"}</definedName>
    <definedName name="_1418__FDSAUDITLINK__" hidden="1">{"fdsup://Directions/FactSet Auditing Viewer?action=AUDIT_VALUE&amp;DB=129&amp;ID1=46069S10&amp;VALUEID=02001&amp;SDATE=200802&amp;PERIODTYPE=QTR_STD&amp;SCFT=3&amp;window=popup_no_bar&amp;width=385&amp;height=120&amp;START_MAXIMIZED=FALSE&amp;creator=factset&amp;display_string=Audit"}</definedName>
    <definedName name="_1419__FDSAUDITLINK__" hidden="1">{"fdsup://Directions/FactSet Auditing Viewer?action=AUDIT_VALUE&amp;DB=129&amp;ID1=45814010&amp;VALUEID=02001&amp;SDATE=200802&amp;PERIODTYPE=QTR_STD&amp;SCFT=3&amp;window=popup_no_bar&amp;width=385&amp;height=120&amp;START_MAXIMIZED=FALSE&amp;creator=factset&amp;display_string=Audit"}</definedName>
    <definedName name="_142__FDSAUDITLINK__" hidden="1">{"fdsup://Directions/FactSet Auditing Viewer?action=AUDIT_VALUE&amp;DB=129&amp;ID1=03822W40&amp;VALUEID=02001&amp;SDATE=201004&amp;PERIODTYPE=QTR_STD&amp;SCFT=3&amp;window=popup_no_bar&amp;width=385&amp;height=120&amp;START_MAXIMIZED=FALSE&amp;creator=factset&amp;display_string=Audit"}</definedName>
    <definedName name="_1420__FDSAUDITLINK__" hidden="1">{"fdsup://Directions/FactSet Auditing Viewer?action=AUDIT_VALUE&amp;DB=129&amp;ID1=45814010&amp;VALUEID=02001&amp;SDATE=200802&amp;PERIODTYPE=QTR_STD&amp;SCFT=3&amp;window=popup_no_bar&amp;width=385&amp;height=120&amp;START_MAXIMIZED=FALSE&amp;creator=factset&amp;display_string=Audit"}</definedName>
    <definedName name="_1421__FDSAUDITLINK__" hidden="1">{"fdsup://Directions/FactSet Auditing Viewer?action=AUDIT_VALUE&amp;DB=129&amp;ID1=45811810&amp;VALUEID=02001&amp;SDATE=200801&amp;PERIODTYPE=QTR_STD&amp;SCFT=3&amp;window=popup_no_bar&amp;width=385&amp;height=120&amp;START_MAXIMIZED=FALSE&amp;creator=factset&amp;display_string=Audit"}</definedName>
    <definedName name="_1422__FDSAUDITLINK__" hidden="1">{"fdsup://Directions/FactSet Auditing Viewer?action=AUDIT_VALUE&amp;DB=129&amp;ID1=45811810&amp;VALUEID=02001&amp;SDATE=200801&amp;PERIODTYPE=QTR_STD&amp;SCFT=3&amp;window=popup_no_bar&amp;width=385&amp;height=120&amp;START_MAXIMIZED=FALSE&amp;creator=factset&amp;display_string=Audit"}</definedName>
    <definedName name="_1423__FDSAUDITLINK__" hidden="1">{"fdsup://Directions/FactSet Auditing Viewer?action=AUDIT_VALUE&amp;DB=129&amp;ID1=42823610&amp;VALUEID=02001&amp;SDATE=200803&amp;PERIODTYPE=QTR_STD&amp;SCFT=3&amp;window=popup_no_bar&amp;width=385&amp;height=120&amp;START_MAXIMIZED=FALSE&amp;creator=factset&amp;display_string=Audit"}</definedName>
    <definedName name="_1424__FDSAUDITLINK__" hidden="1">{"fdsup://Directions/FactSet Auditing Viewer?action=AUDIT_VALUE&amp;DB=129&amp;ID1=42823610&amp;VALUEID=02001&amp;SDATE=200803&amp;PERIODTYPE=QTR_STD&amp;SCFT=3&amp;window=popup_no_bar&amp;width=385&amp;height=120&amp;START_MAXIMIZED=FALSE&amp;creator=factset&amp;display_string=Audit"}</definedName>
    <definedName name="_1425__FDSAUDITLINK__" hidden="1">{"fdsup://Directions/FactSet Auditing Viewer?action=AUDIT_VALUE&amp;DB=129&amp;ID1=H2906T10&amp;VALUEID=02001&amp;SDATE=200802&amp;PERIODTYPE=QTR_STD&amp;SCFT=3&amp;window=popup_no_bar&amp;width=385&amp;height=120&amp;START_MAXIMIZED=FALSE&amp;creator=factset&amp;display_string=Audit"}</definedName>
    <definedName name="_1426__FDSAUDITLINK__" hidden="1">{"fdsup://Directions/FactSet Auditing Viewer?action=AUDIT_VALUE&amp;DB=129&amp;ID1=H2906T10&amp;VALUEID=02001&amp;SDATE=200802&amp;PERIODTYPE=QTR_STD&amp;SCFT=3&amp;window=popup_no_bar&amp;width=385&amp;height=120&amp;START_MAXIMIZED=FALSE&amp;creator=factset&amp;display_string=Audit"}</definedName>
    <definedName name="_1427__FDSAUDITLINK__" hidden="1">{"fdsup://Directions/FactSet Auditing Viewer?action=AUDIT_VALUE&amp;DB=129&amp;ID1=34637510&amp;VALUEID=02001&amp;SDATE=200802&amp;PERIODTYPE=QTR_STD&amp;SCFT=3&amp;window=popup_no_bar&amp;width=385&amp;height=120&amp;START_MAXIMIZED=FALSE&amp;creator=factset&amp;display_string=Audit"}</definedName>
    <definedName name="_1428__FDSAUDITLINK__" hidden="1">{"fdsup://Directions/FactSet Auditing Viewer?action=AUDIT_VALUE&amp;DB=129&amp;ID1=34637510&amp;VALUEID=02001&amp;SDATE=200802&amp;PERIODTYPE=QTR_STD&amp;SCFT=3&amp;window=popup_no_bar&amp;width=385&amp;height=120&amp;START_MAXIMIZED=FALSE&amp;creator=factset&amp;display_string=Audit"}</definedName>
    <definedName name="_1429__FDSAUDITLINK__" hidden="1">{"fdsup://Directions/FactSet Auditing Viewer?action=AUDIT_VALUE&amp;DB=129&amp;ID1=31561610&amp;VALUEID=02001&amp;SDATE=200803&amp;PERIODTYPE=QTR_STD&amp;SCFT=3&amp;window=popup_no_bar&amp;width=385&amp;height=120&amp;START_MAXIMIZED=FALSE&amp;creator=factset&amp;display_string=Audit"}</definedName>
    <definedName name="_143__FDSAUDITLINK__" hidden="1">{"fdsup://Directions/FactSet Auditing Viewer?action=AUDIT_VALUE&amp;DB=129&amp;ID1=03822210&amp;VALUEID=02001&amp;SDATE=201102&amp;PERIODTYPE=QTR_STD&amp;SCFT=3&amp;window=popup_no_bar&amp;width=385&amp;height=120&amp;START_MAXIMIZED=FALSE&amp;creator=factset&amp;display_string=Audit"}</definedName>
    <definedName name="_1430__FDSAUDITLINK__" hidden="1">{"fdsup://Directions/FactSet Auditing Viewer?action=AUDIT_VALUE&amp;DB=129&amp;ID1=31561610&amp;VALUEID=02001&amp;SDATE=200803&amp;PERIODTYPE=QTR_STD&amp;SCFT=3&amp;window=popup_no_bar&amp;width=385&amp;height=120&amp;START_MAXIMIZED=FALSE&amp;creator=factset&amp;display_string=Audit"}</definedName>
    <definedName name="_1431__FDSAUDITLINK__" hidden="1">{"fdsup://Directions/FactSet Auditing Viewer?action=AUDIT_VALUE&amp;DB=129&amp;ID1=25454310&amp;VALUEID=02001&amp;SDATE=200802&amp;PERIODTYPE=QTR_STD&amp;SCFT=3&amp;window=popup_no_bar&amp;width=385&amp;height=120&amp;START_MAXIMIZED=FALSE&amp;creator=factset&amp;display_string=Audit"}</definedName>
    <definedName name="_1432__FDSAUDITLINK__" hidden="1">{"fdsup://Directions/FactSet Auditing Viewer?action=AUDIT_VALUE&amp;DB=129&amp;ID1=25454310&amp;VALUEID=02001&amp;SDATE=200802&amp;PERIODTYPE=QTR_STD&amp;SCFT=3&amp;window=popup_no_bar&amp;width=385&amp;height=120&amp;START_MAXIMIZED=FALSE&amp;creator=factset&amp;display_string=Audit"}</definedName>
    <definedName name="_1433__FDSAUDITLINK__" hidden="1">{"fdsup://Directions/FactSet Auditing Viewer?action=AUDIT_VALUE&amp;DB=129&amp;ID1=24702R10&amp;VALUEID=02001&amp;SDATE=200802&amp;PERIODTYPE=QTR_STD&amp;SCFT=3&amp;window=popup_no_bar&amp;width=385&amp;height=120&amp;START_MAXIMIZED=FALSE&amp;creator=factset&amp;display_string=Audit"}</definedName>
    <definedName name="_1434__FDSAUDITLINK__" hidden="1">{"fdsup://Directions/FactSet Auditing Viewer?action=AUDIT_VALUE&amp;DB=129&amp;ID1=24702R10&amp;VALUEID=02001&amp;SDATE=200802&amp;PERIODTYPE=QTR_STD&amp;SCFT=3&amp;window=popup_no_bar&amp;width=385&amp;height=120&amp;START_MAXIMIZED=FALSE&amp;creator=factset&amp;display_string=Audit"}</definedName>
    <definedName name="_1435__FDSAUDITLINK__" hidden="1">{"fdsup://Directions/FactSet Auditing Viewer?action=AUDIT_VALUE&amp;DB=129&amp;ID1=23257210&amp;VALUEID=02001&amp;SDATE=200802&amp;PERIODTYPE=QTR_STD&amp;SCFT=3&amp;window=popup_no_bar&amp;width=385&amp;height=120&amp;START_MAXIMIZED=FALSE&amp;creator=factset&amp;display_string=Audit"}</definedName>
    <definedName name="_1436__FDSAUDITLINK__" hidden="1">{"fdsup://Directions/FactSet Auditing Viewer?action=AUDIT_VALUE&amp;DB=129&amp;ID1=23257210&amp;VALUEID=02001&amp;SDATE=200802&amp;PERIODTYPE=QTR_STD&amp;SCFT=3&amp;window=popup_no_bar&amp;width=385&amp;height=120&amp;START_MAXIMIZED=FALSE&amp;creator=factset&amp;display_string=Audit"}</definedName>
    <definedName name="_1437__FDSAUDITLINK__" hidden="1">{"fdsup://Directions/FactSet Auditing Viewer?action=AUDIT_VALUE&amp;DB=129&amp;ID1=23280610&amp;VALUEID=02001&amp;SDATE=200802&amp;PERIODTYPE=QTR_STD&amp;SCFT=3&amp;window=popup_no_bar&amp;width=385&amp;height=120&amp;START_MAXIMIZED=FALSE&amp;creator=factset&amp;display_string=Audit"}</definedName>
    <definedName name="_1438__FDSAUDITLINK__" hidden="1">{"fdsup://Directions/FactSet Auditing Viewer?action=AUDIT_VALUE&amp;DB=129&amp;ID1=23280610&amp;VALUEID=02001&amp;SDATE=200802&amp;PERIODTYPE=QTR_STD&amp;SCFT=3&amp;window=popup_no_bar&amp;width=385&amp;height=120&amp;START_MAXIMIZED=FALSE&amp;creator=factset&amp;display_string=Audit"}</definedName>
    <definedName name="_1439__FDSAUDITLINK__" hidden="1">{"fdsup://Directions/FactSet Auditing Viewer?action=AUDIT_VALUE&amp;DB=129&amp;ID1=20714230&amp;VALUEID=02001&amp;SDATE=200803&amp;PERIODTYPE=QTR_STD&amp;SCFT=3&amp;window=popup_no_bar&amp;width=385&amp;height=120&amp;START_MAXIMIZED=FALSE&amp;creator=factset&amp;display_string=Audit"}</definedName>
    <definedName name="_144__FDSAUDITLINK__" hidden="1">{"fdsup://Directions/FactSet Auditing Viewer?action=AUDIT_VALUE&amp;DB=129&amp;ID1=03822210&amp;VALUEID=02001&amp;SDATE=201102&amp;PERIODTYPE=QTR_STD&amp;SCFT=3&amp;window=popup_no_bar&amp;width=385&amp;height=120&amp;START_MAXIMIZED=FALSE&amp;creator=factset&amp;display_string=Audit"}</definedName>
    <definedName name="_1440__FDSAUDITLINK__" hidden="1">{"fdsup://Directions/FactSet Auditing Viewer?action=AUDIT_VALUE&amp;DB=129&amp;ID1=20714230&amp;VALUEID=02001&amp;SDATE=200803&amp;PERIODTYPE=QTR_STD&amp;SCFT=3&amp;window=popup_no_bar&amp;width=385&amp;height=120&amp;START_MAXIMIZED=FALSE&amp;creator=factset&amp;display_string=Audit"}</definedName>
    <definedName name="_1441__FDSAUDITLINK__" hidden="1">{"fdsup://Directions/FactSet Auditing Viewer?action=AUDIT_VALUE&amp;DB=129&amp;ID1=12738710&amp;VALUEID=02001&amp;SDATE=200802&amp;PERIODTYPE=QTR_STD&amp;SCFT=3&amp;window=popup_no_bar&amp;width=385&amp;height=120&amp;START_MAXIMIZED=FALSE&amp;creator=factset&amp;display_string=Audit"}</definedName>
    <definedName name="_1442__FDSAUDITLINK__" hidden="1">{"fdsup://Directions/FactSet Auditing Viewer?action=AUDIT_VALUE&amp;DB=129&amp;ID1=12738710&amp;VALUEID=02001&amp;SDATE=200802&amp;PERIODTYPE=QTR_STD&amp;SCFT=3&amp;window=popup_no_bar&amp;width=385&amp;height=120&amp;START_MAXIMIZED=FALSE&amp;creator=factset&amp;display_string=Audit"}</definedName>
    <definedName name="_1443__FDSAUDITLINK__" hidden="1">{"fdsup://Directions/FactSet Auditing Viewer?action=AUDIT_VALUE&amp;DB=129&amp;ID1=14964U10&amp;VALUEID=02001&amp;SDATE=200802&amp;PERIODTYPE=QTR_STD&amp;SCFT=3&amp;window=popup_no_bar&amp;width=385&amp;height=120&amp;START_MAXIMIZED=FALSE&amp;creator=factset&amp;display_string=Audit"}</definedName>
    <definedName name="_1444__FDSAUDITLINK__" hidden="1">{"fdsup://Directions/FactSet Auditing Viewer?action=AUDIT_VALUE&amp;DB=129&amp;ID1=14964U10&amp;VALUEID=02001&amp;SDATE=200802&amp;PERIODTYPE=QTR_STD&amp;SCFT=3&amp;window=popup_no_bar&amp;width=385&amp;height=120&amp;START_MAXIMIZED=FALSE&amp;creator=factset&amp;display_string=Audit"}</definedName>
    <definedName name="_1445__FDSAUDITLINK__" hidden="1">{"fdsup://Directions/FactSet Auditing Viewer?action=AUDIT_VALUE&amp;DB=129&amp;ID1=11162130&amp;VALUEID=02001&amp;SDATE=200803&amp;PERIODTYPE=QTR_STD&amp;SCFT=3&amp;window=popup_no_bar&amp;width=385&amp;height=120&amp;START_MAXIMIZED=FALSE&amp;creator=factset&amp;display_string=Audit"}</definedName>
    <definedName name="_1446__FDSAUDITLINK__" hidden="1">{"fdsup://Directions/FactSet Auditing Viewer?action=AUDIT_VALUE&amp;DB=129&amp;ID1=11162130&amp;VALUEID=02001&amp;SDATE=200803&amp;PERIODTYPE=QTR_STD&amp;SCFT=3&amp;window=popup_no_bar&amp;width=385&amp;height=120&amp;START_MAXIMIZED=FALSE&amp;creator=factset&amp;display_string=Audit"}</definedName>
    <definedName name="_1447__FDSAUDITLINK__" hidden="1">{"fdsup://Directions/FactSet Auditing Viewer?action=AUDIT_VALUE&amp;DB=129&amp;ID1=04743P10&amp;VALUEID=02001&amp;SDATE=200802&amp;PERIODTYPE=QTR_STD&amp;SCFT=3&amp;window=popup_no_bar&amp;width=385&amp;height=120&amp;START_MAXIMIZED=FALSE&amp;creator=factset&amp;display_string=Audit"}</definedName>
    <definedName name="_1448__FDSAUDITLINK__" hidden="1">{"fdsup://Directions/FactSet Auditing Viewer?action=AUDIT_VALUE&amp;DB=129&amp;ID1=04743P10&amp;VALUEID=02001&amp;SDATE=200802&amp;PERIODTYPE=QTR_STD&amp;SCFT=3&amp;window=popup_no_bar&amp;width=385&amp;height=120&amp;START_MAXIMIZED=FALSE&amp;creator=factset&amp;display_string=Audit"}</definedName>
    <definedName name="_1449__FDSAUDITLINK__" hidden="1">{"fdsup://Directions/FactSet Auditing Viewer?action=AUDIT_VALUE&amp;DB=129&amp;ID1=03251510&amp;VALUEID=02001&amp;SDATE=200802&amp;PERIODTYPE=QTR_STD&amp;SCFT=3&amp;window=popup_no_bar&amp;width=385&amp;height=120&amp;START_MAXIMIZED=FALSE&amp;creator=factset&amp;display_string=Audit"}</definedName>
    <definedName name="_145__FDSAUDITLINK__" hidden="1">{"fdsup://Directions/FactSet Auditing Viewer?action=AUDIT_VALUE&amp;DB=129&amp;ID1=02144110&amp;VALUEID=02001&amp;SDATE=201101&amp;PERIODTYPE=QTR_STD&amp;SCFT=3&amp;window=popup_no_bar&amp;width=385&amp;height=120&amp;START_MAXIMIZED=FALSE&amp;creator=factset&amp;display_string=Audit"}</definedName>
    <definedName name="_1450__FDSAUDITLINK__" hidden="1">{"fdsup://Directions/FactSet Auditing Viewer?action=AUDIT_VALUE&amp;DB=129&amp;ID1=03251510&amp;VALUEID=02001&amp;SDATE=200802&amp;PERIODTYPE=QTR_STD&amp;SCFT=3&amp;window=popup_no_bar&amp;width=385&amp;height=120&amp;START_MAXIMIZED=FALSE&amp;creator=factset&amp;display_string=Audit"}</definedName>
    <definedName name="_1451__FDSAUDITLINK__" hidden="1">{"fdsup://Directions/FactSet Auditing Viewer?action=AUDIT_VALUE&amp;DB=129&amp;ID1=00790310&amp;VALUEID=02001&amp;SDATE=200802&amp;PERIODTYPE=QTR_STD&amp;SCFT=3&amp;window=popup_no_bar&amp;width=385&amp;height=120&amp;START_MAXIMIZED=FALSE&amp;creator=factset&amp;display_string=Audit"}</definedName>
    <definedName name="_1452__FDSAUDITLINK__" hidden="1">{"fdsup://Directions/FactSet Auditing Viewer?action=AUDIT_VALUE&amp;DB=129&amp;ID1=00790310&amp;VALUEID=02001&amp;SDATE=200802&amp;PERIODTYPE=QTR_STD&amp;SCFT=3&amp;window=popup_no_bar&amp;width=385&amp;height=120&amp;START_MAXIMIZED=FALSE&amp;creator=factset&amp;display_string=Audit"}</definedName>
    <definedName name="_1453__FDSAUDITLINK__" hidden="1">{"fdsup://Directions/FactSet Auditing Viewer?action=AUDIT_VALUE&amp;DB=129&amp;ID1=03822W40&amp;VALUEID=02001&amp;SDATE=200801&amp;PERIODTYPE=QTR_STD&amp;SCFT=3&amp;window=popup_no_bar&amp;width=385&amp;height=120&amp;START_MAXIMIZED=FALSE&amp;creator=factset&amp;display_string=Audit"}</definedName>
    <definedName name="_1454__FDSAUDITLINK__" hidden="1">{"fdsup://Directions/FactSet Auditing Viewer?action=AUDIT_VALUE&amp;DB=129&amp;ID1=03822W40&amp;VALUEID=02001&amp;SDATE=200801&amp;PERIODTYPE=QTR_STD&amp;SCFT=3&amp;window=popup_no_bar&amp;width=385&amp;height=120&amp;START_MAXIMIZED=FALSE&amp;creator=factset&amp;display_string=Audit"}</definedName>
    <definedName name="_1455__FDSAUDITLINK__" hidden="1">{"fdsup://Directions/FactSet Auditing Viewer?action=AUDIT_VALUE&amp;DB=129&amp;ID1=03822210&amp;VALUEID=02001&amp;SDATE=200803&amp;PERIODTYPE=QTR_STD&amp;SCFT=3&amp;window=popup_no_bar&amp;width=385&amp;height=120&amp;START_MAXIMIZED=FALSE&amp;creator=factset&amp;display_string=Audit"}</definedName>
    <definedName name="_1456__FDSAUDITLINK__" hidden="1">{"fdsup://Directions/FactSet Auditing Viewer?action=AUDIT_VALUE&amp;DB=129&amp;ID1=03822210&amp;VALUEID=02001&amp;SDATE=200803&amp;PERIODTYPE=QTR_STD&amp;SCFT=3&amp;window=popup_no_bar&amp;width=385&amp;height=120&amp;START_MAXIMIZED=FALSE&amp;creator=factset&amp;display_string=Audit"}</definedName>
    <definedName name="_1457__FDSAUDITLINK__" hidden="1">{"fdsup://Directions/FactSet Auditing Viewer?action=AUDIT_VALUE&amp;DB=129&amp;ID1=02144110&amp;VALUEID=02001&amp;SDATE=200802&amp;PERIODTYPE=QTR_STD&amp;SCFT=3&amp;window=popup_no_bar&amp;width=385&amp;height=120&amp;START_MAXIMIZED=FALSE&amp;creator=factset&amp;display_string=Audit"}</definedName>
    <definedName name="_1458__FDSAUDITLINK__" hidden="1">{"fdsup://Directions/FactSet Auditing Viewer?action=AUDIT_VALUE&amp;DB=129&amp;ID1=02144110&amp;VALUEID=02001&amp;SDATE=200802&amp;PERIODTYPE=QTR_STD&amp;SCFT=3&amp;window=popup_no_bar&amp;width=385&amp;height=120&amp;START_MAXIMIZED=FALSE&amp;creator=factset&amp;display_string=Audit"}</definedName>
    <definedName name="_1459__FDSAUDITLINK__" hidden="1">{"fdsup://Directions/FactSet Auditing Viewer?action=AUDIT_VALUE&amp;DB=129&amp;ID1=03265410&amp;VALUEID=02001&amp;SDATE=200803&amp;PERIODTYPE=QTR_STD&amp;SCFT=3&amp;window=popup_no_bar&amp;width=385&amp;height=120&amp;START_MAXIMIZED=FALSE&amp;creator=factset&amp;display_string=Audit"}</definedName>
    <definedName name="_146__FDSAUDITLINK__" hidden="1">{"fdsup://Directions/FactSet Auditing Viewer?action=AUDIT_VALUE&amp;DB=129&amp;ID1=02144110&amp;VALUEID=02001&amp;SDATE=201101&amp;PERIODTYPE=QTR_STD&amp;SCFT=3&amp;window=popup_no_bar&amp;width=385&amp;height=120&amp;START_MAXIMIZED=FALSE&amp;creator=factset&amp;display_string=Audit"}</definedName>
    <definedName name="_1460__FDSAUDITLINK__" hidden="1">{"fdsup://Directions/FactSet Auditing Viewer?action=AUDIT_VALUE&amp;DB=129&amp;ID1=03265410&amp;VALUEID=02001&amp;SDATE=200803&amp;PERIODTYPE=QTR_STD&amp;SCFT=3&amp;window=popup_no_bar&amp;width=385&amp;height=120&amp;START_MAXIMIZED=FALSE&amp;creator=factset&amp;display_string=Audit"}</definedName>
    <definedName name="_1461__FDSAUDITLINK__" hidden="1">{"fdsup://Directions/FactSet Auditing Viewer?action=AUDIT_VALUE&amp;DB=129&amp;ID1=00752J10&amp;VALUEID=02001&amp;SDATE=200802&amp;PERIODTYPE=QTR_STD&amp;SCFT=3&amp;window=popup_no_bar&amp;width=385&amp;height=120&amp;START_MAXIMIZED=FALSE&amp;creator=factset&amp;display_string=Audit"}</definedName>
    <definedName name="_1462__FDSAUDITLINK__" hidden="1">{"fdsup://Directions/FactSet Auditing Viewer?action=AUDIT_VALUE&amp;DB=129&amp;ID1=00752J10&amp;VALUEID=02001&amp;SDATE=200802&amp;PERIODTYPE=QTR_STD&amp;SCFT=3&amp;window=popup_no_bar&amp;width=385&amp;height=120&amp;START_MAXIMIZED=FALSE&amp;creator=factset&amp;display_string=Audit"}</definedName>
    <definedName name="_1463__FDSAUDITLINK__" hidden="1">{"fdsup://Directions/FactSet Auditing Viewer?action=AUDIT_VALUE&amp;DB=129&amp;ID1=98975F10&amp;VALUEID=02001&amp;SDATE=200801&amp;PERIODTYPE=QTR_STD&amp;SCFT=3&amp;window=popup_no_bar&amp;width=385&amp;height=120&amp;START_MAXIMIZED=FALSE&amp;creator=factset&amp;display_string=Audit"}</definedName>
    <definedName name="_1464__FDSAUDITLINK__" hidden="1">{"fdsup://Directions/FactSet Auditing Viewer?action=AUDIT_VALUE&amp;DB=129&amp;ID1=98975F10&amp;VALUEID=02001&amp;SDATE=200801&amp;PERIODTYPE=QTR_STD&amp;SCFT=3&amp;window=popup_no_bar&amp;width=385&amp;height=120&amp;START_MAXIMIZED=FALSE&amp;creator=factset&amp;display_string=Audit"}</definedName>
    <definedName name="_1465__FDSAUDITLINK__" hidden="1">{"fdsup://Directions/FactSet Auditing Viewer?action=AUDIT_VALUE&amp;DB=129&amp;ID1=98391910&amp;VALUEID=02001&amp;SDATE=200704&amp;PERIODTYPE=QTR_STD&amp;SCFT=3&amp;window=popup_no_bar&amp;width=385&amp;height=120&amp;START_MAXIMIZED=FALSE&amp;creator=factset&amp;display_string=Audit"}</definedName>
    <definedName name="_1466__FDSAUDITLINK__" hidden="1">{"fdsup://Directions/FactSet Auditing Viewer?action=AUDIT_VALUE&amp;DB=129&amp;ID1=98391910&amp;VALUEID=02001&amp;SDATE=200704&amp;PERIODTYPE=QTR_STD&amp;SCFT=3&amp;window=popup_no_bar&amp;width=385&amp;height=120&amp;START_MAXIMIZED=FALSE&amp;creator=factset&amp;display_string=Audit"}</definedName>
    <definedName name="_1467__FDSAUDITLINK__" hidden="1">{"fdsup://Directions/FactSet Auditing Viewer?action=AUDIT_VALUE&amp;DB=129&amp;ID1=95810210&amp;VALUEID=02001&amp;SDATE=200803&amp;PERIODTYPE=QTR_STD&amp;SCFT=3&amp;window=popup_no_bar&amp;width=385&amp;height=120&amp;START_MAXIMIZED=FALSE&amp;creator=factset&amp;display_string=Audit"}</definedName>
    <definedName name="_1468__FDSAUDITLINK__" hidden="1">{"fdsup://Directions/FactSet Auditing Viewer?action=AUDIT_VALUE&amp;DB=129&amp;ID1=95810210&amp;VALUEID=02001&amp;SDATE=200803&amp;PERIODTYPE=QTR_STD&amp;SCFT=3&amp;window=popup_no_bar&amp;width=385&amp;height=120&amp;START_MAXIMIZED=FALSE&amp;creator=factset&amp;display_string=Audit"}</definedName>
    <definedName name="_1469__FDSAUDITLINK__" hidden="1">{"fdsup://Directions/FactSet Auditing Viewer?action=AUDIT_VALUE&amp;DB=129&amp;ID1=92849730&amp;VALUEID=02001&amp;SDATE=200802&amp;PERIODTYPE=QTR_STD&amp;SCFT=3&amp;window=popup_no_bar&amp;width=385&amp;height=120&amp;START_MAXIMIZED=FALSE&amp;creator=factset&amp;display_string=Audit"}</definedName>
    <definedName name="_147__FDSAUDITLINK__" hidden="1">{"fdsup://Directions/FactSet Auditing Viewer?action=AUDIT_VALUE&amp;DB=129&amp;ID1=03265410&amp;VALUEID=02001&amp;SDATE=201102&amp;PERIODTYPE=QTR_STD&amp;SCFT=3&amp;window=popup_no_bar&amp;width=385&amp;height=120&amp;START_MAXIMIZED=FALSE&amp;creator=factset&amp;display_string=Audit"}</definedName>
    <definedName name="_1470__FDSAUDITLINK__" hidden="1">{"fdsup://Directions/FactSet Auditing Viewer?action=AUDIT_VALUE&amp;DB=129&amp;ID1=92849730&amp;VALUEID=02001&amp;SDATE=200802&amp;PERIODTYPE=QTR_STD&amp;SCFT=3&amp;window=popup_no_bar&amp;width=385&amp;height=120&amp;START_MAXIMIZED=FALSE&amp;creator=factset&amp;display_string=Audit"}</definedName>
    <definedName name="_1471__FDSAUDITLINK__" hidden="1">{"fdsup://Directions/FactSet Auditing Viewer?action=AUDIT_VALUE&amp;DB=129&amp;ID1=92829810&amp;VALUEID=02001&amp;SDATE=200801&amp;PERIODTYPE=QTR_STD&amp;SCFT=3&amp;window=popup_no_bar&amp;width=385&amp;height=120&amp;START_MAXIMIZED=FALSE&amp;creator=factset&amp;display_string=Audit"}</definedName>
    <definedName name="_1472__FDSAUDITLINK__" hidden="1">{"fdsup://Directions/FactSet Auditing Viewer?action=AUDIT_VALUE&amp;DB=129&amp;ID1=92829810&amp;VALUEID=02001&amp;SDATE=200801&amp;PERIODTYPE=QTR_STD&amp;SCFT=3&amp;window=popup_no_bar&amp;width=385&amp;height=120&amp;START_MAXIMIZED=FALSE&amp;creator=factset&amp;display_string=Audit"}</definedName>
    <definedName name="_1473__FDSAUDITLINK__" hidden="1">{"fdsup://Directions/FactSet Auditing Viewer?action=AUDIT_VALUE&amp;DB=129&amp;ID1=88250810&amp;VALUEID=02001&amp;SDATE=200801&amp;PERIODTYPE=QTR_STD&amp;SCFT=3&amp;window=popup_no_bar&amp;width=385&amp;height=120&amp;START_MAXIMIZED=FALSE&amp;creator=factset&amp;display_string=Audit"}</definedName>
    <definedName name="_1474__FDSAUDITLINK__" hidden="1">{"fdsup://Directions/FactSet Auditing Viewer?action=AUDIT_VALUE&amp;DB=129&amp;ID1=88250810&amp;VALUEID=02001&amp;SDATE=200801&amp;PERIODTYPE=QTR_STD&amp;SCFT=3&amp;window=popup_no_bar&amp;width=385&amp;height=120&amp;START_MAXIMIZED=FALSE&amp;creator=factset&amp;display_string=Audit"}</definedName>
    <definedName name="_1475__FDSAUDITLINK__" hidden="1">{"fdsup://Directions/FactSet Auditing Viewer?action=AUDIT_VALUE&amp;DB=129&amp;ID1=89674K10&amp;VALUEID=02001&amp;SDATE=200801&amp;PERIODTYPE=QTR_STD&amp;SCFT=3&amp;window=popup_no_bar&amp;width=385&amp;height=120&amp;START_MAXIMIZED=FALSE&amp;creator=factset&amp;display_string=Audit"}</definedName>
    <definedName name="_1476__FDSAUDITLINK__" hidden="1">{"fdsup://Directions/FactSet Auditing Viewer?action=AUDIT_VALUE&amp;DB=129&amp;ID1=89674K10&amp;VALUEID=02001&amp;SDATE=200801&amp;PERIODTYPE=QTR_STD&amp;SCFT=3&amp;window=popup_no_bar&amp;width=385&amp;height=120&amp;START_MAXIMIZED=FALSE&amp;creator=factset&amp;display_string=Audit"}</definedName>
    <definedName name="_1477__FDSAUDITLINK__" hidden="1">{"fdsup://Directions/FactSet Auditing Viewer?action=AUDIT_VALUE&amp;DB=129&amp;ID1=83088M10&amp;VALUEID=02001&amp;SDATE=200802&amp;PERIODTYPE=QTR_STD&amp;SCFT=3&amp;window=popup_no_bar&amp;width=385&amp;height=120&amp;START_MAXIMIZED=FALSE&amp;creator=factset&amp;display_string=Audit"}</definedName>
    <definedName name="_1478__FDSAUDITLINK__" hidden="1">{"fdsup://Directions/FactSet Auditing Viewer?action=AUDIT_VALUE&amp;DB=129&amp;ID1=83088M10&amp;VALUEID=02001&amp;SDATE=200802&amp;PERIODTYPE=QTR_STD&amp;SCFT=3&amp;window=popup_no_bar&amp;width=385&amp;height=120&amp;START_MAXIMIZED=FALSE&amp;creator=factset&amp;display_string=Audit"}</definedName>
    <definedName name="_1479__FDSAUDITLINK__" hidden="1">{"fdsup://Directions/FactSet Auditing Viewer?action=AUDIT_VALUE&amp;DB=129&amp;ID1=G7945M10&amp;VALUEID=02001&amp;SDATE=200803&amp;PERIODTYPE=QTR_STD&amp;SCFT=3&amp;window=popup_no_bar&amp;width=385&amp;height=120&amp;START_MAXIMIZED=FALSE&amp;creator=factset&amp;display_string=Audit"}</definedName>
    <definedName name="_148__FDSAUDITLINK__" hidden="1">{"fdsup://Directions/FactSet Auditing Viewer?action=AUDIT_VALUE&amp;DB=129&amp;ID1=03265410&amp;VALUEID=02001&amp;SDATE=201102&amp;PERIODTYPE=QTR_STD&amp;SCFT=3&amp;window=popup_no_bar&amp;width=385&amp;height=120&amp;START_MAXIMIZED=FALSE&amp;creator=factset&amp;display_string=Audit"}</definedName>
    <definedName name="_1480__FDSAUDITLINK__" hidden="1">{"fdsup://Directions/FactSet Auditing Viewer?action=AUDIT_VALUE&amp;DB=129&amp;ID1=G7945M10&amp;VALUEID=02001&amp;SDATE=200803&amp;PERIODTYPE=QTR_STD&amp;SCFT=3&amp;window=popup_no_bar&amp;width=385&amp;height=120&amp;START_MAXIMIZED=FALSE&amp;creator=factset&amp;display_string=Audit"}</definedName>
    <definedName name="_1481__FDSAUDITLINK__" hidden="1">{"fdsup://Directions/FactSet Auditing Viewer?action=AUDIT_VALUE&amp;DB=129&amp;ID1=78477410&amp;VALUEID=02001&amp;SDATE=200801&amp;PERIODTYPE=QTR_STD&amp;SCFT=3&amp;window=popup_no_bar&amp;width=385&amp;height=120&amp;START_MAXIMIZED=FALSE&amp;creator=factset&amp;display_string=Audit"}</definedName>
    <definedName name="_1482__FDSAUDITLINK__" hidden="1">{"fdsup://Directions/FactSet Auditing Viewer?action=AUDIT_VALUE&amp;DB=129&amp;ID1=78477410&amp;VALUEID=02001&amp;SDATE=200801&amp;PERIODTYPE=QTR_STD&amp;SCFT=3&amp;window=popup_no_bar&amp;width=385&amp;height=120&amp;START_MAXIMIZED=FALSE&amp;creator=factset&amp;display_string=Audit"}</definedName>
    <definedName name="_1483__FDSAUDITLINK__" hidden="1">{"fdsup://Directions/FactSet Auditing Viewer?action=AUDIT_VALUE&amp;DB=129&amp;ID1=82705710&amp;VALUEID=02001&amp;SDATE=200801&amp;PERIODTYPE=QTR_STD&amp;SCFT=3&amp;window=popup_no_bar&amp;width=385&amp;height=120&amp;START_MAXIMIZED=FALSE&amp;creator=factset&amp;display_string=Audit"}</definedName>
    <definedName name="_1484__FDSAUDITLINK__" hidden="1">{"fdsup://Directions/FactSet Auditing Viewer?action=AUDIT_VALUE&amp;DB=129&amp;ID1=82705710&amp;VALUEID=02001&amp;SDATE=200801&amp;PERIODTYPE=QTR_STD&amp;SCFT=3&amp;window=popup_no_bar&amp;width=385&amp;height=120&amp;START_MAXIMIZED=FALSE&amp;creator=factset&amp;display_string=Audit"}</definedName>
    <definedName name="_1485__FDSAUDITLINK__" hidden="1">{"fdsup://Directions/FactSet Auditing Viewer?action=AUDIT_VALUE&amp;DB=129&amp;ID1=83547010&amp;VALUEID=02001&amp;SDATE=200801&amp;PERIODTYPE=QTR_STD&amp;SCFT=3&amp;window=popup_no_bar&amp;width=385&amp;height=120&amp;START_MAXIMIZED=FALSE&amp;creator=factset&amp;display_string=Audit"}</definedName>
    <definedName name="_1486__FDSAUDITLINK__" hidden="1">{"fdsup://Directions/FactSet Auditing Viewer?action=AUDIT_VALUE&amp;DB=129&amp;ID1=83547010&amp;VALUEID=02001&amp;SDATE=200801&amp;PERIODTYPE=QTR_STD&amp;SCFT=3&amp;window=popup_no_bar&amp;width=385&amp;height=120&amp;START_MAXIMIZED=FALSE&amp;creator=factset&amp;display_string=Audit"}</definedName>
    <definedName name="_1487__FDSAUDITLINK__" hidden="1">{"fdsup://Directions/FactSet Auditing Viewer?action=AUDIT_VALUE&amp;DB=129&amp;ID1=87160710&amp;VALUEID=02001&amp;SDATE=200802&amp;PERIODTYPE=QTR_STD&amp;SCFT=3&amp;window=popup_no_bar&amp;width=385&amp;height=120&amp;START_MAXIMIZED=FALSE&amp;creator=factset&amp;display_string=Audit"}</definedName>
    <definedName name="_1488__FDSAUDITLINK__" hidden="1">{"fdsup://Directions/FactSet Auditing Viewer?action=AUDIT_VALUE&amp;DB=129&amp;ID1=87160710&amp;VALUEID=02001&amp;SDATE=200802&amp;PERIODTYPE=QTR_STD&amp;SCFT=3&amp;window=popup_no_bar&amp;width=385&amp;height=120&amp;START_MAXIMIZED=FALSE&amp;creator=factset&amp;display_string=Audit"}</definedName>
    <definedName name="_1489__FDSAUDITLINK__" hidden="1">{"fdsup://Directions/FactSet Auditing Viewer?action=AUDIT_VALUE&amp;DB=129&amp;ID1=80004C10&amp;VALUEID=02001&amp;SDATE=200801&amp;PERIODTYPE=QTR_STD&amp;SCFT=3&amp;window=popup_no_bar&amp;width=385&amp;height=120&amp;START_MAXIMIZED=FALSE&amp;creator=factset&amp;display_string=Audit"}</definedName>
    <definedName name="_149__FDSAUDITLINK__" hidden="1">{"fdsup://Directions/FactSet Auditing Viewer?action=AUDIT_VALUE&amp;DB=129&amp;ID1=00752J10&amp;VALUEID=02001&amp;SDATE=201101&amp;PERIODTYPE=QTR_STD&amp;SCFT=3&amp;window=popup_no_bar&amp;width=385&amp;height=120&amp;START_MAXIMIZED=FALSE&amp;creator=factset&amp;display_string=Audit"}</definedName>
    <definedName name="_1490__FDSAUDITLINK__" hidden="1">{"fdsup://Directions/FactSet Auditing Viewer?action=AUDIT_VALUE&amp;DB=129&amp;ID1=80004C10&amp;VALUEID=02001&amp;SDATE=200801&amp;PERIODTYPE=QTR_STD&amp;SCFT=3&amp;window=popup_no_bar&amp;width=385&amp;height=120&amp;START_MAXIMIZED=FALSE&amp;creator=factset&amp;display_string=Audit"}</definedName>
    <definedName name="_1491__FDSAUDITLINK__" hidden="1">{"fdsup://Directions/FactSet Auditing Viewer?action=AUDIT_VALUE&amp;DB=129&amp;ID1=81685010&amp;VALUEID=02001&amp;SDATE=200801&amp;PERIODTYPE=QTR_STD&amp;SCFT=3&amp;window=popup_no_bar&amp;width=385&amp;height=120&amp;START_MAXIMIZED=FALSE&amp;creator=factset&amp;display_string=Audit"}</definedName>
    <definedName name="_1492__FDSAUDITLINK__" hidden="1">{"fdsup://Directions/FactSet Auditing Viewer?action=AUDIT_VALUE&amp;DB=129&amp;ID1=81685010&amp;VALUEID=02001&amp;SDATE=200801&amp;PERIODTYPE=QTR_STD&amp;SCFT=3&amp;window=popup_no_bar&amp;width=385&amp;height=120&amp;START_MAXIMIZED=FALSE&amp;creator=factset&amp;display_string=Audit"}</definedName>
    <definedName name="_1493__FDSAUDITLINK__" hidden="1">{"fdsup://Directions/FactSet Auditing Viewer?action=AUDIT_VALUE&amp;DB=129&amp;ID1=82691910&amp;VALUEID=02001&amp;SDATE=200801&amp;PERIODTYPE=QTR_STD&amp;SCFT=3&amp;window=popup_no_bar&amp;width=385&amp;height=120&amp;START_MAXIMIZED=FALSE&amp;creator=factset&amp;display_string=Audit"}</definedName>
    <definedName name="_1494__FDSAUDITLINK__" hidden="1">{"fdsup://Directions/FactSet Auditing Viewer?action=AUDIT_VALUE&amp;DB=129&amp;ID1=82691910&amp;VALUEID=02001&amp;SDATE=200801&amp;PERIODTYPE=QTR_STD&amp;SCFT=3&amp;window=popup_no_bar&amp;width=385&amp;height=120&amp;START_MAXIMIZED=FALSE&amp;creator=factset&amp;display_string=Audit"}</definedName>
    <definedName name="_1495__FDSAUDITLINK__" hidden="1">{"fdsup://Directions/FactSet Auditing Viewer?action=AUDIT_VALUE&amp;DB=129&amp;ID1=82705T10&amp;VALUEID=02001&amp;SDATE=200801&amp;PERIODTYPE=QTR_STD&amp;SCFT=3&amp;window=popup_no_bar&amp;width=385&amp;height=120&amp;START_MAXIMIZED=FALSE&amp;creator=factset&amp;display_string=Audit"}</definedName>
    <definedName name="_1496__FDSAUDITLINK__" hidden="1">{"fdsup://Directions/FactSet Auditing Viewer?action=AUDIT_VALUE&amp;DB=129&amp;ID1=82705T10&amp;VALUEID=02001&amp;SDATE=200801&amp;PERIODTYPE=QTR_STD&amp;SCFT=3&amp;window=popup_no_bar&amp;width=385&amp;height=120&amp;START_MAXIMIZED=FALSE&amp;creator=factset&amp;display_string=Audit"}</definedName>
    <definedName name="_1497__FDSAUDITLINK__" hidden="1">{"fdsup://Directions/FactSet Auditing Viewer?action=AUDIT_VALUE&amp;DB=129&amp;ID1=75091710&amp;VALUEID=02001&amp;SDATE=200801&amp;PERIODTYPE=QTR_STD&amp;SCFT=3&amp;window=popup_no_bar&amp;width=385&amp;height=120&amp;START_MAXIMIZED=FALSE&amp;creator=factset&amp;display_string=Audit"}</definedName>
    <definedName name="_1498__FDSAUDITLINK__" hidden="1">{"fdsup://Directions/FactSet Auditing Viewer?action=AUDIT_VALUE&amp;DB=129&amp;ID1=75091710&amp;VALUEID=02001&amp;SDATE=200801&amp;PERIODTYPE=QTR_STD&amp;SCFT=3&amp;window=popup_no_bar&amp;width=385&amp;height=120&amp;START_MAXIMIZED=FALSE&amp;creator=factset&amp;display_string=Audit"}</definedName>
    <definedName name="_1499__FDSAUDITLINK__" hidden="1">{"fdsup://Directions/FactSet Auditing Viewer?action=AUDIT_VALUE&amp;DB=129&amp;ID1=74727710&amp;VALUEID=02001&amp;SDATE=200704&amp;PERIODTYPE=QTR_STD&amp;SCFT=3&amp;window=popup_no_bar&amp;width=385&amp;height=120&amp;START_MAXIMIZED=FALSE&amp;creator=factset&amp;display_string=Audit"}</definedName>
    <definedName name="_15__FDSAUDITLINK__" hidden="1">{"fdsup://directions/FAT Viewer?action=UPDATE&amp;creator=factset&amp;DYN_ARGS=TRUE&amp;DOC_NAME=FAT:FQL_AUDITING_CLIENT_TEMPLATE.FAT&amp;display_string=Audit&amp;VAR:KEY=GLKDQTYVIN&amp;VAR:QUERY=RkZfU0hTX0ZMT0FUKEFOTiwp&amp;WINDOW=FIRST_POPUP&amp;HEIGHT=450&amp;WIDTH=450&amp;START_MAXIMIZED=FALS","E&amp;VAR:CALENDAR=US&amp;VAR:SYMBOL=WYNN RESORTS&amp;VAR:INDEX=0"}</definedName>
    <definedName name="_150__FDSAUDITLINK__" hidden="1">{"fdsup://Directions/FactSet Auditing Viewer?action=AUDIT_VALUE&amp;DB=129&amp;ID1=00752J10&amp;VALUEID=02001&amp;SDATE=201101&amp;PERIODTYPE=QTR_STD&amp;SCFT=3&amp;window=popup_no_bar&amp;width=385&amp;height=120&amp;START_MAXIMIZED=FALSE&amp;creator=factset&amp;display_string=Audit"}</definedName>
    <definedName name="_1500__FDSAUDITLINK__" hidden="1">{"fdsup://Directions/FactSet Auditing Viewer?action=AUDIT_VALUE&amp;DB=129&amp;ID1=74727710&amp;VALUEID=02001&amp;SDATE=200704&amp;PERIODTYPE=QTR_STD&amp;SCFT=3&amp;window=popup_no_bar&amp;width=385&amp;height=120&amp;START_MAXIMIZED=FALSE&amp;creator=factset&amp;display_string=Audit"}</definedName>
    <definedName name="_1501__FDSAUDITLINK__" hidden="1">{"fdsup://Directions/FactSet Auditing Viewer?action=AUDIT_VALUE&amp;DB=129&amp;ID1=74752510&amp;VALUEID=02001&amp;SDATE=200802&amp;PERIODTYPE=QTR_STD&amp;SCFT=3&amp;window=popup_no_bar&amp;width=385&amp;height=120&amp;START_MAXIMIZED=FALSE&amp;creator=factset&amp;display_string=Audit"}</definedName>
    <definedName name="_1502__FDSAUDITLINK__" hidden="1">{"fdsup://Directions/FactSet Auditing Viewer?action=AUDIT_VALUE&amp;DB=129&amp;ID1=74752510&amp;VALUEID=02001&amp;SDATE=200802&amp;PERIODTYPE=QTR_STD&amp;SCFT=3&amp;window=popup_no_bar&amp;width=385&amp;height=120&amp;START_MAXIMIZED=FALSE&amp;creator=factset&amp;display_string=Audit"}</definedName>
    <definedName name="_1503__FDSAUDITLINK__" hidden="1">{"fdsup://Directions/FactSet Auditing Viewer?action=AUDIT_VALUE&amp;DB=129&amp;ID1=72581M30&amp;VALUEID=02001&amp;SDATE=200801&amp;PERIODTYPE=QTR_STD&amp;SCFT=3&amp;window=popup_no_bar&amp;width=385&amp;height=120&amp;START_MAXIMIZED=FALSE&amp;creator=factset&amp;display_string=Audit"}</definedName>
    <definedName name="_1504__FDSAUDITLINK__" hidden="1">{"fdsup://Directions/FactSet Auditing Viewer?action=AUDIT_VALUE&amp;DB=129&amp;ID1=72581M30&amp;VALUEID=02001&amp;SDATE=200801&amp;PERIODTYPE=QTR_STD&amp;SCFT=3&amp;window=popup_no_bar&amp;width=385&amp;height=120&amp;START_MAXIMIZED=FALSE&amp;creator=factset&amp;display_string=Audit"}</definedName>
    <definedName name="_1505__FDSAUDITLINK__" hidden="1">{"fdsup://Directions/FactSet Auditing Viewer?action=AUDIT_VALUE&amp;DB=129&amp;ID1=73927610&amp;VALUEID=02001&amp;SDATE=200801&amp;PERIODTYPE=QTR_STD&amp;SCFT=3&amp;window=popup_no_bar&amp;width=385&amp;height=120&amp;START_MAXIMIZED=FALSE&amp;creator=factset&amp;display_string=Audit"}</definedName>
    <definedName name="_1506__FDSAUDITLINK__" hidden="1">{"fdsup://Directions/FactSet Auditing Viewer?action=AUDIT_VALUE&amp;DB=129&amp;ID1=73927610&amp;VALUEID=02001&amp;SDATE=200801&amp;PERIODTYPE=QTR_STD&amp;SCFT=3&amp;window=popup_no_bar&amp;width=385&amp;height=120&amp;START_MAXIMIZED=FALSE&amp;creator=factset&amp;display_string=Audit"}</definedName>
    <definedName name="_1507__FDSAUDITLINK__" hidden="1">{"fdsup://Directions/FactSet Auditing Viewer?action=AUDIT_VALUE&amp;DB=129&amp;ID1=69344F10&amp;VALUEID=02001&amp;SDATE=200801&amp;PERIODTYPE=QTR_STD&amp;SCFT=3&amp;window=popup_no_bar&amp;width=385&amp;height=120&amp;START_MAXIMIZED=FALSE&amp;creator=factset&amp;display_string=Audit"}</definedName>
    <definedName name="_1508__FDSAUDITLINK__" hidden="1">{"fdsup://Directions/FactSet Auditing Viewer?action=AUDIT_VALUE&amp;DB=129&amp;ID1=69344F10&amp;VALUEID=02001&amp;SDATE=200801&amp;PERIODTYPE=QTR_STD&amp;SCFT=3&amp;window=popup_no_bar&amp;width=385&amp;height=120&amp;START_MAXIMIZED=FALSE&amp;creator=factset&amp;display_string=Audit"}</definedName>
    <definedName name="_1509__FDSAUDITLINK__" hidden="1">{"fdsup://Directions/FactSet Auditing Viewer?action=AUDIT_VALUE&amp;DB=129&amp;ID1=69341710&amp;VALUEID=02001&amp;SDATE=200801&amp;PERIODTYPE=QTR_STD&amp;SCFT=3&amp;window=popup_no_bar&amp;width=385&amp;height=120&amp;START_MAXIMIZED=FALSE&amp;creator=factset&amp;display_string=Audit"}</definedName>
    <definedName name="_151__FDSAUDITLINK__" hidden="1">{"fdsup://Directions/FactSet Auditing Viewer?action=AUDIT_VALUE&amp;DB=129&amp;ID1=98975F10&amp;VALUEID=02001&amp;SDATE=201004&amp;PERIODTYPE=QTR_STD&amp;SCFT=3&amp;window=popup_no_bar&amp;width=385&amp;height=120&amp;START_MAXIMIZED=FALSE&amp;creator=factset&amp;display_string=Audit"}</definedName>
    <definedName name="_1510__FDSAUDITLINK__" hidden="1">{"fdsup://Directions/FactSet Auditing Viewer?action=AUDIT_VALUE&amp;DB=129&amp;ID1=69341710&amp;VALUEID=02001&amp;SDATE=200801&amp;PERIODTYPE=QTR_STD&amp;SCFT=3&amp;window=popup_no_bar&amp;width=385&amp;height=120&amp;START_MAXIMIZED=FALSE&amp;creator=factset&amp;display_string=Audit"}</definedName>
    <definedName name="_1511__FDSAUDITLINK__" hidden="1">{"fdsup://Directions/FactSet Auditing Viewer?action=AUDIT_VALUE&amp;DB=129&amp;ID1=68218910&amp;VALUEID=02001&amp;SDATE=200801&amp;PERIODTYPE=QTR_STD&amp;SCFT=3&amp;window=popup_no_bar&amp;width=385&amp;height=120&amp;START_MAXIMIZED=FALSE&amp;creator=factset&amp;display_string=Audit"}</definedName>
    <definedName name="_1512__FDSAUDITLINK__" hidden="1">{"fdsup://Directions/FactSet Auditing Viewer?action=AUDIT_VALUE&amp;DB=129&amp;ID1=68218910&amp;VALUEID=02001&amp;SDATE=200801&amp;PERIODTYPE=QTR_STD&amp;SCFT=3&amp;window=popup_no_bar&amp;width=385&amp;height=120&amp;START_MAXIMIZED=FALSE&amp;creator=factset&amp;display_string=Audit"}</definedName>
    <definedName name="_1513__FDSAUDITLINK__" hidden="1">{"fdsup://Directions/FactSet Auditing Viewer?action=AUDIT_VALUE&amp;DB=129&amp;ID1=B505PN&amp;VALUEID=02001&amp;SDATE=200801&amp;PERIODTYPE=QTR_STD&amp;SCFT=3&amp;window=popup_no_bar&amp;width=385&amp;height=120&amp;START_MAXIMIZED=FALSE&amp;creator=factset&amp;display_string=Audit"}</definedName>
    <definedName name="_1514__FDSAUDITLINK__" hidden="1">{"fdsup://Directions/FactSet Auditing Viewer?action=AUDIT_VALUE&amp;DB=129&amp;ID1=B505PN&amp;VALUEID=02001&amp;SDATE=200801&amp;PERIODTYPE=QTR_STD&amp;SCFT=3&amp;window=popup_no_bar&amp;width=385&amp;height=120&amp;START_MAXIMIZED=FALSE&amp;creator=factset&amp;display_string=Audit"}</definedName>
    <definedName name="_1515__FDSAUDITLINK__" hidden="1">{"fdsup://Directions/FactSet Auditing Viewer?action=AUDIT_VALUE&amp;DB=129&amp;ID1=67000810&amp;VALUEID=02001&amp;SDATE=200801&amp;PERIODTYPE=QTR_STD&amp;SCFT=3&amp;window=popup_no_bar&amp;width=385&amp;height=120&amp;START_MAXIMIZED=FALSE&amp;creator=factset&amp;display_string=Audit"}</definedName>
    <definedName name="_1516__FDSAUDITLINK__" hidden="1">{"fdsup://Directions/FactSet Auditing Viewer?action=AUDIT_VALUE&amp;DB=129&amp;ID1=67000810&amp;VALUEID=02001&amp;SDATE=200801&amp;PERIODTYPE=QTR_STD&amp;SCFT=3&amp;window=popup_no_bar&amp;width=385&amp;height=120&amp;START_MAXIMIZED=FALSE&amp;creator=factset&amp;display_string=Audit"}</definedName>
    <definedName name="_1517__FDSAUDITLINK__" hidden="1">{"fdsup://Directions/FactSet Auditing Viewer?action=AUDIT_VALUE&amp;DB=129&amp;ID1=67066G10&amp;VALUEID=02001&amp;SDATE=200801&amp;PERIODTYPE=QTR_STD&amp;SCFT=3&amp;window=popup_no_bar&amp;width=385&amp;height=120&amp;START_MAXIMIZED=FALSE&amp;creator=factset&amp;display_string=Audit"}</definedName>
    <definedName name="_1518__FDSAUDITLINK__" hidden="1">{"fdsup://Directions/FactSet Auditing Viewer?action=AUDIT_VALUE&amp;DB=129&amp;ID1=67066G10&amp;VALUEID=02001&amp;SDATE=200801&amp;PERIODTYPE=QTR_STD&amp;SCFT=3&amp;window=popup_no_bar&amp;width=385&amp;height=120&amp;START_MAXIMIZED=FALSE&amp;creator=factset&amp;display_string=Audit"}</definedName>
    <definedName name="_1519__FDSAUDITLINK__" hidden="1">{"fdsup://Directions/FactSet Auditing Viewer?action=AUDIT_VALUE&amp;DB=129&amp;ID1=63764010&amp;VALUEID=02001&amp;SDATE=200703&amp;PERIODTYPE=QTR_STD&amp;SCFT=3&amp;window=popup_no_bar&amp;width=385&amp;height=120&amp;START_MAXIMIZED=FALSE&amp;creator=factset&amp;display_string=Audit"}</definedName>
    <definedName name="_152__FDSAUDITLINK__" hidden="1">{"fdsup://Directions/FactSet Auditing Viewer?action=AUDIT_VALUE&amp;DB=129&amp;ID1=98975F10&amp;VALUEID=02001&amp;SDATE=201004&amp;PERIODTYPE=QTR_STD&amp;SCFT=3&amp;window=popup_no_bar&amp;width=385&amp;height=120&amp;START_MAXIMIZED=FALSE&amp;creator=factset&amp;display_string=Audit"}</definedName>
    <definedName name="_1520__FDSAUDITLINK__" hidden="1">{"fdsup://Directions/FactSet Auditing Viewer?action=AUDIT_VALUE&amp;DB=129&amp;ID1=63764010&amp;VALUEID=02001&amp;SDATE=200703&amp;PERIODTYPE=QTR_STD&amp;SCFT=3&amp;window=popup_no_bar&amp;width=385&amp;height=120&amp;START_MAXIMIZED=FALSE&amp;creator=factset&amp;display_string=Audit"}</definedName>
    <definedName name="_1521__FDSAUDITLINK__" hidden="1">{"fdsup://Directions/FactSet Auditing Viewer?action=AUDIT_VALUE&amp;DB=129&amp;ID1=64118B10&amp;VALUEID=02001&amp;SDATE=200801&amp;PERIODTYPE=QTR_STD&amp;SCFT=3&amp;window=popup_no_bar&amp;width=385&amp;height=120&amp;START_MAXIMIZED=FALSE&amp;creator=factset&amp;display_string=Audit"}</definedName>
    <definedName name="_1522__FDSAUDITLINK__" hidden="1">{"fdsup://Directions/FactSet Auditing Viewer?action=AUDIT_VALUE&amp;DB=129&amp;ID1=64118B10&amp;VALUEID=02001&amp;SDATE=200801&amp;PERIODTYPE=QTR_STD&amp;SCFT=3&amp;window=popup_no_bar&amp;width=385&amp;height=120&amp;START_MAXIMIZED=FALSE&amp;creator=factset&amp;display_string=Audit"}</definedName>
    <definedName name="_1523__FDSAUDITLINK__" hidden="1">{"fdsup://Directions/FactSet Auditing Viewer?action=AUDIT_VALUE&amp;DB=129&amp;ID1=57772K10&amp;VALUEID=02001&amp;SDATE=200803&amp;PERIODTYPE=QTR_STD&amp;SCFT=3&amp;window=popup_no_bar&amp;width=385&amp;height=120&amp;START_MAXIMIZED=FALSE&amp;creator=factset&amp;display_string=Audit"}</definedName>
    <definedName name="_1524__FDSAUDITLINK__" hidden="1">{"fdsup://Directions/FactSet Auditing Viewer?action=AUDIT_VALUE&amp;DB=129&amp;ID1=57772K10&amp;VALUEID=02001&amp;SDATE=200803&amp;PERIODTYPE=QTR_STD&amp;SCFT=3&amp;window=popup_no_bar&amp;width=385&amp;height=120&amp;START_MAXIMIZED=FALSE&amp;creator=factset&amp;display_string=Audit"}</definedName>
    <definedName name="_1525__FDSAUDITLINK__" hidden="1">{"fdsup://Directions/FactSet Auditing Viewer?action=AUDIT_VALUE&amp;DB=129&amp;ID1=59511210&amp;VALUEID=02001&amp;SDATE=200802&amp;PERIODTYPE=QTR_STD&amp;SCFT=3&amp;window=popup_no_bar&amp;width=385&amp;height=120&amp;START_MAXIMIZED=FALSE&amp;creator=factset&amp;display_string=Audit"}</definedName>
    <definedName name="_1526__FDSAUDITLINK__" hidden="1">{"fdsup://Directions/FactSet Auditing Viewer?action=AUDIT_VALUE&amp;DB=129&amp;ID1=59511210&amp;VALUEID=02001&amp;SDATE=200802&amp;PERIODTYPE=QTR_STD&amp;SCFT=3&amp;window=popup_no_bar&amp;width=385&amp;height=120&amp;START_MAXIMIZED=FALSE&amp;creator=factset&amp;display_string=Audit"}</definedName>
    <definedName name="_1527__FDSAUDITLINK__" hidden="1">{"fdsup://Directions/FactSet Auditing Viewer?action=AUDIT_VALUE&amp;DB=129&amp;ID1=59513710&amp;VALUEID=02001&amp;SDATE=200802&amp;PERIODTYPE=QTR_STD&amp;SCFT=3&amp;window=popup_no_bar&amp;width=385&amp;height=120&amp;START_MAXIMIZED=FALSE&amp;creator=factset&amp;display_string=Audit"}</definedName>
    <definedName name="_1528__FDSAUDITLINK__" hidden="1">{"fdsup://Directions/FactSet Auditing Viewer?action=AUDIT_VALUE&amp;DB=129&amp;ID1=59513710&amp;VALUEID=02001&amp;SDATE=200802&amp;PERIODTYPE=QTR_STD&amp;SCFT=3&amp;window=popup_no_bar&amp;width=385&amp;height=120&amp;START_MAXIMIZED=FALSE&amp;creator=factset&amp;display_string=Audit"}</definedName>
    <definedName name="_1529__FDSAUDITLINK__" hidden="1">{"fdsup://Directions/FactSet Auditing Viewer?action=AUDIT_VALUE&amp;DB=129&amp;ID1=G5876H10&amp;VALUEID=02001&amp;SDATE=200801&amp;PERIODTYPE=QTR_STD&amp;SCFT=3&amp;window=popup_no_bar&amp;width=385&amp;height=120&amp;START_MAXIMIZED=FALSE&amp;creator=factset&amp;display_string=Audit"}</definedName>
    <definedName name="_153__FDSAUDITLINK__" hidden="1">{"fdsup://Directions/FactSet Auditing Viewer?action=AUDIT_VALUE&amp;DB=129&amp;ID1=98391910&amp;VALUEID=02001&amp;SDATE=201003&amp;PERIODTYPE=QTR_STD&amp;SCFT=3&amp;window=popup_no_bar&amp;width=385&amp;height=120&amp;START_MAXIMIZED=FALSE&amp;creator=factset&amp;display_string=Audit"}</definedName>
    <definedName name="_1530__FDSAUDITLINK__" hidden="1">{"fdsup://Directions/FactSet Auditing Viewer?action=AUDIT_VALUE&amp;DB=129&amp;ID1=G5876H10&amp;VALUEID=02001&amp;SDATE=200801&amp;PERIODTYPE=QTR_STD&amp;SCFT=3&amp;window=popup_no_bar&amp;width=385&amp;height=120&amp;START_MAXIMIZED=FALSE&amp;creator=factset&amp;display_string=Audit"}</definedName>
    <definedName name="_1531__FDSAUDITLINK__" hidden="1">{"fdsup://Directions/FactSet Auditing Viewer?action=AUDIT_VALUE&amp;DB=129&amp;ID1=62007630&amp;VALUEID=02001&amp;SDATE=200801&amp;PERIODTYPE=QTR_STD&amp;SCFT=3&amp;window=popup_no_bar&amp;width=385&amp;height=120&amp;START_MAXIMIZED=FALSE&amp;creator=factset&amp;display_string=Audit"}</definedName>
    <definedName name="_1532__FDSAUDITLINK__" hidden="1">{"fdsup://Directions/FactSet Auditing Viewer?action=AUDIT_VALUE&amp;DB=129&amp;ID1=62007630&amp;VALUEID=02001&amp;SDATE=200801&amp;PERIODTYPE=QTR_STD&amp;SCFT=3&amp;window=popup_no_bar&amp;width=385&amp;height=120&amp;START_MAXIMIZED=FALSE&amp;creator=factset&amp;display_string=Audit"}</definedName>
    <definedName name="_1533__FDSAUDITLINK__" hidden="1">{"fdsup://Directions/FactSet Auditing Viewer?action=AUDIT_VALUE&amp;DB=129&amp;ID1=60456710&amp;VALUEID=02001&amp;SDATE=200803&amp;PERIODTYPE=QTR_STD&amp;SCFT=3&amp;window=popup_no_bar&amp;width=385&amp;height=120&amp;START_MAXIMIZED=FALSE&amp;creator=factset&amp;display_string=Audit"}</definedName>
    <definedName name="_1534__FDSAUDITLINK__" hidden="1">{"fdsup://Directions/FactSet Auditing Viewer?action=AUDIT_VALUE&amp;DB=129&amp;ID1=60456710&amp;VALUEID=02001&amp;SDATE=200803&amp;PERIODTYPE=QTR_STD&amp;SCFT=3&amp;window=popup_no_bar&amp;width=385&amp;height=120&amp;START_MAXIMIZED=FALSE&amp;creator=factset&amp;display_string=Audit"}</definedName>
    <definedName name="_1535__FDSAUDITLINK__" hidden="1">{"fdsup://Directions/FactSet Auditing Viewer?action=AUDIT_VALUE&amp;DB=129&amp;ID1=59479310&amp;VALUEID=02001&amp;SDATE=200801&amp;PERIODTYPE=QTR_STD&amp;SCFT=3&amp;window=popup_no_bar&amp;width=385&amp;height=120&amp;START_MAXIMIZED=FALSE&amp;creator=factset&amp;display_string=Audit"}</definedName>
    <definedName name="_1536__FDSAUDITLINK__" hidden="1">{"fdsup://Directions/FactSet Auditing Viewer?action=AUDIT_VALUE&amp;DB=129&amp;ID1=59479310&amp;VALUEID=02001&amp;SDATE=200801&amp;PERIODTYPE=QTR_STD&amp;SCFT=3&amp;window=popup_no_bar&amp;width=385&amp;height=120&amp;START_MAXIMIZED=FALSE&amp;creator=factset&amp;display_string=Audit"}</definedName>
    <definedName name="_1537__FDSAUDITLINK__" hidden="1">{"fdsup://Directions/FactSet Auditing Viewer?action=AUDIT_VALUE&amp;DB=129&amp;ID1=59501710&amp;VALUEID=02001&amp;SDATE=200704&amp;PERIODTYPE=QTR_STD&amp;SCFT=3&amp;window=popup_no_bar&amp;width=385&amp;height=120&amp;START_MAXIMIZED=FALSE&amp;creator=factset&amp;display_string=Audit"}</definedName>
    <definedName name="_1538__FDSAUDITLINK__" hidden="1">{"fdsup://Directions/FactSet Auditing Viewer?action=AUDIT_VALUE&amp;DB=129&amp;ID1=59501710&amp;VALUEID=02001&amp;SDATE=200704&amp;PERIODTYPE=QTR_STD&amp;SCFT=3&amp;window=popup_no_bar&amp;width=385&amp;height=120&amp;START_MAXIMIZED=FALSE&amp;creator=factset&amp;display_string=Audit"}</definedName>
    <definedName name="_1539__FDSAUDITLINK__" hidden="1">{"fdsup://Directions/FactSet Auditing Viewer?action=AUDIT_VALUE&amp;DB=129&amp;ID1=50216110&amp;VALUEID=02001&amp;SDATE=200801&amp;PERIODTYPE=QTR_STD&amp;SCFT=3&amp;window=popup_no_bar&amp;width=385&amp;height=120&amp;START_MAXIMIZED=FALSE&amp;creator=factset&amp;display_string=Audit"}</definedName>
    <definedName name="_154__FDSAUDITLINK__" hidden="1">{"fdsup://Directions/FactSet Auditing Viewer?action=AUDIT_VALUE&amp;DB=129&amp;ID1=98391910&amp;VALUEID=02001&amp;SDATE=201003&amp;PERIODTYPE=QTR_STD&amp;SCFT=3&amp;window=popup_no_bar&amp;width=385&amp;height=120&amp;START_MAXIMIZED=FALSE&amp;creator=factset&amp;display_string=Audit"}</definedName>
    <definedName name="_1540__FDSAUDITLINK__" hidden="1">{"fdsup://Directions/FactSet Auditing Viewer?action=AUDIT_VALUE&amp;DB=129&amp;ID1=50216110&amp;VALUEID=02001&amp;SDATE=200801&amp;PERIODTYPE=QTR_STD&amp;SCFT=3&amp;window=popup_no_bar&amp;width=385&amp;height=120&amp;START_MAXIMIZED=FALSE&amp;creator=factset&amp;display_string=Audit"}</definedName>
    <definedName name="_1541__FDSAUDITLINK__" hidden="1">{"fdsup://Directions/FactSet Auditing Viewer?action=AUDIT_VALUE&amp;DB=129&amp;ID1=51841510&amp;VALUEID=02001&amp;SDATE=200801&amp;PERIODTYPE=QTR_STD&amp;SCFT=3&amp;window=popup_no_bar&amp;width=385&amp;height=120&amp;START_MAXIMIZED=FALSE&amp;creator=factset&amp;display_string=Audit"}</definedName>
    <definedName name="_1542__FDSAUDITLINK__" hidden="1">{"fdsup://Directions/FactSet Auditing Viewer?action=AUDIT_VALUE&amp;DB=129&amp;ID1=51841510&amp;VALUEID=02001&amp;SDATE=200801&amp;PERIODTYPE=QTR_STD&amp;SCFT=3&amp;window=popup_no_bar&amp;width=385&amp;height=120&amp;START_MAXIMIZED=FALSE&amp;creator=factset&amp;display_string=Audit"}</definedName>
    <definedName name="_1543__FDSAUDITLINK__" hidden="1">{"fdsup://Directions/FactSet Auditing Viewer?action=AUDIT_VALUE&amp;DB=129&amp;ID1=51280710&amp;VALUEID=02001&amp;SDATE=200803&amp;PERIODTYPE=QTR_STD&amp;SCFT=3&amp;window=popup_no_bar&amp;width=385&amp;height=120&amp;START_MAXIMIZED=FALSE&amp;creator=factset&amp;display_string=Audit"}</definedName>
    <definedName name="_1544__FDSAUDITLINK__" hidden="1">{"fdsup://Directions/FactSet Auditing Viewer?action=AUDIT_VALUE&amp;DB=129&amp;ID1=51280710&amp;VALUEID=02001&amp;SDATE=200803&amp;PERIODTYPE=QTR_STD&amp;SCFT=3&amp;window=popup_no_bar&amp;width=385&amp;height=120&amp;START_MAXIMIZED=FALSE&amp;creator=factset&amp;display_string=Audit"}</definedName>
    <definedName name="_1545__FDSAUDITLINK__" hidden="1">{"fdsup://Directions/FactSet Auditing Viewer?action=AUDIT_VALUE&amp;DB=129&amp;ID1=53567810&amp;VALUEID=02001&amp;SDATE=200803&amp;PERIODTYPE=QTR_STD&amp;SCFT=3&amp;window=popup_no_bar&amp;width=385&amp;height=120&amp;START_MAXIMIZED=FALSE&amp;creator=factset&amp;display_string=Audit"}</definedName>
    <definedName name="_1546__FDSAUDITLINK__" hidden="1">{"fdsup://Directions/FactSet Auditing Viewer?action=AUDIT_VALUE&amp;DB=129&amp;ID1=53567810&amp;VALUEID=02001&amp;SDATE=200803&amp;PERIODTYPE=QTR_STD&amp;SCFT=3&amp;window=popup_no_bar&amp;width=385&amp;height=120&amp;START_MAXIMIZED=FALSE&amp;creator=factset&amp;display_string=Audit"}</definedName>
    <definedName name="_1547__FDSAUDITLINK__" hidden="1">{"fdsup://Directions/FactSet Auditing Viewer?action=AUDIT_VALUE&amp;DB=129&amp;ID1=48248010&amp;VALUEID=02001&amp;SDATE=200803&amp;PERIODTYPE=QTR_STD&amp;SCFT=3&amp;window=popup_no_bar&amp;width=385&amp;height=120&amp;START_MAXIMIZED=FALSE&amp;creator=factset&amp;display_string=Audit"}</definedName>
    <definedName name="_1548__FDSAUDITLINK__" hidden="1">{"fdsup://Directions/FactSet Auditing Viewer?action=AUDIT_VALUE&amp;DB=129&amp;ID1=48248010&amp;VALUEID=02001&amp;SDATE=200803&amp;PERIODTYPE=QTR_STD&amp;SCFT=3&amp;window=popup_no_bar&amp;width=385&amp;height=120&amp;START_MAXIMIZED=FALSE&amp;creator=factset&amp;display_string=Audit"}</definedName>
    <definedName name="_1549__FDSAUDITLINK__" hidden="1">{"fdsup://Directions/FactSet Auditing Viewer?action=AUDIT_VALUE&amp;DB=129&amp;ID1=48203R10&amp;VALUEID=02001&amp;SDATE=200801&amp;PERIODTYPE=QTR_STD&amp;SCFT=3&amp;window=popup_no_bar&amp;width=385&amp;height=120&amp;START_MAXIMIZED=FALSE&amp;creator=factset&amp;display_string=Audit"}</definedName>
    <definedName name="_155__FDSAUDITLINK__" hidden="1">{"fdsup://Directions/FactSet Auditing Viewer?action=AUDIT_VALUE&amp;DB=129&amp;ID1=95810210&amp;VALUEID=02001&amp;SDATE=201102&amp;PERIODTYPE=QTR_STD&amp;SCFT=3&amp;window=popup_no_bar&amp;width=385&amp;height=120&amp;START_MAXIMIZED=FALSE&amp;creator=factset&amp;display_string=Audit"}</definedName>
    <definedName name="_1550__FDSAUDITLINK__" hidden="1">{"fdsup://Directions/FactSet Auditing Viewer?action=AUDIT_VALUE&amp;DB=129&amp;ID1=48203R10&amp;VALUEID=02001&amp;SDATE=200801&amp;PERIODTYPE=QTR_STD&amp;SCFT=3&amp;window=popup_no_bar&amp;width=385&amp;height=120&amp;START_MAXIMIZED=FALSE&amp;creator=factset&amp;display_string=Audit"}</definedName>
    <definedName name="_1551__FDSAUDITLINK__" hidden="1">{"fdsup://Directions/FactSet Auditing Viewer?action=AUDIT_VALUE&amp;DB=129&amp;ID1=86681020&amp;VALUEID=02001&amp;SDATE=200803&amp;PERIODTYPE=QTR_STD&amp;SCFT=3&amp;window=popup_no_bar&amp;width=385&amp;height=120&amp;START_MAXIMIZED=FALSE&amp;creator=factset&amp;display_string=Audit"}</definedName>
    <definedName name="_1552__FDSAUDITLINK__" hidden="1">{"fdsup://Directions/FactSet Auditing Viewer?action=AUDIT_VALUE&amp;DB=129&amp;ID1=86681020&amp;VALUEID=02001&amp;SDATE=200803&amp;PERIODTYPE=QTR_STD&amp;SCFT=3&amp;window=popup_no_bar&amp;width=385&amp;height=120&amp;START_MAXIMIZED=FALSE&amp;creator=factset&amp;display_string=Audit"}</definedName>
    <definedName name="_1553__FDSAUDITLINK__" hidden="1">{"fdsup://Directions/FactSet Auditing Viewer?action=AUDIT_VALUE&amp;DB=129&amp;ID1=46069S10&amp;VALUEID=02001&amp;SDATE=200801&amp;PERIODTYPE=QTR_STD&amp;SCFT=3&amp;window=popup_no_bar&amp;width=385&amp;height=120&amp;START_MAXIMIZED=FALSE&amp;creator=factset&amp;display_string=Audit"}</definedName>
    <definedName name="_1554__FDSAUDITLINK__" hidden="1">{"fdsup://Directions/FactSet Auditing Viewer?action=AUDIT_VALUE&amp;DB=129&amp;ID1=46069S10&amp;VALUEID=02001&amp;SDATE=200801&amp;PERIODTYPE=QTR_STD&amp;SCFT=3&amp;window=popup_no_bar&amp;width=385&amp;height=120&amp;START_MAXIMIZED=FALSE&amp;creator=factset&amp;display_string=Audit"}</definedName>
    <definedName name="_1555__FDSAUDITLINK__" hidden="1">{"fdsup://Directions/FactSet Auditing Viewer?action=AUDIT_VALUE&amp;DB=129&amp;ID1=46025410&amp;VALUEID=02001&amp;SDATE=200803&amp;PERIODTYPE=QTR_STD&amp;SCFT=3&amp;window=popup_no_bar&amp;width=385&amp;height=120&amp;START_MAXIMIZED=FALSE&amp;creator=factset&amp;display_string=Audit"}</definedName>
    <definedName name="_1556__FDSAUDITLINK__" hidden="1">{"fdsup://Directions/FactSet Auditing Viewer?action=AUDIT_VALUE&amp;DB=129&amp;ID1=46025410&amp;VALUEID=02001&amp;SDATE=200803&amp;PERIODTYPE=QTR_STD&amp;SCFT=3&amp;window=popup_no_bar&amp;width=385&amp;height=120&amp;START_MAXIMIZED=FALSE&amp;creator=factset&amp;display_string=Audit"}</definedName>
    <definedName name="_1557__FDSAUDITLINK__" hidden="1">{"fdsup://Directions/FactSet Auditing Viewer?action=AUDIT_VALUE&amp;DB=129&amp;ID1=45814010&amp;VALUEID=02001&amp;SDATE=200801&amp;PERIODTYPE=QTR_STD&amp;SCFT=3&amp;window=popup_no_bar&amp;width=385&amp;height=120&amp;START_MAXIMIZED=FALSE&amp;creator=factset&amp;display_string=Audit"}</definedName>
    <definedName name="_1558__FDSAUDITLINK__" hidden="1">{"fdsup://Directions/FactSet Auditing Viewer?action=AUDIT_VALUE&amp;DB=129&amp;ID1=45814010&amp;VALUEID=02001&amp;SDATE=200801&amp;PERIODTYPE=QTR_STD&amp;SCFT=3&amp;window=popup_no_bar&amp;width=385&amp;height=120&amp;START_MAXIMIZED=FALSE&amp;creator=factset&amp;display_string=Audit"}</definedName>
    <definedName name="_1559__FDSAUDITLINK__" hidden="1">{"fdsup://Directions/FactSet Auditing Viewer?action=AUDIT_VALUE&amp;DB=129&amp;ID1=42823610&amp;VALUEID=02001&amp;SDATE=200802&amp;PERIODTYPE=QTR_STD&amp;SCFT=3&amp;window=popup_no_bar&amp;width=385&amp;height=120&amp;START_MAXIMIZED=FALSE&amp;creator=factset&amp;display_string=Audit"}</definedName>
    <definedName name="_156__FDSAUDITLINK__" hidden="1">{"fdsup://Directions/FactSet Auditing Viewer?action=AUDIT_VALUE&amp;DB=129&amp;ID1=95810210&amp;VALUEID=02001&amp;SDATE=201102&amp;PERIODTYPE=QTR_STD&amp;SCFT=3&amp;window=popup_no_bar&amp;width=385&amp;height=120&amp;START_MAXIMIZED=FALSE&amp;creator=factset&amp;display_string=Audit"}</definedName>
    <definedName name="_1560__FDSAUDITLINK__" hidden="1">{"fdsup://Directions/FactSet Auditing Viewer?action=AUDIT_VALUE&amp;DB=129&amp;ID1=42823610&amp;VALUEID=02001&amp;SDATE=200802&amp;PERIODTYPE=QTR_STD&amp;SCFT=3&amp;window=popup_no_bar&amp;width=385&amp;height=120&amp;START_MAXIMIZED=FALSE&amp;creator=factset&amp;display_string=Audit"}</definedName>
    <definedName name="_1561__FDSAUDITLINK__" hidden="1">{"fdsup://Directions/FactSet Auditing Viewer?action=AUDIT_VALUE&amp;DB=129&amp;ID1=H2906T10&amp;VALUEID=02001&amp;SDATE=200801&amp;PERIODTYPE=QTR_STD&amp;SCFT=3&amp;window=popup_no_bar&amp;width=385&amp;height=120&amp;START_MAXIMIZED=FALSE&amp;creator=factset&amp;display_string=Audit"}</definedName>
    <definedName name="_1562__FDSAUDITLINK__" hidden="1">{"fdsup://Directions/FactSet Auditing Viewer?action=AUDIT_VALUE&amp;DB=129&amp;ID1=H2906T10&amp;VALUEID=02001&amp;SDATE=200801&amp;PERIODTYPE=QTR_STD&amp;SCFT=3&amp;window=popup_no_bar&amp;width=385&amp;height=120&amp;START_MAXIMIZED=FALSE&amp;creator=factset&amp;display_string=Audit"}</definedName>
    <definedName name="_1563__FDSAUDITLINK__" hidden="1">{"fdsup://Directions/FactSet Auditing Viewer?action=AUDIT_VALUE&amp;DB=129&amp;ID1=34637510&amp;VALUEID=02001&amp;SDATE=200801&amp;PERIODTYPE=QTR_STD&amp;SCFT=3&amp;window=popup_no_bar&amp;width=385&amp;height=120&amp;START_MAXIMIZED=FALSE&amp;creator=factset&amp;display_string=Audit"}</definedName>
    <definedName name="_1564__FDSAUDITLINK__" hidden="1">{"fdsup://Directions/FactSet Auditing Viewer?action=AUDIT_VALUE&amp;DB=129&amp;ID1=34637510&amp;VALUEID=02001&amp;SDATE=200801&amp;PERIODTYPE=QTR_STD&amp;SCFT=3&amp;window=popup_no_bar&amp;width=385&amp;height=120&amp;START_MAXIMIZED=FALSE&amp;creator=factset&amp;display_string=Audit"}</definedName>
    <definedName name="_1565__FDSAUDITLINK__" hidden="1">{"fdsup://Directions/FactSet Auditing Viewer?action=AUDIT_VALUE&amp;DB=129&amp;ID1=31561610&amp;VALUEID=02001&amp;SDATE=200802&amp;PERIODTYPE=QTR_STD&amp;SCFT=3&amp;window=popup_no_bar&amp;width=385&amp;height=120&amp;START_MAXIMIZED=FALSE&amp;creator=factset&amp;display_string=Audit"}</definedName>
    <definedName name="_1566__FDSAUDITLINK__" hidden="1">{"fdsup://Directions/FactSet Auditing Viewer?action=AUDIT_VALUE&amp;DB=129&amp;ID1=31561610&amp;VALUEID=02001&amp;SDATE=200802&amp;PERIODTYPE=QTR_STD&amp;SCFT=3&amp;window=popup_no_bar&amp;width=385&amp;height=120&amp;START_MAXIMIZED=FALSE&amp;creator=factset&amp;display_string=Audit"}</definedName>
    <definedName name="_1567__FDSAUDITLINK__" hidden="1">{"fdsup://Directions/FactSet Auditing Viewer?action=AUDIT_VALUE&amp;DB=129&amp;ID1=29247520&amp;VALUEID=02001&amp;SDATE=200803&amp;PERIODTYPE=QTR_STD&amp;SCFT=3&amp;window=popup_no_bar&amp;width=385&amp;height=120&amp;START_MAXIMIZED=FALSE&amp;creator=factset&amp;display_string=Audit"}</definedName>
    <definedName name="_1568__FDSAUDITLINK__" hidden="1">{"fdsup://Directions/FactSet Auditing Viewer?action=AUDIT_VALUE&amp;DB=129&amp;ID1=29247520&amp;VALUEID=02001&amp;SDATE=200803&amp;PERIODTYPE=QTR_STD&amp;SCFT=3&amp;window=popup_no_bar&amp;width=385&amp;height=120&amp;START_MAXIMIZED=FALSE&amp;creator=factset&amp;display_string=Audit"}</definedName>
    <definedName name="_1569__FDSAUDITLINK__" hidden="1">{"fdsup://Directions/FactSet Auditing Viewer?action=AUDIT_VALUE&amp;DB=129&amp;ID1=25454310&amp;VALUEID=02001&amp;SDATE=200801&amp;PERIODTYPE=QTR_STD&amp;SCFT=3&amp;window=popup_no_bar&amp;width=385&amp;height=120&amp;START_MAXIMIZED=FALSE&amp;creator=factset&amp;display_string=Audit"}</definedName>
    <definedName name="_157__FDSAUDITLINK__" hidden="1">{"fdsup://Directions/FactSet Auditing Viewer?action=AUDIT_VALUE&amp;DB=129&amp;ID1=92849730&amp;VALUEID=02001&amp;SDATE=201101&amp;PERIODTYPE=QTR_STD&amp;SCFT=3&amp;window=popup_no_bar&amp;width=385&amp;height=120&amp;START_MAXIMIZED=FALSE&amp;creator=factset&amp;display_string=Audit"}</definedName>
    <definedName name="_1570__FDSAUDITLINK__" hidden="1">{"fdsup://Directions/FactSet Auditing Viewer?action=AUDIT_VALUE&amp;DB=129&amp;ID1=25454310&amp;VALUEID=02001&amp;SDATE=200801&amp;PERIODTYPE=QTR_STD&amp;SCFT=3&amp;window=popup_no_bar&amp;width=385&amp;height=120&amp;START_MAXIMIZED=FALSE&amp;creator=factset&amp;display_string=Audit"}</definedName>
    <definedName name="_1571__FDSAUDITLINK__" hidden="1">{"fdsup://Directions/FactSet Auditing Viewer?action=AUDIT_VALUE&amp;DB=129&amp;ID1=24702R10&amp;VALUEID=02001&amp;SDATE=200801&amp;PERIODTYPE=QTR_STD&amp;SCFT=3&amp;window=popup_no_bar&amp;width=385&amp;height=120&amp;START_MAXIMIZED=FALSE&amp;creator=factset&amp;display_string=Audit"}</definedName>
    <definedName name="_1572__FDSAUDITLINK__" hidden="1">{"fdsup://Directions/FactSet Auditing Viewer?action=AUDIT_VALUE&amp;DB=129&amp;ID1=24702R10&amp;VALUEID=02001&amp;SDATE=200801&amp;PERIODTYPE=QTR_STD&amp;SCFT=3&amp;window=popup_no_bar&amp;width=385&amp;height=120&amp;START_MAXIMIZED=FALSE&amp;creator=factset&amp;display_string=Audit"}</definedName>
    <definedName name="_1573__FDSAUDITLINK__" hidden="1">{"fdsup://Directions/FactSet Auditing Viewer?action=AUDIT_VALUE&amp;DB=129&amp;ID1=23257210&amp;VALUEID=02001&amp;SDATE=200801&amp;PERIODTYPE=QTR_STD&amp;SCFT=3&amp;window=popup_no_bar&amp;width=385&amp;height=120&amp;START_MAXIMIZED=FALSE&amp;creator=factset&amp;display_string=Audit"}</definedName>
    <definedName name="_1574__FDSAUDITLINK__" hidden="1">{"fdsup://Directions/FactSet Auditing Viewer?action=AUDIT_VALUE&amp;DB=129&amp;ID1=23257210&amp;VALUEID=02001&amp;SDATE=200801&amp;PERIODTYPE=QTR_STD&amp;SCFT=3&amp;window=popup_no_bar&amp;width=385&amp;height=120&amp;START_MAXIMIZED=FALSE&amp;creator=factset&amp;display_string=Audit"}</definedName>
    <definedName name="_1575__FDSAUDITLINK__" hidden="1">{"fdsup://Directions/FactSet Auditing Viewer?action=AUDIT_VALUE&amp;DB=129&amp;ID1=23280610&amp;VALUEID=02001&amp;SDATE=200801&amp;PERIODTYPE=QTR_STD&amp;SCFT=3&amp;window=popup_no_bar&amp;width=385&amp;height=120&amp;START_MAXIMIZED=FALSE&amp;creator=factset&amp;display_string=Audit"}</definedName>
    <definedName name="_1576__FDSAUDITLINK__" hidden="1">{"fdsup://Directions/FactSet Auditing Viewer?action=AUDIT_VALUE&amp;DB=129&amp;ID1=23280610&amp;VALUEID=02001&amp;SDATE=200801&amp;PERIODTYPE=QTR_STD&amp;SCFT=3&amp;window=popup_no_bar&amp;width=385&amp;height=120&amp;START_MAXIMIZED=FALSE&amp;creator=factset&amp;display_string=Audit"}</definedName>
    <definedName name="_1577__FDSAUDITLINK__" hidden="1">{"fdsup://Directions/FactSet Auditing Viewer?action=AUDIT_VALUE&amp;DB=129&amp;ID1=17275R10&amp;VALUEID=02001&amp;SDATE=200803&amp;PERIODTYPE=QTR_STD&amp;SCFT=3&amp;window=popup_no_bar&amp;width=385&amp;height=120&amp;START_MAXIMIZED=FALSE&amp;creator=factset&amp;display_string=Audit"}</definedName>
    <definedName name="_1578__FDSAUDITLINK__" hidden="1">{"fdsup://Directions/FactSet Auditing Viewer?action=AUDIT_VALUE&amp;DB=129&amp;ID1=17275R10&amp;VALUEID=02001&amp;SDATE=200803&amp;PERIODTYPE=QTR_STD&amp;SCFT=3&amp;window=popup_no_bar&amp;width=385&amp;height=120&amp;START_MAXIMIZED=FALSE&amp;creator=factset&amp;display_string=Audit"}</definedName>
    <definedName name="_1579__FDSAUDITLINK__" hidden="1">{"fdsup://Directions/FactSet Auditing Viewer?action=AUDIT_VALUE&amp;DB=129&amp;ID1=22544710&amp;VALUEID=02001&amp;SDATE=200803&amp;PERIODTYPE=QTR_STD&amp;SCFT=3&amp;window=popup_no_bar&amp;width=385&amp;height=120&amp;START_MAXIMIZED=FALSE&amp;creator=factset&amp;display_string=Audit"}</definedName>
    <definedName name="_158__FDSAUDITLINK__" hidden="1">{"fdsup://Directions/FactSet Auditing Viewer?action=AUDIT_VALUE&amp;DB=129&amp;ID1=92849730&amp;VALUEID=02001&amp;SDATE=201101&amp;PERIODTYPE=QTR_STD&amp;SCFT=3&amp;window=popup_no_bar&amp;width=385&amp;height=120&amp;START_MAXIMIZED=FALSE&amp;creator=factset&amp;display_string=Audit"}</definedName>
    <definedName name="_1580__FDSAUDITLINK__" hidden="1">{"fdsup://Directions/FactSet Auditing Viewer?action=AUDIT_VALUE&amp;DB=129&amp;ID1=22544710&amp;VALUEID=02001&amp;SDATE=200803&amp;PERIODTYPE=QTR_STD&amp;SCFT=3&amp;window=popup_no_bar&amp;width=385&amp;height=120&amp;START_MAXIMIZED=FALSE&amp;creator=factset&amp;display_string=Audit"}</definedName>
    <definedName name="_1581__FDSAUDITLINK__" hidden="1">{"fdsup://Directions/FactSet Auditing Viewer?action=AUDIT_VALUE&amp;DB=129&amp;ID1=20714230&amp;VALUEID=02001&amp;SDATE=200802&amp;PERIODTYPE=QTR_STD&amp;SCFT=3&amp;window=popup_no_bar&amp;width=385&amp;height=120&amp;START_MAXIMIZED=FALSE&amp;creator=factset&amp;display_string=Audit"}</definedName>
    <definedName name="_1582__FDSAUDITLINK__" hidden="1">{"fdsup://Directions/FactSet Auditing Viewer?action=AUDIT_VALUE&amp;DB=129&amp;ID1=20714230&amp;VALUEID=02001&amp;SDATE=200802&amp;PERIODTYPE=QTR_STD&amp;SCFT=3&amp;window=popup_no_bar&amp;width=385&amp;height=120&amp;START_MAXIMIZED=FALSE&amp;creator=factset&amp;display_string=Audit"}</definedName>
    <definedName name="_1583__FDSAUDITLINK__" hidden="1">{"fdsup://Directions/FactSet Auditing Viewer?action=AUDIT_VALUE&amp;DB=129&amp;ID1=12738710&amp;VALUEID=02001&amp;SDATE=200801&amp;PERIODTYPE=QTR_STD&amp;SCFT=3&amp;window=popup_no_bar&amp;width=385&amp;height=120&amp;START_MAXIMIZED=FALSE&amp;creator=factset&amp;display_string=Audit"}</definedName>
    <definedName name="_1584__FDSAUDITLINK__" hidden="1">{"fdsup://Directions/FactSet Auditing Viewer?action=AUDIT_VALUE&amp;DB=129&amp;ID1=12738710&amp;VALUEID=02001&amp;SDATE=200801&amp;PERIODTYPE=QTR_STD&amp;SCFT=3&amp;window=popup_no_bar&amp;width=385&amp;height=120&amp;START_MAXIMIZED=FALSE&amp;creator=factset&amp;display_string=Audit"}</definedName>
    <definedName name="_1585__FDSAUDITLINK__" hidden="1">{"fdsup://Directions/FactSet Auditing Viewer?action=AUDIT_VALUE&amp;DB=129&amp;ID1=14964U10&amp;VALUEID=02001&amp;SDATE=200801&amp;PERIODTYPE=QTR_STD&amp;SCFT=3&amp;window=popup_no_bar&amp;width=385&amp;height=120&amp;START_MAXIMIZED=FALSE&amp;creator=factset&amp;display_string=Audit"}</definedName>
    <definedName name="_1586__FDSAUDITLINK__" hidden="1">{"fdsup://Directions/FactSet Auditing Viewer?action=AUDIT_VALUE&amp;DB=129&amp;ID1=14964U10&amp;VALUEID=02001&amp;SDATE=200801&amp;PERIODTYPE=QTR_STD&amp;SCFT=3&amp;window=popup_no_bar&amp;width=385&amp;height=120&amp;START_MAXIMIZED=FALSE&amp;creator=factset&amp;display_string=Audit"}</definedName>
    <definedName name="_1587__FDSAUDITLINK__" hidden="1">{"fdsup://Directions/FactSet Auditing Viewer?action=AUDIT_VALUE&amp;DB=129&amp;ID1=11162130&amp;VALUEID=02001&amp;SDATE=200802&amp;PERIODTYPE=QTR_STD&amp;SCFT=3&amp;window=popup_no_bar&amp;width=385&amp;height=120&amp;START_MAXIMIZED=FALSE&amp;creator=factset&amp;display_string=Audit"}</definedName>
    <definedName name="_1588__FDSAUDITLINK__" hidden="1">{"fdsup://Directions/FactSet Auditing Viewer?action=AUDIT_VALUE&amp;DB=129&amp;ID1=11162130&amp;VALUEID=02001&amp;SDATE=200802&amp;PERIODTYPE=QTR_STD&amp;SCFT=3&amp;window=popup_no_bar&amp;width=385&amp;height=120&amp;START_MAXIMIZED=FALSE&amp;creator=factset&amp;display_string=Audit"}</definedName>
    <definedName name="_1589__FDSAUDITLINK__" hidden="1">{"fdsup://Directions/FactSet Auditing Viewer?action=AUDIT_VALUE&amp;DB=129&amp;ID1=04743P10&amp;VALUEID=02001&amp;SDATE=200801&amp;PERIODTYPE=QTR_STD&amp;SCFT=3&amp;window=popup_no_bar&amp;width=385&amp;height=120&amp;START_MAXIMIZED=FALSE&amp;creator=factset&amp;display_string=Audit"}</definedName>
    <definedName name="_159__FDSAUDITLINK__" hidden="1">{"fdsup://Directions/FactSet Auditing Viewer?action=AUDIT_VALUE&amp;DB=129&amp;ID1=92829810&amp;VALUEID=02001&amp;SDATE=201004&amp;PERIODTYPE=QTR_STD&amp;SCFT=3&amp;window=popup_no_bar&amp;width=385&amp;height=120&amp;START_MAXIMIZED=FALSE&amp;creator=factset&amp;display_string=Audit"}</definedName>
    <definedName name="_1590__FDSAUDITLINK__" hidden="1">{"fdsup://Directions/FactSet Auditing Viewer?action=AUDIT_VALUE&amp;DB=129&amp;ID1=04743P10&amp;VALUEID=02001&amp;SDATE=200801&amp;PERIODTYPE=QTR_STD&amp;SCFT=3&amp;window=popup_no_bar&amp;width=385&amp;height=120&amp;START_MAXIMIZED=FALSE&amp;creator=factset&amp;display_string=Audit"}</definedName>
    <definedName name="_1591__FDSAUDITLINK__" hidden="1">{"fdsup://Directions/FactSet Auditing Viewer?action=AUDIT_VALUE&amp;DB=129&amp;ID1=03251510&amp;VALUEID=02001&amp;SDATE=200801&amp;PERIODTYPE=QTR_STD&amp;SCFT=3&amp;window=popup_no_bar&amp;width=385&amp;height=120&amp;START_MAXIMIZED=FALSE&amp;creator=factset&amp;display_string=Audit"}</definedName>
    <definedName name="_1592__FDSAUDITLINK__" hidden="1">{"fdsup://Directions/FactSet Auditing Viewer?action=AUDIT_VALUE&amp;DB=129&amp;ID1=03251510&amp;VALUEID=02001&amp;SDATE=200801&amp;PERIODTYPE=QTR_STD&amp;SCFT=3&amp;window=popup_no_bar&amp;width=385&amp;height=120&amp;START_MAXIMIZED=FALSE&amp;creator=factset&amp;display_string=Audit"}</definedName>
    <definedName name="_1593__FDSAUDITLINK__" hidden="1">{"fdsup://Directions/FactSet Auditing Viewer?action=AUDIT_VALUE&amp;DB=129&amp;ID1=00790310&amp;VALUEID=02001&amp;SDATE=200801&amp;PERIODTYPE=QTR_STD&amp;SCFT=3&amp;window=popup_no_bar&amp;width=385&amp;height=120&amp;START_MAXIMIZED=FALSE&amp;creator=factset&amp;display_string=Audit"}</definedName>
    <definedName name="_1594__FDSAUDITLINK__" hidden="1">{"fdsup://Directions/FactSet Auditing Viewer?action=AUDIT_VALUE&amp;DB=129&amp;ID1=00790310&amp;VALUEID=02001&amp;SDATE=200801&amp;PERIODTYPE=QTR_STD&amp;SCFT=3&amp;window=popup_no_bar&amp;width=385&amp;height=120&amp;START_MAXIMIZED=FALSE&amp;creator=factset&amp;display_string=Audit"}</definedName>
    <definedName name="_1595__FDSAUDITLINK__" hidden="1">{"fdsup://Directions/FactSet Auditing Viewer?action=AUDIT_VALUE&amp;DB=129&amp;ID1=03822210&amp;VALUEID=02001&amp;SDATE=200802&amp;PERIODTYPE=QTR_STD&amp;SCFT=3&amp;window=popup_no_bar&amp;width=385&amp;height=120&amp;START_MAXIMIZED=FALSE&amp;creator=factset&amp;display_string=Audit"}</definedName>
    <definedName name="_1596__FDSAUDITLINK__" hidden="1">{"fdsup://Directions/FactSet Auditing Viewer?action=AUDIT_VALUE&amp;DB=129&amp;ID1=03822210&amp;VALUEID=02001&amp;SDATE=200802&amp;PERIODTYPE=QTR_STD&amp;SCFT=3&amp;window=popup_no_bar&amp;width=385&amp;height=120&amp;START_MAXIMIZED=FALSE&amp;creator=factset&amp;display_string=Audit"}</definedName>
    <definedName name="_1597__FDSAUDITLINK__" hidden="1">{"fdsup://Directions/FactSet Auditing Viewer?action=AUDIT_VALUE&amp;DB=129&amp;ID1=02144110&amp;VALUEID=02001&amp;SDATE=200801&amp;PERIODTYPE=QTR_STD&amp;SCFT=3&amp;window=popup_no_bar&amp;width=385&amp;height=120&amp;START_MAXIMIZED=FALSE&amp;creator=factset&amp;display_string=Audit"}</definedName>
    <definedName name="_1598__FDSAUDITLINK__" hidden="1">{"fdsup://Directions/FactSet Auditing Viewer?action=AUDIT_VALUE&amp;DB=129&amp;ID1=02144110&amp;VALUEID=02001&amp;SDATE=200801&amp;PERIODTYPE=QTR_STD&amp;SCFT=3&amp;window=popup_no_bar&amp;width=385&amp;height=120&amp;START_MAXIMIZED=FALSE&amp;creator=factset&amp;display_string=Audit"}</definedName>
    <definedName name="_1599__FDSAUDITLINK__" hidden="1">{"fdsup://Directions/FactSet Auditing Viewer?action=AUDIT_VALUE&amp;DB=129&amp;ID1=03265410&amp;VALUEID=02001&amp;SDATE=200802&amp;PERIODTYPE=QTR_STD&amp;SCFT=3&amp;window=popup_no_bar&amp;width=385&amp;height=120&amp;START_MAXIMIZED=FALSE&amp;creator=factset&amp;display_string=Audit"}</definedName>
    <definedName name="_16__FDSAUDITLINK__" hidden="1">{"fdsup://directions/FAT Viewer?action=UPDATE&amp;creator=factset&amp;DYN_ARGS=TRUE&amp;DOC_NAME=FAT:FQL_AUDITING_CLIENT_TEMPLATE.FAT&amp;display_string=Audit&amp;VAR:KEY=GLKDQTYVIN&amp;VAR:QUERY=RkZfU0hTX0ZMT0FUKEFOTiwp&amp;WINDOW=FIRST_POPUP&amp;HEIGHT=450&amp;WIDTH=450&amp;START_MAXIMIZED=FALS","E&amp;VAR:CALENDAR=US&amp;VAR:SYMBOL=WYNN RESORTS&amp;VAR:INDEX=0"}</definedName>
    <definedName name="_160__FDSAUDITLINK__" hidden="1">{"fdsup://Directions/FactSet Auditing Viewer?action=AUDIT_VALUE&amp;DB=129&amp;ID1=92829810&amp;VALUEID=02001&amp;SDATE=201004&amp;PERIODTYPE=QTR_STD&amp;SCFT=3&amp;window=popup_no_bar&amp;width=385&amp;height=120&amp;START_MAXIMIZED=FALSE&amp;creator=factset&amp;display_string=Audit"}</definedName>
    <definedName name="_1600__FDSAUDITLINK__" hidden="1">{"fdsup://Directions/FactSet Auditing Viewer?action=AUDIT_VALUE&amp;DB=129&amp;ID1=03265410&amp;VALUEID=02001&amp;SDATE=200802&amp;PERIODTYPE=QTR_STD&amp;SCFT=3&amp;window=popup_no_bar&amp;width=385&amp;height=120&amp;START_MAXIMIZED=FALSE&amp;creator=factset&amp;display_string=Audit"}</definedName>
    <definedName name="_1601__FDSAUDITLINK__" hidden="1">{"fdsup://Directions/FactSet Auditing Viewer?action=AUDIT_VALUE&amp;DB=129&amp;ID1=00752J10&amp;VALUEID=02001&amp;SDATE=200801&amp;PERIODTYPE=QTR_STD&amp;SCFT=3&amp;window=popup_no_bar&amp;width=385&amp;height=120&amp;START_MAXIMIZED=FALSE&amp;creator=factset&amp;display_string=Audit"}</definedName>
    <definedName name="_1602__FDSAUDITLINK__" hidden="1">{"fdsup://Directions/FactSet Auditing Viewer?action=AUDIT_VALUE&amp;DB=129&amp;ID1=00752J10&amp;VALUEID=02001&amp;SDATE=200801&amp;PERIODTYPE=QTR_STD&amp;SCFT=3&amp;window=popup_no_bar&amp;width=385&amp;height=120&amp;START_MAXIMIZED=FALSE&amp;creator=factset&amp;display_string=Audit"}</definedName>
    <definedName name="_1603__FDSAUDITLINK__" hidden="1">{"fdsup://Directions/FactSet Auditing Viewer?action=AUDIT_VALUE&amp;DB=129&amp;ID1=98391910&amp;VALUEID=02001&amp;SDATE=200703&amp;PERIODTYPE=QTR_STD&amp;SCFT=3&amp;window=popup_no_bar&amp;width=385&amp;height=120&amp;START_MAXIMIZED=FALSE&amp;creator=factset&amp;display_string=Audit"}</definedName>
    <definedName name="_1604__FDSAUDITLINK__" hidden="1">{"fdsup://Directions/FactSet Auditing Viewer?action=AUDIT_VALUE&amp;DB=129&amp;ID1=98391910&amp;VALUEID=02001&amp;SDATE=200703&amp;PERIODTYPE=QTR_STD&amp;SCFT=3&amp;window=popup_no_bar&amp;width=385&amp;height=120&amp;START_MAXIMIZED=FALSE&amp;creator=factset&amp;display_string=Audit"}</definedName>
    <definedName name="_1605__FDSAUDITLINK__" hidden="1">{"fdsup://Directions/FactSet Auditing Viewer?action=AUDIT_VALUE&amp;DB=129&amp;ID1=95810210&amp;VALUEID=02001&amp;SDATE=200802&amp;PERIODTYPE=QTR_STD&amp;SCFT=3&amp;window=popup_no_bar&amp;width=385&amp;height=120&amp;START_MAXIMIZED=FALSE&amp;creator=factset&amp;display_string=Audit"}</definedName>
    <definedName name="_1606__FDSAUDITLINK__" hidden="1">{"fdsup://Directions/FactSet Auditing Viewer?action=AUDIT_VALUE&amp;DB=129&amp;ID1=95810210&amp;VALUEID=02001&amp;SDATE=200802&amp;PERIODTYPE=QTR_STD&amp;SCFT=3&amp;window=popup_no_bar&amp;width=385&amp;height=120&amp;START_MAXIMIZED=FALSE&amp;creator=factset&amp;display_string=Audit"}</definedName>
    <definedName name="_1607__FDSAUDITLINK__" hidden="1">{"fdsup://Directions/FactSet Auditing Viewer?action=AUDIT_VALUE&amp;DB=129&amp;ID1=92849730&amp;VALUEID=02001&amp;SDATE=200801&amp;PERIODTYPE=QTR_STD&amp;SCFT=3&amp;window=popup_no_bar&amp;width=385&amp;height=120&amp;START_MAXIMIZED=FALSE&amp;creator=factset&amp;display_string=Audit"}</definedName>
    <definedName name="_1608__FDSAUDITLINK__" hidden="1">{"fdsup://Directions/FactSet Auditing Viewer?action=AUDIT_VALUE&amp;DB=129&amp;ID1=92849730&amp;VALUEID=02001&amp;SDATE=200801&amp;PERIODTYPE=QTR_STD&amp;SCFT=3&amp;window=popup_no_bar&amp;width=385&amp;height=120&amp;START_MAXIMIZED=FALSE&amp;creator=factset&amp;display_string=Audit"}</definedName>
    <definedName name="_1609__FDSAUDITLINK__" hidden="1">{"fdsup://Directions/FactSet Auditing Viewer?action=AUDIT_VALUE&amp;DB=129&amp;ID1=83088M10&amp;VALUEID=02001&amp;SDATE=200801&amp;PERIODTYPE=QTR_STD&amp;SCFT=3&amp;window=popup_no_bar&amp;width=385&amp;height=120&amp;START_MAXIMIZED=FALSE&amp;creator=factset&amp;display_string=Audit"}</definedName>
    <definedName name="_161__FDSAUDITLINK__" hidden="1">{"fdsup://Directions/FactSet Auditing Viewer?action=AUDIT_VALUE&amp;DB=129&amp;ID1=88250810&amp;VALUEID=02001&amp;SDATE=201004&amp;PERIODTYPE=QTR_STD&amp;SCFT=3&amp;window=popup_no_bar&amp;width=385&amp;height=120&amp;START_MAXIMIZED=FALSE&amp;creator=factset&amp;display_string=Audit"}</definedName>
    <definedName name="_1610__FDSAUDITLINK__" hidden="1">{"fdsup://Directions/FactSet Auditing Viewer?action=AUDIT_VALUE&amp;DB=129&amp;ID1=83088M10&amp;VALUEID=02001&amp;SDATE=200801&amp;PERIODTYPE=QTR_STD&amp;SCFT=3&amp;window=popup_no_bar&amp;width=385&amp;height=120&amp;START_MAXIMIZED=FALSE&amp;creator=factset&amp;display_string=Audit"}</definedName>
    <definedName name="_1611__FDSAUDITLINK__" hidden="1">{"fdsup://Directions/FactSet Auditing Viewer?action=AUDIT_VALUE&amp;DB=129&amp;ID1=G7945M10&amp;VALUEID=02001&amp;SDATE=200802&amp;PERIODTYPE=QTR_STD&amp;SCFT=3&amp;window=popup_no_bar&amp;width=385&amp;height=120&amp;START_MAXIMIZED=FALSE&amp;creator=factset&amp;display_string=Audit"}</definedName>
    <definedName name="_1612__FDSAUDITLINK__" hidden="1">{"fdsup://Directions/FactSet Auditing Viewer?action=AUDIT_VALUE&amp;DB=129&amp;ID1=G7945M10&amp;VALUEID=02001&amp;SDATE=200802&amp;PERIODTYPE=QTR_STD&amp;SCFT=3&amp;window=popup_no_bar&amp;width=385&amp;height=120&amp;START_MAXIMIZED=FALSE&amp;creator=factset&amp;display_string=Audit"}</definedName>
    <definedName name="_1613__FDSAUDITLINK__" hidden="1">{"fdsup://Directions/FactSet Auditing Viewer?action=AUDIT_VALUE&amp;DB=129&amp;ID1=87160710&amp;VALUEID=02001&amp;SDATE=200801&amp;PERIODTYPE=QTR_STD&amp;SCFT=3&amp;window=popup_no_bar&amp;width=385&amp;height=120&amp;START_MAXIMIZED=FALSE&amp;creator=factset&amp;display_string=Audit"}</definedName>
    <definedName name="_1614__FDSAUDITLINK__" hidden="1">{"fdsup://Directions/FactSet Auditing Viewer?action=AUDIT_VALUE&amp;DB=129&amp;ID1=87160710&amp;VALUEID=02001&amp;SDATE=200801&amp;PERIODTYPE=QTR_STD&amp;SCFT=3&amp;window=popup_no_bar&amp;width=385&amp;height=120&amp;START_MAXIMIZED=FALSE&amp;creator=factset&amp;display_string=Audit"}</definedName>
    <definedName name="_1615__FDSAUDITLINK__" hidden="1">{"fdsup://Directions/FactSet Auditing Viewer?action=AUDIT_VALUE&amp;DB=129&amp;ID1=74994110&amp;VALUEID=02001&amp;SDATE=200703&amp;PERIODTYPE=QTR_STD&amp;SCFT=3&amp;window=popup_no_bar&amp;width=385&amp;height=120&amp;START_MAXIMIZED=FALSE&amp;creator=factset&amp;display_string=Audit"}</definedName>
    <definedName name="_1616__FDSAUDITLINK__" hidden="1">{"fdsup://Directions/FactSet Auditing Viewer?action=AUDIT_VALUE&amp;DB=129&amp;ID1=74994110&amp;VALUEID=02001&amp;SDATE=200703&amp;PERIODTYPE=QTR_STD&amp;SCFT=3&amp;window=popup_no_bar&amp;width=385&amp;height=120&amp;START_MAXIMIZED=FALSE&amp;creator=factset&amp;display_string=Audit"}</definedName>
    <definedName name="_1617__FDSAUDITLINK__" hidden="1">{"fdsup://Directions/FactSet Auditing Viewer?action=AUDIT_VALUE&amp;DB=129&amp;ID1=74727710&amp;VALUEID=02001&amp;SDATE=200703&amp;PERIODTYPE=QTR_STD&amp;SCFT=3&amp;window=popup_no_bar&amp;width=385&amp;height=120&amp;START_MAXIMIZED=FALSE&amp;creator=factset&amp;display_string=Audit"}</definedName>
    <definedName name="_1618__FDSAUDITLINK__" hidden="1">{"fdsup://Directions/FactSet Auditing Viewer?action=AUDIT_VALUE&amp;DB=129&amp;ID1=74727710&amp;VALUEID=02001&amp;SDATE=200703&amp;PERIODTYPE=QTR_STD&amp;SCFT=3&amp;window=popup_no_bar&amp;width=385&amp;height=120&amp;START_MAXIMIZED=FALSE&amp;creator=factset&amp;display_string=Audit"}</definedName>
    <definedName name="_1619__FDSAUDITLINK__" hidden="1">{"fdsup://Directions/FactSet Auditing Viewer?action=AUDIT_VALUE&amp;DB=129&amp;ID1=74752510&amp;VALUEID=02001&amp;SDATE=200801&amp;PERIODTYPE=QTR_STD&amp;SCFT=3&amp;window=popup_no_bar&amp;width=385&amp;height=120&amp;START_MAXIMIZED=FALSE&amp;creator=factset&amp;display_string=Audit"}</definedName>
    <definedName name="_162__FDSAUDITLINK__" hidden="1">{"fdsup://Directions/FactSet Auditing Viewer?action=AUDIT_VALUE&amp;DB=129&amp;ID1=88250810&amp;VALUEID=02001&amp;SDATE=201004&amp;PERIODTYPE=QTR_STD&amp;SCFT=3&amp;window=popup_no_bar&amp;width=385&amp;height=120&amp;START_MAXIMIZED=FALSE&amp;creator=factset&amp;display_string=Audit"}</definedName>
    <definedName name="_1620__FDSAUDITLINK__" hidden="1">{"fdsup://Directions/FactSet Auditing Viewer?action=AUDIT_VALUE&amp;DB=129&amp;ID1=74752510&amp;VALUEID=02001&amp;SDATE=200801&amp;PERIODTYPE=QTR_STD&amp;SCFT=3&amp;window=popup_no_bar&amp;width=385&amp;height=120&amp;START_MAXIMIZED=FALSE&amp;creator=factset&amp;display_string=Audit"}</definedName>
    <definedName name="_1621__FDSAUDITLINK__" hidden="1">{"fdsup://Directions/FactSet Auditing Viewer?action=AUDIT_VALUE&amp;DB=129&amp;ID1=63764010&amp;VALUEID=02001&amp;SDATE=200702&amp;PERIODTYPE=QTR_STD&amp;SCFT=3&amp;window=popup_no_bar&amp;width=385&amp;height=120&amp;START_MAXIMIZED=FALSE&amp;creator=factset&amp;display_string=Audit"}</definedName>
    <definedName name="_1622__FDSAUDITLINK__" hidden="1">{"fdsup://Directions/FactSet Auditing Viewer?action=AUDIT_VALUE&amp;DB=129&amp;ID1=63764010&amp;VALUEID=02001&amp;SDATE=200702&amp;PERIODTYPE=QTR_STD&amp;SCFT=3&amp;window=popup_no_bar&amp;width=385&amp;height=120&amp;START_MAXIMIZED=FALSE&amp;creator=factset&amp;display_string=Audit"}</definedName>
    <definedName name="_1623__FDSAUDITLINK__" hidden="1">{"fdsup://Directions/FactSet Auditing Viewer?action=AUDIT_VALUE&amp;DB=129&amp;ID1=57772K10&amp;VALUEID=02001&amp;SDATE=200802&amp;PERIODTYPE=QTR_STD&amp;SCFT=3&amp;window=popup_no_bar&amp;width=385&amp;height=120&amp;START_MAXIMIZED=FALSE&amp;creator=factset&amp;display_string=Audit"}</definedName>
    <definedName name="_1624__FDSAUDITLINK__" hidden="1">{"fdsup://Directions/FactSet Auditing Viewer?action=AUDIT_VALUE&amp;DB=129&amp;ID1=57772K10&amp;VALUEID=02001&amp;SDATE=200802&amp;PERIODTYPE=QTR_STD&amp;SCFT=3&amp;window=popup_no_bar&amp;width=385&amp;height=120&amp;START_MAXIMIZED=FALSE&amp;creator=factset&amp;display_string=Audit"}</definedName>
    <definedName name="_1625__FDSAUDITLINK__" hidden="1">{"fdsup://Directions/FactSet Auditing Viewer?action=AUDIT_VALUE&amp;DB=129&amp;ID1=59511210&amp;VALUEID=02001&amp;SDATE=200801&amp;PERIODTYPE=QTR_STD&amp;SCFT=3&amp;window=popup_no_bar&amp;width=385&amp;height=120&amp;START_MAXIMIZED=FALSE&amp;creator=factset&amp;display_string=Audit"}</definedName>
    <definedName name="_1626__FDSAUDITLINK__" hidden="1">{"fdsup://Directions/FactSet Auditing Viewer?action=AUDIT_VALUE&amp;DB=129&amp;ID1=59511210&amp;VALUEID=02001&amp;SDATE=200801&amp;PERIODTYPE=QTR_STD&amp;SCFT=3&amp;window=popup_no_bar&amp;width=385&amp;height=120&amp;START_MAXIMIZED=FALSE&amp;creator=factset&amp;display_string=Audit"}</definedName>
    <definedName name="_1627__FDSAUDITLINK__" hidden="1">{"fdsup://Directions/FactSet Auditing Viewer?action=AUDIT_VALUE&amp;DB=129&amp;ID1=59513710&amp;VALUEID=02001&amp;SDATE=200801&amp;PERIODTYPE=QTR_STD&amp;SCFT=3&amp;window=popup_no_bar&amp;width=385&amp;height=120&amp;START_MAXIMIZED=FALSE&amp;creator=factset&amp;display_string=Audit"}</definedName>
    <definedName name="_1628__FDSAUDITLINK__" hidden="1">{"fdsup://Directions/FactSet Auditing Viewer?action=AUDIT_VALUE&amp;DB=129&amp;ID1=59513710&amp;VALUEID=02001&amp;SDATE=200801&amp;PERIODTYPE=QTR_STD&amp;SCFT=3&amp;window=popup_no_bar&amp;width=385&amp;height=120&amp;START_MAXIMIZED=FALSE&amp;creator=factset&amp;display_string=Audit"}</definedName>
    <definedName name="_1629__FDSAUDITLINK__" hidden="1">{"fdsup://Directions/FactSet Auditing Viewer?action=AUDIT_VALUE&amp;DB=129&amp;ID1=60456710&amp;VALUEID=02001&amp;SDATE=200802&amp;PERIODTYPE=QTR_STD&amp;SCFT=3&amp;window=popup_no_bar&amp;width=385&amp;height=120&amp;START_MAXIMIZED=FALSE&amp;creator=factset&amp;display_string=Audit"}</definedName>
    <definedName name="_163__FDSAUDITLINK__" hidden="1">{"fdsup://Directions/FactSet Auditing Viewer?action=AUDIT_VALUE&amp;DB=129&amp;ID1=89674K10&amp;VALUEID=02001&amp;SDATE=201004&amp;PERIODTYPE=QTR_STD&amp;SCFT=3&amp;window=popup_no_bar&amp;width=385&amp;height=120&amp;START_MAXIMIZED=FALSE&amp;creator=factset&amp;display_string=Audit"}</definedName>
    <definedName name="_1630__FDSAUDITLINK__" hidden="1">{"fdsup://Directions/FactSet Auditing Viewer?action=AUDIT_VALUE&amp;DB=129&amp;ID1=60456710&amp;VALUEID=02001&amp;SDATE=200802&amp;PERIODTYPE=QTR_STD&amp;SCFT=3&amp;window=popup_no_bar&amp;width=385&amp;height=120&amp;START_MAXIMIZED=FALSE&amp;creator=factset&amp;display_string=Audit"}</definedName>
    <definedName name="_1631__FDSAUDITLINK__" hidden="1">{"fdsup://Directions/FactSet Auditing Viewer?action=AUDIT_VALUE&amp;DB=129&amp;ID1=59501710&amp;VALUEID=02001&amp;SDATE=200703&amp;PERIODTYPE=QTR_STD&amp;SCFT=3&amp;window=popup_no_bar&amp;width=385&amp;height=120&amp;START_MAXIMIZED=FALSE&amp;creator=factset&amp;display_string=Audit"}</definedName>
    <definedName name="_1632__FDSAUDITLINK__" hidden="1">{"fdsup://Directions/FactSet Auditing Viewer?action=AUDIT_VALUE&amp;DB=129&amp;ID1=59501710&amp;VALUEID=02001&amp;SDATE=200703&amp;PERIODTYPE=QTR_STD&amp;SCFT=3&amp;window=popup_no_bar&amp;width=385&amp;height=120&amp;START_MAXIMIZED=FALSE&amp;creator=factset&amp;display_string=Audit"}</definedName>
    <definedName name="_1633__FDSAUDITLINK__" hidden="1">{"fdsup://Directions/FactSet Auditing Viewer?action=AUDIT_VALUE&amp;DB=129&amp;ID1=51280710&amp;VALUEID=02001&amp;SDATE=200802&amp;PERIODTYPE=QTR_STD&amp;SCFT=3&amp;window=popup_no_bar&amp;width=385&amp;height=120&amp;START_MAXIMIZED=FALSE&amp;creator=factset&amp;display_string=Audit"}</definedName>
    <definedName name="_1634__FDSAUDITLINK__" hidden="1">{"fdsup://Directions/FactSet Auditing Viewer?action=AUDIT_VALUE&amp;DB=129&amp;ID1=51280710&amp;VALUEID=02001&amp;SDATE=200802&amp;PERIODTYPE=QTR_STD&amp;SCFT=3&amp;window=popup_no_bar&amp;width=385&amp;height=120&amp;START_MAXIMIZED=FALSE&amp;creator=factset&amp;display_string=Audit"}</definedName>
    <definedName name="_1635__FDSAUDITLINK__" hidden="1">{"fdsup://Directions/FactSet Auditing Viewer?action=AUDIT_VALUE&amp;DB=129&amp;ID1=53567810&amp;VALUEID=02001&amp;SDATE=200802&amp;PERIODTYPE=QTR_STD&amp;SCFT=3&amp;window=popup_no_bar&amp;width=385&amp;height=120&amp;START_MAXIMIZED=FALSE&amp;creator=factset&amp;display_string=Audit"}</definedName>
    <definedName name="_1636__FDSAUDITLINK__" hidden="1">{"fdsup://Directions/FactSet Auditing Viewer?action=AUDIT_VALUE&amp;DB=129&amp;ID1=53567810&amp;VALUEID=02001&amp;SDATE=200802&amp;PERIODTYPE=QTR_STD&amp;SCFT=3&amp;window=popup_no_bar&amp;width=385&amp;height=120&amp;START_MAXIMIZED=FALSE&amp;creator=factset&amp;display_string=Audit"}</definedName>
    <definedName name="_1637__FDSAUDITLINK__" hidden="1">{"fdsup://Directions/FactSet Auditing Viewer?action=AUDIT_VALUE&amp;DB=129&amp;ID1=48248010&amp;VALUEID=02001&amp;SDATE=200802&amp;PERIODTYPE=QTR_STD&amp;SCFT=3&amp;window=popup_no_bar&amp;width=385&amp;height=120&amp;START_MAXIMIZED=FALSE&amp;creator=factset&amp;display_string=Audit"}</definedName>
    <definedName name="_1638__FDSAUDITLINK__" hidden="1">{"fdsup://Directions/FactSet Auditing Viewer?action=AUDIT_VALUE&amp;DB=129&amp;ID1=48248010&amp;VALUEID=02001&amp;SDATE=200802&amp;PERIODTYPE=QTR_STD&amp;SCFT=3&amp;window=popup_no_bar&amp;width=385&amp;height=120&amp;START_MAXIMIZED=FALSE&amp;creator=factset&amp;display_string=Audit"}</definedName>
    <definedName name="_1639__FDSAUDITLINK__" hidden="1">{"fdsup://Directions/FactSet Auditing Viewer?action=AUDIT_VALUE&amp;DB=129&amp;ID1=48836020&amp;VALUEID=02001&amp;SDATE=200703&amp;PERIODTYPE=QTR_STD&amp;SCFT=3&amp;window=popup_no_bar&amp;width=385&amp;height=120&amp;START_MAXIMIZED=FALSE&amp;creator=factset&amp;display_string=Audit"}</definedName>
    <definedName name="_164__FDSAUDITLINK__" hidden="1">{"fdsup://Directions/FactSet Auditing Viewer?action=AUDIT_VALUE&amp;DB=129&amp;ID1=89674K10&amp;VALUEID=02001&amp;SDATE=201004&amp;PERIODTYPE=QTR_STD&amp;SCFT=3&amp;window=popup_no_bar&amp;width=385&amp;height=120&amp;START_MAXIMIZED=FALSE&amp;creator=factset&amp;display_string=Audit"}</definedName>
    <definedName name="_1640__FDSAUDITLINK__" hidden="1">{"fdsup://Directions/FactSet Auditing Viewer?action=AUDIT_VALUE&amp;DB=129&amp;ID1=48836020&amp;VALUEID=02001&amp;SDATE=200703&amp;PERIODTYPE=QTR_STD&amp;SCFT=3&amp;window=popup_no_bar&amp;width=385&amp;height=120&amp;START_MAXIMIZED=FALSE&amp;creator=factset&amp;display_string=Audit"}</definedName>
    <definedName name="_1641__FDSAUDITLINK__" hidden="1">{"fdsup://Directions/FactSet Auditing Viewer?action=AUDIT_VALUE&amp;DB=129&amp;ID1=86681020&amp;VALUEID=02001&amp;SDATE=200802&amp;PERIODTYPE=QTR_STD&amp;SCFT=3&amp;window=popup_no_bar&amp;width=385&amp;height=120&amp;START_MAXIMIZED=FALSE&amp;creator=factset&amp;display_string=Audit"}</definedName>
    <definedName name="_1642__FDSAUDITLINK__" hidden="1">{"fdsup://Directions/FactSet Auditing Viewer?action=AUDIT_VALUE&amp;DB=129&amp;ID1=86681020&amp;VALUEID=02001&amp;SDATE=200802&amp;PERIODTYPE=QTR_STD&amp;SCFT=3&amp;window=popup_no_bar&amp;width=385&amp;height=120&amp;START_MAXIMIZED=FALSE&amp;creator=factset&amp;display_string=Audit"}</definedName>
    <definedName name="_1643__FDSAUDITLINK__" hidden="1">{"fdsup://Directions/FactSet Auditing Viewer?action=AUDIT_VALUE&amp;DB=129&amp;ID1=46025410&amp;VALUEID=02001&amp;SDATE=200802&amp;PERIODTYPE=QTR_STD&amp;SCFT=3&amp;window=popup_no_bar&amp;width=385&amp;height=120&amp;START_MAXIMIZED=FALSE&amp;creator=factset&amp;display_string=Audit"}</definedName>
    <definedName name="_1644__FDSAUDITLINK__" hidden="1">{"fdsup://Directions/FactSet Auditing Viewer?action=AUDIT_VALUE&amp;DB=129&amp;ID1=46025410&amp;VALUEID=02001&amp;SDATE=200802&amp;PERIODTYPE=QTR_STD&amp;SCFT=3&amp;window=popup_no_bar&amp;width=385&amp;height=120&amp;START_MAXIMIZED=FALSE&amp;creator=factset&amp;display_string=Audit"}</definedName>
    <definedName name="_1645__FDSAUDITLINK__" hidden="1">{"fdsup://Directions/FactSet Auditing Viewer?action=AUDIT_VALUE&amp;DB=129&amp;ID1=45811810&amp;VALUEID=02001&amp;SDATE=200703&amp;PERIODTYPE=QTR_STD&amp;SCFT=3&amp;window=popup_no_bar&amp;width=385&amp;height=120&amp;START_MAXIMIZED=FALSE&amp;creator=factset&amp;display_string=Audit"}</definedName>
    <definedName name="_1646__FDSAUDITLINK__" hidden="1">{"fdsup://Directions/FactSet Auditing Viewer?action=AUDIT_VALUE&amp;DB=129&amp;ID1=45811810&amp;VALUEID=02001&amp;SDATE=200703&amp;PERIODTYPE=QTR_STD&amp;SCFT=3&amp;window=popup_no_bar&amp;width=385&amp;height=120&amp;START_MAXIMIZED=FALSE&amp;creator=factset&amp;display_string=Audit"}</definedName>
    <definedName name="_1647__FDSAUDITLINK__" hidden="1">{"fdsup://Directions/FactSet Auditing Viewer?action=AUDIT_VALUE&amp;DB=129&amp;ID1=42823610&amp;VALUEID=02001&amp;SDATE=200801&amp;PERIODTYPE=QTR_STD&amp;SCFT=3&amp;window=popup_no_bar&amp;width=385&amp;height=120&amp;START_MAXIMIZED=FALSE&amp;creator=factset&amp;display_string=Audit"}</definedName>
    <definedName name="_1648__FDSAUDITLINK__" hidden="1">{"fdsup://Directions/FactSet Auditing Viewer?action=AUDIT_VALUE&amp;DB=129&amp;ID1=42823610&amp;VALUEID=02001&amp;SDATE=200801&amp;PERIODTYPE=QTR_STD&amp;SCFT=3&amp;window=popup_no_bar&amp;width=385&amp;height=120&amp;START_MAXIMIZED=FALSE&amp;creator=factset&amp;display_string=Audit"}</definedName>
    <definedName name="_1649__FDSAUDITLINK__" hidden="1">{"fdsup://Directions/FactSet Auditing Viewer?action=AUDIT_VALUE&amp;DB=129&amp;ID1=31561610&amp;VALUEID=02001&amp;SDATE=200801&amp;PERIODTYPE=QTR_STD&amp;SCFT=3&amp;window=popup_no_bar&amp;width=385&amp;height=120&amp;START_MAXIMIZED=FALSE&amp;creator=factset&amp;display_string=Audit"}</definedName>
    <definedName name="_165__FDSAUDITLINK__" hidden="1">{"fdsup://Directions/FactSet Auditing Viewer?action=AUDIT_VALUE&amp;DB=129&amp;ID1=83088M10&amp;VALUEID=02001&amp;SDATE=201101&amp;PERIODTYPE=QTR_STD&amp;SCFT=3&amp;window=popup_no_bar&amp;width=385&amp;height=120&amp;START_MAXIMIZED=FALSE&amp;creator=factset&amp;display_string=Audit"}</definedName>
    <definedName name="_1650__FDSAUDITLINK__" hidden="1">{"fdsup://Directions/FactSet Auditing Viewer?action=AUDIT_VALUE&amp;DB=129&amp;ID1=31561610&amp;VALUEID=02001&amp;SDATE=200801&amp;PERIODTYPE=QTR_STD&amp;SCFT=3&amp;window=popup_no_bar&amp;width=385&amp;height=120&amp;START_MAXIMIZED=FALSE&amp;creator=factset&amp;display_string=Audit"}</definedName>
    <definedName name="_1651__FDSAUDITLINK__" hidden="1">{"fdsup://Directions/FactSet Auditing Viewer?action=AUDIT_VALUE&amp;DB=129&amp;ID1=29247520&amp;VALUEID=02001&amp;SDATE=200802&amp;PERIODTYPE=QTR_STD&amp;SCFT=3&amp;window=popup_no_bar&amp;width=385&amp;height=120&amp;START_MAXIMIZED=FALSE&amp;creator=factset&amp;display_string=Audit"}</definedName>
    <definedName name="_1652__FDSAUDITLINK__" hidden="1">{"fdsup://Directions/FactSet Auditing Viewer?action=AUDIT_VALUE&amp;DB=129&amp;ID1=29247520&amp;VALUEID=02001&amp;SDATE=200802&amp;PERIODTYPE=QTR_STD&amp;SCFT=3&amp;window=popup_no_bar&amp;width=385&amp;height=120&amp;START_MAXIMIZED=FALSE&amp;creator=factset&amp;display_string=Audit"}</definedName>
    <definedName name="_1653__FDSAUDITLINK__" hidden="1">{"fdsup://Directions/FactSet Auditing Viewer?action=AUDIT_VALUE&amp;DB=129&amp;ID1=17275R10&amp;VALUEID=02001&amp;SDATE=200802&amp;PERIODTYPE=QTR_STD&amp;SCFT=3&amp;window=popup_no_bar&amp;width=385&amp;height=120&amp;START_MAXIMIZED=FALSE&amp;creator=factset&amp;display_string=Audit"}</definedName>
    <definedName name="_1654__FDSAUDITLINK__" hidden="1">{"fdsup://Directions/FactSet Auditing Viewer?action=AUDIT_VALUE&amp;DB=129&amp;ID1=17275R10&amp;VALUEID=02001&amp;SDATE=200802&amp;PERIODTYPE=QTR_STD&amp;SCFT=3&amp;window=popup_no_bar&amp;width=385&amp;height=120&amp;START_MAXIMIZED=FALSE&amp;creator=factset&amp;display_string=Audit"}</definedName>
    <definedName name="_1655__FDSAUDITLINK__" hidden="1">{"fdsup://Directions/FactSet Auditing Viewer?action=AUDIT_VALUE&amp;DB=129&amp;ID1=22544710&amp;VALUEID=02001&amp;SDATE=200802&amp;PERIODTYPE=QTR_STD&amp;SCFT=3&amp;window=popup_no_bar&amp;width=385&amp;height=120&amp;START_MAXIMIZED=FALSE&amp;creator=factset&amp;display_string=Audit"}</definedName>
    <definedName name="_1656__FDSAUDITLINK__" hidden="1">{"fdsup://Directions/FactSet Auditing Viewer?action=AUDIT_VALUE&amp;DB=129&amp;ID1=22544710&amp;VALUEID=02001&amp;SDATE=200802&amp;PERIODTYPE=QTR_STD&amp;SCFT=3&amp;window=popup_no_bar&amp;width=385&amp;height=120&amp;START_MAXIMIZED=FALSE&amp;creator=factset&amp;display_string=Audit"}</definedName>
    <definedName name="_1657__FDSAUDITLINK__" hidden="1">{"fdsup://Directions/FactSet Auditing Viewer?action=AUDIT_VALUE&amp;DB=129&amp;ID1=20714230&amp;VALUEID=02001&amp;SDATE=200801&amp;PERIODTYPE=QTR_STD&amp;SCFT=3&amp;window=popup_no_bar&amp;width=385&amp;height=120&amp;START_MAXIMIZED=FALSE&amp;creator=factset&amp;display_string=Audit"}</definedName>
    <definedName name="_1658__FDSAUDITLINK__" hidden="1">{"fdsup://Directions/FactSet Auditing Viewer?action=AUDIT_VALUE&amp;DB=129&amp;ID1=20714230&amp;VALUEID=02001&amp;SDATE=200801&amp;PERIODTYPE=QTR_STD&amp;SCFT=3&amp;window=popup_no_bar&amp;width=385&amp;height=120&amp;START_MAXIMIZED=FALSE&amp;creator=factset&amp;display_string=Audit"}</definedName>
    <definedName name="_1659__FDSAUDITLINK__" hidden="1">{"fdsup://Directions/FactSet Auditing Viewer?action=AUDIT_VALUE&amp;DB=129&amp;ID1=11162130&amp;VALUEID=02001&amp;SDATE=200801&amp;PERIODTYPE=QTR_STD&amp;SCFT=3&amp;window=popup_no_bar&amp;width=385&amp;height=120&amp;START_MAXIMIZED=FALSE&amp;creator=factset&amp;display_string=Audit"}</definedName>
    <definedName name="_166__FDSAUDITLINK__" hidden="1">{"fdsup://Directions/FactSet Auditing Viewer?action=AUDIT_VALUE&amp;DB=129&amp;ID1=83088M10&amp;VALUEID=02001&amp;SDATE=201101&amp;PERIODTYPE=QTR_STD&amp;SCFT=3&amp;window=popup_no_bar&amp;width=385&amp;height=120&amp;START_MAXIMIZED=FALSE&amp;creator=factset&amp;display_string=Audit"}</definedName>
    <definedName name="_1660__FDSAUDITLINK__" hidden="1">{"fdsup://Directions/FactSet Auditing Viewer?action=AUDIT_VALUE&amp;DB=129&amp;ID1=11162130&amp;VALUEID=02001&amp;SDATE=200801&amp;PERIODTYPE=QTR_STD&amp;SCFT=3&amp;window=popup_no_bar&amp;width=385&amp;height=120&amp;START_MAXIMIZED=FALSE&amp;creator=factset&amp;display_string=Audit"}</definedName>
    <definedName name="_1661__FDSAUDITLINK__" hidden="1">{"fdsup://Directions/FactSet Auditing Viewer?action=AUDIT_VALUE&amp;DB=129&amp;ID1=03822W40&amp;VALUEID=02001&amp;SDATE=200703&amp;PERIODTYPE=QTR_STD&amp;SCFT=3&amp;window=popup_no_bar&amp;width=385&amp;height=120&amp;START_MAXIMIZED=FALSE&amp;creator=factset&amp;display_string=Audit"}</definedName>
    <definedName name="_1662__FDSAUDITLINK__" hidden="1">{"fdsup://Directions/FactSet Auditing Viewer?action=AUDIT_VALUE&amp;DB=129&amp;ID1=03822W40&amp;VALUEID=02001&amp;SDATE=200703&amp;PERIODTYPE=QTR_STD&amp;SCFT=3&amp;window=popup_no_bar&amp;width=385&amp;height=120&amp;START_MAXIMIZED=FALSE&amp;creator=factset&amp;display_string=Audit"}</definedName>
    <definedName name="_1663__FDSAUDITLINK__" hidden="1">{"fdsup://Directions/FactSet Auditing Viewer?action=AUDIT_VALUE&amp;DB=129&amp;ID1=03822210&amp;VALUEID=02001&amp;SDATE=200801&amp;PERIODTYPE=QTR_STD&amp;SCFT=3&amp;window=popup_no_bar&amp;width=385&amp;height=120&amp;START_MAXIMIZED=FALSE&amp;creator=factset&amp;display_string=Audit"}</definedName>
    <definedName name="_1664__FDSAUDITLINK__" hidden="1">{"fdsup://Directions/FactSet Auditing Viewer?action=AUDIT_VALUE&amp;DB=129&amp;ID1=03822210&amp;VALUEID=02001&amp;SDATE=200801&amp;PERIODTYPE=QTR_STD&amp;SCFT=3&amp;window=popup_no_bar&amp;width=385&amp;height=120&amp;START_MAXIMIZED=FALSE&amp;creator=factset&amp;display_string=Audit"}</definedName>
    <definedName name="_1665__FDSAUDITLINK__" hidden="1">{"fdsup://Directions/FactSet Auditing Viewer?action=AUDIT_VALUE&amp;DB=129&amp;ID1=03265410&amp;VALUEID=02001&amp;SDATE=200801&amp;PERIODTYPE=QTR_STD&amp;SCFT=3&amp;window=popup_no_bar&amp;width=385&amp;height=120&amp;START_MAXIMIZED=FALSE&amp;creator=factset&amp;display_string=Audit"}</definedName>
    <definedName name="_1666__FDSAUDITLINK__" hidden="1">{"fdsup://Directions/FactSet Auditing Viewer?action=AUDIT_VALUE&amp;DB=129&amp;ID1=03265410&amp;VALUEID=02001&amp;SDATE=200801&amp;PERIODTYPE=QTR_STD&amp;SCFT=3&amp;window=popup_no_bar&amp;width=385&amp;height=120&amp;START_MAXIMIZED=FALSE&amp;creator=factset&amp;display_string=Audit"}</definedName>
    <definedName name="_1667__FDSAUDITLINK__" hidden="1">{"fdsup://Directions/FactSet Auditing Viewer?action=AUDIT_VALUE&amp;DB=129&amp;ID1=98975F10&amp;VALUEID=02001&amp;SDATE=200703&amp;PERIODTYPE=QTR_STD&amp;SCFT=3&amp;window=popup_no_bar&amp;width=385&amp;height=120&amp;START_MAXIMIZED=FALSE&amp;creator=factset&amp;display_string=Audit"}</definedName>
    <definedName name="_1668__FDSAUDITLINK__" hidden="1">{"fdsup://Directions/FactSet Auditing Viewer?action=AUDIT_VALUE&amp;DB=129&amp;ID1=98975F10&amp;VALUEID=02001&amp;SDATE=200703&amp;PERIODTYPE=QTR_STD&amp;SCFT=3&amp;window=popup_no_bar&amp;width=385&amp;height=120&amp;START_MAXIMIZED=FALSE&amp;creator=factset&amp;display_string=Audit"}</definedName>
    <definedName name="_1669__FDSAUDITLINK__" hidden="1">{"fdsup://Directions/FactSet Auditing Viewer?action=AUDIT_VALUE&amp;DB=129&amp;ID1=98391910&amp;VALUEID=02001&amp;SDATE=200702&amp;PERIODTYPE=QTR_STD&amp;SCFT=3&amp;window=popup_no_bar&amp;width=385&amp;height=120&amp;START_MAXIMIZED=FALSE&amp;creator=factset&amp;display_string=Audit"}</definedName>
    <definedName name="_167__FDSAUDITLINK__" hidden="1">{"fdsup://Directions/FactSet Auditing Viewer?action=AUDIT_VALUE&amp;DB=129&amp;ID1=G7945M10&amp;VALUEID=02001&amp;SDATE=201102&amp;PERIODTYPE=QTR_STD&amp;SCFT=3&amp;window=popup_no_bar&amp;width=385&amp;height=120&amp;START_MAXIMIZED=FALSE&amp;creator=factset&amp;display_string=Audit"}</definedName>
    <definedName name="_1670__FDSAUDITLINK__" hidden="1">{"fdsup://Directions/FactSet Auditing Viewer?action=AUDIT_VALUE&amp;DB=129&amp;ID1=98391910&amp;VALUEID=02001&amp;SDATE=200702&amp;PERIODTYPE=QTR_STD&amp;SCFT=3&amp;window=popup_no_bar&amp;width=385&amp;height=120&amp;START_MAXIMIZED=FALSE&amp;creator=factset&amp;display_string=Audit"}</definedName>
    <definedName name="_1671__FDSAUDITLINK__" hidden="1">{"fdsup://Directions/FactSet Auditing Viewer?action=AUDIT_VALUE&amp;DB=129&amp;ID1=95810210&amp;VALUEID=02001&amp;SDATE=200801&amp;PERIODTYPE=QTR_STD&amp;SCFT=3&amp;window=popup_no_bar&amp;width=385&amp;height=120&amp;START_MAXIMIZED=FALSE&amp;creator=factset&amp;display_string=Audit"}</definedName>
    <definedName name="_1672__FDSAUDITLINK__" hidden="1">{"fdsup://Directions/FactSet Auditing Viewer?action=AUDIT_VALUE&amp;DB=129&amp;ID1=95810210&amp;VALUEID=02001&amp;SDATE=200801&amp;PERIODTYPE=QTR_STD&amp;SCFT=3&amp;window=popup_no_bar&amp;width=385&amp;height=120&amp;START_MAXIMIZED=FALSE&amp;creator=factset&amp;display_string=Audit"}</definedName>
    <definedName name="_1673__FDSAUDITLINK__" hidden="1">{"fdsup://Directions/FactSet Auditing Viewer?action=AUDIT_VALUE&amp;DB=129&amp;ID1=92829810&amp;VALUEID=02001&amp;SDATE=200703&amp;PERIODTYPE=QTR_STD&amp;SCFT=3&amp;window=popup_no_bar&amp;width=385&amp;height=120&amp;START_MAXIMIZED=FALSE&amp;creator=factset&amp;display_string=Audit"}</definedName>
    <definedName name="_1674__FDSAUDITLINK__" hidden="1">{"fdsup://Directions/FactSet Auditing Viewer?action=AUDIT_VALUE&amp;DB=129&amp;ID1=92829810&amp;VALUEID=02001&amp;SDATE=200703&amp;PERIODTYPE=QTR_STD&amp;SCFT=3&amp;window=popup_no_bar&amp;width=385&amp;height=120&amp;START_MAXIMIZED=FALSE&amp;creator=factset&amp;display_string=Audit"}</definedName>
    <definedName name="_1675__FDSAUDITLINK__" hidden="1">{"fdsup://Directions/FactSet Auditing Viewer?action=AUDIT_VALUE&amp;DB=129&amp;ID1=88250810&amp;VALUEID=02001&amp;SDATE=200703&amp;PERIODTYPE=QTR_STD&amp;SCFT=3&amp;window=popup_no_bar&amp;width=385&amp;height=120&amp;START_MAXIMIZED=FALSE&amp;creator=factset&amp;display_string=Audit"}</definedName>
    <definedName name="_1676__FDSAUDITLINK__" hidden="1">{"fdsup://Directions/FactSet Auditing Viewer?action=AUDIT_VALUE&amp;DB=129&amp;ID1=88250810&amp;VALUEID=02001&amp;SDATE=200703&amp;PERIODTYPE=QTR_STD&amp;SCFT=3&amp;window=popup_no_bar&amp;width=385&amp;height=120&amp;START_MAXIMIZED=FALSE&amp;creator=factset&amp;display_string=Audit"}</definedName>
    <definedName name="_1677__FDSAUDITLINK__" hidden="1">{"fdsup://Directions/FactSet Auditing Viewer?action=AUDIT_VALUE&amp;DB=129&amp;ID1=89674K10&amp;VALUEID=02001&amp;SDATE=200703&amp;PERIODTYPE=QTR_STD&amp;SCFT=3&amp;window=popup_no_bar&amp;width=385&amp;height=120&amp;START_MAXIMIZED=FALSE&amp;creator=factset&amp;display_string=Audit"}</definedName>
    <definedName name="_1678__FDSAUDITLINK__" hidden="1">{"fdsup://Directions/FactSet Auditing Viewer?action=AUDIT_VALUE&amp;DB=129&amp;ID1=89674K10&amp;VALUEID=02001&amp;SDATE=200703&amp;PERIODTYPE=QTR_STD&amp;SCFT=3&amp;window=popup_no_bar&amp;width=385&amp;height=120&amp;START_MAXIMIZED=FALSE&amp;creator=factset&amp;display_string=Audit"}</definedName>
    <definedName name="_1679__FDSAUDITLINK__" hidden="1">{"fdsup://Directions/FactSet Auditing Viewer?action=AUDIT_VALUE&amp;DB=129&amp;ID1=G7945M10&amp;VALUEID=02001&amp;SDATE=200801&amp;PERIODTYPE=QTR_STD&amp;SCFT=3&amp;window=popup_no_bar&amp;width=385&amp;height=120&amp;START_MAXIMIZED=FALSE&amp;creator=factset&amp;display_string=Audit"}</definedName>
    <definedName name="_168__FDSAUDITLINK__" hidden="1">{"fdsup://Directions/FactSet Auditing Viewer?action=AUDIT_VALUE&amp;DB=129&amp;ID1=G7945M10&amp;VALUEID=02001&amp;SDATE=201102&amp;PERIODTYPE=QTR_STD&amp;SCFT=3&amp;window=popup_no_bar&amp;width=385&amp;height=120&amp;START_MAXIMIZED=FALSE&amp;creator=factset&amp;display_string=Audit"}</definedName>
    <definedName name="_1680__FDSAUDITLINK__" hidden="1">{"fdsup://Directions/FactSet Auditing Viewer?action=AUDIT_VALUE&amp;DB=129&amp;ID1=G7945M10&amp;VALUEID=02001&amp;SDATE=200801&amp;PERIODTYPE=QTR_STD&amp;SCFT=3&amp;window=popup_no_bar&amp;width=385&amp;height=120&amp;START_MAXIMIZED=FALSE&amp;creator=factset&amp;display_string=Audit"}</definedName>
    <definedName name="_1681__FDSAUDITLINK__" hidden="1">{"fdsup://Directions/FactSet Auditing Viewer?action=AUDIT_VALUE&amp;DB=129&amp;ID1=78477410&amp;VALUEID=02001&amp;SDATE=200703&amp;PERIODTYPE=QTR_STD&amp;SCFT=3&amp;window=popup_no_bar&amp;width=385&amp;height=120&amp;START_MAXIMIZED=FALSE&amp;creator=factset&amp;display_string=Audit"}</definedName>
    <definedName name="_1682__FDSAUDITLINK__" hidden="1">{"fdsup://Directions/FactSet Auditing Viewer?action=AUDIT_VALUE&amp;DB=129&amp;ID1=78477410&amp;VALUEID=02001&amp;SDATE=200703&amp;PERIODTYPE=QTR_STD&amp;SCFT=3&amp;window=popup_no_bar&amp;width=385&amp;height=120&amp;START_MAXIMIZED=FALSE&amp;creator=factset&amp;display_string=Audit"}</definedName>
    <definedName name="_1683__FDSAUDITLINK__" hidden="1">{"fdsup://Directions/FactSet Auditing Viewer?action=AUDIT_VALUE&amp;DB=129&amp;ID1=82705710&amp;VALUEID=02001&amp;SDATE=200703&amp;PERIODTYPE=QTR_STD&amp;SCFT=3&amp;window=popup_no_bar&amp;width=385&amp;height=120&amp;START_MAXIMIZED=FALSE&amp;creator=factset&amp;display_string=Audit"}</definedName>
    <definedName name="_1684__FDSAUDITLINK__" hidden="1">{"fdsup://Directions/FactSet Auditing Viewer?action=AUDIT_VALUE&amp;DB=129&amp;ID1=82705710&amp;VALUEID=02001&amp;SDATE=200703&amp;PERIODTYPE=QTR_STD&amp;SCFT=3&amp;window=popup_no_bar&amp;width=385&amp;height=120&amp;START_MAXIMIZED=FALSE&amp;creator=factset&amp;display_string=Audit"}</definedName>
    <definedName name="_1685__FDSAUDITLINK__" hidden="1">{"fdsup://Directions/FactSet Auditing Viewer?action=AUDIT_VALUE&amp;DB=129&amp;ID1=83547010&amp;VALUEID=02001&amp;SDATE=200703&amp;PERIODTYPE=QTR_STD&amp;SCFT=3&amp;window=popup_no_bar&amp;width=385&amp;height=120&amp;START_MAXIMIZED=FALSE&amp;creator=factset&amp;display_string=Audit"}</definedName>
    <definedName name="_1686__FDSAUDITLINK__" hidden="1">{"fdsup://Directions/FactSet Auditing Viewer?action=AUDIT_VALUE&amp;DB=129&amp;ID1=83547010&amp;VALUEID=02001&amp;SDATE=200703&amp;PERIODTYPE=QTR_STD&amp;SCFT=3&amp;window=popup_no_bar&amp;width=385&amp;height=120&amp;START_MAXIMIZED=FALSE&amp;creator=factset&amp;display_string=Audit"}</definedName>
    <definedName name="_1687__FDSAUDITLINK__" hidden="1">{"fdsup://Directions/FactSet Auditing Viewer?action=AUDIT_VALUE&amp;DB=129&amp;ID1=80004C10&amp;VALUEID=02001&amp;SDATE=200703&amp;PERIODTYPE=QTR_STD&amp;SCFT=3&amp;window=popup_no_bar&amp;width=385&amp;height=120&amp;START_MAXIMIZED=FALSE&amp;creator=factset&amp;display_string=Audit"}</definedName>
    <definedName name="_1688__FDSAUDITLINK__" hidden="1">{"fdsup://Directions/FactSet Auditing Viewer?action=AUDIT_VALUE&amp;DB=129&amp;ID1=80004C10&amp;VALUEID=02001&amp;SDATE=200703&amp;PERIODTYPE=QTR_STD&amp;SCFT=3&amp;window=popup_no_bar&amp;width=385&amp;height=120&amp;START_MAXIMIZED=FALSE&amp;creator=factset&amp;display_string=Audit"}</definedName>
    <definedName name="_1689__FDSAUDITLINK__" hidden="1">{"fdsup://Directions/FactSet Auditing Viewer?action=AUDIT_VALUE&amp;DB=129&amp;ID1=81685010&amp;VALUEID=02001&amp;SDATE=200703&amp;PERIODTYPE=QTR_STD&amp;SCFT=3&amp;window=popup_no_bar&amp;width=385&amp;height=120&amp;START_MAXIMIZED=FALSE&amp;creator=factset&amp;display_string=Audit"}</definedName>
    <definedName name="_169__FDSAUDITLINK__" hidden="1">{"fdsup://Directions/FactSet Auditing Viewer?action=AUDIT_VALUE&amp;DB=129&amp;ID1=78477410&amp;VALUEID=02001&amp;SDATE=201004&amp;PERIODTYPE=QTR_STD&amp;SCFT=3&amp;window=popup_no_bar&amp;width=385&amp;height=120&amp;START_MAXIMIZED=FALSE&amp;creator=factset&amp;display_string=Audit"}</definedName>
    <definedName name="_1690__FDSAUDITLINK__" hidden="1">{"fdsup://Directions/FactSet Auditing Viewer?action=AUDIT_VALUE&amp;DB=129&amp;ID1=81685010&amp;VALUEID=02001&amp;SDATE=200703&amp;PERIODTYPE=QTR_STD&amp;SCFT=3&amp;window=popup_no_bar&amp;width=385&amp;height=120&amp;START_MAXIMIZED=FALSE&amp;creator=factset&amp;display_string=Audit"}</definedName>
    <definedName name="_1691__FDSAUDITLINK__" hidden="1">{"fdsup://Directions/FactSet Auditing Viewer?action=AUDIT_VALUE&amp;DB=129&amp;ID1=82691910&amp;VALUEID=02001&amp;SDATE=200703&amp;PERIODTYPE=QTR_STD&amp;SCFT=3&amp;window=popup_no_bar&amp;width=385&amp;height=120&amp;START_MAXIMIZED=FALSE&amp;creator=factset&amp;display_string=Audit"}</definedName>
    <definedName name="_1692__FDSAUDITLINK__" hidden="1">{"fdsup://Directions/FactSet Auditing Viewer?action=AUDIT_VALUE&amp;DB=129&amp;ID1=82691910&amp;VALUEID=02001&amp;SDATE=200703&amp;PERIODTYPE=QTR_STD&amp;SCFT=3&amp;window=popup_no_bar&amp;width=385&amp;height=120&amp;START_MAXIMIZED=FALSE&amp;creator=factset&amp;display_string=Audit"}</definedName>
    <definedName name="_1693__FDSAUDITLINK__" hidden="1">{"fdsup://Directions/FactSet Auditing Viewer?action=AUDIT_VALUE&amp;DB=129&amp;ID1=82705T10&amp;VALUEID=02001&amp;SDATE=200703&amp;PERIODTYPE=QTR_STD&amp;SCFT=3&amp;window=popup_no_bar&amp;width=385&amp;height=120&amp;START_MAXIMIZED=FALSE&amp;creator=factset&amp;display_string=Audit"}</definedName>
    <definedName name="_1694__FDSAUDITLINK__" hidden="1">{"fdsup://Directions/FactSet Auditing Viewer?action=AUDIT_VALUE&amp;DB=129&amp;ID1=82705T10&amp;VALUEID=02001&amp;SDATE=200703&amp;PERIODTYPE=QTR_STD&amp;SCFT=3&amp;window=popup_no_bar&amp;width=385&amp;height=120&amp;START_MAXIMIZED=FALSE&amp;creator=factset&amp;display_string=Audit"}</definedName>
    <definedName name="_1695__FDSAUDITLINK__" hidden="1">{"fdsup://Directions/FactSet Auditing Viewer?action=AUDIT_VALUE&amp;DB=129&amp;ID1=75091710&amp;VALUEID=02001&amp;SDATE=200703&amp;PERIODTYPE=QTR_STD&amp;SCFT=3&amp;window=popup_no_bar&amp;width=385&amp;height=120&amp;START_MAXIMIZED=FALSE&amp;creator=factset&amp;display_string=Audit"}</definedName>
    <definedName name="_1696__FDSAUDITLINK__" hidden="1">{"fdsup://Directions/FactSet Auditing Viewer?action=AUDIT_VALUE&amp;DB=129&amp;ID1=75091710&amp;VALUEID=02001&amp;SDATE=200703&amp;PERIODTYPE=QTR_STD&amp;SCFT=3&amp;window=popup_no_bar&amp;width=385&amp;height=120&amp;START_MAXIMIZED=FALSE&amp;creator=factset&amp;display_string=Audit"}</definedName>
    <definedName name="_1697__FDSAUDITLINK__" hidden="1">{"fdsup://Directions/FactSet Auditing Viewer?action=AUDIT_VALUE&amp;DB=129&amp;ID1=74994110&amp;VALUEID=02001&amp;SDATE=200702&amp;PERIODTYPE=QTR_STD&amp;SCFT=3&amp;window=popup_no_bar&amp;width=385&amp;height=120&amp;START_MAXIMIZED=FALSE&amp;creator=factset&amp;display_string=Audit"}</definedName>
    <definedName name="_1698__FDSAUDITLINK__" hidden="1">{"fdsup://Directions/FactSet Auditing Viewer?action=AUDIT_VALUE&amp;DB=129&amp;ID1=74994110&amp;VALUEID=02001&amp;SDATE=200702&amp;PERIODTYPE=QTR_STD&amp;SCFT=3&amp;window=popup_no_bar&amp;width=385&amp;height=120&amp;START_MAXIMIZED=FALSE&amp;creator=factset&amp;display_string=Audit"}</definedName>
    <definedName name="_1699__FDSAUDITLINK__" hidden="1">{"fdsup://Directions/FactSet Auditing Viewer?action=AUDIT_VALUE&amp;DB=129&amp;ID1=74727710&amp;VALUEID=02001&amp;SDATE=200702&amp;PERIODTYPE=QTR_STD&amp;SCFT=3&amp;window=popup_no_bar&amp;width=385&amp;height=120&amp;START_MAXIMIZED=FALSE&amp;creator=factset&amp;display_string=Audit"}</definedName>
    <definedName name="_17__FDSAUDITLINK__" hidden="1">{"fdsup://directions/FAT Viewer?action=UPDATE&amp;creator=factset&amp;DYN_ARGS=TRUE&amp;DOC_NAME=FAT:FQL_AUDITING_CLIENT_TEMPLATE.FAT&amp;display_string=Audit&amp;VAR:KEY=GLKDQTYVIN&amp;VAR:QUERY=RkZfU0hTX0ZMT0FUKEFOTiwp&amp;WINDOW=FIRST_POPUP&amp;HEIGHT=450&amp;WIDTH=450&amp;START_MAXIMIZED=FALS","E&amp;VAR:CALENDAR=US&amp;VAR:SYMBOL=WYNN RESORTS&amp;VAR:INDEX=0"}</definedName>
    <definedName name="_170__FDSAUDITLINK__" hidden="1">{"fdsup://Directions/FactSet Auditing Viewer?action=AUDIT_VALUE&amp;DB=129&amp;ID1=78477410&amp;VALUEID=02001&amp;SDATE=201004&amp;PERIODTYPE=QTR_STD&amp;SCFT=3&amp;window=popup_no_bar&amp;width=385&amp;height=120&amp;START_MAXIMIZED=FALSE&amp;creator=factset&amp;display_string=Audit"}</definedName>
    <definedName name="_1700__FDSAUDITLINK__" hidden="1">{"fdsup://Directions/FactSet Auditing Viewer?action=AUDIT_VALUE&amp;DB=129&amp;ID1=74727710&amp;VALUEID=02001&amp;SDATE=200702&amp;PERIODTYPE=QTR_STD&amp;SCFT=3&amp;window=popup_no_bar&amp;width=385&amp;height=120&amp;START_MAXIMIZED=FALSE&amp;creator=factset&amp;display_string=Audit"}</definedName>
    <definedName name="_1701__FDSAUDITLINK__" hidden="1">{"fdsup://Directions/FactSet Auditing Viewer?action=AUDIT_VALUE&amp;DB=129&amp;ID1=72581M30&amp;VALUEID=02001&amp;SDATE=200703&amp;PERIODTYPE=QTR_STD&amp;SCFT=3&amp;window=popup_no_bar&amp;width=385&amp;height=120&amp;START_MAXIMIZED=FALSE&amp;creator=factset&amp;display_string=Audit"}</definedName>
    <definedName name="_1702__FDSAUDITLINK__" hidden="1">{"fdsup://Directions/FactSet Auditing Viewer?action=AUDIT_VALUE&amp;DB=129&amp;ID1=72581M30&amp;VALUEID=02001&amp;SDATE=200703&amp;PERIODTYPE=QTR_STD&amp;SCFT=3&amp;window=popup_no_bar&amp;width=385&amp;height=120&amp;START_MAXIMIZED=FALSE&amp;creator=factset&amp;display_string=Audit"}</definedName>
    <definedName name="_1703__FDSAUDITLINK__" hidden="1">{"fdsup://Directions/FactSet Auditing Viewer?action=AUDIT_VALUE&amp;DB=129&amp;ID1=73927610&amp;VALUEID=02001&amp;SDATE=200703&amp;PERIODTYPE=QTR_STD&amp;SCFT=3&amp;window=popup_no_bar&amp;width=385&amp;height=120&amp;START_MAXIMIZED=FALSE&amp;creator=factset&amp;display_string=Audit"}</definedName>
    <definedName name="_1704__FDSAUDITLINK__" hidden="1">{"fdsup://Directions/FactSet Auditing Viewer?action=AUDIT_VALUE&amp;DB=129&amp;ID1=73927610&amp;VALUEID=02001&amp;SDATE=200703&amp;PERIODTYPE=QTR_STD&amp;SCFT=3&amp;window=popup_no_bar&amp;width=385&amp;height=120&amp;START_MAXIMIZED=FALSE&amp;creator=factset&amp;display_string=Audit"}</definedName>
    <definedName name="_1705__FDSAUDITLINK__" hidden="1">{"fdsup://Directions/FactSet Auditing Viewer?action=AUDIT_VALUE&amp;DB=129&amp;ID1=69344F10&amp;VALUEID=02001&amp;SDATE=200703&amp;PERIODTYPE=QTR_STD&amp;SCFT=3&amp;window=popup_no_bar&amp;width=385&amp;height=120&amp;START_MAXIMIZED=FALSE&amp;creator=factset&amp;display_string=Audit"}</definedName>
    <definedName name="_1706__FDSAUDITLINK__" hidden="1">{"fdsup://Directions/FactSet Auditing Viewer?action=AUDIT_VALUE&amp;DB=129&amp;ID1=69344F10&amp;VALUEID=02001&amp;SDATE=200703&amp;PERIODTYPE=QTR_STD&amp;SCFT=3&amp;window=popup_no_bar&amp;width=385&amp;height=120&amp;START_MAXIMIZED=FALSE&amp;creator=factset&amp;display_string=Audit"}</definedName>
    <definedName name="_1707__FDSAUDITLINK__" hidden="1">{"fdsup://Directions/FactSet Auditing Viewer?action=AUDIT_VALUE&amp;DB=129&amp;ID1=69341710&amp;VALUEID=02001&amp;SDATE=200703&amp;PERIODTYPE=QTR_STD&amp;SCFT=3&amp;window=popup_no_bar&amp;width=385&amp;height=120&amp;START_MAXIMIZED=FALSE&amp;creator=factset&amp;display_string=Audit"}</definedName>
    <definedName name="_1708__FDSAUDITLINK__" hidden="1">{"fdsup://Directions/FactSet Auditing Viewer?action=AUDIT_VALUE&amp;DB=129&amp;ID1=69341710&amp;VALUEID=02001&amp;SDATE=200703&amp;PERIODTYPE=QTR_STD&amp;SCFT=3&amp;window=popup_no_bar&amp;width=385&amp;height=120&amp;START_MAXIMIZED=FALSE&amp;creator=factset&amp;display_string=Audit"}</definedName>
    <definedName name="_1709__FDSAUDITLINK__" hidden="1">{"fdsup://Directions/FactSet Auditing Viewer?action=AUDIT_VALUE&amp;DB=129&amp;ID1=68218910&amp;VALUEID=02001&amp;SDATE=200703&amp;PERIODTYPE=QTR_STD&amp;SCFT=3&amp;window=popup_no_bar&amp;width=385&amp;height=120&amp;START_MAXIMIZED=FALSE&amp;creator=factset&amp;display_string=Audit"}</definedName>
    <definedName name="_171__FDSAUDITLINK__" hidden="1">{"fdsup://Directions/FactSet Auditing Viewer?action=AUDIT_VALUE&amp;DB=129&amp;ID1=87160710&amp;VALUEID=02001&amp;SDATE=201101&amp;PERIODTYPE=QTR_STD&amp;SCFT=3&amp;window=popup_no_bar&amp;width=385&amp;height=120&amp;START_MAXIMIZED=FALSE&amp;creator=factset&amp;display_string=Audit"}</definedName>
    <definedName name="_1710__FDSAUDITLINK__" hidden="1">{"fdsup://Directions/FactSet Auditing Viewer?action=AUDIT_VALUE&amp;DB=129&amp;ID1=68218910&amp;VALUEID=02001&amp;SDATE=200703&amp;PERIODTYPE=QTR_STD&amp;SCFT=3&amp;window=popup_no_bar&amp;width=385&amp;height=120&amp;START_MAXIMIZED=FALSE&amp;creator=factset&amp;display_string=Audit"}</definedName>
    <definedName name="_1711__FDSAUDITLINK__" hidden="1">{"fdsup://Directions/FactSet Auditing Viewer?action=AUDIT_VALUE&amp;DB=129&amp;ID1=67000810&amp;VALUEID=02001&amp;SDATE=200703&amp;PERIODTYPE=QTR_STD&amp;SCFT=3&amp;window=popup_no_bar&amp;width=385&amp;height=120&amp;START_MAXIMIZED=FALSE&amp;creator=factset&amp;display_string=Audit"}</definedName>
    <definedName name="_1712__FDSAUDITLINK__" hidden="1">{"fdsup://Directions/FactSet Auditing Viewer?action=AUDIT_VALUE&amp;DB=129&amp;ID1=67000810&amp;VALUEID=02001&amp;SDATE=200703&amp;PERIODTYPE=QTR_STD&amp;SCFT=3&amp;window=popup_no_bar&amp;width=385&amp;height=120&amp;START_MAXIMIZED=FALSE&amp;creator=factset&amp;display_string=Audit"}</definedName>
    <definedName name="_1713__FDSAUDITLINK__" hidden="1">{"fdsup://Directions/FactSet Auditing Viewer?action=AUDIT_VALUE&amp;DB=129&amp;ID1=67066G10&amp;VALUEID=02001&amp;SDATE=200703&amp;PERIODTYPE=QTR_STD&amp;SCFT=3&amp;window=popup_no_bar&amp;width=385&amp;height=120&amp;START_MAXIMIZED=FALSE&amp;creator=factset&amp;display_string=Audit"}</definedName>
    <definedName name="_1714__FDSAUDITLINK__" hidden="1">{"fdsup://Directions/FactSet Auditing Viewer?action=AUDIT_VALUE&amp;DB=129&amp;ID1=67066G10&amp;VALUEID=02001&amp;SDATE=200703&amp;PERIODTYPE=QTR_STD&amp;SCFT=3&amp;window=popup_no_bar&amp;width=385&amp;height=120&amp;START_MAXIMIZED=FALSE&amp;creator=factset&amp;display_string=Audit"}</definedName>
    <definedName name="_1715__FDSAUDITLINK__" hidden="1">{"fdsup://Directions/FactSet Auditing Viewer?action=AUDIT_VALUE&amp;DB=129&amp;ID1=63764010&amp;VALUEID=02001&amp;SDATE=200701&amp;PERIODTYPE=QTR_STD&amp;SCFT=3&amp;window=popup_no_bar&amp;width=385&amp;height=120&amp;START_MAXIMIZED=FALSE&amp;creator=factset&amp;display_string=Audit"}</definedName>
    <definedName name="_1716__FDSAUDITLINK__" hidden="1">{"fdsup://Directions/FactSet Auditing Viewer?action=AUDIT_VALUE&amp;DB=129&amp;ID1=63764010&amp;VALUEID=02001&amp;SDATE=200701&amp;PERIODTYPE=QTR_STD&amp;SCFT=3&amp;window=popup_no_bar&amp;width=385&amp;height=120&amp;START_MAXIMIZED=FALSE&amp;creator=factset&amp;display_string=Audit"}</definedName>
    <definedName name="_1717__FDSAUDITLINK__" hidden="1">{"fdsup://Directions/FactSet Auditing Viewer?action=AUDIT_VALUE&amp;DB=129&amp;ID1=64118B10&amp;VALUEID=02001&amp;SDATE=200703&amp;PERIODTYPE=QTR_STD&amp;SCFT=3&amp;window=popup_no_bar&amp;width=385&amp;height=120&amp;START_MAXIMIZED=FALSE&amp;creator=factset&amp;display_string=Audit"}</definedName>
    <definedName name="_1718__FDSAUDITLINK__" hidden="1">{"fdsup://Directions/FactSet Auditing Viewer?action=AUDIT_VALUE&amp;DB=129&amp;ID1=64118B10&amp;VALUEID=02001&amp;SDATE=200703&amp;PERIODTYPE=QTR_STD&amp;SCFT=3&amp;window=popup_no_bar&amp;width=385&amp;height=120&amp;START_MAXIMIZED=FALSE&amp;creator=factset&amp;display_string=Audit"}</definedName>
    <definedName name="_1719__FDSAUDITLINK__" hidden="1">{"fdsup://Directions/FactSet Auditing Viewer?action=AUDIT_VALUE&amp;DB=129&amp;ID1=57772K10&amp;VALUEID=02001&amp;SDATE=200801&amp;PERIODTYPE=QTR_STD&amp;SCFT=3&amp;window=popup_no_bar&amp;width=385&amp;height=120&amp;START_MAXIMIZED=FALSE&amp;creator=factset&amp;display_string=Audit"}</definedName>
    <definedName name="_172__FDSAUDITLINK__" hidden="1">{"fdsup://Directions/FactSet Auditing Viewer?action=AUDIT_VALUE&amp;DB=129&amp;ID1=87160710&amp;VALUEID=02001&amp;SDATE=201101&amp;PERIODTYPE=QTR_STD&amp;SCFT=3&amp;window=popup_no_bar&amp;width=385&amp;height=120&amp;START_MAXIMIZED=FALSE&amp;creator=factset&amp;display_string=Audit"}</definedName>
    <definedName name="_1720__FDSAUDITLINK__" hidden="1">{"fdsup://Directions/FactSet Auditing Viewer?action=AUDIT_VALUE&amp;DB=129&amp;ID1=57772K10&amp;VALUEID=02001&amp;SDATE=200801&amp;PERIODTYPE=QTR_STD&amp;SCFT=3&amp;window=popup_no_bar&amp;width=385&amp;height=120&amp;START_MAXIMIZED=FALSE&amp;creator=factset&amp;display_string=Audit"}</definedName>
    <definedName name="_1721__FDSAUDITLINK__" hidden="1">{"fdsup://Directions/FactSet Auditing Viewer?action=AUDIT_VALUE&amp;DB=129&amp;ID1=G5876H10&amp;VALUEID=02001&amp;SDATE=200703&amp;PERIODTYPE=QTR_STD&amp;SCFT=3&amp;window=popup_no_bar&amp;width=385&amp;height=120&amp;START_MAXIMIZED=FALSE&amp;creator=factset&amp;display_string=Audit"}</definedName>
    <definedName name="_1722__FDSAUDITLINK__" hidden="1">{"fdsup://Directions/FactSet Auditing Viewer?action=AUDIT_VALUE&amp;DB=129&amp;ID1=G5876H10&amp;VALUEID=02001&amp;SDATE=200703&amp;PERIODTYPE=QTR_STD&amp;SCFT=3&amp;window=popup_no_bar&amp;width=385&amp;height=120&amp;START_MAXIMIZED=FALSE&amp;creator=factset&amp;display_string=Audit"}</definedName>
    <definedName name="_1723__FDSAUDITLINK__" hidden="1">{"fdsup://Directions/FactSet Auditing Viewer?action=AUDIT_VALUE&amp;DB=129&amp;ID1=62007630&amp;VALUEID=02001&amp;SDATE=200703&amp;PERIODTYPE=QTR_STD&amp;SCFT=3&amp;window=popup_no_bar&amp;width=385&amp;height=120&amp;START_MAXIMIZED=FALSE&amp;creator=factset&amp;display_string=Audit"}</definedName>
    <definedName name="_1724__FDSAUDITLINK__" hidden="1">{"fdsup://Directions/FactSet Auditing Viewer?action=AUDIT_VALUE&amp;DB=129&amp;ID1=62007630&amp;VALUEID=02001&amp;SDATE=200703&amp;PERIODTYPE=QTR_STD&amp;SCFT=3&amp;window=popup_no_bar&amp;width=385&amp;height=120&amp;START_MAXIMIZED=FALSE&amp;creator=factset&amp;display_string=Audit"}</definedName>
    <definedName name="_1725__FDSAUDITLINK__" hidden="1">{"fdsup://Directions/FactSet Auditing Viewer?action=AUDIT_VALUE&amp;DB=129&amp;ID1=60456710&amp;VALUEID=02001&amp;SDATE=200801&amp;PERIODTYPE=QTR_STD&amp;SCFT=3&amp;window=popup_no_bar&amp;width=385&amp;height=120&amp;START_MAXIMIZED=FALSE&amp;creator=factset&amp;display_string=Audit"}</definedName>
    <definedName name="_1726__FDSAUDITLINK__" hidden="1">{"fdsup://Directions/FactSet Auditing Viewer?action=AUDIT_VALUE&amp;DB=129&amp;ID1=60456710&amp;VALUEID=02001&amp;SDATE=200801&amp;PERIODTYPE=QTR_STD&amp;SCFT=3&amp;window=popup_no_bar&amp;width=385&amp;height=120&amp;START_MAXIMIZED=FALSE&amp;creator=factset&amp;display_string=Audit"}</definedName>
    <definedName name="_1727__FDSAUDITLINK__" hidden="1">{"fdsup://Directions/FactSet Auditing Viewer?action=AUDIT_VALUE&amp;DB=129&amp;ID1=59479310&amp;VALUEID=02001&amp;SDATE=200703&amp;PERIODTYPE=QTR_STD&amp;SCFT=3&amp;window=popup_no_bar&amp;width=385&amp;height=120&amp;START_MAXIMIZED=FALSE&amp;creator=factset&amp;display_string=Audit"}</definedName>
    <definedName name="_1728__FDSAUDITLINK__" hidden="1">{"fdsup://Directions/FactSet Auditing Viewer?action=AUDIT_VALUE&amp;DB=129&amp;ID1=59479310&amp;VALUEID=02001&amp;SDATE=200703&amp;PERIODTYPE=QTR_STD&amp;SCFT=3&amp;window=popup_no_bar&amp;width=385&amp;height=120&amp;START_MAXIMIZED=FALSE&amp;creator=factset&amp;display_string=Audit"}</definedName>
    <definedName name="_1729__FDSAUDITLINK__" hidden="1">{"fdsup://Directions/FactSet Auditing Viewer?action=AUDIT_VALUE&amp;DB=129&amp;ID1=59501710&amp;VALUEID=02001&amp;SDATE=200702&amp;PERIODTYPE=QTR_STD&amp;SCFT=3&amp;window=popup_no_bar&amp;width=385&amp;height=120&amp;START_MAXIMIZED=FALSE&amp;creator=factset&amp;display_string=Audit"}</definedName>
    <definedName name="_173__FDSAUDITLINK__" hidden="1">{"fdsup://Directions/FactSet Auditing Viewer?action=AUDIT_VALUE&amp;DB=129&amp;ID1=80004C10&amp;VALUEID=02001&amp;SDATE=201004&amp;PERIODTYPE=QTR_STD&amp;SCFT=3&amp;window=popup_no_bar&amp;width=385&amp;height=120&amp;START_MAXIMIZED=FALSE&amp;creator=factset&amp;display_string=Audit"}</definedName>
    <definedName name="_1730__FDSAUDITLINK__" hidden="1">{"fdsup://Directions/FactSet Auditing Viewer?action=AUDIT_VALUE&amp;DB=129&amp;ID1=59501710&amp;VALUEID=02001&amp;SDATE=200702&amp;PERIODTYPE=QTR_STD&amp;SCFT=3&amp;window=popup_no_bar&amp;width=385&amp;height=120&amp;START_MAXIMIZED=FALSE&amp;creator=factset&amp;display_string=Audit"}</definedName>
    <definedName name="_1731__FDSAUDITLINK__" hidden="1">{"fdsup://Directions/FactSet Auditing Viewer?action=AUDIT_VALUE&amp;DB=129&amp;ID1=50216110&amp;VALUEID=02001&amp;SDATE=200703&amp;PERIODTYPE=QTR_STD&amp;SCFT=3&amp;window=popup_no_bar&amp;width=385&amp;height=120&amp;START_MAXIMIZED=FALSE&amp;creator=factset&amp;display_string=Audit"}</definedName>
    <definedName name="_1732__FDSAUDITLINK__" hidden="1">{"fdsup://Directions/FactSet Auditing Viewer?action=AUDIT_VALUE&amp;DB=129&amp;ID1=50216110&amp;VALUEID=02001&amp;SDATE=200703&amp;PERIODTYPE=QTR_STD&amp;SCFT=3&amp;window=popup_no_bar&amp;width=385&amp;height=120&amp;START_MAXIMIZED=FALSE&amp;creator=factset&amp;display_string=Audit"}</definedName>
    <definedName name="_1733__FDSAUDITLINK__" hidden="1">{"fdsup://Directions/FactSet Auditing Viewer?action=AUDIT_VALUE&amp;DB=129&amp;ID1=51841510&amp;VALUEID=02001&amp;SDATE=200703&amp;PERIODTYPE=QTR_STD&amp;SCFT=3&amp;window=popup_no_bar&amp;width=385&amp;height=120&amp;START_MAXIMIZED=FALSE&amp;creator=factset&amp;display_string=Audit"}</definedName>
    <definedName name="_1734__FDSAUDITLINK__" hidden="1">{"fdsup://Directions/FactSet Auditing Viewer?action=AUDIT_VALUE&amp;DB=129&amp;ID1=51841510&amp;VALUEID=02001&amp;SDATE=200703&amp;PERIODTYPE=QTR_STD&amp;SCFT=3&amp;window=popup_no_bar&amp;width=385&amp;height=120&amp;START_MAXIMIZED=FALSE&amp;creator=factset&amp;display_string=Audit"}</definedName>
    <definedName name="_1735__FDSAUDITLINK__" hidden="1">{"fdsup://Directions/FactSet Auditing Viewer?action=AUDIT_VALUE&amp;DB=129&amp;ID1=51280710&amp;VALUEID=02001&amp;SDATE=200801&amp;PERIODTYPE=QTR_STD&amp;SCFT=3&amp;window=popup_no_bar&amp;width=385&amp;height=120&amp;START_MAXIMIZED=FALSE&amp;creator=factset&amp;display_string=Audit"}</definedName>
    <definedName name="_1736__FDSAUDITLINK__" hidden="1">{"fdsup://Directions/FactSet Auditing Viewer?action=AUDIT_VALUE&amp;DB=129&amp;ID1=51280710&amp;VALUEID=02001&amp;SDATE=200801&amp;PERIODTYPE=QTR_STD&amp;SCFT=3&amp;window=popup_no_bar&amp;width=385&amp;height=120&amp;START_MAXIMIZED=FALSE&amp;creator=factset&amp;display_string=Audit"}</definedName>
    <definedName name="_1737__FDSAUDITLINK__" hidden="1">{"fdsup://Directions/FactSet Auditing Viewer?action=AUDIT_VALUE&amp;DB=129&amp;ID1=53567810&amp;VALUEID=02001&amp;SDATE=200801&amp;PERIODTYPE=QTR_STD&amp;SCFT=3&amp;window=popup_no_bar&amp;width=385&amp;height=120&amp;START_MAXIMIZED=FALSE&amp;creator=factset&amp;display_string=Audit"}</definedName>
    <definedName name="_1738__FDSAUDITLINK__" hidden="1">{"fdsup://Directions/FactSet Auditing Viewer?action=AUDIT_VALUE&amp;DB=129&amp;ID1=53567810&amp;VALUEID=02001&amp;SDATE=200801&amp;PERIODTYPE=QTR_STD&amp;SCFT=3&amp;window=popup_no_bar&amp;width=385&amp;height=120&amp;START_MAXIMIZED=FALSE&amp;creator=factset&amp;display_string=Audit"}</definedName>
    <definedName name="_1739__FDSAUDITLINK__" hidden="1">{"fdsup://Directions/FactSet Auditing Viewer?action=AUDIT_VALUE&amp;DB=129&amp;ID1=48248010&amp;VALUEID=02001&amp;SDATE=200801&amp;PERIODTYPE=QTR_STD&amp;SCFT=3&amp;window=popup_no_bar&amp;width=385&amp;height=120&amp;START_MAXIMIZED=FALSE&amp;creator=factset&amp;display_string=Audit"}</definedName>
    <definedName name="_174__FDSAUDITLINK__" hidden="1">{"fdsup://Directions/FactSet Auditing Viewer?action=AUDIT_VALUE&amp;DB=129&amp;ID1=80004C10&amp;VALUEID=02001&amp;SDATE=201004&amp;PERIODTYPE=QTR_STD&amp;SCFT=3&amp;window=popup_no_bar&amp;width=385&amp;height=120&amp;START_MAXIMIZED=FALSE&amp;creator=factset&amp;display_string=Audit"}</definedName>
    <definedName name="_1740__FDSAUDITLINK__" hidden="1">{"fdsup://Directions/FactSet Auditing Viewer?action=AUDIT_VALUE&amp;DB=129&amp;ID1=48248010&amp;VALUEID=02001&amp;SDATE=200801&amp;PERIODTYPE=QTR_STD&amp;SCFT=3&amp;window=popup_no_bar&amp;width=385&amp;height=120&amp;START_MAXIMIZED=FALSE&amp;creator=factset&amp;display_string=Audit"}</definedName>
    <definedName name="_1741__FDSAUDITLINK__" hidden="1">{"fdsup://Directions/FactSet Auditing Viewer?action=AUDIT_VALUE&amp;DB=129&amp;ID1=48836020&amp;VALUEID=02001&amp;SDATE=200702&amp;PERIODTYPE=QTR_STD&amp;SCFT=3&amp;window=popup_no_bar&amp;width=385&amp;height=120&amp;START_MAXIMIZED=FALSE&amp;creator=factset&amp;display_string=Audit"}</definedName>
    <definedName name="_1742__FDSAUDITLINK__" hidden="1">{"fdsup://Directions/FactSet Auditing Viewer?action=AUDIT_VALUE&amp;DB=129&amp;ID1=48836020&amp;VALUEID=02001&amp;SDATE=200702&amp;PERIODTYPE=QTR_STD&amp;SCFT=3&amp;window=popup_no_bar&amp;width=385&amp;height=120&amp;START_MAXIMIZED=FALSE&amp;creator=factset&amp;display_string=Audit"}</definedName>
    <definedName name="_1743__FDSAUDITLINK__" hidden="1">{"fdsup://Directions/FactSet Auditing Viewer?action=AUDIT_VALUE&amp;DB=129&amp;ID1=48203R10&amp;VALUEID=02001&amp;SDATE=200703&amp;PERIODTYPE=QTR_STD&amp;SCFT=3&amp;window=popup_no_bar&amp;width=385&amp;height=120&amp;START_MAXIMIZED=FALSE&amp;creator=factset&amp;display_string=Audit"}</definedName>
    <definedName name="_1744__FDSAUDITLINK__" hidden="1">{"fdsup://Directions/FactSet Auditing Viewer?action=AUDIT_VALUE&amp;DB=129&amp;ID1=48203R10&amp;VALUEID=02001&amp;SDATE=200703&amp;PERIODTYPE=QTR_STD&amp;SCFT=3&amp;window=popup_no_bar&amp;width=385&amp;height=120&amp;START_MAXIMIZED=FALSE&amp;creator=factset&amp;display_string=Audit"}</definedName>
    <definedName name="_1745__FDSAUDITLINK__" hidden="1">{"fdsup://Directions/FactSet Auditing Viewer?action=AUDIT_VALUE&amp;DB=129&amp;ID1=86681020&amp;VALUEID=02001&amp;SDATE=200801&amp;PERIODTYPE=QTR_STD&amp;SCFT=3&amp;window=popup_no_bar&amp;width=385&amp;height=120&amp;START_MAXIMIZED=FALSE&amp;creator=factset&amp;display_string=Audit"}</definedName>
    <definedName name="_1746__FDSAUDITLINK__" hidden="1">{"fdsup://Directions/FactSet Auditing Viewer?action=AUDIT_VALUE&amp;DB=129&amp;ID1=86681020&amp;VALUEID=02001&amp;SDATE=200801&amp;PERIODTYPE=QTR_STD&amp;SCFT=3&amp;window=popup_no_bar&amp;width=385&amp;height=120&amp;START_MAXIMIZED=FALSE&amp;creator=factset&amp;display_string=Audit"}</definedName>
    <definedName name="_1747__FDSAUDITLINK__" hidden="1">{"fdsup://Directions/FactSet Auditing Viewer?action=AUDIT_VALUE&amp;DB=129&amp;ID1=46069S10&amp;VALUEID=02001&amp;SDATE=200703&amp;PERIODTYPE=QTR_STD&amp;SCFT=3&amp;window=popup_no_bar&amp;width=385&amp;height=120&amp;START_MAXIMIZED=FALSE&amp;creator=factset&amp;display_string=Audit"}</definedName>
    <definedName name="_1748__FDSAUDITLINK__" hidden="1">{"fdsup://Directions/FactSet Auditing Viewer?action=AUDIT_VALUE&amp;DB=129&amp;ID1=46069S10&amp;VALUEID=02001&amp;SDATE=200703&amp;PERIODTYPE=QTR_STD&amp;SCFT=3&amp;window=popup_no_bar&amp;width=385&amp;height=120&amp;START_MAXIMIZED=FALSE&amp;creator=factset&amp;display_string=Audit"}</definedName>
    <definedName name="_1749__FDSAUDITLINK__" hidden="1">{"fdsup://Directions/FactSet Auditing Viewer?action=AUDIT_VALUE&amp;DB=129&amp;ID1=46025410&amp;VALUEID=02001&amp;SDATE=200801&amp;PERIODTYPE=QTR_STD&amp;SCFT=3&amp;window=popup_no_bar&amp;width=385&amp;height=120&amp;START_MAXIMIZED=FALSE&amp;creator=factset&amp;display_string=Audit"}</definedName>
    <definedName name="_175__FDSAUDITLINK__" hidden="1">{"fdsup://Directions/FactSet Auditing Viewer?action=AUDIT_VALUE&amp;DB=129&amp;ID1=81685010&amp;VALUEID=02001&amp;SDATE=201004&amp;PERIODTYPE=QTR_STD&amp;SCFT=3&amp;window=popup_no_bar&amp;width=385&amp;height=120&amp;START_MAXIMIZED=FALSE&amp;creator=factset&amp;display_string=Audit"}</definedName>
    <definedName name="_1750__FDSAUDITLINK__" hidden="1">{"fdsup://Directions/FactSet Auditing Viewer?action=AUDIT_VALUE&amp;DB=129&amp;ID1=46025410&amp;VALUEID=02001&amp;SDATE=200801&amp;PERIODTYPE=QTR_STD&amp;SCFT=3&amp;window=popup_no_bar&amp;width=385&amp;height=120&amp;START_MAXIMIZED=FALSE&amp;creator=factset&amp;display_string=Audit"}</definedName>
    <definedName name="_1751__FDSAUDITLINK__" hidden="1">{"fdsup://Directions/FactSet Auditing Viewer?action=AUDIT_VALUE&amp;DB=129&amp;ID1=45814010&amp;VALUEID=02001&amp;SDATE=200703&amp;PERIODTYPE=QTR_STD&amp;SCFT=3&amp;window=popup_no_bar&amp;width=385&amp;height=120&amp;START_MAXIMIZED=FALSE&amp;creator=factset&amp;display_string=Audit"}</definedName>
    <definedName name="_1752__FDSAUDITLINK__" hidden="1">{"fdsup://Directions/FactSet Auditing Viewer?action=AUDIT_VALUE&amp;DB=129&amp;ID1=45814010&amp;VALUEID=02001&amp;SDATE=200703&amp;PERIODTYPE=QTR_STD&amp;SCFT=3&amp;window=popup_no_bar&amp;width=385&amp;height=120&amp;START_MAXIMIZED=FALSE&amp;creator=factset&amp;display_string=Audit"}</definedName>
    <definedName name="_1753__FDSAUDITLINK__" hidden="1">{"fdsup://Directions/FactSet Auditing Viewer?action=AUDIT_VALUE&amp;DB=129&amp;ID1=45811810&amp;VALUEID=02001&amp;SDATE=200702&amp;PERIODTYPE=QTR_STD&amp;SCFT=3&amp;window=popup_no_bar&amp;width=385&amp;height=120&amp;START_MAXIMIZED=FALSE&amp;creator=factset&amp;display_string=Audit"}</definedName>
    <definedName name="_1754__FDSAUDITLINK__" hidden="1">{"fdsup://Directions/FactSet Auditing Viewer?action=AUDIT_VALUE&amp;DB=129&amp;ID1=45811810&amp;VALUEID=02001&amp;SDATE=200702&amp;PERIODTYPE=QTR_STD&amp;SCFT=3&amp;window=popup_no_bar&amp;width=385&amp;height=120&amp;START_MAXIMIZED=FALSE&amp;creator=factset&amp;display_string=Audit"}</definedName>
    <definedName name="_1755__FDSAUDITLINK__" hidden="1">{"fdsup://Directions/FactSet Auditing Viewer?action=AUDIT_VALUE&amp;DB=129&amp;ID1=H2906T10&amp;VALUEID=02001&amp;SDATE=200703&amp;PERIODTYPE=QTR_STD&amp;SCFT=3&amp;window=popup_no_bar&amp;width=385&amp;height=120&amp;START_MAXIMIZED=FALSE&amp;creator=factset&amp;display_string=Audit"}</definedName>
    <definedName name="_1756__FDSAUDITLINK__" hidden="1">{"fdsup://Directions/FactSet Auditing Viewer?action=AUDIT_VALUE&amp;DB=129&amp;ID1=H2906T10&amp;VALUEID=02001&amp;SDATE=200703&amp;PERIODTYPE=QTR_STD&amp;SCFT=3&amp;window=popup_no_bar&amp;width=385&amp;height=120&amp;START_MAXIMIZED=FALSE&amp;creator=factset&amp;display_string=Audit"}</definedName>
    <definedName name="_1757__FDSAUDITLINK__" hidden="1">{"fdsup://Directions/FactSet Auditing Viewer?action=AUDIT_VALUE&amp;DB=129&amp;ID1=34637510&amp;VALUEID=02001&amp;SDATE=200703&amp;PERIODTYPE=QTR_STD&amp;SCFT=3&amp;window=popup_no_bar&amp;width=385&amp;height=120&amp;START_MAXIMIZED=FALSE&amp;creator=factset&amp;display_string=Audit"}</definedName>
    <definedName name="_1758__FDSAUDITLINK__" hidden="1">{"fdsup://Directions/FactSet Auditing Viewer?action=AUDIT_VALUE&amp;DB=129&amp;ID1=34637510&amp;VALUEID=02001&amp;SDATE=200703&amp;PERIODTYPE=QTR_STD&amp;SCFT=3&amp;window=popup_no_bar&amp;width=385&amp;height=120&amp;START_MAXIMIZED=FALSE&amp;creator=factset&amp;display_string=Audit"}</definedName>
    <definedName name="_1759__FDSAUDITLINK__" hidden="1">{"fdsup://Directions/FactSet Auditing Viewer?action=AUDIT_VALUE&amp;DB=129&amp;ID1=29247520&amp;VALUEID=02001&amp;SDATE=200801&amp;PERIODTYPE=QTR_STD&amp;SCFT=3&amp;window=popup_no_bar&amp;width=385&amp;height=120&amp;START_MAXIMIZED=FALSE&amp;creator=factset&amp;display_string=Audit"}</definedName>
    <definedName name="_176__FDSAUDITLINK__" hidden="1">{"fdsup://Directions/FactSet Auditing Viewer?action=AUDIT_VALUE&amp;DB=129&amp;ID1=81685010&amp;VALUEID=02001&amp;SDATE=201004&amp;PERIODTYPE=QTR_STD&amp;SCFT=3&amp;window=popup_no_bar&amp;width=385&amp;height=120&amp;START_MAXIMIZED=FALSE&amp;creator=factset&amp;display_string=Audit"}</definedName>
    <definedName name="_1760__FDSAUDITLINK__" hidden="1">{"fdsup://Directions/FactSet Auditing Viewer?action=AUDIT_VALUE&amp;DB=129&amp;ID1=29247520&amp;VALUEID=02001&amp;SDATE=200801&amp;PERIODTYPE=QTR_STD&amp;SCFT=3&amp;window=popup_no_bar&amp;width=385&amp;height=120&amp;START_MAXIMIZED=FALSE&amp;creator=factset&amp;display_string=Audit"}</definedName>
    <definedName name="_1761__FDSAUDITLINK__" hidden="1">{"fdsup://Directions/FactSet Auditing Viewer?action=AUDIT_VALUE&amp;DB=129&amp;ID1=25454310&amp;VALUEID=02001&amp;SDATE=200703&amp;PERIODTYPE=QTR_STD&amp;SCFT=3&amp;window=popup_no_bar&amp;width=385&amp;height=120&amp;START_MAXIMIZED=FALSE&amp;creator=factset&amp;display_string=Audit"}</definedName>
    <definedName name="_1762__FDSAUDITLINK__" hidden="1">{"fdsup://Directions/FactSet Auditing Viewer?action=AUDIT_VALUE&amp;DB=129&amp;ID1=25454310&amp;VALUEID=02001&amp;SDATE=200703&amp;PERIODTYPE=QTR_STD&amp;SCFT=3&amp;window=popup_no_bar&amp;width=385&amp;height=120&amp;START_MAXIMIZED=FALSE&amp;creator=factset&amp;display_string=Audit"}</definedName>
    <definedName name="_1763__FDSAUDITLINK__" hidden="1">{"fdsup://Directions/FactSet Auditing Viewer?action=AUDIT_VALUE&amp;DB=129&amp;ID1=24702R10&amp;VALUEID=02001&amp;SDATE=200703&amp;PERIODTYPE=QTR_STD&amp;SCFT=3&amp;window=popup_no_bar&amp;width=385&amp;height=120&amp;START_MAXIMIZED=FALSE&amp;creator=factset&amp;display_string=Audit"}</definedName>
    <definedName name="_1764__FDSAUDITLINK__" hidden="1">{"fdsup://Directions/FactSet Auditing Viewer?action=AUDIT_VALUE&amp;DB=129&amp;ID1=24702R10&amp;VALUEID=02001&amp;SDATE=200703&amp;PERIODTYPE=QTR_STD&amp;SCFT=3&amp;window=popup_no_bar&amp;width=385&amp;height=120&amp;START_MAXIMIZED=FALSE&amp;creator=factset&amp;display_string=Audit"}</definedName>
    <definedName name="_1765__FDSAUDITLINK__" hidden="1">{"fdsup://Directions/FactSet Auditing Viewer?action=AUDIT_VALUE&amp;DB=129&amp;ID1=23257210&amp;VALUEID=02001&amp;SDATE=200703&amp;PERIODTYPE=QTR_STD&amp;SCFT=3&amp;window=popup_no_bar&amp;width=385&amp;height=120&amp;START_MAXIMIZED=FALSE&amp;creator=factset&amp;display_string=Audit"}</definedName>
    <definedName name="_1766__FDSAUDITLINK__" hidden="1">{"fdsup://Directions/FactSet Auditing Viewer?action=AUDIT_VALUE&amp;DB=129&amp;ID1=23257210&amp;VALUEID=02001&amp;SDATE=200703&amp;PERIODTYPE=QTR_STD&amp;SCFT=3&amp;window=popup_no_bar&amp;width=385&amp;height=120&amp;START_MAXIMIZED=FALSE&amp;creator=factset&amp;display_string=Audit"}</definedName>
    <definedName name="_1767__FDSAUDITLINK__" hidden="1">{"fdsup://Directions/FactSet Auditing Viewer?action=AUDIT_VALUE&amp;DB=129&amp;ID1=23280610&amp;VALUEID=02001&amp;SDATE=200703&amp;PERIODTYPE=QTR_STD&amp;SCFT=3&amp;window=popup_no_bar&amp;width=385&amp;height=120&amp;START_MAXIMIZED=FALSE&amp;creator=factset&amp;display_string=Audit"}</definedName>
    <definedName name="_1768__FDSAUDITLINK__" hidden="1">{"fdsup://Directions/FactSet Auditing Viewer?action=AUDIT_VALUE&amp;DB=129&amp;ID1=23280610&amp;VALUEID=02001&amp;SDATE=200703&amp;PERIODTYPE=QTR_STD&amp;SCFT=3&amp;window=popup_no_bar&amp;width=385&amp;height=120&amp;START_MAXIMIZED=FALSE&amp;creator=factset&amp;display_string=Audit"}</definedName>
    <definedName name="_1769__FDSAUDITLINK__" hidden="1">{"fdsup://Directions/FactSet Auditing Viewer?action=AUDIT_VALUE&amp;DB=129&amp;ID1=17275R10&amp;VALUEID=02001&amp;SDATE=200801&amp;PERIODTYPE=QTR_STD&amp;SCFT=3&amp;window=popup_no_bar&amp;width=385&amp;height=120&amp;START_MAXIMIZED=FALSE&amp;creator=factset&amp;display_string=Audit"}</definedName>
    <definedName name="_177__FDSAUDITLINK__" hidden="1">{"fdsup://Directions/FactSet Auditing Viewer?action=AUDIT_VALUE&amp;DB=129&amp;ID1=82691910&amp;VALUEID=02001&amp;SDATE=201004&amp;PERIODTYPE=QTR_STD&amp;SCFT=3&amp;window=popup_no_bar&amp;width=385&amp;height=120&amp;START_MAXIMIZED=FALSE&amp;creator=factset&amp;display_string=Audit"}</definedName>
    <definedName name="_1770__FDSAUDITLINK__" hidden="1">{"fdsup://Directions/FactSet Auditing Viewer?action=AUDIT_VALUE&amp;DB=129&amp;ID1=17275R10&amp;VALUEID=02001&amp;SDATE=200801&amp;PERIODTYPE=QTR_STD&amp;SCFT=3&amp;window=popup_no_bar&amp;width=385&amp;height=120&amp;START_MAXIMIZED=FALSE&amp;creator=factset&amp;display_string=Audit"}</definedName>
    <definedName name="_1771__FDSAUDITLINK__" hidden="1">{"fdsup://Directions/FactSet Auditing Viewer?action=AUDIT_VALUE&amp;DB=129&amp;ID1=22544710&amp;VALUEID=02001&amp;SDATE=200801&amp;PERIODTYPE=QTR_STD&amp;SCFT=3&amp;window=popup_no_bar&amp;width=385&amp;height=120&amp;START_MAXIMIZED=FALSE&amp;creator=factset&amp;display_string=Audit"}</definedName>
    <definedName name="_1772__FDSAUDITLINK__" hidden="1">{"fdsup://Directions/FactSet Auditing Viewer?action=AUDIT_VALUE&amp;DB=129&amp;ID1=22544710&amp;VALUEID=02001&amp;SDATE=200801&amp;PERIODTYPE=QTR_STD&amp;SCFT=3&amp;window=popup_no_bar&amp;width=385&amp;height=120&amp;START_MAXIMIZED=FALSE&amp;creator=factset&amp;display_string=Audit"}</definedName>
    <definedName name="_1773__FDSAUDITLINK__" hidden="1">{"fdsup://Directions/FactSet Auditing Viewer?action=AUDIT_VALUE&amp;DB=129&amp;ID1=12738710&amp;VALUEID=02001&amp;SDATE=200703&amp;PERIODTYPE=QTR_STD&amp;SCFT=3&amp;window=popup_no_bar&amp;width=385&amp;height=120&amp;START_MAXIMIZED=FALSE&amp;creator=factset&amp;display_string=Audit"}</definedName>
    <definedName name="_1774__FDSAUDITLINK__" hidden="1">{"fdsup://Directions/FactSet Auditing Viewer?action=AUDIT_VALUE&amp;DB=129&amp;ID1=12738710&amp;VALUEID=02001&amp;SDATE=200703&amp;PERIODTYPE=QTR_STD&amp;SCFT=3&amp;window=popup_no_bar&amp;width=385&amp;height=120&amp;START_MAXIMIZED=FALSE&amp;creator=factset&amp;display_string=Audit"}</definedName>
    <definedName name="_1775__FDSAUDITLINK__" hidden="1">{"fdsup://Directions/FactSet Auditing Viewer?action=AUDIT_VALUE&amp;DB=129&amp;ID1=14964U10&amp;VALUEID=02001&amp;SDATE=200703&amp;PERIODTYPE=QTR_STD&amp;SCFT=3&amp;window=popup_no_bar&amp;width=385&amp;height=120&amp;START_MAXIMIZED=FALSE&amp;creator=factset&amp;display_string=Audit"}</definedName>
    <definedName name="_1776__FDSAUDITLINK__" hidden="1">{"fdsup://Directions/FactSet Auditing Viewer?action=AUDIT_VALUE&amp;DB=129&amp;ID1=14964U10&amp;VALUEID=02001&amp;SDATE=200703&amp;PERIODTYPE=QTR_STD&amp;SCFT=3&amp;window=popup_no_bar&amp;width=385&amp;height=120&amp;START_MAXIMIZED=FALSE&amp;creator=factset&amp;display_string=Audit"}</definedName>
    <definedName name="_1777__FDSAUDITLINK__" hidden="1">{"fdsup://Directions/FactSet Auditing Viewer?action=AUDIT_VALUE&amp;DB=129&amp;ID1=04743P10&amp;VALUEID=02001&amp;SDATE=200703&amp;PERIODTYPE=QTR_STD&amp;SCFT=3&amp;window=popup_no_bar&amp;width=385&amp;height=120&amp;START_MAXIMIZED=FALSE&amp;creator=factset&amp;display_string=Audit"}</definedName>
    <definedName name="_1778__FDSAUDITLINK__" hidden="1">{"fdsup://Directions/FactSet Auditing Viewer?action=AUDIT_VALUE&amp;DB=129&amp;ID1=04743P10&amp;VALUEID=02001&amp;SDATE=200703&amp;PERIODTYPE=QTR_STD&amp;SCFT=3&amp;window=popup_no_bar&amp;width=385&amp;height=120&amp;START_MAXIMIZED=FALSE&amp;creator=factset&amp;display_string=Audit"}</definedName>
    <definedName name="_1779__FDSAUDITLINK__" hidden="1">{"fdsup://Directions/FactSet Auditing Viewer?action=AUDIT_VALUE&amp;DB=129&amp;ID1=03251510&amp;VALUEID=02001&amp;SDATE=200703&amp;PERIODTYPE=QTR_STD&amp;SCFT=3&amp;window=popup_no_bar&amp;width=385&amp;height=120&amp;START_MAXIMIZED=FALSE&amp;creator=factset&amp;display_string=Audit"}</definedName>
    <definedName name="_178__FDSAUDITLINK__" hidden="1">{"fdsup://Directions/FactSet Auditing Viewer?action=AUDIT_VALUE&amp;DB=129&amp;ID1=82691910&amp;VALUEID=02001&amp;SDATE=201004&amp;PERIODTYPE=QTR_STD&amp;SCFT=3&amp;window=popup_no_bar&amp;width=385&amp;height=120&amp;START_MAXIMIZED=FALSE&amp;creator=factset&amp;display_string=Audit"}</definedName>
    <definedName name="_1780__FDSAUDITLINK__" hidden="1">{"fdsup://Directions/FactSet Auditing Viewer?action=AUDIT_VALUE&amp;DB=129&amp;ID1=03251510&amp;VALUEID=02001&amp;SDATE=200703&amp;PERIODTYPE=QTR_STD&amp;SCFT=3&amp;window=popup_no_bar&amp;width=385&amp;height=120&amp;START_MAXIMIZED=FALSE&amp;creator=factset&amp;display_string=Audit"}</definedName>
    <definedName name="_1781__FDSAUDITLINK__" hidden="1">{"fdsup://Directions/FactSet Auditing Viewer?action=AUDIT_VALUE&amp;DB=129&amp;ID1=00790310&amp;VALUEID=02001&amp;SDATE=200703&amp;PERIODTYPE=QTR_STD&amp;SCFT=3&amp;window=popup_no_bar&amp;width=385&amp;height=120&amp;START_MAXIMIZED=FALSE&amp;creator=factset&amp;display_string=Audit"}</definedName>
    <definedName name="_1782__FDSAUDITLINK__" hidden="1">{"fdsup://Directions/FactSet Auditing Viewer?action=AUDIT_VALUE&amp;DB=129&amp;ID1=00790310&amp;VALUEID=02001&amp;SDATE=200703&amp;PERIODTYPE=QTR_STD&amp;SCFT=3&amp;window=popup_no_bar&amp;width=385&amp;height=120&amp;START_MAXIMIZED=FALSE&amp;creator=factset&amp;display_string=Audit"}</definedName>
    <definedName name="_1783__FDSAUDITLINK__" hidden="1">{"fdsup://Directions/FactSet Auditing Viewer?action=AUDIT_VALUE&amp;DB=129&amp;ID1=03822W40&amp;VALUEID=02001&amp;SDATE=200702&amp;PERIODTYPE=QTR_STD&amp;SCFT=3&amp;window=popup_no_bar&amp;width=385&amp;height=120&amp;START_MAXIMIZED=FALSE&amp;creator=factset&amp;display_string=Audit"}</definedName>
    <definedName name="_1784__FDSAUDITLINK__" hidden="1">{"fdsup://Directions/FactSet Auditing Viewer?action=AUDIT_VALUE&amp;DB=129&amp;ID1=03822W40&amp;VALUEID=02001&amp;SDATE=200702&amp;PERIODTYPE=QTR_STD&amp;SCFT=3&amp;window=popup_no_bar&amp;width=385&amp;height=120&amp;START_MAXIMIZED=FALSE&amp;creator=factset&amp;display_string=Audit"}</definedName>
    <definedName name="_1785__FDSAUDITLINK__" hidden="1">{"fdsup://Directions/FactSet Auditing Viewer?action=AUDIT_VALUE&amp;DB=129&amp;ID1=02144110&amp;VALUEID=02001&amp;SDATE=200703&amp;PERIODTYPE=QTR_STD&amp;SCFT=3&amp;window=popup_no_bar&amp;width=385&amp;height=120&amp;START_MAXIMIZED=FALSE&amp;creator=factset&amp;display_string=Audit"}</definedName>
    <definedName name="_1786__FDSAUDITLINK__" hidden="1">{"fdsup://Directions/FactSet Auditing Viewer?action=AUDIT_VALUE&amp;DB=129&amp;ID1=02144110&amp;VALUEID=02001&amp;SDATE=200703&amp;PERIODTYPE=QTR_STD&amp;SCFT=3&amp;window=popup_no_bar&amp;width=385&amp;height=120&amp;START_MAXIMIZED=FALSE&amp;creator=factset&amp;display_string=Audit"}</definedName>
    <definedName name="_1787__FDSAUDITLINK__" hidden="1">{"fdsup://Directions/FactSet Auditing Viewer?action=AUDIT_VALUE&amp;DB=129&amp;ID1=00752J10&amp;VALUEID=02001&amp;SDATE=200703&amp;PERIODTYPE=QTR_STD&amp;SCFT=3&amp;window=popup_no_bar&amp;width=385&amp;height=120&amp;START_MAXIMIZED=FALSE&amp;creator=factset&amp;display_string=Audit"}</definedName>
    <definedName name="_1788__FDSAUDITLINK__" hidden="1">{"fdsup://Directions/FactSet Auditing Viewer?action=AUDIT_VALUE&amp;DB=129&amp;ID1=00752J10&amp;VALUEID=02001&amp;SDATE=200703&amp;PERIODTYPE=QTR_STD&amp;SCFT=3&amp;window=popup_no_bar&amp;width=385&amp;height=120&amp;START_MAXIMIZED=FALSE&amp;creator=factset&amp;display_string=Audit"}</definedName>
    <definedName name="_1789__FDSAUDITLINK__" hidden="1">{"fdsup://Directions/FactSet Auditing Viewer?action=AUDIT_VALUE&amp;DB=129&amp;ID1=98975F10&amp;VALUEID=02001&amp;SDATE=200702&amp;PERIODTYPE=QTR_STD&amp;SCFT=3&amp;window=popup_no_bar&amp;width=385&amp;height=120&amp;START_MAXIMIZED=FALSE&amp;creator=factset&amp;display_string=Audit"}</definedName>
    <definedName name="_179__FDSAUDITLINK__" hidden="1">{"fdsup://Directions/FactSet Auditing Viewer?action=AUDIT_VALUE&amp;DB=129&amp;ID1=82705T10&amp;VALUEID=02001&amp;SDATE=201004&amp;PERIODTYPE=QTR_STD&amp;SCFT=3&amp;window=popup_no_bar&amp;width=385&amp;height=120&amp;START_MAXIMIZED=FALSE&amp;creator=factset&amp;display_string=Audit"}</definedName>
    <definedName name="_1790__FDSAUDITLINK__" hidden="1">{"fdsup://Directions/FactSet Auditing Viewer?action=AUDIT_VALUE&amp;DB=129&amp;ID1=98975F10&amp;VALUEID=02001&amp;SDATE=200702&amp;PERIODTYPE=QTR_STD&amp;SCFT=3&amp;window=popup_no_bar&amp;width=385&amp;height=120&amp;START_MAXIMIZED=FALSE&amp;creator=factset&amp;display_string=Audit"}</definedName>
    <definedName name="_1791__FDSAUDITLINK__" hidden="1">{"fdsup://Directions/FactSet Auditing Viewer?action=AUDIT_VALUE&amp;DB=129&amp;ID1=98391910&amp;VALUEID=02001&amp;SDATE=200701&amp;PERIODTYPE=QTR_STD&amp;SCFT=3&amp;window=popup_no_bar&amp;width=385&amp;height=120&amp;START_MAXIMIZED=FALSE&amp;creator=factset&amp;display_string=Audit"}</definedName>
    <definedName name="_1792__FDSAUDITLINK__" hidden="1">{"fdsup://Directions/FactSet Auditing Viewer?action=AUDIT_VALUE&amp;DB=129&amp;ID1=98391910&amp;VALUEID=02001&amp;SDATE=200701&amp;PERIODTYPE=QTR_STD&amp;SCFT=3&amp;window=popup_no_bar&amp;width=385&amp;height=120&amp;START_MAXIMIZED=FALSE&amp;creator=factset&amp;display_string=Audit"}</definedName>
    <definedName name="_1793__FDSAUDITLINK__" hidden="1">{"fdsup://Directions/FactSet Auditing Viewer?action=AUDIT_VALUE&amp;DB=129&amp;ID1=92829810&amp;VALUEID=02001&amp;SDATE=200702&amp;PERIODTYPE=QTR_STD&amp;SCFT=3&amp;window=popup_no_bar&amp;width=385&amp;height=120&amp;START_MAXIMIZED=FALSE&amp;creator=factset&amp;display_string=Audit"}</definedName>
    <definedName name="_1794__FDSAUDITLINK__" hidden="1">{"fdsup://Directions/FactSet Auditing Viewer?action=AUDIT_VALUE&amp;DB=129&amp;ID1=92829810&amp;VALUEID=02001&amp;SDATE=200702&amp;PERIODTYPE=QTR_STD&amp;SCFT=3&amp;window=popup_no_bar&amp;width=385&amp;height=120&amp;START_MAXIMIZED=FALSE&amp;creator=factset&amp;display_string=Audit"}</definedName>
    <definedName name="_1795__FDSAUDITLINK__" hidden="1">{"fdsup://Directions/FactSet Auditing Viewer?action=AUDIT_VALUE&amp;DB=129&amp;ID1=88250810&amp;VALUEID=02001&amp;SDATE=200702&amp;PERIODTYPE=QTR_STD&amp;SCFT=3&amp;window=popup_no_bar&amp;width=385&amp;height=120&amp;START_MAXIMIZED=FALSE&amp;creator=factset&amp;display_string=Audit"}</definedName>
    <definedName name="_1796__FDSAUDITLINK__" hidden="1">{"fdsup://Directions/FactSet Auditing Viewer?action=AUDIT_VALUE&amp;DB=129&amp;ID1=88250810&amp;VALUEID=02001&amp;SDATE=200702&amp;PERIODTYPE=QTR_STD&amp;SCFT=3&amp;window=popup_no_bar&amp;width=385&amp;height=120&amp;START_MAXIMIZED=FALSE&amp;creator=factset&amp;display_string=Audit"}</definedName>
    <definedName name="_1797__FDSAUDITLINK__" hidden="1">{"fdsup://Directions/FactSet Auditing Viewer?action=AUDIT_VALUE&amp;DB=129&amp;ID1=89674K10&amp;VALUEID=02001&amp;SDATE=200702&amp;PERIODTYPE=QTR_STD&amp;SCFT=3&amp;window=popup_no_bar&amp;width=385&amp;height=120&amp;START_MAXIMIZED=FALSE&amp;creator=factset&amp;display_string=Audit"}</definedName>
    <definedName name="_1798__FDSAUDITLINK__" hidden="1">{"fdsup://Directions/FactSet Auditing Viewer?action=AUDIT_VALUE&amp;DB=129&amp;ID1=89674K10&amp;VALUEID=02001&amp;SDATE=200702&amp;PERIODTYPE=QTR_STD&amp;SCFT=3&amp;window=popup_no_bar&amp;width=385&amp;height=120&amp;START_MAXIMIZED=FALSE&amp;creator=factset&amp;display_string=Audit"}</definedName>
    <definedName name="_1799__FDSAUDITLINK__" hidden="1">{"fdsup://Directions/FactSet Auditing Viewer?action=AUDIT_VALUE&amp;DB=129&amp;ID1=83088M10&amp;VALUEID=02001&amp;SDATE=200703&amp;PERIODTYPE=QTR_STD&amp;SCFT=3&amp;window=popup_no_bar&amp;width=385&amp;height=120&amp;START_MAXIMIZED=FALSE&amp;creator=factset&amp;display_string=Audit"}</definedName>
    <definedName name="_18__FDSAUDITLINK__" hidden="1">{"fdsup://directions/FAT Viewer?action=UPDATE&amp;creator=factset&amp;DYN_ARGS=TRUE&amp;DOC_NAME=FAT:FQL_AUDITING_CLIENT_TEMPLATE.FAT&amp;display_string=Audit&amp;VAR:KEY=GLKDQTYVIN&amp;VAR:QUERY=RkZfU0hTX0ZMT0FUKEFOTiwp&amp;WINDOW=FIRST_POPUP&amp;HEIGHT=450&amp;WIDTH=450&amp;START_MAXIMIZED=FALS","E&amp;VAR:CALENDAR=US&amp;VAR:SYMBOL=WYNN RESORTS&amp;VAR:INDEX=0"}</definedName>
    <definedName name="_180__FDSAUDITLINK__" hidden="1">{"fdsup://Directions/FactSet Auditing Viewer?action=AUDIT_VALUE&amp;DB=129&amp;ID1=82705T10&amp;VALUEID=02001&amp;SDATE=201004&amp;PERIODTYPE=QTR_STD&amp;SCFT=3&amp;window=popup_no_bar&amp;width=385&amp;height=120&amp;START_MAXIMIZED=FALSE&amp;creator=factset&amp;display_string=Audit"}</definedName>
    <definedName name="_1800__FDSAUDITLINK__" hidden="1">{"fdsup://Directions/FactSet Auditing Viewer?action=AUDIT_VALUE&amp;DB=129&amp;ID1=83088M10&amp;VALUEID=02001&amp;SDATE=200703&amp;PERIODTYPE=QTR_STD&amp;SCFT=3&amp;window=popup_no_bar&amp;width=385&amp;height=120&amp;START_MAXIMIZED=FALSE&amp;creator=factset&amp;display_string=Audit"}</definedName>
    <definedName name="_1801__FDSAUDITLINK__" hidden="1">{"fdsup://Directions/FactSet Auditing Viewer?action=AUDIT_VALUE&amp;DB=129&amp;ID1=78477410&amp;VALUEID=02001&amp;SDATE=200702&amp;PERIODTYPE=QTR_STD&amp;SCFT=3&amp;window=popup_no_bar&amp;width=385&amp;height=120&amp;START_MAXIMIZED=FALSE&amp;creator=factset&amp;display_string=Audit"}</definedName>
    <definedName name="_1802__FDSAUDITLINK__" hidden="1">{"fdsup://Directions/FactSet Auditing Viewer?action=AUDIT_VALUE&amp;DB=129&amp;ID1=78477410&amp;VALUEID=02001&amp;SDATE=200702&amp;PERIODTYPE=QTR_STD&amp;SCFT=3&amp;window=popup_no_bar&amp;width=385&amp;height=120&amp;START_MAXIMIZED=FALSE&amp;creator=factset&amp;display_string=Audit"}</definedName>
    <definedName name="_1803__FDSAUDITLINK__" hidden="1">{"fdsup://Directions/FactSet Auditing Viewer?action=AUDIT_VALUE&amp;DB=129&amp;ID1=82705710&amp;VALUEID=02001&amp;SDATE=200702&amp;PERIODTYPE=QTR_STD&amp;SCFT=3&amp;window=popup_no_bar&amp;width=385&amp;height=120&amp;START_MAXIMIZED=FALSE&amp;creator=factset&amp;display_string=Audit"}</definedName>
    <definedName name="_1804__FDSAUDITLINK__" hidden="1">{"fdsup://Directions/FactSet Auditing Viewer?action=AUDIT_VALUE&amp;DB=129&amp;ID1=82705710&amp;VALUEID=02001&amp;SDATE=200702&amp;PERIODTYPE=QTR_STD&amp;SCFT=3&amp;window=popup_no_bar&amp;width=385&amp;height=120&amp;START_MAXIMIZED=FALSE&amp;creator=factset&amp;display_string=Audit"}</definedName>
    <definedName name="_1805__FDSAUDITLINK__" hidden="1">{"fdsup://Directions/FactSet Auditing Viewer?action=AUDIT_VALUE&amp;DB=129&amp;ID1=83547010&amp;VALUEID=02001&amp;SDATE=200702&amp;PERIODTYPE=QTR_STD&amp;SCFT=3&amp;window=popup_no_bar&amp;width=385&amp;height=120&amp;START_MAXIMIZED=FALSE&amp;creator=factset&amp;display_string=Audit"}</definedName>
    <definedName name="_1806__FDSAUDITLINK__" hidden="1">{"fdsup://Directions/FactSet Auditing Viewer?action=AUDIT_VALUE&amp;DB=129&amp;ID1=83547010&amp;VALUEID=02001&amp;SDATE=200702&amp;PERIODTYPE=QTR_STD&amp;SCFT=3&amp;window=popup_no_bar&amp;width=385&amp;height=120&amp;START_MAXIMIZED=FALSE&amp;creator=factset&amp;display_string=Audit"}</definedName>
    <definedName name="_1807__FDSAUDITLINK__" hidden="1">{"fdsup://Directions/FactSet Auditing Viewer?action=AUDIT_VALUE&amp;DB=129&amp;ID1=87160710&amp;VALUEID=02001&amp;SDATE=200703&amp;PERIODTYPE=QTR_STD&amp;SCFT=3&amp;window=popup_no_bar&amp;width=385&amp;height=120&amp;START_MAXIMIZED=FALSE&amp;creator=factset&amp;display_string=Audit"}</definedName>
    <definedName name="_1808__FDSAUDITLINK__" hidden="1">{"fdsup://Directions/FactSet Auditing Viewer?action=AUDIT_VALUE&amp;DB=129&amp;ID1=87160710&amp;VALUEID=02001&amp;SDATE=200703&amp;PERIODTYPE=QTR_STD&amp;SCFT=3&amp;window=popup_no_bar&amp;width=385&amp;height=120&amp;START_MAXIMIZED=FALSE&amp;creator=factset&amp;display_string=Audit"}</definedName>
    <definedName name="_1809__FDSAUDITLINK__" hidden="1">{"fdsup://Directions/FactSet Auditing Viewer?action=AUDIT_VALUE&amp;DB=129&amp;ID1=80004C10&amp;VALUEID=02001&amp;SDATE=200702&amp;PERIODTYPE=QTR_STD&amp;SCFT=3&amp;window=popup_no_bar&amp;width=385&amp;height=120&amp;START_MAXIMIZED=FALSE&amp;creator=factset&amp;display_string=Audit"}</definedName>
    <definedName name="_181__FDSAUDITLINK__" hidden="1">{"fdsup://Directions/FactSet Auditing Viewer?action=AUDIT_VALUE&amp;DB=129&amp;ID1=75091710&amp;VALUEID=02001&amp;SDATE=201004&amp;PERIODTYPE=QTR_STD&amp;SCFT=3&amp;window=popup_no_bar&amp;width=385&amp;height=120&amp;START_MAXIMIZED=FALSE&amp;creator=factset&amp;display_string=Audit"}</definedName>
    <definedName name="_1810__FDSAUDITLINK__" hidden="1">{"fdsup://Directions/FactSet Auditing Viewer?action=AUDIT_VALUE&amp;DB=129&amp;ID1=80004C10&amp;VALUEID=02001&amp;SDATE=200702&amp;PERIODTYPE=QTR_STD&amp;SCFT=3&amp;window=popup_no_bar&amp;width=385&amp;height=120&amp;START_MAXIMIZED=FALSE&amp;creator=factset&amp;display_string=Audit"}</definedName>
    <definedName name="_1811__FDSAUDITLINK__" hidden="1">{"fdsup://Directions/FactSet Auditing Viewer?action=AUDIT_VALUE&amp;DB=129&amp;ID1=81685010&amp;VALUEID=02001&amp;SDATE=200702&amp;PERIODTYPE=QTR_STD&amp;SCFT=3&amp;window=popup_no_bar&amp;width=385&amp;height=120&amp;START_MAXIMIZED=FALSE&amp;creator=factset&amp;display_string=Audit"}</definedName>
    <definedName name="_1812__FDSAUDITLINK__" hidden="1">{"fdsup://Directions/FactSet Auditing Viewer?action=AUDIT_VALUE&amp;DB=129&amp;ID1=81685010&amp;VALUEID=02001&amp;SDATE=200702&amp;PERIODTYPE=QTR_STD&amp;SCFT=3&amp;window=popup_no_bar&amp;width=385&amp;height=120&amp;START_MAXIMIZED=FALSE&amp;creator=factset&amp;display_string=Audit"}</definedName>
    <definedName name="_1813__FDSAUDITLINK__" hidden="1">{"fdsup://Directions/FactSet Auditing Viewer?action=AUDIT_VALUE&amp;DB=129&amp;ID1=82691910&amp;VALUEID=02001&amp;SDATE=200702&amp;PERIODTYPE=QTR_STD&amp;SCFT=3&amp;window=popup_no_bar&amp;width=385&amp;height=120&amp;START_MAXIMIZED=FALSE&amp;creator=factset&amp;display_string=Audit"}</definedName>
    <definedName name="_1814__FDSAUDITLINK__" hidden="1">{"fdsup://Directions/FactSet Auditing Viewer?action=AUDIT_VALUE&amp;DB=129&amp;ID1=82691910&amp;VALUEID=02001&amp;SDATE=200702&amp;PERIODTYPE=QTR_STD&amp;SCFT=3&amp;window=popup_no_bar&amp;width=385&amp;height=120&amp;START_MAXIMIZED=FALSE&amp;creator=factset&amp;display_string=Audit"}</definedName>
    <definedName name="_1815__FDSAUDITLINK__" hidden="1">{"fdsup://Directions/FactSet Auditing Viewer?action=AUDIT_VALUE&amp;DB=129&amp;ID1=82705T10&amp;VALUEID=02001&amp;SDATE=200702&amp;PERIODTYPE=QTR_STD&amp;SCFT=3&amp;window=popup_no_bar&amp;width=385&amp;height=120&amp;START_MAXIMIZED=FALSE&amp;creator=factset&amp;display_string=Audit"}</definedName>
    <definedName name="_1816__FDSAUDITLINK__" hidden="1">{"fdsup://Directions/FactSet Auditing Viewer?action=AUDIT_VALUE&amp;DB=129&amp;ID1=82705T10&amp;VALUEID=02001&amp;SDATE=200702&amp;PERIODTYPE=QTR_STD&amp;SCFT=3&amp;window=popup_no_bar&amp;width=385&amp;height=120&amp;START_MAXIMIZED=FALSE&amp;creator=factset&amp;display_string=Audit"}</definedName>
    <definedName name="_1817__FDSAUDITLINK__" hidden="1">{"fdsup://Directions/FactSet Auditing Viewer?action=AUDIT_VALUE&amp;DB=129&amp;ID1=75091710&amp;VALUEID=02001&amp;SDATE=200702&amp;PERIODTYPE=QTR_STD&amp;SCFT=3&amp;window=popup_no_bar&amp;width=385&amp;height=120&amp;START_MAXIMIZED=FALSE&amp;creator=factset&amp;display_string=Audit"}</definedName>
    <definedName name="_1818__FDSAUDITLINK__" hidden="1">{"fdsup://Directions/FactSet Auditing Viewer?action=AUDIT_VALUE&amp;DB=129&amp;ID1=75091710&amp;VALUEID=02001&amp;SDATE=200702&amp;PERIODTYPE=QTR_STD&amp;SCFT=3&amp;window=popup_no_bar&amp;width=385&amp;height=120&amp;START_MAXIMIZED=FALSE&amp;creator=factset&amp;display_string=Audit"}</definedName>
    <definedName name="_1819__FDSAUDITLINK__" hidden="1">{"fdsup://Directions/FactSet Auditing Viewer?action=AUDIT_VALUE&amp;DB=129&amp;ID1=74994110&amp;VALUEID=02001&amp;SDATE=200701&amp;PERIODTYPE=QTR_STD&amp;SCFT=3&amp;window=popup_no_bar&amp;width=385&amp;height=120&amp;START_MAXIMIZED=FALSE&amp;creator=factset&amp;display_string=Audit"}</definedName>
    <definedName name="_182__FDSAUDITLINK__" hidden="1">{"fdsup://Directions/FactSet Auditing Viewer?action=AUDIT_VALUE&amp;DB=129&amp;ID1=75091710&amp;VALUEID=02001&amp;SDATE=201004&amp;PERIODTYPE=QTR_STD&amp;SCFT=3&amp;window=popup_no_bar&amp;width=385&amp;height=120&amp;START_MAXIMIZED=FALSE&amp;creator=factset&amp;display_string=Audit"}</definedName>
    <definedName name="_1820__FDSAUDITLINK__" hidden="1">{"fdsup://Directions/FactSet Auditing Viewer?action=AUDIT_VALUE&amp;DB=129&amp;ID1=74994110&amp;VALUEID=02001&amp;SDATE=200701&amp;PERIODTYPE=QTR_STD&amp;SCFT=3&amp;window=popup_no_bar&amp;width=385&amp;height=120&amp;START_MAXIMIZED=FALSE&amp;creator=factset&amp;display_string=Audit"}</definedName>
    <definedName name="_1821__FDSAUDITLINK__" hidden="1">{"fdsup://Directions/FactSet Auditing Viewer?action=AUDIT_VALUE&amp;DB=129&amp;ID1=74727710&amp;VALUEID=02001&amp;SDATE=200701&amp;PERIODTYPE=QTR_STD&amp;SCFT=3&amp;window=popup_no_bar&amp;width=385&amp;height=120&amp;START_MAXIMIZED=FALSE&amp;creator=factset&amp;display_string=Audit"}</definedName>
    <definedName name="_1822__FDSAUDITLINK__" hidden="1">{"fdsup://Directions/FactSet Auditing Viewer?action=AUDIT_VALUE&amp;DB=129&amp;ID1=74727710&amp;VALUEID=02001&amp;SDATE=200701&amp;PERIODTYPE=QTR_STD&amp;SCFT=3&amp;window=popup_no_bar&amp;width=385&amp;height=120&amp;START_MAXIMIZED=FALSE&amp;creator=factset&amp;display_string=Audit"}</definedName>
    <definedName name="_1823__FDSAUDITLINK__" hidden="1">{"fdsup://Directions/FactSet Auditing Viewer?action=AUDIT_VALUE&amp;DB=129&amp;ID1=74752510&amp;VALUEID=02001&amp;SDATE=200703&amp;PERIODTYPE=QTR_STD&amp;SCFT=3&amp;window=popup_no_bar&amp;width=385&amp;height=120&amp;START_MAXIMIZED=FALSE&amp;creator=factset&amp;display_string=Audit"}</definedName>
    <definedName name="_1824__FDSAUDITLINK__" hidden="1">{"fdsup://Directions/FactSet Auditing Viewer?action=AUDIT_VALUE&amp;DB=129&amp;ID1=74752510&amp;VALUEID=02001&amp;SDATE=200703&amp;PERIODTYPE=QTR_STD&amp;SCFT=3&amp;window=popup_no_bar&amp;width=385&amp;height=120&amp;START_MAXIMIZED=FALSE&amp;creator=factset&amp;display_string=Audit"}</definedName>
    <definedName name="_1825__FDSAUDITLINK__" hidden="1">{"fdsup://Directions/FactSet Auditing Viewer?action=AUDIT_VALUE&amp;DB=129&amp;ID1=72581M30&amp;VALUEID=02001&amp;SDATE=200702&amp;PERIODTYPE=QTR_STD&amp;SCFT=3&amp;window=popup_no_bar&amp;width=385&amp;height=120&amp;START_MAXIMIZED=FALSE&amp;creator=factset&amp;display_string=Audit"}</definedName>
    <definedName name="_1826__FDSAUDITLINK__" hidden="1">{"fdsup://Directions/FactSet Auditing Viewer?action=AUDIT_VALUE&amp;DB=129&amp;ID1=72581M30&amp;VALUEID=02001&amp;SDATE=200702&amp;PERIODTYPE=QTR_STD&amp;SCFT=3&amp;window=popup_no_bar&amp;width=385&amp;height=120&amp;START_MAXIMIZED=FALSE&amp;creator=factset&amp;display_string=Audit"}</definedName>
    <definedName name="_1827__FDSAUDITLINK__" hidden="1">{"fdsup://Directions/FactSet Auditing Viewer?action=AUDIT_VALUE&amp;DB=129&amp;ID1=73927610&amp;VALUEID=02001&amp;SDATE=200702&amp;PERIODTYPE=QTR_STD&amp;SCFT=3&amp;window=popup_no_bar&amp;width=385&amp;height=120&amp;START_MAXIMIZED=FALSE&amp;creator=factset&amp;display_string=Audit"}</definedName>
    <definedName name="_1828__FDSAUDITLINK__" hidden="1">{"fdsup://Directions/FactSet Auditing Viewer?action=AUDIT_VALUE&amp;DB=129&amp;ID1=73927610&amp;VALUEID=02001&amp;SDATE=200702&amp;PERIODTYPE=QTR_STD&amp;SCFT=3&amp;window=popup_no_bar&amp;width=385&amp;height=120&amp;START_MAXIMIZED=FALSE&amp;creator=factset&amp;display_string=Audit"}</definedName>
    <definedName name="_1829__FDSAUDITLINK__" hidden="1">{"fdsup://Directions/FactSet Auditing Viewer?action=AUDIT_VALUE&amp;DB=129&amp;ID1=69344F10&amp;VALUEID=02001&amp;SDATE=200702&amp;PERIODTYPE=QTR_STD&amp;SCFT=3&amp;window=popup_no_bar&amp;width=385&amp;height=120&amp;START_MAXIMIZED=FALSE&amp;creator=factset&amp;display_string=Audit"}</definedName>
    <definedName name="_183__FDSAUDITLINK__" hidden="1">{"fdsup://Directions/FactSet Auditing Viewer?action=AUDIT_VALUE&amp;DB=129&amp;ID1=74994110&amp;VALUEID=02001&amp;SDATE=201003&amp;PERIODTYPE=QTR_STD&amp;SCFT=3&amp;window=popup_no_bar&amp;width=385&amp;height=120&amp;START_MAXIMIZED=FALSE&amp;creator=factset&amp;display_string=Audit"}</definedName>
    <definedName name="_1830__FDSAUDITLINK__" hidden="1">{"fdsup://Directions/FactSet Auditing Viewer?action=AUDIT_VALUE&amp;DB=129&amp;ID1=69344F10&amp;VALUEID=02001&amp;SDATE=200702&amp;PERIODTYPE=QTR_STD&amp;SCFT=3&amp;window=popup_no_bar&amp;width=385&amp;height=120&amp;START_MAXIMIZED=FALSE&amp;creator=factset&amp;display_string=Audit"}</definedName>
    <definedName name="_1831__FDSAUDITLINK__" hidden="1">{"fdsup://Directions/FactSet Auditing Viewer?action=AUDIT_VALUE&amp;DB=129&amp;ID1=69341710&amp;VALUEID=02001&amp;SDATE=200702&amp;PERIODTYPE=QTR_STD&amp;SCFT=3&amp;window=popup_no_bar&amp;width=385&amp;height=120&amp;START_MAXIMIZED=FALSE&amp;creator=factset&amp;display_string=Audit"}</definedName>
    <definedName name="_1832__FDSAUDITLINK__" hidden="1">{"fdsup://Directions/FactSet Auditing Viewer?action=AUDIT_VALUE&amp;DB=129&amp;ID1=69341710&amp;VALUEID=02001&amp;SDATE=200702&amp;PERIODTYPE=QTR_STD&amp;SCFT=3&amp;window=popup_no_bar&amp;width=385&amp;height=120&amp;START_MAXIMIZED=FALSE&amp;creator=factset&amp;display_string=Audit"}</definedName>
    <definedName name="_1833__FDSAUDITLINK__" hidden="1">{"fdsup://Directions/FactSet Auditing Viewer?action=AUDIT_VALUE&amp;DB=129&amp;ID1=68218910&amp;VALUEID=02001&amp;SDATE=200702&amp;PERIODTYPE=QTR_STD&amp;SCFT=3&amp;window=popup_no_bar&amp;width=385&amp;height=120&amp;START_MAXIMIZED=FALSE&amp;creator=factset&amp;display_string=Audit"}</definedName>
    <definedName name="_1834__FDSAUDITLINK__" hidden="1">{"fdsup://Directions/FactSet Auditing Viewer?action=AUDIT_VALUE&amp;DB=129&amp;ID1=68218910&amp;VALUEID=02001&amp;SDATE=200702&amp;PERIODTYPE=QTR_STD&amp;SCFT=3&amp;window=popup_no_bar&amp;width=385&amp;height=120&amp;START_MAXIMIZED=FALSE&amp;creator=factset&amp;display_string=Audit"}</definedName>
    <definedName name="_1835__FDSAUDITLINK__" hidden="1">{"fdsup://Directions/FactSet Auditing Viewer?action=AUDIT_VALUE&amp;DB=129&amp;ID1=67000810&amp;VALUEID=02001&amp;SDATE=200702&amp;PERIODTYPE=QTR_STD&amp;SCFT=3&amp;window=popup_no_bar&amp;width=385&amp;height=120&amp;START_MAXIMIZED=FALSE&amp;creator=factset&amp;display_string=Audit"}</definedName>
    <definedName name="_1836__FDSAUDITLINK__" hidden="1">{"fdsup://Directions/FactSet Auditing Viewer?action=AUDIT_VALUE&amp;DB=129&amp;ID1=67000810&amp;VALUEID=02001&amp;SDATE=200702&amp;PERIODTYPE=QTR_STD&amp;SCFT=3&amp;window=popup_no_bar&amp;width=385&amp;height=120&amp;START_MAXIMIZED=FALSE&amp;creator=factset&amp;display_string=Audit"}</definedName>
    <definedName name="_1837__FDSAUDITLINK__" hidden="1">{"fdsup://Directions/FactSet Auditing Viewer?action=AUDIT_VALUE&amp;DB=129&amp;ID1=67066G10&amp;VALUEID=02001&amp;SDATE=200702&amp;PERIODTYPE=QTR_STD&amp;SCFT=3&amp;window=popup_no_bar&amp;width=385&amp;height=120&amp;START_MAXIMIZED=FALSE&amp;creator=factset&amp;display_string=Audit"}</definedName>
    <definedName name="_1838__FDSAUDITLINK__" hidden="1">{"fdsup://Directions/FactSet Auditing Viewer?action=AUDIT_VALUE&amp;DB=129&amp;ID1=67066G10&amp;VALUEID=02001&amp;SDATE=200702&amp;PERIODTYPE=QTR_STD&amp;SCFT=3&amp;window=popup_no_bar&amp;width=385&amp;height=120&amp;START_MAXIMIZED=FALSE&amp;creator=factset&amp;display_string=Audit"}</definedName>
    <definedName name="_1839__FDSAUDITLINK__" hidden="1">{"fdsup://Directions/FactSet Auditing Viewer?action=AUDIT_VALUE&amp;DB=129&amp;ID1=64118B10&amp;VALUEID=02001&amp;SDATE=200702&amp;PERIODTYPE=QTR_STD&amp;SCFT=3&amp;window=popup_no_bar&amp;width=385&amp;height=120&amp;START_MAXIMIZED=FALSE&amp;creator=factset&amp;display_string=Audit"}</definedName>
    <definedName name="_184__FDSAUDITLINK__" hidden="1">{"fdsup://Directions/FactSet Auditing Viewer?action=AUDIT_VALUE&amp;DB=129&amp;ID1=74994110&amp;VALUEID=02001&amp;SDATE=201003&amp;PERIODTYPE=QTR_STD&amp;SCFT=3&amp;window=popup_no_bar&amp;width=385&amp;height=120&amp;START_MAXIMIZED=FALSE&amp;creator=factset&amp;display_string=Audit"}</definedName>
    <definedName name="_1840__FDSAUDITLINK__" hidden="1">{"fdsup://Directions/FactSet Auditing Viewer?action=AUDIT_VALUE&amp;DB=129&amp;ID1=64118B10&amp;VALUEID=02001&amp;SDATE=200702&amp;PERIODTYPE=QTR_STD&amp;SCFT=3&amp;window=popup_no_bar&amp;width=385&amp;height=120&amp;START_MAXIMIZED=FALSE&amp;creator=factset&amp;display_string=Audit"}</definedName>
    <definedName name="_1841__FDSAUDITLINK__" hidden="1">{"fdsup://Directions/FactSet Auditing Viewer?action=AUDIT_VALUE&amp;DB=129&amp;ID1=59511210&amp;VALUEID=02001&amp;SDATE=200703&amp;PERIODTYPE=QTR_STD&amp;SCFT=3&amp;window=popup_no_bar&amp;width=385&amp;height=120&amp;START_MAXIMIZED=FALSE&amp;creator=factset&amp;display_string=Audit"}</definedName>
    <definedName name="_1842__FDSAUDITLINK__" hidden="1">{"fdsup://Directions/FactSet Auditing Viewer?action=AUDIT_VALUE&amp;DB=129&amp;ID1=59511210&amp;VALUEID=02001&amp;SDATE=200703&amp;PERIODTYPE=QTR_STD&amp;SCFT=3&amp;window=popup_no_bar&amp;width=385&amp;height=120&amp;START_MAXIMIZED=FALSE&amp;creator=factset&amp;display_string=Audit"}</definedName>
    <definedName name="_1843__FDSAUDITLINK__" hidden="1">{"fdsup://Directions/FactSet Auditing Viewer?action=AUDIT_VALUE&amp;DB=129&amp;ID1=59513710&amp;VALUEID=02001&amp;SDATE=200703&amp;PERIODTYPE=QTR_STD&amp;SCFT=3&amp;window=popup_no_bar&amp;width=385&amp;height=120&amp;START_MAXIMIZED=FALSE&amp;creator=factset&amp;display_string=Audit"}</definedName>
    <definedName name="_1844__FDSAUDITLINK__" hidden="1">{"fdsup://Directions/FactSet Auditing Viewer?action=AUDIT_VALUE&amp;DB=129&amp;ID1=59513710&amp;VALUEID=02001&amp;SDATE=200703&amp;PERIODTYPE=QTR_STD&amp;SCFT=3&amp;window=popup_no_bar&amp;width=385&amp;height=120&amp;START_MAXIMIZED=FALSE&amp;creator=factset&amp;display_string=Audit"}</definedName>
    <definedName name="_1845__FDSAUDITLINK__" hidden="1">{"fdsup://Directions/FactSet Auditing Viewer?action=AUDIT_VALUE&amp;DB=129&amp;ID1=G5876H10&amp;VALUEID=02001&amp;SDATE=200702&amp;PERIODTYPE=QTR_STD&amp;SCFT=3&amp;window=popup_no_bar&amp;width=385&amp;height=120&amp;START_MAXIMIZED=FALSE&amp;creator=factset&amp;display_string=Audit"}</definedName>
    <definedName name="_1846__FDSAUDITLINK__" hidden="1">{"fdsup://Directions/FactSet Auditing Viewer?action=AUDIT_VALUE&amp;DB=129&amp;ID1=G5876H10&amp;VALUEID=02001&amp;SDATE=200702&amp;PERIODTYPE=QTR_STD&amp;SCFT=3&amp;window=popup_no_bar&amp;width=385&amp;height=120&amp;START_MAXIMIZED=FALSE&amp;creator=factset&amp;display_string=Audit"}</definedName>
    <definedName name="_1847__FDSAUDITLINK__" hidden="1">{"fdsup://Directions/FactSet Auditing Viewer?action=AUDIT_VALUE&amp;DB=129&amp;ID1=62007630&amp;VALUEID=02001&amp;SDATE=200702&amp;PERIODTYPE=QTR_STD&amp;SCFT=3&amp;window=popup_no_bar&amp;width=385&amp;height=120&amp;START_MAXIMIZED=FALSE&amp;creator=factset&amp;display_string=Audit"}</definedName>
    <definedName name="_1848__FDSAUDITLINK__" hidden="1">{"fdsup://Directions/FactSet Auditing Viewer?action=AUDIT_VALUE&amp;DB=129&amp;ID1=62007630&amp;VALUEID=02001&amp;SDATE=200702&amp;PERIODTYPE=QTR_STD&amp;SCFT=3&amp;window=popup_no_bar&amp;width=385&amp;height=120&amp;START_MAXIMIZED=FALSE&amp;creator=factset&amp;display_string=Audit"}</definedName>
    <definedName name="_1849__FDSAUDITLINK__" hidden="1">{"fdsup://Directions/FactSet Auditing Viewer?action=AUDIT_VALUE&amp;DB=129&amp;ID1=59479310&amp;VALUEID=02001&amp;SDATE=200702&amp;PERIODTYPE=QTR_STD&amp;SCFT=3&amp;window=popup_no_bar&amp;width=385&amp;height=120&amp;START_MAXIMIZED=FALSE&amp;creator=factset&amp;display_string=Audit"}</definedName>
    <definedName name="_185__FDSAUDITLINK__" hidden="1">{"fdsup://Directions/FactSet Auditing Viewer?action=AUDIT_VALUE&amp;DB=129&amp;ID1=74727710&amp;VALUEID=02001&amp;SDATE=201003&amp;PERIODTYPE=QTR_STD&amp;SCFT=3&amp;window=popup_no_bar&amp;width=385&amp;height=120&amp;START_MAXIMIZED=FALSE&amp;creator=factset&amp;display_string=Audit"}</definedName>
    <definedName name="_1850__FDSAUDITLINK__" hidden="1">{"fdsup://Directions/FactSet Auditing Viewer?action=AUDIT_VALUE&amp;DB=129&amp;ID1=59479310&amp;VALUEID=02001&amp;SDATE=200702&amp;PERIODTYPE=QTR_STD&amp;SCFT=3&amp;window=popup_no_bar&amp;width=385&amp;height=120&amp;START_MAXIMIZED=FALSE&amp;creator=factset&amp;display_string=Audit"}</definedName>
    <definedName name="_1851__FDSAUDITLINK__" hidden="1">{"fdsup://Directions/FactSet Auditing Viewer?action=AUDIT_VALUE&amp;DB=129&amp;ID1=59501710&amp;VALUEID=02001&amp;SDATE=200701&amp;PERIODTYPE=QTR_STD&amp;SCFT=3&amp;window=popup_no_bar&amp;width=385&amp;height=120&amp;START_MAXIMIZED=FALSE&amp;creator=factset&amp;display_string=Audit"}</definedName>
    <definedName name="_1852__FDSAUDITLINK__" hidden="1">{"fdsup://Directions/FactSet Auditing Viewer?action=AUDIT_VALUE&amp;DB=129&amp;ID1=59501710&amp;VALUEID=02001&amp;SDATE=200701&amp;PERIODTYPE=QTR_STD&amp;SCFT=3&amp;window=popup_no_bar&amp;width=385&amp;height=120&amp;START_MAXIMIZED=FALSE&amp;creator=factset&amp;display_string=Audit"}</definedName>
    <definedName name="_1853__FDSAUDITLINK__" hidden="1">{"fdsup://Directions/FactSet Auditing Viewer?action=AUDIT_VALUE&amp;DB=129&amp;ID1=50216110&amp;VALUEID=02001&amp;SDATE=200702&amp;PERIODTYPE=QTR_STD&amp;SCFT=3&amp;window=popup_no_bar&amp;width=385&amp;height=120&amp;START_MAXIMIZED=FALSE&amp;creator=factset&amp;display_string=Audit"}</definedName>
    <definedName name="_1854__FDSAUDITLINK__" hidden="1">{"fdsup://Directions/FactSet Auditing Viewer?action=AUDIT_VALUE&amp;DB=129&amp;ID1=50216110&amp;VALUEID=02001&amp;SDATE=200702&amp;PERIODTYPE=QTR_STD&amp;SCFT=3&amp;window=popup_no_bar&amp;width=385&amp;height=120&amp;START_MAXIMIZED=FALSE&amp;creator=factset&amp;display_string=Audit"}</definedName>
    <definedName name="_1855__FDSAUDITLINK__" hidden="1">{"fdsup://Directions/FactSet Auditing Viewer?action=AUDIT_VALUE&amp;DB=129&amp;ID1=51841510&amp;VALUEID=02001&amp;SDATE=200702&amp;PERIODTYPE=QTR_STD&amp;SCFT=3&amp;window=popup_no_bar&amp;width=385&amp;height=120&amp;START_MAXIMIZED=FALSE&amp;creator=factset&amp;display_string=Audit"}</definedName>
    <definedName name="_1856__FDSAUDITLINK__" hidden="1">{"fdsup://Directions/FactSet Auditing Viewer?action=AUDIT_VALUE&amp;DB=129&amp;ID1=51841510&amp;VALUEID=02001&amp;SDATE=200702&amp;PERIODTYPE=QTR_STD&amp;SCFT=3&amp;window=popup_no_bar&amp;width=385&amp;height=120&amp;START_MAXIMIZED=FALSE&amp;creator=factset&amp;display_string=Audit"}</definedName>
    <definedName name="_1857__FDSAUDITLINK__" hidden="1">{"fdsup://Directions/FactSet Auditing Viewer?action=AUDIT_VALUE&amp;DB=129&amp;ID1=48836020&amp;VALUEID=02001&amp;SDATE=200701&amp;PERIODTYPE=QTR_STD&amp;SCFT=3&amp;window=popup_no_bar&amp;width=385&amp;height=120&amp;START_MAXIMIZED=FALSE&amp;creator=factset&amp;display_string=Audit"}</definedName>
    <definedName name="_1858__FDSAUDITLINK__" hidden="1">{"fdsup://Directions/FactSet Auditing Viewer?action=AUDIT_VALUE&amp;DB=129&amp;ID1=48836020&amp;VALUEID=02001&amp;SDATE=200701&amp;PERIODTYPE=QTR_STD&amp;SCFT=3&amp;window=popup_no_bar&amp;width=385&amp;height=120&amp;START_MAXIMIZED=FALSE&amp;creator=factset&amp;display_string=Audit"}</definedName>
    <definedName name="_1859__FDSAUDITLINK__" hidden="1">{"fdsup://Directions/FactSet Auditing Viewer?action=AUDIT_VALUE&amp;DB=129&amp;ID1=48203R10&amp;VALUEID=02001&amp;SDATE=200702&amp;PERIODTYPE=QTR_STD&amp;SCFT=3&amp;window=popup_no_bar&amp;width=385&amp;height=120&amp;START_MAXIMIZED=FALSE&amp;creator=factset&amp;display_string=Audit"}</definedName>
    <definedName name="_186__FDSAUDITLINK__" hidden="1">{"fdsup://Directions/FactSet Auditing Viewer?action=AUDIT_VALUE&amp;DB=129&amp;ID1=74727710&amp;VALUEID=02001&amp;SDATE=201003&amp;PERIODTYPE=QTR_STD&amp;SCFT=3&amp;window=popup_no_bar&amp;width=385&amp;height=120&amp;START_MAXIMIZED=FALSE&amp;creator=factset&amp;display_string=Audit"}</definedName>
    <definedName name="_1860__FDSAUDITLINK__" hidden="1">{"fdsup://Directions/FactSet Auditing Viewer?action=AUDIT_VALUE&amp;DB=129&amp;ID1=48203R10&amp;VALUEID=02001&amp;SDATE=200702&amp;PERIODTYPE=QTR_STD&amp;SCFT=3&amp;window=popup_no_bar&amp;width=385&amp;height=120&amp;START_MAXIMIZED=FALSE&amp;creator=factset&amp;display_string=Audit"}</definedName>
    <definedName name="_1861__FDSAUDITLINK__" hidden="1">{"fdsup://Directions/FactSet Auditing Viewer?action=AUDIT_VALUE&amp;DB=129&amp;ID1=46069S10&amp;VALUEID=02001&amp;SDATE=200702&amp;PERIODTYPE=QTR_STD&amp;SCFT=3&amp;window=popup_no_bar&amp;width=385&amp;height=120&amp;START_MAXIMIZED=FALSE&amp;creator=factset&amp;display_string=Audit"}</definedName>
    <definedName name="_1862__FDSAUDITLINK__" hidden="1">{"fdsup://Directions/FactSet Auditing Viewer?action=AUDIT_VALUE&amp;DB=129&amp;ID1=46069S10&amp;VALUEID=02001&amp;SDATE=200702&amp;PERIODTYPE=QTR_STD&amp;SCFT=3&amp;window=popup_no_bar&amp;width=385&amp;height=120&amp;START_MAXIMIZED=FALSE&amp;creator=factset&amp;display_string=Audit"}</definedName>
    <definedName name="_1863__FDSAUDITLINK__" hidden="1">{"fdsup://Directions/FactSet Auditing Viewer?action=AUDIT_VALUE&amp;DB=129&amp;ID1=45814010&amp;VALUEID=02001&amp;SDATE=200702&amp;PERIODTYPE=QTR_STD&amp;SCFT=3&amp;window=popup_no_bar&amp;width=385&amp;height=120&amp;START_MAXIMIZED=FALSE&amp;creator=factset&amp;display_string=Audit"}</definedName>
    <definedName name="_1864__FDSAUDITLINK__" hidden="1">{"fdsup://Directions/FactSet Auditing Viewer?action=AUDIT_VALUE&amp;DB=129&amp;ID1=45814010&amp;VALUEID=02001&amp;SDATE=200702&amp;PERIODTYPE=QTR_STD&amp;SCFT=3&amp;window=popup_no_bar&amp;width=385&amp;height=120&amp;START_MAXIMIZED=FALSE&amp;creator=factset&amp;display_string=Audit"}</definedName>
    <definedName name="_1865__FDSAUDITLINK__" hidden="1">{"fdsup://Directions/FactSet Auditing Viewer?action=AUDIT_VALUE&amp;DB=129&amp;ID1=45811810&amp;VALUEID=02001&amp;SDATE=200701&amp;PERIODTYPE=QTR_STD&amp;SCFT=3&amp;window=popup_no_bar&amp;width=385&amp;height=120&amp;START_MAXIMIZED=FALSE&amp;creator=factset&amp;display_string=Audit"}</definedName>
    <definedName name="_1866__FDSAUDITLINK__" hidden="1">{"fdsup://Directions/FactSet Auditing Viewer?action=AUDIT_VALUE&amp;DB=129&amp;ID1=45811810&amp;VALUEID=02001&amp;SDATE=200701&amp;PERIODTYPE=QTR_STD&amp;SCFT=3&amp;window=popup_no_bar&amp;width=385&amp;height=120&amp;START_MAXIMIZED=FALSE&amp;creator=factset&amp;display_string=Audit"}</definedName>
    <definedName name="_1867__FDSAUDITLINK__" hidden="1">{"fdsup://Directions/FactSet Auditing Viewer?action=AUDIT_VALUE&amp;DB=129&amp;ID1=42823610&amp;VALUEID=02001&amp;SDATE=200703&amp;PERIODTYPE=QTR_STD&amp;SCFT=3&amp;window=popup_no_bar&amp;width=385&amp;height=120&amp;START_MAXIMIZED=FALSE&amp;creator=factset&amp;display_string=Audit"}</definedName>
    <definedName name="_1868__FDSAUDITLINK__" hidden="1">{"fdsup://Directions/FactSet Auditing Viewer?action=AUDIT_VALUE&amp;DB=129&amp;ID1=42823610&amp;VALUEID=02001&amp;SDATE=200703&amp;PERIODTYPE=QTR_STD&amp;SCFT=3&amp;window=popup_no_bar&amp;width=385&amp;height=120&amp;START_MAXIMIZED=FALSE&amp;creator=factset&amp;display_string=Audit"}</definedName>
    <definedName name="_1869__FDSAUDITLINK__" hidden="1">{"fdsup://Directions/FactSet Auditing Viewer?action=AUDIT_VALUE&amp;DB=129&amp;ID1=H2906T10&amp;VALUEID=02001&amp;SDATE=200702&amp;PERIODTYPE=QTR_STD&amp;SCFT=3&amp;window=popup_no_bar&amp;width=385&amp;height=120&amp;START_MAXIMIZED=FALSE&amp;creator=factset&amp;display_string=Audit"}</definedName>
    <definedName name="_187__FDSAUDITLINK__" hidden="1">{"fdsup://Directions/FactSet Auditing Viewer?action=AUDIT_VALUE&amp;DB=129&amp;ID1=74752510&amp;VALUEID=02001&amp;SDATE=201101&amp;PERIODTYPE=QTR_STD&amp;SCFT=3&amp;window=popup_no_bar&amp;width=385&amp;height=120&amp;START_MAXIMIZED=FALSE&amp;creator=factset&amp;display_string=Audit"}</definedName>
    <definedName name="_1870__FDSAUDITLINK__" hidden="1">{"fdsup://Directions/FactSet Auditing Viewer?action=AUDIT_VALUE&amp;DB=129&amp;ID1=H2906T10&amp;VALUEID=02001&amp;SDATE=200702&amp;PERIODTYPE=QTR_STD&amp;SCFT=3&amp;window=popup_no_bar&amp;width=385&amp;height=120&amp;START_MAXIMIZED=FALSE&amp;creator=factset&amp;display_string=Audit"}</definedName>
    <definedName name="_1871__FDSAUDITLINK__" hidden="1">{"fdsup://Directions/FactSet Auditing Viewer?action=AUDIT_VALUE&amp;DB=129&amp;ID1=31561610&amp;VALUEID=02001&amp;SDATE=200703&amp;PERIODTYPE=QTR_STD&amp;SCFT=3&amp;window=popup_no_bar&amp;width=385&amp;height=120&amp;START_MAXIMIZED=FALSE&amp;creator=factset&amp;display_string=Audit"}</definedName>
    <definedName name="_1872__FDSAUDITLINK__" hidden="1">{"fdsup://Directions/FactSet Auditing Viewer?action=AUDIT_VALUE&amp;DB=129&amp;ID1=31561610&amp;VALUEID=02001&amp;SDATE=200703&amp;PERIODTYPE=QTR_STD&amp;SCFT=3&amp;window=popup_no_bar&amp;width=385&amp;height=120&amp;START_MAXIMIZED=FALSE&amp;creator=factset&amp;display_string=Audit"}</definedName>
    <definedName name="_1873__FDSAUDITLINK__" hidden="1">{"fdsup://Directions/FactSet Auditing Viewer?action=AUDIT_VALUE&amp;DB=129&amp;ID1=24702R10&amp;VALUEID=02001&amp;SDATE=200702&amp;PERIODTYPE=QTR_STD&amp;SCFT=3&amp;window=popup_no_bar&amp;width=385&amp;height=120&amp;START_MAXIMIZED=FALSE&amp;creator=factset&amp;display_string=Audit"}</definedName>
    <definedName name="_1874__FDSAUDITLINK__" hidden="1">{"fdsup://Directions/FactSet Auditing Viewer?action=AUDIT_VALUE&amp;DB=129&amp;ID1=24702R10&amp;VALUEID=02001&amp;SDATE=200702&amp;PERIODTYPE=QTR_STD&amp;SCFT=3&amp;window=popup_no_bar&amp;width=385&amp;height=120&amp;START_MAXIMIZED=FALSE&amp;creator=factset&amp;display_string=Audit"}</definedName>
    <definedName name="_1875__FDSAUDITLINK__" hidden="1">{"fdsup://Directions/FactSet Auditing Viewer?action=AUDIT_VALUE&amp;DB=129&amp;ID1=23257210&amp;VALUEID=02001&amp;SDATE=200702&amp;PERIODTYPE=QTR_STD&amp;SCFT=3&amp;window=popup_no_bar&amp;width=385&amp;height=120&amp;START_MAXIMIZED=FALSE&amp;creator=factset&amp;display_string=Audit"}</definedName>
    <definedName name="_1876__FDSAUDITLINK__" hidden="1">{"fdsup://Directions/FactSet Auditing Viewer?action=AUDIT_VALUE&amp;DB=129&amp;ID1=23257210&amp;VALUEID=02001&amp;SDATE=200702&amp;PERIODTYPE=QTR_STD&amp;SCFT=3&amp;window=popup_no_bar&amp;width=385&amp;height=120&amp;START_MAXIMIZED=FALSE&amp;creator=factset&amp;display_string=Audit"}</definedName>
    <definedName name="_1877__FDSAUDITLINK__" hidden="1">{"fdsup://Directions/FactSet Auditing Viewer?action=AUDIT_VALUE&amp;DB=129&amp;ID1=23280610&amp;VALUEID=02001&amp;SDATE=200702&amp;PERIODTYPE=QTR_STD&amp;SCFT=3&amp;window=popup_no_bar&amp;width=385&amp;height=120&amp;START_MAXIMIZED=FALSE&amp;creator=factset&amp;display_string=Audit"}</definedName>
    <definedName name="_1878__FDSAUDITLINK__" hidden="1">{"fdsup://Directions/FactSet Auditing Viewer?action=AUDIT_VALUE&amp;DB=129&amp;ID1=23280610&amp;VALUEID=02001&amp;SDATE=200702&amp;PERIODTYPE=QTR_STD&amp;SCFT=3&amp;window=popup_no_bar&amp;width=385&amp;height=120&amp;START_MAXIMIZED=FALSE&amp;creator=factset&amp;display_string=Audit"}</definedName>
    <definedName name="_1879__FDSAUDITLINK__" hidden="1">{"fdsup://Directions/FactSet Auditing Viewer?action=AUDIT_VALUE&amp;DB=129&amp;ID1=20714230&amp;VALUEID=02001&amp;SDATE=200703&amp;PERIODTYPE=QTR_STD&amp;SCFT=3&amp;window=popup_no_bar&amp;width=385&amp;height=120&amp;START_MAXIMIZED=FALSE&amp;creator=factset&amp;display_string=Audit"}</definedName>
    <definedName name="_188__FDSAUDITLINK__" hidden="1">{"fdsup://Directions/FactSet Auditing Viewer?action=AUDIT_VALUE&amp;DB=129&amp;ID1=74752510&amp;VALUEID=02001&amp;SDATE=201101&amp;PERIODTYPE=QTR_STD&amp;SCFT=3&amp;window=popup_no_bar&amp;width=385&amp;height=120&amp;START_MAXIMIZED=FALSE&amp;creator=factset&amp;display_string=Audit"}</definedName>
    <definedName name="_1880__FDSAUDITLINK__" hidden="1">{"fdsup://Directions/FactSet Auditing Viewer?action=AUDIT_VALUE&amp;DB=129&amp;ID1=20714230&amp;VALUEID=02001&amp;SDATE=200703&amp;PERIODTYPE=QTR_STD&amp;SCFT=3&amp;window=popup_no_bar&amp;width=385&amp;height=120&amp;START_MAXIMIZED=FALSE&amp;creator=factset&amp;display_string=Audit"}</definedName>
    <definedName name="_1881__FDSAUDITLINK__" hidden="1">{"fdsup://Directions/FactSet Auditing Viewer?action=AUDIT_VALUE&amp;DB=129&amp;ID1=12738710&amp;VALUEID=02001&amp;SDATE=200702&amp;PERIODTYPE=QTR_STD&amp;SCFT=3&amp;window=popup_no_bar&amp;width=385&amp;height=120&amp;START_MAXIMIZED=FALSE&amp;creator=factset&amp;display_string=Audit"}</definedName>
    <definedName name="_1882__FDSAUDITLINK__" hidden="1">{"fdsup://Directions/FactSet Auditing Viewer?action=AUDIT_VALUE&amp;DB=129&amp;ID1=12738710&amp;VALUEID=02001&amp;SDATE=200702&amp;PERIODTYPE=QTR_STD&amp;SCFT=3&amp;window=popup_no_bar&amp;width=385&amp;height=120&amp;START_MAXIMIZED=FALSE&amp;creator=factset&amp;display_string=Audit"}</definedName>
    <definedName name="_1883__FDSAUDITLINK__" hidden="1">{"fdsup://Directions/FactSet Auditing Viewer?action=AUDIT_VALUE&amp;DB=129&amp;ID1=14964U10&amp;VALUEID=02001&amp;SDATE=200702&amp;PERIODTYPE=QTR_STD&amp;SCFT=3&amp;window=popup_no_bar&amp;width=385&amp;height=120&amp;START_MAXIMIZED=FALSE&amp;creator=factset&amp;display_string=Audit"}</definedName>
    <definedName name="_1884__FDSAUDITLINK__" hidden="1">{"fdsup://Directions/FactSet Auditing Viewer?action=AUDIT_VALUE&amp;DB=129&amp;ID1=14964U10&amp;VALUEID=02001&amp;SDATE=200702&amp;PERIODTYPE=QTR_STD&amp;SCFT=3&amp;window=popup_no_bar&amp;width=385&amp;height=120&amp;START_MAXIMIZED=FALSE&amp;creator=factset&amp;display_string=Audit"}</definedName>
    <definedName name="_1885__FDSAUDITLINK__" hidden="1">{"fdsup://Directions/FactSet Auditing Viewer?action=AUDIT_VALUE&amp;DB=129&amp;ID1=11162130&amp;VALUEID=02001&amp;SDATE=200703&amp;PERIODTYPE=QTR_STD&amp;SCFT=3&amp;window=popup_no_bar&amp;width=385&amp;height=120&amp;START_MAXIMIZED=FALSE&amp;creator=factset&amp;display_string=Audit"}</definedName>
    <definedName name="_1886__FDSAUDITLINK__" hidden="1">{"fdsup://Directions/FactSet Auditing Viewer?action=AUDIT_VALUE&amp;DB=129&amp;ID1=11162130&amp;VALUEID=02001&amp;SDATE=200703&amp;PERIODTYPE=QTR_STD&amp;SCFT=3&amp;window=popup_no_bar&amp;width=385&amp;height=120&amp;START_MAXIMIZED=FALSE&amp;creator=factset&amp;display_string=Audit"}</definedName>
    <definedName name="_1887__FDSAUDITLINK__" hidden="1">{"fdsup://Directions/FactSet Auditing Viewer?action=AUDIT_VALUE&amp;DB=129&amp;ID1=04743P10&amp;VALUEID=02001&amp;SDATE=200702&amp;PERIODTYPE=QTR_STD&amp;SCFT=3&amp;window=popup_no_bar&amp;width=385&amp;height=120&amp;START_MAXIMIZED=FALSE&amp;creator=factset&amp;display_string=Audit"}</definedName>
    <definedName name="_1888__FDSAUDITLINK__" hidden="1">{"fdsup://Directions/FactSet Auditing Viewer?action=AUDIT_VALUE&amp;DB=129&amp;ID1=04743P10&amp;VALUEID=02001&amp;SDATE=200702&amp;PERIODTYPE=QTR_STD&amp;SCFT=3&amp;window=popup_no_bar&amp;width=385&amp;height=120&amp;START_MAXIMIZED=FALSE&amp;creator=factset&amp;display_string=Audit"}</definedName>
    <definedName name="_1889__FDSAUDITLINK__" hidden="1">{"fdsup://Directions/FactSet Auditing Viewer?action=AUDIT_VALUE&amp;DB=129&amp;ID1=03251510&amp;VALUEID=02001&amp;SDATE=200702&amp;PERIODTYPE=QTR_STD&amp;SCFT=3&amp;window=popup_no_bar&amp;width=385&amp;height=120&amp;START_MAXIMIZED=FALSE&amp;creator=factset&amp;display_string=Audit"}</definedName>
    <definedName name="_189__FDSAUDITLINK__" hidden="1">{"fdsup://Directions/FactSet Auditing Viewer?action=AUDIT_VALUE&amp;DB=129&amp;ID1=72581M30&amp;VALUEID=02001&amp;SDATE=201004&amp;PERIODTYPE=QTR_STD&amp;SCFT=3&amp;window=popup_no_bar&amp;width=385&amp;height=120&amp;START_MAXIMIZED=FALSE&amp;creator=factset&amp;display_string=Audit"}</definedName>
    <definedName name="_1890__FDSAUDITLINK__" hidden="1">{"fdsup://Directions/FactSet Auditing Viewer?action=AUDIT_VALUE&amp;DB=129&amp;ID1=03251510&amp;VALUEID=02001&amp;SDATE=200702&amp;PERIODTYPE=QTR_STD&amp;SCFT=3&amp;window=popup_no_bar&amp;width=385&amp;height=120&amp;START_MAXIMIZED=FALSE&amp;creator=factset&amp;display_string=Audit"}</definedName>
    <definedName name="_1891__FDSAUDITLINK__" hidden="1">{"fdsup://Directions/FactSet Auditing Viewer?action=AUDIT_VALUE&amp;DB=129&amp;ID1=00790310&amp;VALUEID=02001&amp;SDATE=200702&amp;PERIODTYPE=QTR_STD&amp;SCFT=3&amp;window=popup_no_bar&amp;width=385&amp;height=120&amp;START_MAXIMIZED=FALSE&amp;creator=factset&amp;display_string=Audit"}</definedName>
    <definedName name="_1892__FDSAUDITLINK__" hidden="1">{"fdsup://Directions/FactSet Auditing Viewer?action=AUDIT_VALUE&amp;DB=129&amp;ID1=00790310&amp;VALUEID=02001&amp;SDATE=200702&amp;PERIODTYPE=QTR_STD&amp;SCFT=3&amp;window=popup_no_bar&amp;width=385&amp;height=120&amp;START_MAXIMIZED=FALSE&amp;creator=factset&amp;display_string=Audit"}</definedName>
    <definedName name="_1893__FDSAUDITLINK__" hidden="1">{"fdsup://Directions/FactSet Auditing Viewer?action=AUDIT_VALUE&amp;DB=129&amp;ID1=03822W40&amp;VALUEID=02001&amp;SDATE=200701&amp;PERIODTYPE=QTR_STD&amp;SCFT=3&amp;window=popup_no_bar&amp;width=385&amp;height=120&amp;START_MAXIMIZED=FALSE&amp;creator=factset&amp;display_string=Audit"}</definedName>
    <definedName name="_1894__FDSAUDITLINK__" hidden="1">{"fdsup://Directions/FactSet Auditing Viewer?action=AUDIT_VALUE&amp;DB=129&amp;ID1=03822W40&amp;VALUEID=02001&amp;SDATE=200701&amp;PERIODTYPE=QTR_STD&amp;SCFT=3&amp;window=popup_no_bar&amp;width=385&amp;height=120&amp;START_MAXIMIZED=FALSE&amp;creator=factset&amp;display_string=Audit"}</definedName>
    <definedName name="_1895__FDSAUDITLINK__" hidden="1">{"fdsup://Directions/FactSet Auditing Viewer?action=AUDIT_VALUE&amp;DB=129&amp;ID1=03822210&amp;VALUEID=02001&amp;SDATE=200703&amp;PERIODTYPE=QTR_STD&amp;SCFT=3&amp;window=popup_no_bar&amp;width=385&amp;height=120&amp;START_MAXIMIZED=FALSE&amp;creator=factset&amp;display_string=Audit"}</definedName>
    <definedName name="_1896__FDSAUDITLINK__" hidden="1">{"fdsup://Directions/FactSet Auditing Viewer?action=AUDIT_VALUE&amp;DB=129&amp;ID1=03822210&amp;VALUEID=02001&amp;SDATE=200703&amp;PERIODTYPE=QTR_STD&amp;SCFT=3&amp;window=popup_no_bar&amp;width=385&amp;height=120&amp;START_MAXIMIZED=FALSE&amp;creator=factset&amp;display_string=Audit"}</definedName>
    <definedName name="_1897__FDSAUDITLINK__" hidden="1">{"fdsup://Directions/FactSet Auditing Viewer?action=AUDIT_VALUE&amp;DB=129&amp;ID1=02144110&amp;VALUEID=02001&amp;SDATE=200702&amp;PERIODTYPE=QTR_STD&amp;SCFT=3&amp;window=popup_no_bar&amp;width=385&amp;height=120&amp;START_MAXIMIZED=FALSE&amp;creator=factset&amp;display_string=Audit"}</definedName>
    <definedName name="_1898__FDSAUDITLINK__" hidden="1">{"fdsup://Directions/FactSet Auditing Viewer?action=AUDIT_VALUE&amp;DB=129&amp;ID1=02144110&amp;VALUEID=02001&amp;SDATE=200702&amp;PERIODTYPE=QTR_STD&amp;SCFT=3&amp;window=popup_no_bar&amp;width=385&amp;height=120&amp;START_MAXIMIZED=FALSE&amp;creator=factset&amp;display_string=Audit"}</definedName>
    <definedName name="_1899__FDSAUDITLINK__" hidden="1">{"fdsup://Directions/FactSet Auditing Viewer?action=AUDIT_VALUE&amp;DB=129&amp;ID1=03265410&amp;VALUEID=02001&amp;SDATE=200703&amp;PERIODTYPE=QTR_STD&amp;SCFT=3&amp;window=popup_no_bar&amp;width=385&amp;height=120&amp;START_MAXIMIZED=FALSE&amp;creator=factset&amp;display_string=Audit"}</definedName>
    <definedName name="_19__FDSAUDITLINK__" hidden="1">{"fdsup://directions/FAT Viewer?action=UPDATE&amp;creator=factset&amp;DYN_ARGS=TRUE&amp;DOC_NAME=FAT:FQL_AUDITING_CLIENT_TEMPLATE.FAT&amp;display_string=Audit&amp;VAR:KEY=GLKDQTYVIN&amp;VAR:QUERY=RkZfU0hTX0ZMT0FUKEFOTiwp&amp;WINDOW=FIRST_POPUP&amp;HEIGHT=450&amp;WIDTH=450&amp;START_MAXIMIZED=FALS","E&amp;VAR:CALENDAR=US&amp;VAR:SYMBOL=WYNN RESORTS&amp;VAR:INDEX=0"}</definedName>
    <definedName name="_190__FDSAUDITLINK__" hidden="1">{"fdsup://Directions/FactSet Auditing Viewer?action=AUDIT_VALUE&amp;DB=129&amp;ID1=72581M30&amp;VALUEID=02001&amp;SDATE=201004&amp;PERIODTYPE=QTR_STD&amp;SCFT=3&amp;window=popup_no_bar&amp;width=385&amp;height=120&amp;START_MAXIMIZED=FALSE&amp;creator=factset&amp;display_string=Audit"}</definedName>
    <definedName name="_1900__FDSAUDITLINK__" hidden="1">{"fdsup://Directions/FactSet Auditing Viewer?action=AUDIT_VALUE&amp;DB=129&amp;ID1=03265410&amp;VALUEID=02001&amp;SDATE=200703&amp;PERIODTYPE=QTR_STD&amp;SCFT=3&amp;window=popup_no_bar&amp;width=385&amp;height=120&amp;START_MAXIMIZED=FALSE&amp;creator=factset&amp;display_string=Audit"}</definedName>
    <definedName name="_1901__FDSAUDITLINK__" hidden="1">{"fdsup://Directions/FactSet Auditing Viewer?action=AUDIT_VALUE&amp;DB=129&amp;ID1=00752J10&amp;VALUEID=02001&amp;SDATE=200702&amp;PERIODTYPE=QTR_STD&amp;SCFT=3&amp;window=popup_no_bar&amp;width=385&amp;height=120&amp;START_MAXIMIZED=FALSE&amp;creator=factset&amp;display_string=Audit"}</definedName>
    <definedName name="_1902__FDSAUDITLINK__" hidden="1">{"fdsup://Directions/FactSet Auditing Viewer?action=AUDIT_VALUE&amp;DB=129&amp;ID1=00752J10&amp;VALUEID=02001&amp;SDATE=200702&amp;PERIODTYPE=QTR_STD&amp;SCFT=3&amp;window=popup_no_bar&amp;width=385&amp;height=120&amp;START_MAXIMIZED=FALSE&amp;creator=factset&amp;display_string=Audit"}</definedName>
    <definedName name="_1903__FDSAUDITLINK__" hidden="1">{"fdsup://Directions/FactSet Auditing Viewer?action=AUDIT_VALUE&amp;DB=129&amp;ID1=98975F10&amp;VALUEID=02001&amp;SDATE=200701&amp;PERIODTYPE=QTR_STD&amp;SCFT=3&amp;window=popup_no_bar&amp;width=385&amp;height=120&amp;START_MAXIMIZED=FALSE&amp;creator=factset&amp;display_string=Audit"}</definedName>
    <definedName name="_1904__FDSAUDITLINK__" hidden="1">{"fdsup://Directions/FactSet Auditing Viewer?action=AUDIT_VALUE&amp;DB=129&amp;ID1=98975F10&amp;VALUEID=02001&amp;SDATE=200701&amp;PERIODTYPE=QTR_STD&amp;SCFT=3&amp;window=popup_no_bar&amp;width=385&amp;height=120&amp;START_MAXIMIZED=FALSE&amp;creator=factset&amp;display_string=Audit"}</definedName>
    <definedName name="_1905__FDSAUDITLINK__" hidden="1">{"fdsup://Directions/FactSet Auditing Viewer?action=AUDIT_VALUE&amp;DB=129&amp;ID1=95810210&amp;VALUEID=02001&amp;SDATE=200703&amp;PERIODTYPE=QTR_STD&amp;SCFT=3&amp;window=popup_no_bar&amp;width=385&amp;height=120&amp;START_MAXIMIZED=FALSE&amp;creator=factset&amp;display_string=Audit"}</definedName>
    <definedName name="_1906__FDSAUDITLINK__" hidden="1">{"fdsup://Directions/FactSet Auditing Viewer?action=AUDIT_VALUE&amp;DB=129&amp;ID1=95810210&amp;VALUEID=02001&amp;SDATE=200703&amp;PERIODTYPE=QTR_STD&amp;SCFT=3&amp;window=popup_no_bar&amp;width=385&amp;height=120&amp;START_MAXIMIZED=FALSE&amp;creator=factset&amp;display_string=Audit"}</definedName>
    <definedName name="_1907__FDSAUDITLINK__" hidden="1">{"fdsup://Directions/FactSet Auditing Viewer?action=AUDIT_VALUE&amp;DB=129&amp;ID1=92829810&amp;VALUEID=02001&amp;SDATE=200701&amp;PERIODTYPE=QTR_STD&amp;SCFT=3&amp;window=popup_no_bar&amp;width=385&amp;height=120&amp;START_MAXIMIZED=FALSE&amp;creator=factset&amp;display_string=Audit"}</definedName>
    <definedName name="_1908__FDSAUDITLINK__" hidden="1">{"fdsup://Directions/FactSet Auditing Viewer?action=AUDIT_VALUE&amp;DB=129&amp;ID1=92829810&amp;VALUEID=02001&amp;SDATE=200701&amp;PERIODTYPE=QTR_STD&amp;SCFT=3&amp;window=popup_no_bar&amp;width=385&amp;height=120&amp;START_MAXIMIZED=FALSE&amp;creator=factset&amp;display_string=Audit"}</definedName>
    <definedName name="_1909__FDSAUDITLINK__" hidden="1">{"fdsup://Directions/FactSet Auditing Viewer?action=AUDIT_VALUE&amp;DB=129&amp;ID1=88250810&amp;VALUEID=02001&amp;SDATE=200701&amp;PERIODTYPE=QTR_STD&amp;SCFT=3&amp;window=popup_no_bar&amp;width=385&amp;height=120&amp;START_MAXIMIZED=FALSE&amp;creator=factset&amp;display_string=Audit"}</definedName>
    <definedName name="_191__FDSAUDITLINK__" hidden="1">{"fdsup://Directions/FactSet Auditing Viewer?action=AUDIT_VALUE&amp;DB=129&amp;ID1=73927610&amp;VALUEID=02001&amp;SDATE=201004&amp;PERIODTYPE=QTR_STD&amp;SCFT=3&amp;window=popup_no_bar&amp;width=385&amp;height=120&amp;START_MAXIMIZED=FALSE&amp;creator=factset&amp;display_string=Audit"}</definedName>
    <definedName name="_1910__FDSAUDITLINK__" hidden="1">{"fdsup://Directions/FactSet Auditing Viewer?action=AUDIT_VALUE&amp;DB=129&amp;ID1=88250810&amp;VALUEID=02001&amp;SDATE=200701&amp;PERIODTYPE=QTR_STD&amp;SCFT=3&amp;window=popup_no_bar&amp;width=385&amp;height=120&amp;START_MAXIMIZED=FALSE&amp;creator=factset&amp;display_string=Audit"}</definedName>
    <definedName name="_1911__FDSAUDITLINK__" hidden="1">{"fdsup://Directions/FactSet Auditing Viewer?action=AUDIT_VALUE&amp;DB=129&amp;ID1=89674K10&amp;VALUEID=02001&amp;SDATE=200701&amp;PERIODTYPE=QTR_STD&amp;SCFT=3&amp;window=popup_no_bar&amp;width=385&amp;height=120&amp;START_MAXIMIZED=FALSE&amp;creator=factset&amp;display_string=Audit"}</definedName>
    <definedName name="_1912__FDSAUDITLINK__" hidden="1">{"fdsup://Directions/FactSet Auditing Viewer?action=AUDIT_VALUE&amp;DB=129&amp;ID1=89674K10&amp;VALUEID=02001&amp;SDATE=200701&amp;PERIODTYPE=QTR_STD&amp;SCFT=3&amp;window=popup_no_bar&amp;width=385&amp;height=120&amp;START_MAXIMIZED=FALSE&amp;creator=factset&amp;display_string=Audit"}</definedName>
    <definedName name="_1913__FDSAUDITLINK__" hidden="1">{"fdsup://Directions/FactSet Auditing Viewer?action=AUDIT_VALUE&amp;DB=129&amp;ID1=83088M10&amp;VALUEID=02001&amp;SDATE=200702&amp;PERIODTYPE=QTR_STD&amp;SCFT=3&amp;window=popup_no_bar&amp;width=385&amp;height=120&amp;START_MAXIMIZED=FALSE&amp;creator=factset&amp;display_string=Audit"}</definedName>
    <definedName name="_1914__FDSAUDITLINK__" hidden="1">{"fdsup://Directions/FactSet Auditing Viewer?action=AUDIT_VALUE&amp;DB=129&amp;ID1=83088M10&amp;VALUEID=02001&amp;SDATE=200702&amp;PERIODTYPE=QTR_STD&amp;SCFT=3&amp;window=popup_no_bar&amp;width=385&amp;height=120&amp;START_MAXIMIZED=FALSE&amp;creator=factset&amp;display_string=Audit"}</definedName>
    <definedName name="_1915__FDSAUDITLINK__" hidden="1">{"fdsup://Directions/FactSet Auditing Viewer?action=AUDIT_VALUE&amp;DB=129&amp;ID1=G7945M10&amp;VALUEID=02001&amp;SDATE=200703&amp;PERIODTYPE=QTR_STD&amp;SCFT=3&amp;window=popup_no_bar&amp;width=385&amp;height=120&amp;START_MAXIMIZED=FALSE&amp;creator=factset&amp;display_string=Audit"}</definedName>
    <definedName name="_1916__FDSAUDITLINK__" hidden="1">{"fdsup://Directions/FactSet Auditing Viewer?action=AUDIT_VALUE&amp;DB=129&amp;ID1=G7945M10&amp;VALUEID=02001&amp;SDATE=200703&amp;PERIODTYPE=QTR_STD&amp;SCFT=3&amp;window=popup_no_bar&amp;width=385&amp;height=120&amp;START_MAXIMIZED=FALSE&amp;creator=factset&amp;display_string=Audit"}</definedName>
    <definedName name="_1917__FDSAUDITLINK__" hidden="1">{"fdsup://Directions/FactSet Auditing Viewer?action=AUDIT_VALUE&amp;DB=129&amp;ID1=78477410&amp;VALUEID=02001&amp;SDATE=200701&amp;PERIODTYPE=QTR_STD&amp;SCFT=3&amp;window=popup_no_bar&amp;width=385&amp;height=120&amp;START_MAXIMIZED=FALSE&amp;creator=factset&amp;display_string=Audit"}</definedName>
    <definedName name="_1918__FDSAUDITLINK__" hidden="1">{"fdsup://Directions/FactSet Auditing Viewer?action=AUDIT_VALUE&amp;DB=129&amp;ID1=78477410&amp;VALUEID=02001&amp;SDATE=200701&amp;PERIODTYPE=QTR_STD&amp;SCFT=3&amp;window=popup_no_bar&amp;width=385&amp;height=120&amp;START_MAXIMIZED=FALSE&amp;creator=factset&amp;display_string=Audit"}</definedName>
    <definedName name="_1919__FDSAUDITLINK__" hidden="1">{"fdsup://Directions/FactSet Auditing Viewer?action=AUDIT_VALUE&amp;DB=129&amp;ID1=82705710&amp;VALUEID=02001&amp;SDATE=200701&amp;PERIODTYPE=QTR_STD&amp;SCFT=3&amp;window=popup_no_bar&amp;width=385&amp;height=120&amp;START_MAXIMIZED=FALSE&amp;creator=factset&amp;display_string=Audit"}</definedName>
    <definedName name="_192__FDSAUDITLINK__" hidden="1">{"fdsup://Directions/FactSet Auditing Viewer?action=AUDIT_VALUE&amp;DB=129&amp;ID1=73927610&amp;VALUEID=02001&amp;SDATE=201004&amp;PERIODTYPE=QTR_STD&amp;SCFT=3&amp;window=popup_no_bar&amp;width=385&amp;height=120&amp;START_MAXIMIZED=FALSE&amp;creator=factset&amp;display_string=Audit"}</definedName>
    <definedName name="_1920__FDSAUDITLINK__" hidden="1">{"fdsup://Directions/FactSet Auditing Viewer?action=AUDIT_VALUE&amp;DB=129&amp;ID1=82705710&amp;VALUEID=02001&amp;SDATE=200701&amp;PERIODTYPE=QTR_STD&amp;SCFT=3&amp;window=popup_no_bar&amp;width=385&amp;height=120&amp;START_MAXIMIZED=FALSE&amp;creator=factset&amp;display_string=Audit"}</definedName>
    <definedName name="_1921__FDSAUDITLINK__" hidden="1">{"fdsup://Directions/FactSet Auditing Viewer?action=AUDIT_VALUE&amp;DB=129&amp;ID1=83547010&amp;VALUEID=02001&amp;SDATE=200701&amp;PERIODTYPE=QTR_STD&amp;SCFT=3&amp;window=popup_no_bar&amp;width=385&amp;height=120&amp;START_MAXIMIZED=FALSE&amp;creator=factset&amp;display_string=Audit"}</definedName>
    <definedName name="_1922__FDSAUDITLINK__" hidden="1">{"fdsup://Directions/FactSet Auditing Viewer?action=AUDIT_VALUE&amp;DB=129&amp;ID1=83547010&amp;VALUEID=02001&amp;SDATE=200701&amp;PERIODTYPE=QTR_STD&amp;SCFT=3&amp;window=popup_no_bar&amp;width=385&amp;height=120&amp;START_MAXIMIZED=FALSE&amp;creator=factset&amp;display_string=Audit"}</definedName>
    <definedName name="_1923__FDSAUDITLINK__" hidden="1">{"fdsup://Directions/FactSet Auditing Viewer?action=AUDIT_VALUE&amp;DB=129&amp;ID1=87160710&amp;VALUEID=02001&amp;SDATE=200702&amp;PERIODTYPE=QTR_STD&amp;SCFT=3&amp;window=popup_no_bar&amp;width=385&amp;height=120&amp;START_MAXIMIZED=FALSE&amp;creator=factset&amp;display_string=Audit"}</definedName>
    <definedName name="_1924__FDSAUDITLINK__" hidden="1">{"fdsup://Directions/FactSet Auditing Viewer?action=AUDIT_VALUE&amp;DB=129&amp;ID1=87160710&amp;VALUEID=02001&amp;SDATE=200702&amp;PERIODTYPE=QTR_STD&amp;SCFT=3&amp;window=popup_no_bar&amp;width=385&amp;height=120&amp;START_MAXIMIZED=FALSE&amp;creator=factset&amp;display_string=Audit"}</definedName>
    <definedName name="_1925__FDSAUDITLINK__" hidden="1">{"fdsup://Directions/FactSet Auditing Viewer?action=AUDIT_VALUE&amp;DB=129&amp;ID1=80004C10&amp;VALUEID=02001&amp;SDATE=200701&amp;PERIODTYPE=QTR_STD&amp;SCFT=3&amp;window=popup_no_bar&amp;width=385&amp;height=120&amp;START_MAXIMIZED=FALSE&amp;creator=factset&amp;display_string=Audit"}</definedName>
    <definedName name="_1926__FDSAUDITLINK__" hidden="1">{"fdsup://Directions/FactSet Auditing Viewer?action=AUDIT_VALUE&amp;DB=129&amp;ID1=80004C10&amp;VALUEID=02001&amp;SDATE=200701&amp;PERIODTYPE=QTR_STD&amp;SCFT=3&amp;window=popup_no_bar&amp;width=385&amp;height=120&amp;START_MAXIMIZED=FALSE&amp;creator=factset&amp;display_string=Audit"}</definedName>
    <definedName name="_1927__FDSAUDITLINK__" hidden="1">{"fdsup://Directions/FactSet Auditing Viewer?action=AUDIT_VALUE&amp;DB=129&amp;ID1=81685010&amp;VALUEID=02001&amp;SDATE=200701&amp;PERIODTYPE=QTR_STD&amp;SCFT=3&amp;window=popup_no_bar&amp;width=385&amp;height=120&amp;START_MAXIMIZED=FALSE&amp;creator=factset&amp;display_string=Audit"}</definedName>
    <definedName name="_1928__FDSAUDITLINK__" hidden="1">{"fdsup://Directions/FactSet Auditing Viewer?action=AUDIT_VALUE&amp;DB=129&amp;ID1=81685010&amp;VALUEID=02001&amp;SDATE=200701&amp;PERIODTYPE=QTR_STD&amp;SCFT=3&amp;window=popup_no_bar&amp;width=385&amp;height=120&amp;START_MAXIMIZED=FALSE&amp;creator=factset&amp;display_string=Audit"}</definedName>
    <definedName name="_1929__FDSAUDITLINK__" hidden="1">{"fdsup://Directions/FactSet Auditing Viewer?action=AUDIT_VALUE&amp;DB=129&amp;ID1=82691910&amp;VALUEID=02001&amp;SDATE=200701&amp;PERIODTYPE=QTR_STD&amp;SCFT=3&amp;window=popup_no_bar&amp;width=385&amp;height=120&amp;START_MAXIMIZED=FALSE&amp;creator=factset&amp;display_string=Audit"}</definedName>
    <definedName name="_193__FDSAUDITLINK__" hidden="1">{"fdsup://Directions/FactSet Auditing Viewer?action=AUDIT_VALUE&amp;DB=129&amp;ID1=69344F10&amp;VALUEID=02001&amp;SDATE=201004&amp;PERIODTYPE=QTR_STD&amp;SCFT=3&amp;window=popup_no_bar&amp;width=385&amp;height=120&amp;START_MAXIMIZED=FALSE&amp;creator=factset&amp;display_string=Audit"}</definedName>
    <definedName name="_1930__FDSAUDITLINK__" hidden="1">{"fdsup://Directions/FactSet Auditing Viewer?action=AUDIT_VALUE&amp;DB=129&amp;ID1=82691910&amp;VALUEID=02001&amp;SDATE=200701&amp;PERIODTYPE=QTR_STD&amp;SCFT=3&amp;window=popup_no_bar&amp;width=385&amp;height=120&amp;START_MAXIMIZED=FALSE&amp;creator=factset&amp;display_string=Audit"}</definedName>
    <definedName name="_1931__FDSAUDITLINK__" hidden="1">{"fdsup://Directions/FactSet Auditing Viewer?action=AUDIT_VALUE&amp;DB=129&amp;ID1=82705T10&amp;VALUEID=02001&amp;SDATE=200701&amp;PERIODTYPE=QTR_STD&amp;SCFT=3&amp;window=popup_no_bar&amp;width=385&amp;height=120&amp;START_MAXIMIZED=FALSE&amp;creator=factset&amp;display_string=Audit"}</definedName>
    <definedName name="_1932__FDSAUDITLINK__" hidden="1">{"fdsup://Directions/FactSet Auditing Viewer?action=AUDIT_VALUE&amp;DB=129&amp;ID1=82705T10&amp;VALUEID=02001&amp;SDATE=200701&amp;PERIODTYPE=QTR_STD&amp;SCFT=3&amp;window=popup_no_bar&amp;width=385&amp;height=120&amp;START_MAXIMIZED=FALSE&amp;creator=factset&amp;display_string=Audit"}</definedName>
    <definedName name="_1933__FDSAUDITLINK__" hidden="1">{"fdsup://Directions/FactSet Auditing Viewer?action=AUDIT_VALUE&amp;DB=129&amp;ID1=75091710&amp;VALUEID=02001&amp;SDATE=200701&amp;PERIODTYPE=QTR_STD&amp;SCFT=3&amp;window=popup_no_bar&amp;width=385&amp;height=120&amp;START_MAXIMIZED=FALSE&amp;creator=factset&amp;display_string=Audit"}</definedName>
    <definedName name="_1934__FDSAUDITLINK__" hidden="1">{"fdsup://Directions/FactSet Auditing Viewer?action=AUDIT_VALUE&amp;DB=129&amp;ID1=75091710&amp;VALUEID=02001&amp;SDATE=200701&amp;PERIODTYPE=QTR_STD&amp;SCFT=3&amp;window=popup_no_bar&amp;width=385&amp;height=120&amp;START_MAXIMIZED=FALSE&amp;creator=factset&amp;display_string=Audit"}</definedName>
    <definedName name="_1935__FDSAUDITLINK__" hidden="1">{"fdsup://Directions/FactSet Auditing Viewer?action=AUDIT_VALUE&amp;DB=129&amp;ID1=74752510&amp;VALUEID=02001&amp;SDATE=200702&amp;PERIODTYPE=QTR_STD&amp;SCFT=3&amp;window=popup_no_bar&amp;width=385&amp;height=120&amp;START_MAXIMIZED=FALSE&amp;creator=factset&amp;display_string=Audit"}</definedName>
    <definedName name="_1936__FDSAUDITLINK__" hidden="1">{"fdsup://Directions/FactSet Auditing Viewer?action=AUDIT_VALUE&amp;DB=129&amp;ID1=74752510&amp;VALUEID=02001&amp;SDATE=200702&amp;PERIODTYPE=QTR_STD&amp;SCFT=3&amp;window=popup_no_bar&amp;width=385&amp;height=120&amp;START_MAXIMIZED=FALSE&amp;creator=factset&amp;display_string=Audit"}</definedName>
    <definedName name="_1937__FDSAUDITLINK__" hidden="1">{"fdsup://Directions/FactSet Auditing Viewer?action=AUDIT_VALUE&amp;DB=129&amp;ID1=72581M30&amp;VALUEID=02001&amp;SDATE=200701&amp;PERIODTYPE=QTR_STD&amp;SCFT=3&amp;window=popup_no_bar&amp;width=385&amp;height=120&amp;START_MAXIMIZED=FALSE&amp;creator=factset&amp;display_string=Audit"}</definedName>
    <definedName name="_1938__FDSAUDITLINK__" hidden="1">{"fdsup://Directions/FactSet Auditing Viewer?action=AUDIT_VALUE&amp;DB=129&amp;ID1=72581M30&amp;VALUEID=02001&amp;SDATE=200701&amp;PERIODTYPE=QTR_STD&amp;SCFT=3&amp;window=popup_no_bar&amp;width=385&amp;height=120&amp;START_MAXIMIZED=FALSE&amp;creator=factset&amp;display_string=Audit"}</definedName>
    <definedName name="_1939__FDSAUDITLINK__" hidden="1">{"fdsup://Directions/FactSet Auditing Viewer?action=AUDIT_VALUE&amp;DB=129&amp;ID1=73927610&amp;VALUEID=02001&amp;SDATE=200701&amp;PERIODTYPE=QTR_STD&amp;SCFT=3&amp;window=popup_no_bar&amp;width=385&amp;height=120&amp;START_MAXIMIZED=FALSE&amp;creator=factset&amp;display_string=Audit"}</definedName>
    <definedName name="_194__FDSAUDITLINK__" hidden="1">{"fdsup://Directions/FactSet Auditing Viewer?action=AUDIT_VALUE&amp;DB=129&amp;ID1=69344F10&amp;VALUEID=02001&amp;SDATE=201004&amp;PERIODTYPE=QTR_STD&amp;SCFT=3&amp;window=popup_no_bar&amp;width=385&amp;height=120&amp;START_MAXIMIZED=FALSE&amp;creator=factset&amp;display_string=Audit"}</definedName>
    <definedName name="_1940__FDSAUDITLINK__" hidden="1">{"fdsup://Directions/FactSet Auditing Viewer?action=AUDIT_VALUE&amp;DB=129&amp;ID1=73927610&amp;VALUEID=02001&amp;SDATE=200701&amp;PERIODTYPE=QTR_STD&amp;SCFT=3&amp;window=popup_no_bar&amp;width=385&amp;height=120&amp;START_MAXIMIZED=FALSE&amp;creator=factset&amp;display_string=Audit"}</definedName>
    <definedName name="_1941__FDSAUDITLINK__" hidden="1">{"fdsup://Directions/FactSet Auditing Viewer?action=AUDIT_VALUE&amp;DB=129&amp;ID1=69344F10&amp;VALUEID=02001&amp;SDATE=200701&amp;PERIODTYPE=QTR_STD&amp;SCFT=3&amp;window=popup_no_bar&amp;width=385&amp;height=120&amp;START_MAXIMIZED=FALSE&amp;creator=factset&amp;display_string=Audit"}</definedName>
    <definedName name="_1942__FDSAUDITLINK__" hidden="1">{"fdsup://Directions/FactSet Auditing Viewer?action=AUDIT_VALUE&amp;DB=129&amp;ID1=69344F10&amp;VALUEID=02001&amp;SDATE=200701&amp;PERIODTYPE=QTR_STD&amp;SCFT=3&amp;window=popup_no_bar&amp;width=385&amp;height=120&amp;START_MAXIMIZED=FALSE&amp;creator=factset&amp;display_string=Audit"}</definedName>
    <definedName name="_1943__FDSAUDITLINK__" hidden="1">{"fdsup://Directions/FactSet Auditing Viewer?action=AUDIT_VALUE&amp;DB=129&amp;ID1=69341710&amp;VALUEID=02001&amp;SDATE=200701&amp;PERIODTYPE=QTR_STD&amp;SCFT=3&amp;window=popup_no_bar&amp;width=385&amp;height=120&amp;START_MAXIMIZED=FALSE&amp;creator=factset&amp;display_string=Audit"}</definedName>
    <definedName name="_1944__FDSAUDITLINK__" hidden="1">{"fdsup://Directions/FactSet Auditing Viewer?action=AUDIT_VALUE&amp;DB=129&amp;ID1=69341710&amp;VALUEID=02001&amp;SDATE=200701&amp;PERIODTYPE=QTR_STD&amp;SCFT=3&amp;window=popup_no_bar&amp;width=385&amp;height=120&amp;START_MAXIMIZED=FALSE&amp;creator=factset&amp;display_string=Audit"}</definedName>
    <definedName name="_1945__FDSAUDITLINK__" hidden="1">{"fdsup://Directions/FactSet Auditing Viewer?action=AUDIT_VALUE&amp;DB=129&amp;ID1=68218910&amp;VALUEID=02001&amp;SDATE=200701&amp;PERIODTYPE=QTR_STD&amp;SCFT=3&amp;window=popup_no_bar&amp;width=385&amp;height=120&amp;START_MAXIMIZED=FALSE&amp;creator=factset&amp;display_string=Audit"}</definedName>
    <definedName name="_1946__FDSAUDITLINK__" hidden="1">{"fdsup://Directions/FactSet Auditing Viewer?action=AUDIT_VALUE&amp;DB=129&amp;ID1=68218910&amp;VALUEID=02001&amp;SDATE=200701&amp;PERIODTYPE=QTR_STD&amp;SCFT=3&amp;window=popup_no_bar&amp;width=385&amp;height=120&amp;START_MAXIMIZED=FALSE&amp;creator=factset&amp;display_string=Audit"}</definedName>
    <definedName name="_1947__FDSAUDITLINK__" hidden="1">{"fdsup://Directions/FactSet Auditing Viewer?action=AUDIT_VALUE&amp;DB=129&amp;ID1=67000810&amp;VALUEID=02001&amp;SDATE=200701&amp;PERIODTYPE=QTR_STD&amp;SCFT=3&amp;window=popup_no_bar&amp;width=385&amp;height=120&amp;START_MAXIMIZED=FALSE&amp;creator=factset&amp;display_string=Audit"}</definedName>
    <definedName name="_1948__FDSAUDITLINK__" hidden="1">{"fdsup://Directions/FactSet Auditing Viewer?action=AUDIT_VALUE&amp;DB=129&amp;ID1=67000810&amp;VALUEID=02001&amp;SDATE=200701&amp;PERIODTYPE=QTR_STD&amp;SCFT=3&amp;window=popup_no_bar&amp;width=385&amp;height=120&amp;START_MAXIMIZED=FALSE&amp;creator=factset&amp;display_string=Audit"}</definedName>
    <definedName name="_1949__FDSAUDITLINK__" hidden="1">{"fdsup://Directions/FactSet Auditing Viewer?action=AUDIT_VALUE&amp;DB=129&amp;ID1=67066G10&amp;VALUEID=02001&amp;SDATE=200701&amp;PERIODTYPE=QTR_STD&amp;SCFT=3&amp;window=popup_no_bar&amp;width=385&amp;height=120&amp;START_MAXIMIZED=FALSE&amp;creator=factset&amp;display_string=Audit"}</definedName>
    <definedName name="_195__FDSAUDITLINK__" hidden="1">{"fdsup://Directions/FactSet Auditing Viewer?action=AUDIT_VALUE&amp;DB=129&amp;ID1=69341710&amp;VALUEID=02001&amp;SDATE=201004&amp;PERIODTYPE=QTR_STD&amp;SCFT=3&amp;window=popup_no_bar&amp;width=385&amp;height=120&amp;START_MAXIMIZED=FALSE&amp;creator=factset&amp;display_string=Audit"}</definedName>
    <definedName name="_1950__FDSAUDITLINK__" hidden="1">{"fdsup://Directions/FactSet Auditing Viewer?action=AUDIT_VALUE&amp;DB=129&amp;ID1=67066G10&amp;VALUEID=02001&amp;SDATE=200701&amp;PERIODTYPE=QTR_STD&amp;SCFT=3&amp;window=popup_no_bar&amp;width=385&amp;height=120&amp;START_MAXIMIZED=FALSE&amp;creator=factset&amp;display_string=Audit"}</definedName>
    <definedName name="_1951__FDSAUDITLINK__" hidden="1">{"fdsup://Directions/FactSet Auditing Viewer?action=AUDIT_VALUE&amp;DB=129&amp;ID1=63764010&amp;VALUEID=02001&amp;SDATE=200603&amp;PERIODTYPE=QTR_STD&amp;SCFT=3&amp;window=popup_no_bar&amp;width=385&amp;height=120&amp;START_MAXIMIZED=FALSE&amp;creator=factset&amp;display_string=Audit"}</definedName>
    <definedName name="_1952__FDSAUDITLINK__" hidden="1">{"fdsup://Directions/FactSet Auditing Viewer?action=AUDIT_VALUE&amp;DB=129&amp;ID1=63764010&amp;VALUEID=02001&amp;SDATE=200603&amp;PERIODTYPE=QTR_STD&amp;SCFT=3&amp;window=popup_no_bar&amp;width=385&amp;height=120&amp;START_MAXIMIZED=FALSE&amp;creator=factset&amp;display_string=Audit"}</definedName>
    <definedName name="_1953__FDSAUDITLINK__" hidden="1">{"fdsup://Directions/FactSet Auditing Viewer?action=AUDIT_VALUE&amp;DB=129&amp;ID1=64118B10&amp;VALUEID=02001&amp;SDATE=200701&amp;PERIODTYPE=QTR_STD&amp;SCFT=3&amp;window=popup_no_bar&amp;width=385&amp;height=120&amp;START_MAXIMIZED=FALSE&amp;creator=factset&amp;display_string=Audit"}</definedName>
    <definedName name="_1954__FDSAUDITLINK__" hidden="1">{"fdsup://Directions/FactSet Auditing Viewer?action=AUDIT_VALUE&amp;DB=129&amp;ID1=64118B10&amp;VALUEID=02001&amp;SDATE=200701&amp;PERIODTYPE=QTR_STD&amp;SCFT=3&amp;window=popup_no_bar&amp;width=385&amp;height=120&amp;START_MAXIMIZED=FALSE&amp;creator=factset&amp;display_string=Audit"}</definedName>
    <definedName name="_1955__FDSAUDITLINK__" hidden="1">{"fdsup://Directions/FactSet Auditing Viewer?action=AUDIT_VALUE&amp;DB=129&amp;ID1=57772K10&amp;VALUEID=02001&amp;SDATE=200703&amp;PERIODTYPE=QTR_STD&amp;SCFT=3&amp;window=popup_no_bar&amp;width=385&amp;height=120&amp;START_MAXIMIZED=FALSE&amp;creator=factset&amp;display_string=Audit"}</definedName>
    <definedName name="_1956__FDSAUDITLINK__" hidden="1">{"fdsup://Directions/FactSet Auditing Viewer?action=AUDIT_VALUE&amp;DB=129&amp;ID1=57772K10&amp;VALUEID=02001&amp;SDATE=200703&amp;PERIODTYPE=QTR_STD&amp;SCFT=3&amp;window=popup_no_bar&amp;width=385&amp;height=120&amp;START_MAXIMIZED=FALSE&amp;creator=factset&amp;display_string=Audit"}</definedName>
    <definedName name="_1957__FDSAUDITLINK__" hidden="1">{"fdsup://Directions/FactSet Auditing Viewer?action=AUDIT_VALUE&amp;DB=129&amp;ID1=59511210&amp;VALUEID=02001&amp;SDATE=200702&amp;PERIODTYPE=QTR_STD&amp;SCFT=3&amp;window=popup_no_bar&amp;width=385&amp;height=120&amp;START_MAXIMIZED=FALSE&amp;creator=factset&amp;display_string=Audit"}</definedName>
    <definedName name="_1958__FDSAUDITLINK__" hidden="1">{"fdsup://Directions/FactSet Auditing Viewer?action=AUDIT_VALUE&amp;DB=129&amp;ID1=59511210&amp;VALUEID=02001&amp;SDATE=200702&amp;PERIODTYPE=QTR_STD&amp;SCFT=3&amp;window=popup_no_bar&amp;width=385&amp;height=120&amp;START_MAXIMIZED=FALSE&amp;creator=factset&amp;display_string=Audit"}</definedName>
    <definedName name="_1959__FDSAUDITLINK__" hidden="1">{"fdsup://Directions/FactSet Auditing Viewer?action=AUDIT_VALUE&amp;DB=129&amp;ID1=59513710&amp;VALUEID=02001&amp;SDATE=200702&amp;PERIODTYPE=QTR_STD&amp;SCFT=3&amp;window=popup_no_bar&amp;width=385&amp;height=120&amp;START_MAXIMIZED=FALSE&amp;creator=factset&amp;display_string=Audit"}</definedName>
    <definedName name="_196__FDSAUDITLINK__" hidden="1">{"fdsup://Directions/FactSet Auditing Viewer?action=AUDIT_VALUE&amp;DB=129&amp;ID1=69341710&amp;VALUEID=02001&amp;SDATE=201004&amp;PERIODTYPE=QTR_STD&amp;SCFT=3&amp;window=popup_no_bar&amp;width=385&amp;height=120&amp;START_MAXIMIZED=FALSE&amp;creator=factset&amp;display_string=Audit"}</definedName>
    <definedName name="_1960__FDSAUDITLINK__" hidden="1">{"fdsup://Directions/FactSet Auditing Viewer?action=AUDIT_VALUE&amp;DB=129&amp;ID1=59513710&amp;VALUEID=02001&amp;SDATE=200702&amp;PERIODTYPE=QTR_STD&amp;SCFT=3&amp;window=popup_no_bar&amp;width=385&amp;height=120&amp;START_MAXIMIZED=FALSE&amp;creator=factset&amp;display_string=Audit"}</definedName>
    <definedName name="_1961__FDSAUDITLINK__" hidden="1">{"fdsup://Directions/FactSet Auditing Viewer?action=AUDIT_VALUE&amp;DB=129&amp;ID1=G5876H10&amp;VALUEID=02001&amp;SDATE=200701&amp;PERIODTYPE=QTR_STD&amp;SCFT=3&amp;window=popup_no_bar&amp;width=385&amp;height=120&amp;START_MAXIMIZED=FALSE&amp;creator=factset&amp;display_string=Audit"}</definedName>
    <definedName name="_1962__FDSAUDITLINK__" hidden="1">{"fdsup://Directions/FactSet Auditing Viewer?action=AUDIT_VALUE&amp;DB=129&amp;ID1=G5876H10&amp;VALUEID=02001&amp;SDATE=200701&amp;PERIODTYPE=QTR_STD&amp;SCFT=3&amp;window=popup_no_bar&amp;width=385&amp;height=120&amp;START_MAXIMIZED=FALSE&amp;creator=factset&amp;display_string=Audit"}</definedName>
    <definedName name="_1963__FDSAUDITLINK__" hidden="1">{"fdsup://Directions/FactSet Auditing Viewer?action=AUDIT_VALUE&amp;DB=129&amp;ID1=62007630&amp;VALUEID=02001&amp;SDATE=200701&amp;PERIODTYPE=QTR_STD&amp;SCFT=3&amp;window=popup_no_bar&amp;width=385&amp;height=120&amp;START_MAXIMIZED=FALSE&amp;creator=factset&amp;display_string=Audit"}</definedName>
    <definedName name="_1964__FDSAUDITLINK__" hidden="1">{"fdsup://Directions/FactSet Auditing Viewer?action=AUDIT_VALUE&amp;DB=129&amp;ID1=62007630&amp;VALUEID=02001&amp;SDATE=200701&amp;PERIODTYPE=QTR_STD&amp;SCFT=3&amp;window=popup_no_bar&amp;width=385&amp;height=120&amp;START_MAXIMIZED=FALSE&amp;creator=factset&amp;display_string=Audit"}</definedName>
    <definedName name="_1965__FDSAUDITLINK__" hidden="1">{"fdsup://Directions/FactSet Auditing Viewer?action=AUDIT_VALUE&amp;DB=129&amp;ID1=60456710&amp;VALUEID=02001&amp;SDATE=200703&amp;PERIODTYPE=QTR_STD&amp;SCFT=3&amp;window=popup_no_bar&amp;width=385&amp;height=120&amp;START_MAXIMIZED=FALSE&amp;creator=factset&amp;display_string=Audit"}</definedName>
    <definedName name="_1966__FDSAUDITLINK__" hidden="1">{"fdsup://Directions/FactSet Auditing Viewer?action=AUDIT_VALUE&amp;DB=129&amp;ID1=60456710&amp;VALUEID=02001&amp;SDATE=200703&amp;PERIODTYPE=QTR_STD&amp;SCFT=3&amp;window=popup_no_bar&amp;width=385&amp;height=120&amp;START_MAXIMIZED=FALSE&amp;creator=factset&amp;display_string=Audit"}</definedName>
    <definedName name="_1967__FDSAUDITLINK__" hidden="1">{"fdsup://Directions/FactSet Auditing Viewer?action=AUDIT_VALUE&amp;DB=129&amp;ID1=59479310&amp;VALUEID=02001&amp;SDATE=200701&amp;PERIODTYPE=QTR_STD&amp;SCFT=3&amp;window=popup_no_bar&amp;width=385&amp;height=120&amp;START_MAXIMIZED=FALSE&amp;creator=factset&amp;display_string=Audit"}</definedName>
    <definedName name="_1968__FDSAUDITLINK__" hidden="1">{"fdsup://Directions/FactSet Auditing Viewer?action=AUDIT_VALUE&amp;DB=129&amp;ID1=59479310&amp;VALUEID=02001&amp;SDATE=200701&amp;PERIODTYPE=QTR_STD&amp;SCFT=3&amp;window=popup_no_bar&amp;width=385&amp;height=120&amp;START_MAXIMIZED=FALSE&amp;creator=factset&amp;display_string=Audit"}</definedName>
    <definedName name="_1969__FDSAUDITLINK__" hidden="1">{"fdsup://Directions/FactSet Auditing Viewer?action=AUDIT_VALUE&amp;DB=129&amp;ID1=50216110&amp;VALUEID=02001&amp;SDATE=200701&amp;PERIODTYPE=QTR_STD&amp;SCFT=3&amp;window=popup_no_bar&amp;width=385&amp;height=120&amp;START_MAXIMIZED=FALSE&amp;creator=factset&amp;display_string=Audit"}</definedName>
    <definedName name="_197__FDSAUDITLINK__" hidden="1">{"fdsup://Directions/FactSet Auditing Viewer?action=AUDIT_VALUE&amp;DB=129&amp;ID1=68218910&amp;VALUEID=02001&amp;SDATE=201004&amp;PERIODTYPE=QTR_STD&amp;SCFT=3&amp;window=popup_no_bar&amp;width=385&amp;height=120&amp;START_MAXIMIZED=FALSE&amp;creator=factset&amp;display_string=Audit"}</definedName>
    <definedName name="_1970__FDSAUDITLINK__" hidden="1">{"fdsup://Directions/FactSet Auditing Viewer?action=AUDIT_VALUE&amp;DB=129&amp;ID1=50216110&amp;VALUEID=02001&amp;SDATE=200701&amp;PERIODTYPE=QTR_STD&amp;SCFT=3&amp;window=popup_no_bar&amp;width=385&amp;height=120&amp;START_MAXIMIZED=FALSE&amp;creator=factset&amp;display_string=Audit"}</definedName>
    <definedName name="_1971__FDSAUDITLINK__" hidden="1">{"fdsup://Directions/FactSet Auditing Viewer?action=AUDIT_VALUE&amp;DB=129&amp;ID1=51841510&amp;VALUEID=02001&amp;SDATE=200701&amp;PERIODTYPE=QTR_STD&amp;SCFT=3&amp;window=popup_no_bar&amp;width=385&amp;height=120&amp;START_MAXIMIZED=FALSE&amp;creator=factset&amp;display_string=Audit"}</definedName>
    <definedName name="_1972__FDSAUDITLINK__" hidden="1">{"fdsup://Directions/FactSet Auditing Viewer?action=AUDIT_VALUE&amp;DB=129&amp;ID1=51841510&amp;VALUEID=02001&amp;SDATE=200701&amp;PERIODTYPE=QTR_STD&amp;SCFT=3&amp;window=popup_no_bar&amp;width=385&amp;height=120&amp;START_MAXIMIZED=FALSE&amp;creator=factset&amp;display_string=Audit"}</definedName>
    <definedName name="_1973__FDSAUDITLINK__" hidden="1">{"fdsup://Directions/FactSet Auditing Viewer?action=AUDIT_VALUE&amp;DB=129&amp;ID1=51280710&amp;VALUEID=02001&amp;SDATE=200703&amp;PERIODTYPE=QTR_STD&amp;SCFT=3&amp;window=popup_no_bar&amp;width=385&amp;height=120&amp;START_MAXIMIZED=FALSE&amp;creator=factset&amp;display_string=Audit"}</definedName>
    <definedName name="_1974__FDSAUDITLINK__" hidden="1">{"fdsup://Directions/FactSet Auditing Viewer?action=AUDIT_VALUE&amp;DB=129&amp;ID1=51280710&amp;VALUEID=02001&amp;SDATE=200703&amp;PERIODTYPE=QTR_STD&amp;SCFT=3&amp;window=popup_no_bar&amp;width=385&amp;height=120&amp;START_MAXIMIZED=FALSE&amp;creator=factset&amp;display_string=Audit"}</definedName>
    <definedName name="_1975__FDSAUDITLINK__" hidden="1">{"fdsup://Directions/FactSet Auditing Viewer?action=AUDIT_VALUE&amp;DB=129&amp;ID1=53567810&amp;VALUEID=02001&amp;SDATE=200703&amp;PERIODTYPE=QTR_STD&amp;SCFT=3&amp;window=popup_no_bar&amp;width=385&amp;height=120&amp;START_MAXIMIZED=FALSE&amp;creator=factset&amp;display_string=Audit"}</definedName>
    <definedName name="_1976__FDSAUDITLINK__" hidden="1">{"fdsup://Directions/FactSet Auditing Viewer?action=AUDIT_VALUE&amp;DB=129&amp;ID1=53567810&amp;VALUEID=02001&amp;SDATE=200703&amp;PERIODTYPE=QTR_STD&amp;SCFT=3&amp;window=popup_no_bar&amp;width=385&amp;height=120&amp;START_MAXIMIZED=FALSE&amp;creator=factset&amp;display_string=Audit"}</definedName>
    <definedName name="_1977__FDSAUDITLINK__" hidden="1">{"fdsup://Directions/FactSet Auditing Viewer?action=AUDIT_VALUE&amp;DB=129&amp;ID1=48248010&amp;VALUEID=02001&amp;SDATE=200703&amp;PERIODTYPE=QTR_STD&amp;SCFT=3&amp;window=popup_no_bar&amp;width=385&amp;height=120&amp;START_MAXIMIZED=FALSE&amp;creator=factset&amp;display_string=Audit"}</definedName>
    <definedName name="_1978__FDSAUDITLINK__" hidden="1">{"fdsup://Directions/FactSet Auditing Viewer?action=AUDIT_VALUE&amp;DB=129&amp;ID1=48248010&amp;VALUEID=02001&amp;SDATE=200703&amp;PERIODTYPE=QTR_STD&amp;SCFT=3&amp;window=popup_no_bar&amp;width=385&amp;height=120&amp;START_MAXIMIZED=FALSE&amp;creator=factset&amp;display_string=Audit"}</definedName>
    <definedName name="_1979__FDSAUDITLINK__" hidden="1">{"fdsup://Directions/FactSet Auditing Viewer?action=AUDIT_VALUE&amp;DB=129&amp;ID1=48203R10&amp;VALUEID=02001&amp;SDATE=200701&amp;PERIODTYPE=QTR_STD&amp;SCFT=3&amp;window=popup_no_bar&amp;width=385&amp;height=120&amp;START_MAXIMIZED=FALSE&amp;creator=factset&amp;display_string=Audit"}</definedName>
    <definedName name="_198__FDSAUDITLINK__" hidden="1">{"fdsup://Directions/FactSet Auditing Viewer?action=AUDIT_VALUE&amp;DB=129&amp;ID1=68218910&amp;VALUEID=02001&amp;SDATE=201004&amp;PERIODTYPE=QTR_STD&amp;SCFT=3&amp;window=popup_no_bar&amp;width=385&amp;height=120&amp;START_MAXIMIZED=FALSE&amp;creator=factset&amp;display_string=Audit"}</definedName>
    <definedName name="_1980__FDSAUDITLINK__" hidden="1">{"fdsup://Directions/FactSet Auditing Viewer?action=AUDIT_VALUE&amp;DB=129&amp;ID1=48203R10&amp;VALUEID=02001&amp;SDATE=200701&amp;PERIODTYPE=QTR_STD&amp;SCFT=3&amp;window=popup_no_bar&amp;width=385&amp;height=120&amp;START_MAXIMIZED=FALSE&amp;creator=factset&amp;display_string=Audit"}</definedName>
    <definedName name="_1981__FDSAUDITLINK__" hidden="1">{"fdsup://Directions/FactSet Auditing Viewer?action=AUDIT_VALUE&amp;DB=129&amp;ID1=86681020&amp;VALUEID=02001&amp;SDATE=200703&amp;PERIODTYPE=QTR_STD&amp;SCFT=3&amp;window=popup_no_bar&amp;width=385&amp;height=120&amp;START_MAXIMIZED=FALSE&amp;creator=factset&amp;display_string=Audit"}</definedName>
    <definedName name="_1982__FDSAUDITLINK__" hidden="1">{"fdsup://Directions/FactSet Auditing Viewer?action=AUDIT_VALUE&amp;DB=129&amp;ID1=86681020&amp;VALUEID=02001&amp;SDATE=200703&amp;PERIODTYPE=QTR_STD&amp;SCFT=3&amp;window=popup_no_bar&amp;width=385&amp;height=120&amp;START_MAXIMIZED=FALSE&amp;creator=factset&amp;display_string=Audit"}</definedName>
    <definedName name="_1983__FDSAUDITLINK__" hidden="1">{"fdsup://Directions/FactSet Auditing Viewer?action=AUDIT_VALUE&amp;DB=129&amp;ID1=46069S10&amp;VALUEID=02001&amp;SDATE=200701&amp;PERIODTYPE=QTR_STD&amp;SCFT=3&amp;window=popup_no_bar&amp;width=385&amp;height=120&amp;START_MAXIMIZED=FALSE&amp;creator=factset&amp;display_string=Audit"}</definedName>
    <definedName name="_1984__FDSAUDITLINK__" hidden="1">{"fdsup://Directions/FactSet Auditing Viewer?action=AUDIT_VALUE&amp;DB=129&amp;ID1=46069S10&amp;VALUEID=02001&amp;SDATE=200701&amp;PERIODTYPE=QTR_STD&amp;SCFT=3&amp;window=popup_no_bar&amp;width=385&amp;height=120&amp;START_MAXIMIZED=FALSE&amp;creator=factset&amp;display_string=Audit"}</definedName>
    <definedName name="_1985__FDSAUDITLINK__" hidden="1">{"fdsup://Directions/FactSet Auditing Viewer?action=AUDIT_VALUE&amp;DB=129&amp;ID1=46025410&amp;VALUEID=02001&amp;SDATE=200703&amp;PERIODTYPE=QTR_STD&amp;SCFT=3&amp;window=popup_no_bar&amp;width=385&amp;height=120&amp;START_MAXIMIZED=FALSE&amp;creator=factset&amp;display_string=Audit"}</definedName>
    <definedName name="_1986__FDSAUDITLINK__" hidden="1">{"fdsup://Directions/FactSet Auditing Viewer?action=AUDIT_VALUE&amp;DB=129&amp;ID1=46025410&amp;VALUEID=02001&amp;SDATE=200703&amp;PERIODTYPE=QTR_STD&amp;SCFT=3&amp;window=popup_no_bar&amp;width=385&amp;height=120&amp;START_MAXIMIZED=FALSE&amp;creator=factset&amp;display_string=Audit"}</definedName>
    <definedName name="_1987__FDSAUDITLINK__" hidden="1">{"fdsup://Directions/FactSet Auditing Viewer?action=AUDIT_VALUE&amp;DB=129&amp;ID1=45814010&amp;VALUEID=02001&amp;SDATE=200701&amp;PERIODTYPE=QTR_STD&amp;SCFT=3&amp;window=popup_no_bar&amp;width=385&amp;height=120&amp;START_MAXIMIZED=FALSE&amp;creator=factset&amp;display_string=Audit"}</definedName>
    <definedName name="_1988__FDSAUDITLINK__" hidden="1">{"fdsup://Directions/FactSet Auditing Viewer?action=AUDIT_VALUE&amp;DB=129&amp;ID1=45814010&amp;VALUEID=02001&amp;SDATE=200701&amp;PERIODTYPE=QTR_STD&amp;SCFT=3&amp;window=popup_no_bar&amp;width=385&amp;height=120&amp;START_MAXIMIZED=FALSE&amp;creator=factset&amp;display_string=Audit"}</definedName>
    <definedName name="_1989__FDSAUDITLINK__" hidden="1">{"fdsup://Directions/FactSet Auditing Viewer?action=AUDIT_VALUE&amp;DB=129&amp;ID1=42823610&amp;VALUEID=02001&amp;SDATE=200702&amp;PERIODTYPE=QTR_STD&amp;SCFT=3&amp;window=popup_no_bar&amp;width=385&amp;height=120&amp;START_MAXIMIZED=FALSE&amp;creator=factset&amp;display_string=Audit"}</definedName>
    <definedName name="_199__FDSAUDITLINK__" hidden="1">{"fdsup://Directions/FactSet Auditing Viewer?action=AUDIT_VALUE&amp;DB=129&amp;ID1=B505PN&amp;VALUEID=02001&amp;SDATE=201004&amp;PERIODTYPE=QTR_STD&amp;SCFT=3&amp;window=popup_no_bar&amp;width=385&amp;height=120&amp;START_MAXIMIZED=FALSE&amp;creator=factset&amp;display_string=Audit"}</definedName>
    <definedName name="_1990__FDSAUDITLINK__" hidden="1">{"fdsup://Directions/FactSet Auditing Viewer?action=AUDIT_VALUE&amp;DB=129&amp;ID1=42823610&amp;VALUEID=02001&amp;SDATE=200702&amp;PERIODTYPE=QTR_STD&amp;SCFT=3&amp;window=popup_no_bar&amp;width=385&amp;height=120&amp;START_MAXIMIZED=FALSE&amp;creator=factset&amp;display_string=Audit"}</definedName>
    <definedName name="_1991__FDSAUDITLINK__" hidden="1">{"fdsup://Directions/FactSet Auditing Viewer?action=AUDIT_VALUE&amp;DB=129&amp;ID1=H2906T10&amp;VALUEID=02001&amp;SDATE=200701&amp;PERIODTYPE=QTR_STD&amp;SCFT=3&amp;window=popup_no_bar&amp;width=385&amp;height=120&amp;START_MAXIMIZED=FALSE&amp;creator=factset&amp;display_string=Audit"}</definedName>
    <definedName name="_1992__FDSAUDITLINK__" hidden="1">{"fdsup://Directions/FactSet Auditing Viewer?action=AUDIT_VALUE&amp;DB=129&amp;ID1=H2906T10&amp;VALUEID=02001&amp;SDATE=200701&amp;PERIODTYPE=QTR_STD&amp;SCFT=3&amp;window=popup_no_bar&amp;width=385&amp;height=120&amp;START_MAXIMIZED=FALSE&amp;creator=factset&amp;display_string=Audit"}</definedName>
    <definedName name="_1993__FDSAUDITLINK__" hidden="1">{"fdsup://Directions/FactSet Auditing Viewer?action=AUDIT_VALUE&amp;DB=129&amp;ID1=34637510&amp;VALUEID=02001&amp;SDATE=200701&amp;PERIODTYPE=QTR_STD&amp;SCFT=3&amp;window=popup_no_bar&amp;width=385&amp;height=120&amp;START_MAXIMIZED=FALSE&amp;creator=factset&amp;display_string=Audit"}</definedName>
    <definedName name="_1994__FDSAUDITLINK__" hidden="1">{"fdsup://Directions/FactSet Auditing Viewer?action=AUDIT_VALUE&amp;DB=129&amp;ID1=34637510&amp;VALUEID=02001&amp;SDATE=200701&amp;PERIODTYPE=QTR_STD&amp;SCFT=3&amp;window=popup_no_bar&amp;width=385&amp;height=120&amp;START_MAXIMIZED=FALSE&amp;creator=factset&amp;display_string=Audit"}</definedName>
    <definedName name="_1995__FDSAUDITLINK__" hidden="1">{"fdsup://Directions/FactSet Auditing Viewer?action=AUDIT_VALUE&amp;DB=129&amp;ID1=31561610&amp;VALUEID=02001&amp;SDATE=200702&amp;PERIODTYPE=QTR_STD&amp;SCFT=3&amp;window=popup_no_bar&amp;width=385&amp;height=120&amp;START_MAXIMIZED=FALSE&amp;creator=factset&amp;display_string=Audit"}</definedName>
    <definedName name="_1996__FDSAUDITLINK__" hidden="1">{"fdsup://Directions/FactSet Auditing Viewer?action=AUDIT_VALUE&amp;DB=129&amp;ID1=31561610&amp;VALUEID=02001&amp;SDATE=200702&amp;PERIODTYPE=QTR_STD&amp;SCFT=3&amp;window=popup_no_bar&amp;width=385&amp;height=120&amp;START_MAXIMIZED=FALSE&amp;creator=factset&amp;display_string=Audit"}</definedName>
    <definedName name="_1997__FDSAUDITLINK__" hidden="1">{"fdsup://Directions/FactSet Auditing Viewer?action=AUDIT_VALUE&amp;DB=129&amp;ID1=29247520&amp;VALUEID=02001&amp;SDATE=200703&amp;PERIODTYPE=QTR_STD&amp;SCFT=3&amp;window=popup_no_bar&amp;width=385&amp;height=120&amp;START_MAXIMIZED=FALSE&amp;creator=factset&amp;display_string=Audit"}</definedName>
    <definedName name="_1998__FDSAUDITLINK__" hidden="1">{"fdsup://Directions/FactSet Auditing Viewer?action=AUDIT_VALUE&amp;DB=129&amp;ID1=29247520&amp;VALUEID=02001&amp;SDATE=200703&amp;PERIODTYPE=QTR_STD&amp;SCFT=3&amp;window=popup_no_bar&amp;width=385&amp;height=120&amp;START_MAXIMIZED=FALSE&amp;creator=factset&amp;display_string=Audit"}</definedName>
    <definedName name="_1999__FDSAUDITLINK__" hidden="1">{"fdsup://Directions/FactSet Auditing Viewer?action=AUDIT_VALUE&amp;DB=129&amp;ID1=25454310&amp;VALUEID=02001&amp;SDATE=200701&amp;PERIODTYPE=QTR_STD&amp;SCFT=3&amp;window=popup_no_bar&amp;width=385&amp;height=120&amp;START_MAXIMIZED=FALSE&amp;creator=factset&amp;display_string=Audit"}</definedName>
    <definedName name="_2__123Graph_AR_M_MARGINS" hidden="1">#REF!</definedName>
    <definedName name="_2__FDSAUDITLINK__" hidden="1">{"fdsup://directions/FAT Viewer?action=UPDATE&amp;creator=factset&amp;DYN_ARGS=TRUE&amp;DOC_NAME=FAT:FQL_AUDITING_CLIENT_TEMPLATE.FAT&amp;display_string=Audit&amp;VAR:KEY=WZKBOHYPWT&amp;VAR:QUERY=RkZfU0hTX0ZMT0FUKEFOTiwp&amp;WINDOW=FIRST_POPUP&amp;HEIGHT=450&amp;WIDTH=450&amp;START_MAXIMIZED=FALS","E&amp;VAR:CALENDAR=US&amp;VAR:SYMBOL=MGM RESORTS INT'L&amp;VAR:INDEX=0"}</definedName>
    <definedName name="_2_DC_Power_Transistors">#REF!</definedName>
    <definedName name="_2_Total_Power_Discrete">#REF!</definedName>
    <definedName name="_20__FDSAUDITLINK__" hidden="1">{"fdsup://directions/FAT Viewer?action=UPDATE&amp;creator=factset&amp;DYN_ARGS=TRUE&amp;DOC_NAME=FAT:FQL_AUDITING_CLIENT_TEMPLATE.FAT&amp;display_string=Audit&amp;VAR:KEY=GLKDQTYVIN&amp;VAR:QUERY=RkZfU0hTX0ZMT0FUKEFOTiwp&amp;WINDOW=FIRST_POPUP&amp;HEIGHT=450&amp;WIDTH=450&amp;START_MAXIMIZED=FALS","E&amp;VAR:CALENDAR=US&amp;VAR:SYMBOL=WYNN RESORTS&amp;VAR:INDEX=0"}</definedName>
    <definedName name="_200__FDSAUDITLINK__" hidden="1">{"fdsup://Directions/FactSet Auditing Viewer?action=AUDIT_VALUE&amp;DB=129&amp;ID1=B505PN&amp;VALUEID=02001&amp;SDATE=201004&amp;PERIODTYPE=QTR_STD&amp;SCFT=3&amp;window=popup_no_bar&amp;width=385&amp;height=120&amp;START_MAXIMIZED=FALSE&amp;creator=factset&amp;display_string=Audit"}</definedName>
    <definedName name="_2000__FDSAUDITLINK__" hidden="1">{"fdsup://Directions/FactSet Auditing Viewer?action=AUDIT_VALUE&amp;DB=129&amp;ID1=25454310&amp;VALUEID=02001&amp;SDATE=200701&amp;PERIODTYPE=QTR_STD&amp;SCFT=3&amp;window=popup_no_bar&amp;width=385&amp;height=120&amp;START_MAXIMIZED=FALSE&amp;creator=factset&amp;display_string=Audit"}</definedName>
    <definedName name="_2001__FDSAUDITLINK__" hidden="1">{"fdsup://Directions/FactSet Auditing Viewer?action=AUDIT_VALUE&amp;DB=129&amp;ID1=24702R10&amp;VALUEID=02001&amp;SDATE=200701&amp;PERIODTYPE=QTR_STD&amp;SCFT=3&amp;window=popup_no_bar&amp;width=385&amp;height=120&amp;START_MAXIMIZED=FALSE&amp;creator=factset&amp;display_string=Audit"}</definedName>
    <definedName name="_2002__FDSAUDITLINK__" hidden="1">{"fdsup://Directions/FactSet Auditing Viewer?action=AUDIT_VALUE&amp;DB=129&amp;ID1=24702R10&amp;VALUEID=02001&amp;SDATE=200701&amp;PERIODTYPE=QTR_STD&amp;SCFT=3&amp;window=popup_no_bar&amp;width=385&amp;height=120&amp;START_MAXIMIZED=FALSE&amp;creator=factset&amp;display_string=Audit"}</definedName>
    <definedName name="_2003__FDSAUDITLINK__" hidden="1">{"fdsup://Directions/FactSet Auditing Viewer?action=AUDIT_VALUE&amp;DB=129&amp;ID1=23257210&amp;VALUEID=02001&amp;SDATE=200701&amp;PERIODTYPE=QTR_STD&amp;SCFT=3&amp;window=popup_no_bar&amp;width=385&amp;height=120&amp;START_MAXIMIZED=FALSE&amp;creator=factset&amp;display_string=Audit"}</definedName>
    <definedName name="_2004__FDSAUDITLINK__" hidden="1">{"fdsup://Directions/FactSet Auditing Viewer?action=AUDIT_VALUE&amp;DB=129&amp;ID1=23257210&amp;VALUEID=02001&amp;SDATE=200701&amp;PERIODTYPE=QTR_STD&amp;SCFT=3&amp;window=popup_no_bar&amp;width=385&amp;height=120&amp;START_MAXIMIZED=FALSE&amp;creator=factset&amp;display_string=Audit"}</definedName>
    <definedName name="_2005__FDSAUDITLINK__" hidden="1">{"fdsup://Directions/FactSet Auditing Viewer?action=AUDIT_VALUE&amp;DB=129&amp;ID1=23280610&amp;VALUEID=02001&amp;SDATE=200701&amp;PERIODTYPE=QTR_STD&amp;SCFT=3&amp;window=popup_no_bar&amp;width=385&amp;height=120&amp;START_MAXIMIZED=FALSE&amp;creator=factset&amp;display_string=Audit"}</definedName>
    <definedName name="_2006__FDSAUDITLINK__" hidden="1">{"fdsup://Directions/FactSet Auditing Viewer?action=AUDIT_VALUE&amp;DB=129&amp;ID1=23280610&amp;VALUEID=02001&amp;SDATE=200701&amp;PERIODTYPE=QTR_STD&amp;SCFT=3&amp;window=popup_no_bar&amp;width=385&amp;height=120&amp;START_MAXIMIZED=FALSE&amp;creator=factset&amp;display_string=Audit"}</definedName>
    <definedName name="_2007__FDSAUDITLINK__" hidden="1">{"fdsup://Directions/FactSet Auditing Viewer?action=AUDIT_VALUE&amp;DB=129&amp;ID1=17275R10&amp;VALUEID=02001&amp;SDATE=200703&amp;PERIODTYPE=QTR_STD&amp;SCFT=3&amp;window=popup_no_bar&amp;width=385&amp;height=120&amp;START_MAXIMIZED=FALSE&amp;creator=factset&amp;display_string=Audit"}</definedName>
    <definedName name="_2008__FDSAUDITLINK__" hidden="1">{"fdsup://Directions/FactSet Auditing Viewer?action=AUDIT_VALUE&amp;DB=129&amp;ID1=17275R10&amp;VALUEID=02001&amp;SDATE=200703&amp;PERIODTYPE=QTR_STD&amp;SCFT=3&amp;window=popup_no_bar&amp;width=385&amp;height=120&amp;START_MAXIMIZED=FALSE&amp;creator=factset&amp;display_string=Audit"}</definedName>
    <definedName name="_2009__FDSAUDITLINK__" hidden="1">{"fdsup://Directions/FactSet Auditing Viewer?action=AUDIT_VALUE&amp;DB=129&amp;ID1=22544710&amp;VALUEID=02001&amp;SDATE=200703&amp;PERIODTYPE=QTR_STD&amp;SCFT=3&amp;window=popup_no_bar&amp;width=385&amp;height=120&amp;START_MAXIMIZED=FALSE&amp;creator=factset&amp;display_string=Audit"}</definedName>
    <definedName name="_201__FDSAUDITLINK__" hidden="1">{"fdsup://Directions/FactSet Auditing Viewer?action=AUDIT_VALUE&amp;DB=129&amp;ID1=67000810&amp;VALUEID=02001&amp;SDATE=201004&amp;PERIODTYPE=QTR_STD&amp;SCFT=3&amp;window=popup_no_bar&amp;width=385&amp;height=120&amp;START_MAXIMIZED=FALSE&amp;creator=factset&amp;display_string=Audit"}</definedName>
    <definedName name="_2010__FDSAUDITLINK__" hidden="1">{"fdsup://Directions/FactSet Auditing Viewer?action=AUDIT_VALUE&amp;DB=129&amp;ID1=22544710&amp;VALUEID=02001&amp;SDATE=200703&amp;PERIODTYPE=QTR_STD&amp;SCFT=3&amp;window=popup_no_bar&amp;width=385&amp;height=120&amp;START_MAXIMIZED=FALSE&amp;creator=factset&amp;display_string=Audit"}</definedName>
    <definedName name="_2011__FDSAUDITLINK__" hidden="1">{"fdsup://Directions/FactSet Auditing Viewer?action=AUDIT_VALUE&amp;DB=129&amp;ID1=20714230&amp;VALUEID=02001&amp;SDATE=200702&amp;PERIODTYPE=QTR_STD&amp;SCFT=3&amp;window=popup_no_bar&amp;width=385&amp;height=120&amp;START_MAXIMIZED=FALSE&amp;creator=factset&amp;display_string=Audit"}</definedName>
    <definedName name="_2012__FDSAUDITLINK__" hidden="1">{"fdsup://Directions/FactSet Auditing Viewer?action=AUDIT_VALUE&amp;DB=129&amp;ID1=20714230&amp;VALUEID=02001&amp;SDATE=200702&amp;PERIODTYPE=QTR_STD&amp;SCFT=3&amp;window=popup_no_bar&amp;width=385&amp;height=120&amp;START_MAXIMIZED=FALSE&amp;creator=factset&amp;display_string=Audit"}</definedName>
    <definedName name="_2013__FDSAUDITLINK__" hidden="1">{"fdsup://Directions/FactSet Auditing Viewer?action=AUDIT_VALUE&amp;DB=129&amp;ID1=12738710&amp;VALUEID=02001&amp;SDATE=200701&amp;PERIODTYPE=QTR_STD&amp;SCFT=3&amp;window=popup_no_bar&amp;width=385&amp;height=120&amp;START_MAXIMIZED=FALSE&amp;creator=factset&amp;display_string=Audit"}</definedName>
    <definedName name="_2014__FDSAUDITLINK__" hidden="1">{"fdsup://Directions/FactSet Auditing Viewer?action=AUDIT_VALUE&amp;DB=129&amp;ID1=12738710&amp;VALUEID=02001&amp;SDATE=200701&amp;PERIODTYPE=QTR_STD&amp;SCFT=3&amp;window=popup_no_bar&amp;width=385&amp;height=120&amp;START_MAXIMIZED=FALSE&amp;creator=factset&amp;display_string=Audit"}</definedName>
    <definedName name="_2015__FDSAUDITLINK__" hidden="1">{"fdsup://Directions/FactSet Auditing Viewer?action=AUDIT_VALUE&amp;DB=129&amp;ID1=11162130&amp;VALUEID=02001&amp;SDATE=200702&amp;PERIODTYPE=QTR_STD&amp;SCFT=3&amp;window=popup_no_bar&amp;width=385&amp;height=120&amp;START_MAXIMIZED=FALSE&amp;creator=factset&amp;display_string=Audit"}</definedName>
    <definedName name="_2016__FDSAUDITLINK__" hidden="1">{"fdsup://Directions/FactSet Auditing Viewer?action=AUDIT_VALUE&amp;DB=129&amp;ID1=11162130&amp;VALUEID=02001&amp;SDATE=200702&amp;PERIODTYPE=QTR_STD&amp;SCFT=3&amp;window=popup_no_bar&amp;width=385&amp;height=120&amp;START_MAXIMIZED=FALSE&amp;creator=factset&amp;display_string=Audit"}</definedName>
    <definedName name="_2017__FDSAUDITLINK__" hidden="1">{"fdsup://Directions/FactSet Auditing Viewer?action=AUDIT_VALUE&amp;DB=129&amp;ID1=04743P10&amp;VALUEID=02001&amp;SDATE=200701&amp;PERIODTYPE=QTR_STD&amp;SCFT=3&amp;window=popup_no_bar&amp;width=385&amp;height=120&amp;START_MAXIMIZED=FALSE&amp;creator=factset&amp;display_string=Audit"}</definedName>
    <definedName name="_2018__FDSAUDITLINK__" hidden="1">{"fdsup://Directions/FactSet Auditing Viewer?action=AUDIT_VALUE&amp;DB=129&amp;ID1=04743P10&amp;VALUEID=02001&amp;SDATE=200701&amp;PERIODTYPE=QTR_STD&amp;SCFT=3&amp;window=popup_no_bar&amp;width=385&amp;height=120&amp;START_MAXIMIZED=FALSE&amp;creator=factset&amp;display_string=Audit"}</definedName>
    <definedName name="_2019__FDSAUDITLINK__" hidden="1">{"fdsup://Directions/FactSet Auditing Viewer?action=AUDIT_VALUE&amp;DB=129&amp;ID1=03251510&amp;VALUEID=02001&amp;SDATE=200701&amp;PERIODTYPE=QTR_STD&amp;SCFT=3&amp;window=popup_no_bar&amp;width=385&amp;height=120&amp;START_MAXIMIZED=FALSE&amp;creator=factset&amp;display_string=Audit"}</definedName>
    <definedName name="_202__FDSAUDITLINK__" hidden="1">{"fdsup://Directions/FactSet Auditing Viewer?action=AUDIT_VALUE&amp;DB=129&amp;ID1=67000810&amp;VALUEID=02001&amp;SDATE=201004&amp;PERIODTYPE=QTR_STD&amp;SCFT=3&amp;window=popup_no_bar&amp;width=385&amp;height=120&amp;START_MAXIMIZED=FALSE&amp;creator=factset&amp;display_string=Audit"}</definedName>
    <definedName name="_2020__FDSAUDITLINK__" hidden="1">{"fdsup://Directions/FactSet Auditing Viewer?action=AUDIT_VALUE&amp;DB=129&amp;ID1=03251510&amp;VALUEID=02001&amp;SDATE=200701&amp;PERIODTYPE=QTR_STD&amp;SCFT=3&amp;window=popup_no_bar&amp;width=385&amp;height=120&amp;START_MAXIMIZED=FALSE&amp;creator=factset&amp;display_string=Audit"}</definedName>
    <definedName name="_2021__FDSAUDITLINK__" hidden="1">{"fdsup://Directions/FactSet Auditing Viewer?action=AUDIT_VALUE&amp;DB=129&amp;ID1=00790310&amp;VALUEID=02001&amp;SDATE=200701&amp;PERIODTYPE=QTR_STD&amp;SCFT=3&amp;window=popup_no_bar&amp;width=385&amp;height=120&amp;START_MAXIMIZED=FALSE&amp;creator=factset&amp;display_string=Audit"}</definedName>
    <definedName name="_2022__FDSAUDITLINK__" hidden="1">{"fdsup://Directions/FactSet Auditing Viewer?action=AUDIT_VALUE&amp;DB=129&amp;ID1=00790310&amp;VALUEID=02001&amp;SDATE=200701&amp;PERIODTYPE=QTR_STD&amp;SCFT=3&amp;window=popup_no_bar&amp;width=385&amp;height=120&amp;START_MAXIMIZED=FALSE&amp;creator=factset&amp;display_string=Audit"}</definedName>
    <definedName name="_2023__FDSAUDITLINK__" hidden="1">{"fdsup://Directions/FactSet Auditing Viewer?action=AUDIT_VALUE&amp;DB=129&amp;ID1=03822210&amp;VALUEID=02001&amp;SDATE=200702&amp;PERIODTYPE=QTR_STD&amp;SCFT=3&amp;window=popup_no_bar&amp;width=385&amp;height=120&amp;START_MAXIMIZED=FALSE&amp;creator=factset&amp;display_string=Audit"}</definedName>
    <definedName name="_2024__FDSAUDITLINK__" hidden="1">{"fdsup://Directions/FactSet Auditing Viewer?action=AUDIT_VALUE&amp;DB=129&amp;ID1=03822210&amp;VALUEID=02001&amp;SDATE=200702&amp;PERIODTYPE=QTR_STD&amp;SCFT=3&amp;window=popup_no_bar&amp;width=385&amp;height=120&amp;START_MAXIMIZED=FALSE&amp;creator=factset&amp;display_string=Audit"}</definedName>
    <definedName name="_2025__FDSAUDITLINK__" hidden="1">{"fdsup://Directions/FactSet Auditing Viewer?action=AUDIT_VALUE&amp;DB=129&amp;ID1=02144110&amp;VALUEID=02001&amp;SDATE=200701&amp;PERIODTYPE=QTR_STD&amp;SCFT=3&amp;window=popup_no_bar&amp;width=385&amp;height=120&amp;START_MAXIMIZED=FALSE&amp;creator=factset&amp;display_string=Audit"}</definedName>
    <definedName name="_2026__FDSAUDITLINK__" hidden="1">{"fdsup://Directions/FactSet Auditing Viewer?action=AUDIT_VALUE&amp;DB=129&amp;ID1=02144110&amp;VALUEID=02001&amp;SDATE=200701&amp;PERIODTYPE=QTR_STD&amp;SCFT=3&amp;window=popup_no_bar&amp;width=385&amp;height=120&amp;START_MAXIMIZED=FALSE&amp;creator=factset&amp;display_string=Audit"}</definedName>
    <definedName name="_2027__FDSAUDITLINK__" hidden="1">{"fdsup://Directions/FactSet Auditing Viewer?action=AUDIT_VALUE&amp;DB=129&amp;ID1=03265410&amp;VALUEID=02001&amp;SDATE=200702&amp;PERIODTYPE=QTR_STD&amp;SCFT=3&amp;window=popup_no_bar&amp;width=385&amp;height=120&amp;START_MAXIMIZED=FALSE&amp;creator=factset&amp;display_string=Audit"}</definedName>
    <definedName name="_2028__FDSAUDITLINK__" hidden="1">{"fdsup://Directions/FactSet Auditing Viewer?action=AUDIT_VALUE&amp;DB=129&amp;ID1=03265410&amp;VALUEID=02001&amp;SDATE=200702&amp;PERIODTYPE=QTR_STD&amp;SCFT=3&amp;window=popup_no_bar&amp;width=385&amp;height=120&amp;START_MAXIMIZED=FALSE&amp;creator=factset&amp;display_string=Audit"}</definedName>
    <definedName name="_2029__FDSAUDITLINK__" hidden="1">{"fdsup://Directions/FactSet Auditing Viewer?action=AUDIT_VALUE&amp;DB=129&amp;ID1=00752J10&amp;VALUEID=02001&amp;SDATE=200701&amp;PERIODTYPE=QTR_STD&amp;SCFT=3&amp;window=popup_no_bar&amp;width=385&amp;height=120&amp;START_MAXIMIZED=FALSE&amp;creator=factset&amp;display_string=Audit"}</definedName>
    <definedName name="_203__FDSAUDITLINK__" hidden="1">{"fdsup://Directions/FactSet Auditing Viewer?action=AUDIT_VALUE&amp;DB=129&amp;ID1=67066G10&amp;VALUEID=02001&amp;SDATE=201004&amp;PERIODTYPE=QTR_STD&amp;SCFT=3&amp;window=popup_no_bar&amp;width=385&amp;height=120&amp;START_MAXIMIZED=FALSE&amp;creator=factset&amp;display_string=Audit"}</definedName>
    <definedName name="_2030__FDSAUDITLINK__" hidden="1">{"fdsup://Directions/FactSet Auditing Viewer?action=AUDIT_VALUE&amp;DB=129&amp;ID1=00752J10&amp;VALUEID=02001&amp;SDATE=200701&amp;PERIODTYPE=QTR_STD&amp;SCFT=3&amp;window=popup_no_bar&amp;width=385&amp;height=120&amp;START_MAXIMIZED=FALSE&amp;creator=factset&amp;display_string=Audit"}</definedName>
    <definedName name="_2031__FDSAUDITLINK__" hidden="1">{"fdsup://Directions/FactSet Auditing Viewer?action=AUDIT_VALUE&amp;DB=129&amp;ID1=98975F10&amp;VALUEID=02001&amp;SDATE=200603&amp;PERIODTYPE=QTR_STD&amp;SCFT=3&amp;window=popup_no_bar&amp;width=385&amp;height=120&amp;START_MAXIMIZED=FALSE&amp;creator=factset&amp;display_string=Audit"}</definedName>
    <definedName name="_2032__FDSAUDITLINK__" hidden="1">{"fdsup://Directions/FactSet Auditing Viewer?action=AUDIT_VALUE&amp;DB=129&amp;ID1=98975F10&amp;VALUEID=02001&amp;SDATE=200603&amp;PERIODTYPE=QTR_STD&amp;SCFT=3&amp;window=popup_no_bar&amp;width=385&amp;height=120&amp;START_MAXIMIZED=FALSE&amp;creator=factset&amp;display_string=Audit"}</definedName>
    <definedName name="_2033__FDSAUDITLINK__" hidden="1">{"fdsup://Directions/FactSet Auditing Viewer?action=AUDIT_VALUE&amp;DB=129&amp;ID1=98391910&amp;VALUEID=02001&amp;SDATE=200602&amp;PERIODTYPE=QTR_STD&amp;SCFT=3&amp;window=popup_no_bar&amp;width=385&amp;height=120&amp;START_MAXIMIZED=FALSE&amp;creator=factset&amp;display_string=Audit"}</definedName>
    <definedName name="_2034__FDSAUDITLINK__" hidden="1">{"fdsup://Directions/FactSet Auditing Viewer?action=AUDIT_VALUE&amp;DB=129&amp;ID1=98391910&amp;VALUEID=02001&amp;SDATE=200602&amp;PERIODTYPE=QTR_STD&amp;SCFT=3&amp;window=popup_no_bar&amp;width=385&amp;height=120&amp;START_MAXIMIZED=FALSE&amp;creator=factset&amp;display_string=Audit"}</definedName>
    <definedName name="_2035__FDSAUDITLINK__" hidden="1">{"fdsup://Directions/FactSet Auditing Viewer?action=AUDIT_VALUE&amp;DB=129&amp;ID1=95810210&amp;VALUEID=02001&amp;SDATE=200701&amp;PERIODTYPE=QTR_STD&amp;SCFT=3&amp;window=popup_no_bar&amp;width=385&amp;height=120&amp;START_MAXIMIZED=FALSE&amp;creator=factset&amp;display_string=Audit"}</definedName>
    <definedName name="_2036__FDSAUDITLINK__" hidden="1">{"fdsup://Directions/FactSet Auditing Viewer?action=AUDIT_VALUE&amp;DB=129&amp;ID1=95810210&amp;VALUEID=02001&amp;SDATE=200701&amp;PERIODTYPE=QTR_STD&amp;SCFT=3&amp;window=popup_no_bar&amp;width=385&amp;height=120&amp;START_MAXIMIZED=FALSE&amp;creator=factset&amp;display_string=Audit"}</definedName>
    <definedName name="_2037__FDSAUDITLINK__" hidden="1">{"fdsup://Directions/FactSet Auditing Viewer?action=AUDIT_VALUE&amp;DB=129&amp;ID1=92829810&amp;VALUEID=02001&amp;SDATE=200603&amp;PERIODTYPE=QTR_STD&amp;SCFT=3&amp;window=popup_no_bar&amp;width=385&amp;height=120&amp;START_MAXIMIZED=FALSE&amp;creator=factset&amp;display_string=Audit"}</definedName>
    <definedName name="_2038__FDSAUDITLINK__" hidden="1">{"fdsup://Directions/FactSet Auditing Viewer?action=AUDIT_VALUE&amp;DB=129&amp;ID1=92829810&amp;VALUEID=02001&amp;SDATE=200603&amp;PERIODTYPE=QTR_STD&amp;SCFT=3&amp;window=popup_no_bar&amp;width=385&amp;height=120&amp;START_MAXIMIZED=FALSE&amp;creator=factset&amp;display_string=Audit"}</definedName>
    <definedName name="_2039__FDSAUDITLINK__" hidden="1">{"fdsup://Directions/FactSet Auditing Viewer?action=AUDIT_VALUE&amp;DB=129&amp;ID1=88250810&amp;VALUEID=02001&amp;SDATE=200603&amp;PERIODTYPE=QTR_STD&amp;SCFT=3&amp;window=popup_no_bar&amp;width=385&amp;height=120&amp;START_MAXIMIZED=FALSE&amp;creator=factset&amp;display_string=Audit"}</definedName>
    <definedName name="_204__FDSAUDITLINK__" hidden="1">{"fdsup://Directions/FactSet Auditing Viewer?action=AUDIT_VALUE&amp;DB=129&amp;ID1=67066G10&amp;VALUEID=02001&amp;SDATE=201004&amp;PERIODTYPE=QTR_STD&amp;SCFT=3&amp;window=popup_no_bar&amp;width=385&amp;height=120&amp;START_MAXIMIZED=FALSE&amp;creator=factset&amp;display_string=Audit"}</definedName>
    <definedName name="_2040__FDSAUDITLINK__" hidden="1">{"fdsup://Directions/FactSet Auditing Viewer?action=AUDIT_VALUE&amp;DB=129&amp;ID1=88250810&amp;VALUEID=02001&amp;SDATE=200603&amp;PERIODTYPE=QTR_STD&amp;SCFT=3&amp;window=popup_no_bar&amp;width=385&amp;height=120&amp;START_MAXIMIZED=FALSE&amp;creator=factset&amp;display_string=Audit"}</definedName>
    <definedName name="_2041__FDSAUDITLINK__" hidden="1">{"fdsup://Directions/FactSet Auditing Viewer?action=AUDIT_VALUE&amp;DB=129&amp;ID1=89674K10&amp;VALUEID=02001&amp;SDATE=200603&amp;PERIODTYPE=QTR_STD&amp;SCFT=3&amp;window=popup_no_bar&amp;width=385&amp;height=120&amp;START_MAXIMIZED=FALSE&amp;creator=factset&amp;display_string=Audit"}</definedName>
    <definedName name="_2042__FDSAUDITLINK__" hidden="1">{"fdsup://Directions/FactSet Auditing Viewer?action=AUDIT_VALUE&amp;DB=129&amp;ID1=89674K10&amp;VALUEID=02001&amp;SDATE=200603&amp;PERIODTYPE=QTR_STD&amp;SCFT=3&amp;window=popup_no_bar&amp;width=385&amp;height=120&amp;START_MAXIMIZED=FALSE&amp;creator=factset&amp;display_string=Audit"}</definedName>
    <definedName name="_2043__FDSAUDITLINK__" hidden="1">{"fdsup://Directions/FactSet Auditing Viewer?action=AUDIT_VALUE&amp;DB=129&amp;ID1=G7945M10&amp;VALUEID=02001&amp;SDATE=200701&amp;PERIODTYPE=QTR_STD&amp;SCFT=3&amp;window=popup_no_bar&amp;width=385&amp;height=120&amp;START_MAXIMIZED=FALSE&amp;creator=factset&amp;display_string=Audit"}</definedName>
    <definedName name="_2044__FDSAUDITLINK__" hidden="1">{"fdsup://Directions/FactSet Auditing Viewer?action=AUDIT_VALUE&amp;DB=129&amp;ID1=G7945M10&amp;VALUEID=02001&amp;SDATE=200701&amp;PERIODTYPE=QTR_STD&amp;SCFT=3&amp;window=popup_no_bar&amp;width=385&amp;height=120&amp;START_MAXIMIZED=FALSE&amp;creator=factset&amp;display_string=Audit"}</definedName>
    <definedName name="_2045__FDSAUDITLINK__" hidden="1">{"fdsup://Directions/FactSet Auditing Viewer?action=AUDIT_VALUE&amp;DB=129&amp;ID1=78477410&amp;VALUEID=02001&amp;SDATE=200603&amp;PERIODTYPE=QTR_STD&amp;SCFT=3&amp;window=popup_no_bar&amp;width=385&amp;height=120&amp;START_MAXIMIZED=FALSE&amp;creator=factset&amp;display_string=Audit"}</definedName>
    <definedName name="_2046__FDSAUDITLINK__" hidden="1">{"fdsup://Directions/FactSet Auditing Viewer?action=AUDIT_VALUE&amp;DB=129&amp;ID1=78477410&amp;VALUEID=02001&amp;SDATE=200603&amp;PERIODTYPE=QTR_STD&amp;SCFT=3&amp;window=popup_no_bar&amp;width=385&amp;height=120&amp;START_MAXIMIZED=FALSE&amp;creator=factset&amp;display_string=Audit"}</definedName>
    <definedName name="_2047__FDSAUDITLINK__" hidden="1">{"fdsup://Directions/FactSet Auditing Viewer?action=AUDIT_VALUE&amp;DB=129&amp;ID1=82705710&amp;VALUEID=02001&amp;SDATE=200603&amp;PERIODTYPE=QTR_STD&amp;SCFT=3&amp;window=popup_no_bar&amp;width=385&amp;height=120&amp;START_MAXIMIZED=FALSE&amp;creator=factset&amp;display_string=Audit"}</definedName>
    <definedName name="_2048__FDSAUDITLINK__" hidden="1">{"fdsup://Directions/FactSet Auditing Viewer?action=AUDIT_VALUE&amp;DB=129&amp;ID1=82705710&amp;VALUEID=02001&amp;SDATE=200603&amp;PERIODTYPE=QTR_STD&amp;SCFT=3&amp;window=popup_no_bar&amp;width=385&amp;height=120&amp;START_MAXIMIZED=FALSE&amp;creator=factset&amp;display_string=Audit"}</definedName>
    <definedName name="_2049__FDSAUDITLINK__" hidden="1">{"fdsup://Directions/FactSet Auditing Viewer?action=AUDIT_VALUE&amp;DB=129&amp;ID1=80004C10&amp;VALUEID=02001&amp;SDATE=200603&amp;PERIODTYPE=QTR_STD&amp;SCFT=3&amp;window=popup_no_bar&amp;width=385&amp;height=120&amp;START_MAXIMIZED=FALSE&amp;creator=factset&amp;display_string=Audit"}</definedName>
    <definedName name="_205__FDSAUDITLINK__" hidden="1">{"fdsup://Directions/FactSet Auditing Viewer?action=AUDIT_VALUE&amp;DB=129&amp;ID1=63764010&amp;VALUEID=02001&amp;SDATE=201002&amp;PERIODTYPE=QTR_STD&amp;SCFT=3&amp;window=popup_no_bar&amp;width=385&amp;height=120&amp;START_MAXIMIZED=FALSE&amp;creator=factset&amp;display_string=Audit"}</definedName>
    <definedName name="_2050__FDSAUDITLINK__" hidden="1">{"fdsup://Directions/FactSet Auditing Viewer?action=AUDIT_VALUE&amp;DB=129&amp;ID1=80004C10&amp;VALUEID=02001&amp;SDATE=200603&amp;PERIODTYPE=QTR_STD&amp;SCFT=3&amp;window=popup_no_bar&amp;width=385&amp;height=120&amp;START_MAXIMIZED=FALSE&amp;creator=factset&amp;display_string=Audit"}</definedName>
    <definedName name="_2051__FDSAUDITLINK__" hidden="1">{"fdsup://Directions/FactSet Auditing Viewer?action=AUDIT_VALUE&amp;DB=129&amp;ID1=81685010&amp;VALUEID=02001&amp;SDATE=200603&amp;PERIODTYPE=QTR_STD&amp;SCFT=3&amp;window=popup_no_bar&amp;width=385&amp;height=120&amp;START_MAXIMIZED=FALSE&amp;creator=factset&amp;display_string=Audit"}</definedName>
    <definedName name="_2052__FDSAUDITLINK__" hidden="1">{"fdsup://Directions/FactSet Auditing Viewer?action=AUDIT_VALUE&amp;DB=129&amp;ID1=81685010&amp;VALUEID=02001&amp;SDATE=200603&amp;PERIODTYPE=QTR_STD&amp;SCFT=3&amp;window=popup_no_bar&amp;width=385&amp;height=120&amp;START_MAXIMIZED=FALSE&amp;creator=factset&amp;display_string=Audit"}</definedName>
    <definedName name="_2053__FDSAUDITLINK__" hidden="1">{"fdsup://Directions/FactSet Auditing Viewer?action=AUDIT_VALUE&amp;DB=129&amp;ID1=82691910&amp;VALUEID=02001&amp;SDATE=200603&amp;PERIODTYPE=QTR_STD&amp;SCFT=3&amp;window=popup_no_bar&amp;width=385&amp;height=120&amp;START_MAXIMIZED=FALSE&amp;creator=factset&amp;display_string=Audit"}</definedName>
    <definedName name="_2054__FDSAUDITLINK__" hidden="1">{"fdsup://Directions/FactSet Auditing Viewer?action=AUDIT_VALUE&amp;DB=129&amp;ID1=82691910&amp;VALUEID=02001&amp;SDATE=200603&amp;PERIODTYPE=QTR_STD&amp;SCFT=3&amp;window=popup_no_bar&amp;width=385&amp;height=120&amp;START_MAXIMIZED=FALSE&amp;creator=factset&amp;display_string=Audit"}</definedName>
    <definedName name="_2055__FDSAUDITLINK__" hidden="1">{"fdsup://Directions/FactSet Auditing Viewer?action=AUDIT_VALUE&amp;DB=129&amp;ID1=82705T10&amp;VALUEID=02001&amp;SDATE=200603&amp;PERIODTYPE=QTR_STD&amp;SCFT=3&amp;window=popup_no_bar&amp;width=385&amp;height=120&amp;START_MAXIMIZED=FALSE&amp;creator=factset&amp;display_string=Audit"}</definedName>
    <definedName name="_2056__FDSAUDITLINK__" hidden="1">{"fdsup://Directions/FactSet Auditing Viewer?action=AUDIT_VALUE&amp;DB=129&amp;ID1=82705T10&amp;VALUEID=02001&amp;SDATE=200603&amp;PERIODTYPE=QTR_STD&amp;SCFT=3&amp;window=popup_no_bar&amp;width=385&amp;height=120&amp;START_MAXIMIZED=FALSE&amp;creator=factset&amp;display_string=Audit"}</definedName>
    <definedName name="_2057__FDSAUDITLINK__" hidden="1">{"fdsup://Directions/FactSet Auditing Viewer?action=AUDIT_VALUE&amp;DB=129&amp;ID1=75091710&amp;VALUEID=02001&amp;SDATE=200603&amp;PERIODTYPE=QTR_STD&amp;SCFT=3&amp;window=popup_no_bar&amp;width=385&amp;height=120&amp;START_MAXIMIZED=FALSE&amp;creator=factset&amp;display_string=Audit"}</definedName>
    <definedName name="_2058__FDSAUDITLINK__" hidden="1">{"fdsup://Directions/FactSet Auditing Viewer?action=AUDIT_VALUE&amp;DB=129&amp;ID1=75091710&amp;VALUEID=02001&amp;SDATE=200603&amp;PERIODTYPE=QTR_STD&amp;SCFT=3&amp;window=popup_no_bar&amp;width=385&amp;height=120&amp;START_MAXIMIZED=FALSE&amp;creator=factset&amp;display_string=Audit"}</definedName>
    <definedName name="_2059__FDSAUDITLINK__" hidden="1">{"fdsup://Directions/FactSet Auditing Viewer?action=AUDIT_VALUE&amp;DB=129&amp;ID1=74994110&amp;VALUEID=02001&amp;SDATE=200602&amp;PERIODTYPE=QTR_STD&amp;SCFT=3&amp;window=popup_no_bar&amp;width=385&amp;height=120&amp;START_MAXIMIZED=FALSE&amp;creator=factset&amp;display_string=Audit"}</definedName>
    <definedName name="_206__FDSAUDITLINK__" hidden="1">{"fdsup://Directions/FactSet Auditing Viewer?action=AUDIT_VALUE&amp;DB=129&amp;ID1=63764010&amp;VALUEID=02001&amp;SDATE=201002&amp;PERIODTYPE=QTR_STD&amp;SCFT=3&amp;window=popup_no_bar&amp;width=385&amp;height=120&amp;START_MAXIMIZED=FALSE&amp;creator=factset&amp;display_string=Audit"}</definedName>
    <definedName name="_2060__FDSAUDITLINK__" hidden="1">{"fdsup://Directions/FactSet Auditing Viewer?action=AUDIT_VALUE&amp;DB=129&amp;ID1=74994110&amp;VALUEID=02001&amp;SDATE=200602&amp;PERIODTYPE=QTR_STD&amp;SCFT=3&amp;window=popup_no_bar&amp;width=385&amp;height=120&amp;START_MAXIMIZED=FALSE&amp;creator=factset&amp;display_string=Audit"}</definedName>
    <definedName name="_2061__FDSAUDITLINK__" hidden="1">{"fdsup://Directions/FactSet Auditing Viewer?action=AUDIT_VALUE&amp;DB=129&amp;ID1=74727710&amp;VALUEID=02001&amp;SDATE=200602&amp;PERIODTYPE=QTR_STD&amp;SCFT=3&amp;window=popup_no_bar&amp;width=385&amp;height=120&amp;START_MAXIMIZED=FALSE&amp;creator=factset&amp;display_string=Audit"}</definedName>
    <definedName name="_2062__FDSAUDITLINK__" hidden="1">{"fdsup://Directions/FactSet Auditing Viewer?action=AUDIT_VALUE&amp;DB=129&amp;ID1=74727710&amp;VALUEID=02001&amp;SDATE=200602&amp;PERIODTYPE=QTR_STD&amp;SCFT=3&amp;window=popup_no_bar&amp;width=385&amp;height=120&amp;START_MAXIMIZED=FALSE&amp;creator=factset&amp;display_string=Audit"}</definedName>
    <definedName name="_2063__FDSAUDITLINK__" hidden="1">{"fdsup://Directions/FactSet Auditing Viewer?action=AUDIT_VALUE&amp;DB=129&amp;ID1=72581M30&amp;VALUEID=02001&amp;SDATE=200603&amp;PERIODTYPE=QTR_STD&amp;SCFT=3&amp;window=popup_no_bar&amp;width=385&amp;height=120&amp;START_MAXIMIZED=FALSE&amp;creator=factset&amp;display_string=Audit"}</definedName>
    <definedName name="_2064__FDSAUDITLINK__" hidden="1">{"fdsup://Directions/FactSet Auditing Viewer?action=AUDIT_VALUE&amp;DB=129&amp;ID1=72581M30&amp;VALUEID=02001&amp;SDATE=200603&amp;PERIODTYPE=QTR_STD&amp;SCFT=3&amp;window=popup_no_bar&amp;width=385&amp;height=120&amp;START_MAXIMIZED=FALSE&amp;creator=factset&amp;display_string=Audit"}</definedName>
    <definedName name="_2065__FDSAUDITLINK__" hidden="1">{"fdsup://Directions/FactSet Auditing Viewer?action=AUDIT_VALUE&amp;DB=129&amp;ID1=73927610&amp;VALUEID=02001&amp;SDATE=200603&amp;PERIODTYPE=QTR_STD&amp;SCFT=3&amp;window=popup_no_bar&amp;width=385&amp;height=120&amp;START_MAXIMIZED=FALSE&amp;creator=factset&amp;display_string=Audit"}</definedName>
    <definedName name="_2066__FDSAUDITLINK__" hidden="1">{"fdsup://Directions/FactSet Auditing Viewer?action=AUDIT_VALUE&amp;DB=129&amp;ID1=73927610&amp;VALUEID=02001&amp;SDATE=200603&amp;PERIODTYPE=QTR_STD&amp;SCFT=3&amp;window=popup_no_bar&amp;width=385&amp;height=120&amp;START_MAXIMIZED=FALSE&amp;creator=factset&amp;display_string=Audit"}</definedName>
    <definedName name="_2067__FDSAUDITLINK__" hidden="1">{"fdsup://Directions/FactSet Auditing Viewer?action=AUDIT_VALUE&amp;DB=129&amp;ID1=69344F10&amp;VALUEID=02001&amp;SDATE=200603&amp;PERIODTYPE=QTR_STD&amp;SCFT=3&amp;window=popup_no_bar&amp;width=385&amp;height=120&amp;START_MAXIMIZED=FALSE&amp;creator=factset&amp;display_string=Audit"}</definedName>
    <definedName name="_2068__FDSAUDITLINK__" hidden="1">{"fdsup://Directions/FactSet Auditing Viewer?action=AUDIT_VALUE&amp;DB=129&amp;ID1=69344F10&amp;VALUEID=02001&amp;SDATE=200603&amp;PERIODTYPE=QTR_STD&amp;SCFT=3&amp;window=popup_no_bar&amp;width=385&amp;height=120&amp;START_MAXIMIZED=FALSE&amp;creator=factset&amp;display_string=Audit"}</definedName>
    <definedName name="_2069__FDSAUDITLINK__" hidden="1">{"fdsup://Directions/FactSet Auditing Viewer?action=AUDIT_VALUE&amp;DB=129&amp;ID1=69341710&amp;VALUEID=02001&amp;SDATE=200603&amp;PERIODTYPE=QTR_STD&amp;SCFT=3&amp;window=popup_no_bar&amp;width=385&amp;height=120&amp;START_MAXIMIZED=FALSE&amp;creator=factset&amp;display_string=Audit"}</definedName>
    <definedName name="_207__FDSAUDITLINK__" hidden="1">{"fdsup://Directions/FactSet Auditing Viewer?action=AUDIT_VALUE&amp;DB=129&amp;ID1=64118B10&amp;VALUEID=02001&amp;SDATE=201004&amp;PERIODTYPE=QTR_STD&amp;SCFT=3&amp;window=popup_no_bar&amp;width=385&amp;height=120&amp;START_MAXIMIZED=FALSE&amp;creator=factset&amp;display_string=Audit"}</definedName>
    <definedName name="_2070__FDSAUDITLINK__" hidden="1">{"fdsup://Directions/FactSet Auditing Viewer?action=AUDIT_VALUE&amp;DB=129&amp;ID1=69341710&amp;VALUEID=02001&amp;SDATE=200603&amp;PERIODTYPE=QTR_STD&amp;SCFT=3&amp;window=popup_no_bar&amp;width=385&amp;height=120&amp;START_MAXIMIZED=FALSE&amp;creator=factset&amp;display_string=Audit"}</definedName>
    <definedName name="_2071__FDSAUDITLINK__" hidden="1">{"fdsup://Directions/FactSet Auditing Viewer?action=AUDIT_VALUE&amp;DB=129&amp;ID1=68218910&amp;VALUEID=02001&amp;SDATE=200603&amp;PERIODTYPE=QTR_STD&amp;SCFT=3&amp;window=popup_no_bar&amp;width=385&amp;height=120&amp;START_MAXIMIZED=FALSE&amp;creator=factset&amp;display_string=Audit"}</definedName>
    <definedName name="_2072__FDSAUDITLINK__" hidden="1">{"fdsup://Directions/FactSet Auditing Viewer?action=AUDIT_VALUE&amp;DB=129&amp;ID1=68218910&amp;VALUEID=02001&amp;SDATE=200603&amp;PERIODTYPE=QTR_STD&amp;SCFT=3&amp;window=popup_no_bar&amp;width=385&amp;height=120&amp;START_MAXIMIZED=FALSE&amp;creator=factset&amp;display_string=Audit"}</definedName>
    <definedName name="_2073__FDSAUDITLINK__" hidden="1">{"fdsup://Directions/FactSet Auditing Viewer?action=AUDIT_VALUE&amp;DB=129&amp;ID1=67000810&amp;VALUEID=02001&amp;SDATE=200603&amp;PERIODTYPE=QTR_STD&amp;SCFT=3&amp;window=popup_no_bar&amp;width=385&amp;height=120&amp;START_MAXIMIZED=FALSE&amp;creator=factset&amp;display_string=Audit"}</definedName>
    <definedName name="_2074__FDSAUDITLINK__" hidden="1">{"fdsup://Directions/FactSet Auditing Viewer?action=AUDIT_VALUE&amp;DB=129&amp;ID1=67000810&amp;VALUEID=02001&amp;SDATE=200603&amp;PERIODTYPE=QTR_STD&amp;SCFT=3&amp;window=popup_no_bar&amp;width=385&amp;height=120&amp;START_MAXIMIZED=FALSE&amp;creator=factset&amp;display_string=Audit"}</definedName>
    <definedName name="_2075__FDSAUDITLINK__" hidden="1">{"fdsup://Directions/FactSet Auditing Viewer?action=AUDIT_VALUE&amp;DB=129&amp;ID1=67066G10&amp;VALUEID=02001&amp;SDATE=200603&amp;PERIODTYPE=QTR_STD&amp;SCFT=3&amp;window=popup_no_bar&amp;width=385&amp;height=120&amp;START_MAXIMIZED=FALSE&amp;creator=factset&amp;display_string=Audit"}</definedName>
    <definedName name="_2076__FDSAUDITLINK__" hidden="1">{"fdsup://Directions/FactSet Auditing Viewer?action=AUDIT_VALUE&amp;DB=129&amp;ID1=67066G10&amp;VALUEID=02001&amp;SDATE=200603&amp;PERIODTYPE=QTR_STD&amp;SCFT=3&amp;window=popup_no_bar&amp;width=385&amp;height=120&amp;START_MAXIMIZED=FALSE&amp;creator=factset&amp;display_string=Audit"}</definedName>
    <definedName name="_2077__FDSAUDITLINK__" hidden="1">{"fdsup://Directions/FactSet Auditing Viewer?action=AUDIT_VALUE&amp;DB=129&amp;ID1=63764010&amp;VALUEID=02001&amp;SDATE=200601&amp;PERIODTYPE=QTR_STD&amp;SCFT=3&amp;window=popup_no_bar&amp;width=385&amp;height=120&amp;START_MAXIMIZED=FALSE&amp;creator=factset&amp;display_string=Audit"}</definedName>
    <definedName name="_2078__FDSAUDITLINK__" hidden="1">{"fdsup://Directions/FactSet Auditing Viewer?action=AUDIT_VALUE&amp;DB=129&amp;ID1=63764010&amp;VALUEID=02001&amp;SDATE=200601&amp;PERIODTYPE=QTR_STD&amp;SCFT=3&amp;window=popup_no_bar&amp;width=385&amp;height=120&amp;START_MAXIMIZED=FALSE&amp;creator=factset&amp;display_string=Audit"}</definedName>
    <definedName name="_2079__FDSAUDITLINK__" hidden="1">{"fdsup://Directions/FactSet Auditing Viewer?action=AUDIT_VALUE&amp;DB=129&amp;ID1=64118B10&amp;VALUEID=02001&amp;SDATE=200603&amp;PERIODTYPE=QTR_STD&amp;SCFT=3&amp;window=popup_no_bar&amp;width=385&amp;height=120&amp;START_MAXIMIZED=FALSE&amp;creator=factset&amp;display_string=Audit"}</definedName>
    <definedName name="_208__FDSAUDITLINK__" hidden="1">{"fdsup://Directions/FactSet Auditing Viewer?action=AUDIT_VALUE&amp;DB=129&amp;ID1=64118B10&amp;VALUEID=02001&amp;SDATE=201004&amp;PERIODTYPE=QTR_STD&amp;SCFT=3&amp;window=popup_no_bar&amp;width=385&amp;height=120&amp;START_MAXIMIZED=FALSE&amp;creator=factset&amp;display_string=Audit"}</definedName>
    <definedName name="_2080__FDSAUDITLINK__" hidden="1">{"fdsup://Directions/FactSet Auditing Viewer?action=AUDIT_VALUE&amp;DB=129&amp;ID1=64118B10&amp;VALUEID=02001&amp;SDATE=200603&amp;PERIODTYPE=QTR_STD&amp;SCFT=3&amp;window=popup_no_bar&amp;width=385&amp;height=120&amp;START_MAXIMIZED=FALSE&amp;creator=factset&amp;display_string=Audit"}</definedName>
    <definedName name="_2081__FDSAUDITLINK__" hidden="1">{"fdsup://Directions/FactSet Auditing Viewer?action=AUDIT_VALUE&amp;DB=129&amp;ID1=57772K10&amp;VALUEID=02001&amp;SDATE=200701&amp;PERIODTYPE=QTR_STD&amp;SCFT=3&amp;window=popup_no_bar&amp;width=385&amp;height=120&amp;START_MAXIMIZED=FALSE&amp;creator=factset&amp;display_string=Audit"}</definedName>
    <definedName name="_2082__FDSAUDITLINK__" hidden="1">{"fdsup://Directions/FactSet Auditing Viewer?action=AUDIT_VALUE&amp;DB=129&amp;ID1=57772K10&amp;VALUEID=02001&amp;SDATE=200701&amp;PERIODTYPE=QTR_STD&amp;SCFT=3&amp;window=popup_no_bar&amp;width=385&amp;height=120&amp;START_MAXIMIZED=FALSE&amp;creator=factset&amp;display_string=Audit"}</definedName>
    <definedName name="_2083__FDSAUDITLINK__" hidden="1">{"fdsup://Directions/FactSet Auditing Viewer?action=AUDIT_VALUE&amp;DB=129&amp;ID1=G5876H10&amp;VALUEID=02001&amp;SDATE=200603&amp;PERIODTYPE=QTR_STD&amp;SCFT=3&amp;window=popup_no_bar&amp;width=385&amp;height=120&amp;START_MAXIMIZED=FALSE&amp;creator=factset&amp;display_string=Audit"}</definedName>
    <definedName name="_2084__FDSAUDITLINK__" hidden="1">{"fdsup://Directions/FactSet Auditing Viewer?action=AUDIT_VALUE&amp;DB=129&amp;ID1=G5876H10&amp;VALUEID=02001&amp;SDATE=200603&amp;PERIODTYPE=QTR_STD&amp;SCFT=3&amp;window=popup_no_bar&amp;width=385&amp;height=120&amp;START_MAXIMIZED=FALSE&amp;creator=factset&amp;display_string=Audit"}</definedName>
    <definedName name="_2085__FDSAUDITLINK__" hidden="1">{"fdsup://Directions/FactSet Auditing Viewer?action=AUDIT_VALUE&amp;DB=129&amp;ID1=62007630&amp;VALUEID=02001&amp;SDATE=200603&amp;PERIODTYPE=QTR_STD&amp;SCFT=3&amp;window=popup_no_bar&amp;width=385&amp;height=120&amp;START_MAXIMIZED=FALSE&amp;creator=factset&amp;display_string=Audit"}</definedName>
    <definedName name="_2086__FDSAUDITLINK__" hidden="1">{"fdsup://Directions/FactSet Auditing Viewer?action=AUDIT_VALUE&amp;DB=129&amp;ID1=62007630&amp;VALUEID=02001&amp;SDATE=200603&amp;PERIODTYPE=QTR_STD&amp;SCFT=3&amp;window=popup_no_bar&amp;width=385&amp;height=120&amp;START_MAXIMIZED=FALSE&amp;creator=factset&amp;display_string=Audit"}</definedName>
    <definedName name="_2087__FDSAUDITLINK__" hidden="1">{"fdsup://Directions/FactSet Auditing Viewer?action=AUDIT_VALUE&amp;DB=129&amp;ID1=60456710&amp;VALUEID=02001&amp;SDATE=200701&amp;PERIODTYPE=QTR_STD&amp;SCFT=3&amp;window=popup_no_bar&amp;width=385&amp;height=120&amp;START_MAXIMIZED=FALSE&amp;creator=factset&amp;display_string=Audit"}</definedName>
    <definedName name="_2088__FDSAUDITLINK__" hidden="1">{"fdsup://Directions/FactSet Auditing Viewer?action=AUDIT_VALUE&amp;DB=129&amp;ID1=60456710&amp;VALUEID=02001&amp;SDATE=200701&amp;PERIODTYPE=QTR_STD&amp;SCFT=3&amp;window=popup_no_bar&amp;width=385&amp;height=120&amp;START_MAXIMIZED=FALSE&amp;creator=factset&amp;display_string=Audit"}</definedName>
    <definedName name="_2089__FDSAUDITLINK__" hidden="1">{"fdsup://Directions/FactSet Auditing Viewer?action=AUDIT_VALUE&amp;DB=129&amp;ID1=59479310&amp;VALUEID=02001&amp;SDATE=200603&amp;PERIODTYPE=QTR_STD&amp;SCFT=3&amp;window=popup_no_bar&amp;width=385&amp;height=120&amp;START_MAXIMIZED=FALSE&amp;creator=factset&amp;display_string=Audit"}</definedName>
    <definedName name="_209__FDSAUDITLINK__" hidden="1">{"fdsup://Directions/FactSet Auditing Viewer?action=AUDIT_VALUE&amp;DB=129&amp;ID1=57772K10&amp;VALUEID=02001&amp;SDATE=201102&amp;PERIODTYPE=QTR_STD&amp;SCFT=3&amp;window=popup_no_bar&amp;width=385&amp;height=120&amp;START_MAXIMIZED=FALSE&amp;creator=factset&amp;display_string=Audit"}</definedName>
    <definedName name="_2090__FDSAUDITLINK__" hidden="1">{"fdsup://Directions/FactSet Auditing Viewer?action=AUDIT_VALUE&amp;DB=129&amp;ID1=59479310&amp;VALUEID=02001&amp;SDATE=200603&amp;PERIODTYPE=QTR_STD&amp;SCFT=3&amp;window=popup_no_bar&amp;width=385&amp;height=120&amp;START_MAXIMIZED=FALSE&amp;creator=factset&amp;display_string=Audit"}</definedName>
    <definedName name="_2091__FDSAUDITLINK__" hidden="1">{"fdsup://Directions/FactSet Auditing Viewer?action=AUDIT_VALUE&amp;DB=129&amp;ID1=59501710&amp;VALUEID=02001&amp;SDATE=200602&amp;PERIODTYPE=QTR_STD&amp;SCFT=3&amp;window=popup_no_bar&amp;width=385&amp;height=120&amp;START_MAXIMIZED=FALSE&amp;creator=factset&amp;display_string=Audit"}</definedName>
    <definedName name="_2092__FDSAUDITLINK__" hidden="1">{"fdsup://Directions/FactSet Auditing Viewer?action=AUDIT_VALUE&amp;DB=129&amp;ID1=59501710&amp;VALUEID=02001&amp;SDATE=200602&amp;PERIODTYPE=QTR_STD&amp;SCFT=3&amp;window=popup_no_bar&amp;width=385&amp;height=120&amp;START_MAXIMIZED=FALSE&amp;creator=factset&amp;display_string=Audit"}</definedName>
    <definedName name="_2093__FDSAUDITLINK__" hidden="1">{"fdsup://Directions/FactSet Auditing Viewer?action=AUDIT_VALUE&amp;DB=129&amp;ID1=50216110&amp;VALUEID=02001&amp;SDATE=200603&amp;PERIODTYPE=QTR_STD&amp;SCFT=3&amp;window=popup_no_bar&amp;width=385&amp;height=120&amp;START_MAXIMIZED=FALSE&amp;creator=factset&amp;display_string=Audit"}</definedName>
    <definedName name="_2094__FDSAUDITLINK__" hidden="1">{"fdsup://Directions/FactSet Auditing Viewer?action=AUDIT_VALUE&amp;DB=129&amp;ID1=50216110&amp;VALUEID=02001&amp;SDATE=200603&amp;PERIODTYPE=QTR_STD&amp;SCFT=3&amp;window=popup_no_bar&amp;width=385&amp;height=120&amp;START_MAXIMIZED=FALSE&amp;creator=factset&amp;display_string=Audit"}</definedName>
    <definedName name="_2095__FDSAUDITLINK__" hidden="1">{"fdsup://Directions/FactSet Auditing Viewer?action=AUDIT_VALUE&amp;DB=129&amp;ID1=51841510&amp;VALUEID=02001&amp;SDATE=200603&amp;PERIODTYPE=QTR_STD&amp;SCFT=3&amp;window=popup_no_bar&amp;width=385&amp;height=120&amp;START_MAXIMIZED=FALSE&amp;creator=factset&amp;display_string=Audit"}</definedName>
    <definedName name="_2096__FDSAUDITLINK__" hidden="1">{"fdsup://Directions/FactSet Auditing Viewer?action=AUDIT_VALUE&amp;DB=129&amp;ID1=51841510&amp;VALUEID=02001&amp;SDATE=200603&amp;PERIODTYPE=QTR_STD&amp;SCFT=3&amp;window=popup_no_bar&amp;width=385&amp;height=120&amp;START_MAXIMIZED=FALSE&amp;creator=factset&amp;display_string=Audit"}</definedName>
    <definedName name="_2097__FDSAUDITLINK__" hidden="1">{"fdsup://Directions/FactSet Auditing Viewer?action=AUDIT_VALUE&amp;DB=129&amp;ID1=51280710&amp;VALUEID=02001&amp;SDATE=200701&amp;PERIODTYPE=QTR_STD&amp;SCFT=3&amp;window=popup_no_bar&amp;width=385&amp;height=120&amp;START_MAXIMIZED=FALSE&amp;creator=factset&amp;display_string=Audit"}</definedName>
    <definedName name="_2098__FDSAUDITLINK__" hidden="1">{"fdsup://Directions/FactSet Auditing Viewer?action=AUDIT_VALUE&amp;DB=129&amp;ID1=51280710&amp;VALUEID=02001&amp;SDATE=200701&amp;PERIODTYPE=QTR_STD&amp;SCFT=3&amp;window=popup_no_bar&amp;width=385&amp;height=120&amp;START_MAXIMIZED=FALSE&amp;creator=factset&amp;display_string=Audit"}</definedName>
    <definedName name="_2099__FDSAUDITLINK__" hidden="1">{"fdsup://Directions/FactSet Auditing Viewer?action=AUDIT_VALUE&amp;DB=129&amp;ID1=53567810&amp;VALUEID=02001&amp;SDATE=200701&amp;PERIODTYPE=QTR_STD&amp;SCFT=3&amp;window=popup_no_bar&amp;width=385&amp;height=120&amp;START_MAXIMIZED=FALSE&amp;creator=factset&amp;display_string=Audit"}</definedName>
    <definedName name="_21__FDSAUDITLINK__" hidden="1">{"fdsup://directions/FAT Viewer?action=UPDATE&amp;creator=factset&amp;DYN_ARGS=TRUE&amp;DOC_NAME=FAT:FQL_AUDITING_CLIENT_TEMPLATE.FAT&amp;display_string=Audit&amp;VAR:KEY=GLKDQTYVIN&amp;VAR:QUERY=RkZfU0hTX0ZMT0FUKEFOTiwp&amp;WINDOW=FIRST_POPUP&amp;HEIGHT=450&amp;WIDTH=450&amp;START_MAXIMIZED=FALS","E&amp;VAR:CALENDAR=US&amp;VAR:SYMBOL=WYNN RESORTS&amp;VAR:INDEX=0"}</definedName>
    <definedName name="_210__FDSAUDITLINK__" hidden="1">{"fdsup://Directions/FactSet Auditing Viewer?action=AUDIT_VALUE&amp;DB=129&amp;ID1=57772K10&amp;VALUEID=02001&amp;SDATE=201102&amp;PERIODTYPE=QTR_STD&amp;SCFT=3&amp;window=popup_no_bar&amp;width=385&amp;height=120&amp;START_MAXIMIZED=FALSE&amp;creator=factset&amp;display_string=Audit"}</definedName>
    <definedName name="_2100__FDSAUDITLINK__" hidden="1">{"fdsup://Directions/FactSet Auditing Viewer?action=AUDIT_VALUE&amp;DB=129&amp;ID1=53567810&amp;VALUEID=02001&amp;SDATE=200701&amp;PERIODTYPE=QTR_STD&amp;SCFT=3&amp;window=popup_no_bar&amp;width=385&amp;height=120&amp;START_MAXIMIZED=FALSE&amp;creator=factset&amp;display_string=Audit"}</definedName>
    <definedName name="_2101__FDSAUDITLINK__" hidden="1">{"fdsup://Directions/FactSet Auditing Viewer?action=AUDIT_VALUE&amp;DB=129&amp;ID1=48248010&amp;VALUEID=02001&amp;SDATE=200701&amp;PERIODTYPE=QTR_STD&amp;SCFT=3&amp;window=popup_no_bar&amp;width=385&amp;height=120&amp;START_MAXIMIZED=FALSE&amp;creator=factset&amp;display_string=Audit"}</definedName>
    <definedName name="_2102__FDSAUDITLINK__" hidden="1">{"fdsup://Directions/FactSet Auditing Viewer?action=AUDIT_VALUE&amp;DB=129&amp;ID1=48248010&amp;VALUEID=02001&amp;SDATE=200701&amp;PERIODTYPE=QTR_STD&amp;SCFT=3&amp;window=popup_no_bar&amp;width=385&amp;height=120&amp;START_MAXIMIZED=FALSE&amp;creator=factset&amp;display_string=Audit"}</definedName>
    <definedName name="_2103__FDSAUDITLINK__" hidden="1">{"fdsup://Directions/FactSet Auditing Viewer?action=AUDIT_VALUE&amp;DB=129&amp;ID1=48836020&amp;VALUEID=02001&amp;SDATE=200602&amp;PERIODTYPE=QTR_STD&amp;SCFT=3&amp;window=popup_no_bar&amp;width=385&amp;height=120&amp;START_MAXIMIZED=FALSE&amp;creator=factset&amp;display_string=Audit"}</definedName>
    <definedName name="_2104__FDSAUDITLINK__" hidden="1">{"fdsup://Directions/FactSet Auditing Viewer?action=AUDIT_VALUE&amp;DB=129&amp;ID1=48836020&amp;VALUEID=02001&amp;SDATE=200602&amp;PERIODTYPE=QTR_STD&amp;SCFT=3&amp;window=popup_no_bar&amp;width=385&amp;height=120&amp;START_MAXIMIZED=FALSE&amp;creator=factset&amp;display_string=Audit"}</definedName>
    <definedName name="_2105__FDSAUDITLINK__" hidden="1">{"fdsup://Directions/FactSet Auditing Viewer?action=AUDIT_VALUE&amp;DB=129&amp;ID1=48203R10&amp;VALUEID=02001&amp;SDATE=200603&amp;PERIODTYPE=QTR_STD&amp;SCFT=3&amp;window=popup_no_bar&amp;width=385&amp;height=120&amp;START_MAXIMIZED=FALSE&amp;creator=factset&amp;display_string=Audit"}</definedName>
    <definedName name="_2106__FDSAUDITLINK__" hidden="1">{"fdsup://Directions/FactSet Auditing Viewer?action=AUDIT_VALUE&amp;DB=129&amp;ID1=48203R10&amp;VALUEID=02001&amp;SDATE=200603&amp;PERIODTYPE=QTR_STD&amp;SCFT=3&amp;window=popup_no_bar&amp;width=385&amp;height=120&amp;START_MAXIMIZED=FALSE&amp;creator=factset&amp;display_string=Audit"}</definedName>
    <definedName name="_2107__FDSAUDITLINK__" hidden="1">{"fdsup://Directions/FactSet Auditing Viewer?action=AUDIT_VALUE&amp;DB=129&amp;ID1=86681020&amp;VALUEID=02001&amp;SDATE=200701&amp;PERIODTYPE=QTR_STD&amp;SCFT=3&amp;window=popup_no_bar&amp;width=385&amp;height=120&amp;START_MAXIMIZED=FALSE&amp;creator=factset&amp;display_string=Audit"}</definedName>
    <definedName name="_2108__FDSAUDITLINK__" hidden="1">{"fdsup://Directions/FactSet Auditing Viewer?action=AUDIT_VALUE&amp;DB=129&amp;ID1=86681020&amp;VALUEID=02001&amp;SDATE=200701&amp;PERIODTYPE=QTR_STD&amp;SCFT=3&amp;window=popup_no_bar&amp;width=385&amp;height=120&amp;START_MAXIMIZED=FALSE&amp;creator=factset&amp;display_string=Audit"}</definedName>
    <definedName name="_2109__FDSAUDITLINK__" hidden="1">{"fdsup://Directions/FactSet Auditing Viewer?action=AUDIT_VALUE&amp;DB=129&amp;ID1=46069S10&amp;VALUEID=02001&amp;SDATE=200603&amp;PERIODTYPE=QTR_STD&amp;SCFT=3&amp;window=popup_no_bar&amp;width=385&amp;height=120&amp;START_MAXIMIZED=FALSE&amp;creator=factset&amp;display_string=Audit"}</definedName>
    <definedName name="_211__FDSAUDITLINK__" hidden="1">{"fdsup://Directions/FactSet Auditing Viewer?action=AUDIT_VALUE&amp;DB=129&amp;ID1=59511210&amp;VALUEID=02001&amp;SDATE=201101&amp;PERIODTYPE=QTR_STD&amp;SCFT=3&amp;window=popup_no_bar&amp;width=385&amp;height=120&amp;START_MAXIMIZED=FALSE&amp;creator=factset&amp;display_string=Audit"}</definedName>
    <definedName name="_2110__FDSAUDITLINK__" hidden="1">{"fdsup://Directions/FactSet Auditing Viewer?action=AUDIT_VALUE&amp;DB=129&amp;ID1=46069S10&amp;VALUEID=02001&amp;SDATE=200603&amp;PERIODTYPE=QTR_STD&amp;SCFT=3&amp;window=popup_no_bar&amp;width=385&amp;height=120&amp;START_MAXIMIZED=FALSE&amp;creator=factset&amp;display_string=Audit"}</definedName>
    <definedName name="_2111__FDSAUDITLINK__" hidden="1">{"fdsup://Directions/FactSet Auditing Viewer?action=AUDIT_VALUE&amp;DB=129&amp;ID1=46025410&amp;VALUEID=02001&amp;SDATE=200701&amp;PERIODTYPE=QTR_STD&amp;SCFT=3&amp;window=popup_no_bar&amp;width=385&amp;height=120&amp;START_MAXIMIZED=FALSE&amp;creator=factset&amp;display_string=Audit"}</definedName>
    <definedName name="_2112__FDSAUDITLINK__" hidden="1">{"fdsup://Directions/FactSet Auditing Viewer?action=AUDIT_VALUE&amp;DB=129&amp;ID1=46025410&amp;VALUEID=02001&amp;SDATE=200701&amp;PERIODTYPE=QTR_STD&amp;SCFT=3&amp;window=popup_no_bar&amp;width=385&amp;height=120&amp;START_MAXIMIZED=FALSE&amp;creator=factset&amp;display_string=Audit"}</definedName>
    <definedName name="_2113__FDSAUDITLINK__" hidden="1">{"fdsup://Directions/FactSet Auditing Viewer?action=AUDIT_VALUE&amp;DB=129&amp;ID1=45814010&amp;VALUEID=02001&amp;SDATE=200603&amp;PERIODTYPE=QTR_STD&amp;SCFT=3&amp;window=popup_no_bar&amp;width=385&amp;height=120&amp;START_MAXIMIZED=FALSE&amp;creator=factset&amp;display_string=Audit"}</definedName>
    <definedName name="_2114__FDSAUDITLINK__" hidden="1">{"fdsup://Directions/FactSet Auditing Viewer?action=AUDIT_VALUE&amp;DB=129&amp;ID1=45814010&amp;VALUEID=02001&amp;SDATE=200603&amp;PERIODTYPE=QTR_STD&amp;SCFT=3&amp;window=popup_no_bar&amp;width=385&amp;height=120&amp;START_MAXIMIZED=FALSE&amp;creator=factset&amp;display_string=Audit"}</definedName>
    <definedName name="_2115__FDSAUDITLINK__" hidden="1">{"fdsup://Directions/FactSet Auditing Viewer?action=AUDIT_VALUE&amp;DB=129&amp;ID1=45811810&amp;VALUEID=02001&amp;SDATE=200602&amp;PERIODTYPE=QTR_STD&amp;SCFT=3&amp;window=popup_no_bar&amp;width=385&amp;height=120&amp;START_MAXIMIZED=FALSE&amp;creator=factset&amp;display_string=Audit"}</definedName>
    <definedName name="_2116__FDSAUDITLINK__" hidden="1">{"fdsup://Directions/FactSet Auditing Viewer?action=AUDIT_VALUE&amp;DB=129&amp;ID1=45811810&amp;VALUEID=02001&amp;SDATE=200602&amp;PERIODTYPE=QTR_STD&amp;SCFT=3&amp;window=popup_no_bar&amp;width=385&amp;height=120&amp;START_MAXIMIZED=FALSE&amp;creator=factset&amp;display_string=Audit"}</definedName>
    <definedName name="_2117__FDSAUDITLINK__" hidden="1">{"fdsup://Directions/FactSet Auditing Viewer?action=AUDIT_VALUE&amp;DB=129&amp;ID1=H2906T10&amp;VALUEID=02001&amp;SDATE=200603&amp;PERIODTYPE=QTR_STD&amp;SCFT=3&amp;window=popup_no_bar&amp;width=385&amp;height=120&amp;START_MAXIMIZED=FALSE&amp;creator=factset&amp;display_string=Audit"}</definedName>
    <definedName name="_2118__FDSAUDITLINK__" hidden="1">{"fdsup://Directions/FactSet Auditing Viewer?action=AUDIT_VALUE&amp;DB=129&amp;ID1=H2906T10&amp;VALUEID=02001&amp;SDATE=200603&amp;PERIODTYPE=QTR_STD&amp;SCFT=3&amp;window=popup_no_bar&amp;width=385&amp;height=120&amp;START_MAXIMIZED=FALSE&amp;creator=factset&amp;display_string=Audit"}</definedName>
    <definedName name="_2119__FDSAUDITLINK__" hidden="1">{"fdsup://Directions/FactSet Auditing Viewer?action=AUDIT_VALUE&amp;DB=129&amp;ID1=34637510&amp;VALUEID=02001&amp;SDATE=200603&amp;PERIODTYPE=QTR_STD&amp;SCFT=3&amp;window=popup_no_bar&amp;width=385&amp;height=120&amp;START_MAXIMIZED=FALSE&amp;creator=factset&amp;display_string=Audit"}</definedName>
    <definedName name="_212__FDSAUDITLINK__" hidden="1">{"fdsup://Directions/FactSet Auditing Viewer?action=AUDIT_VALUE&amp;DB=129&amp;ID1=59511210&amp;VALUEID=02001&amp;SDATE=201101&amp;PERIODTYPE=QTR_STD&amp;SCFT=3&amp;window=popup_no_bar&amp;width=385&amp;height=120&amp;START_MAXIMIZED=FALSE&amp;creator=factset&amp;display_string=Audit"}</definedName>
    <definedName name="_2120__FDSAUDITLINK__" hidden="1">{"fdsup://Directions/FactSet Auditing Viewer?action=AUDIT_VALUE&amp;DB=129&amp;ID1=34637510&amp;VALUEID=02001&amp;SDATE=200603&amp;PERIODTYPE=QTR_STD&amp;SCFT=3&amp;window=popup_no_bar&amp;width=385&amp;height=120&amp;START_MAXIMIZED=FALSE&amp;creator=factset&amp;display_string=Audit"}</definedName>
    <definedName name="_2121__FDSAUDITLINK__" hidden="1">{"fdsup://Directions/FactSet Auditing Viewer?action=AUDIT_VALUE&amp;DB=129&amp;ID1=29247520&amp;VALUEID=02001&amp;SDATE=200701&amp;PERIODTYPE=QTR_STD&amp;SCFT=3&amp;window=popup_no_bar&amp;width=385&amp;height=120&amp;START_MAXIMIZED=FALSE&amp;creator=factset&amp;display_string=Audit"}</definedName>
    <definedName name="_2122__FDSAUDITLINK__" hidden="1">{"fdsup://Directions/FactSet Auditing Viewer?action=AUDIT_VALUE&amp;DB=129&amp;ID1=29247520&amp;VALUEID=02001&amp;SDATE=200701&amp;PERIODTYPE=QTR_STD&amp;SCFT=3&amp;window=popup_no_bar&amp;width=385&amp;height=120&amp;START_MAXIMIZED=FALSE&amp;creator=factset&amp;display_string=Audit"}</definedName>
    <definedName name="_2123__FDSAUDITLINK__" hidden="1">{"fdsup://Directions/FactSet Auditing Viewer?action=AUDIT_VALUE&amp;DB=129&amp;ID1=25454310&amp;VALUEID=02001&amp;SDATE=200603&amp;PERIODTYPE=QTR_STD&amp;SCFT=3&amp;window=popup_no_bar&amp;width=385&amp;height=120&amp;START_MAXIMIZED=FALSE&amp;creator=factset&amp;display_string=Audit"}</definedName>
    <definedName name="_2124__FDSAUDITLINK__" hidden="1">{"fdsup://Directions/FactSet Auditing Viewer?action=AUDIT_VALUE&amp;DB=129&amp;ID1=25454310&amp;VALUEID=02001&amp;SDATE=200603&amp;PERIODTYPE=QTR_STD&amp;SCFT=3&amp;window=popup_no_bar&amp;width=385&amp;height=120&amp;START_MAXIMIZED=FALSE&amp;creator=factset&amp;display_string=Audit"}</definedName>
    <definedName name="_2125__FDSAUDITLINK__" hidden="1">{"fdsup://Directions/FactSet Auditing Viewer?action=AUDIT_VALUE&amp;DB=129&amp;ID1=24702R10&amp;VALUEID=02001&amp;SDATE=200603&amp;PERIODTYPE=QTR_STD&amp;SCFT=3&amp;window=popup_no_bar&amp;width=385&amp;height=120&amp;START_MAXIMIZED=FALSE&amp;creator=factset&amp;display_string=Audit"}</definedName>
    <definedName name="_2126__FDSAUDITLINK__" hidden="1">{"fdsup://Directions/FactSet Auditing Viewer?action=AUDIT_VALUE&amp;DB=129&amp;ID1=24702R10&amp;VALUEID=02001&amp;SDATE=200603&amp;PERIODTYPE=QTR_STD&amp;SCFT=3&amp;window=popup_no_bar&amp;width=385&amp;height=120&amp;START_MAXIMIZED=FALSE&amp;creator=factset&amp;display_string=Audit"}</definedName>
    <definedName name="_2127__FDSAUDITLINK__" hidden="1">{"fdsup://Directions/FactSet Auditing Viewer?action=AUDIT_VALUE&amp;DB=129&amp;ID1=23257210&amp;VALUEID=02001&amp;SDATE=200603&amp;PERIODTYPE=QTR_STD&amp;SCFT=3&amp;window=popup_no_bar&amp;width=385&amp;height=120&amp;START_MAXIMIZED=FALSE&amp;creator=factset&amp;display_string=Audit"}</definedName>
    <definedName name="_2128__FDSAUDITLINK__" hidden="1">{"fdsup://Directions/FactSet Auditing Viewer?action=AUDIT_VALUE&amp;DB=129&amp;ID1=23257210&amp;VALUEID=02001&amp;SDATE=200603&amp;PERIODTYPE=QTR_STD&amp;SCFT=3&amp;window=popup_no_bar&amp;width=385&amp;height=120&amp;START_MAXIMIZED=FALSE&amp;creator=factset&amp;display_string=Audit"}</definedName>
    <definedName name="_2129__FDSAUDITLINK__" hidden="1">{"fdsup://Directions/FactSet Auditing Viewer?action=AUDIT_VALUE&amp;DB=129&amp;ID1=23280610&amp;VALUEID=02001&amp;SDATE=200603&amp;PERIODTYPE=QTR_STD&amp;SCFT=3&amp;window=popup_no_bar&amp;width=385&amp;height=120&amp;START_MAXIMIZED=FALSE&amp;creator=factset&amp;display_string=Audit"}</definedName>
    <definedName name="_213__FDSAUDITLINK__" hidden="1">{"fdsup://Directions/FactSet Auditing Viewer?action=AUDIT_VALUE&amp;DB=129&amp;ID1=59513710&amp;VALUEID=02001&amp;SDATE=201101&amp;PERIODTYPE=QTR_STD&amp;SCFT=3&amp;window=popup_no_bar&amp;width=385&amp;height=120&amp;START_MAXIMIZED=FALSE&amp;creator=factset&amp;display_string=Audit"}</definedName>
    <definedName name="_2130__FDSAUDITLINK__" hidden="1">{"fdsup://Directions/FactSet Auditing Viewer?action=AUDIT_VALUE&amp;DB=129&amp;ID1=23280610&amp;VALUEID=02001&amp;SDATE=200603&amp;PERIODTYPE=QTR_STD&amp;SCFT=3&amp;window=popup_no_bar&amp;width=385&amp;height=120&amp;START_MAXIMIZED=FALSE&amp;creator=factset&amp;display_string=Audit"}</definedName>
    <definedName name="_2131__FDSAUDITLINK__" hidden="1">{"fdsup://Directions/FactSet Auditing Viewer?action=AUDIT_VALUE&amp;DB=129&amp;ID1=17275R10&amp;VALUEID=02001&amp;SDATE=200701&amp;PERIODTYPE=QTR_STD&amp;SCFT=3&amp;window=popup_no_bar&amp;width=385&amp;height=120&amp;START_MAXIMIZED=FALSE&amp;creator=factset&amp;display_string=Audit"}</definedName>
    <definedName name="_2132__FDSAUDITLINK__" hidden="1">{"fdsup://Directions/FactSet Auditing Viewer?action=AUDIT_VALUE&amp;DB=129&amp;ID1=17275R10&amp;VALUEID=02001&amp;SDATE=200701&amp;PERIODTYPE=QTR_STD&amp;SCFT=3&amp;window=popup_no_bar&amp;width=385&amp;height=120&amp;START_MAXIMIZED=FALSE&amp;creator=factset&amp;display_string=Audit"}</definedName>
    <definedName name="_2133__FDSAUDITLINK__" hidden="1">{"fdsup://Directions/FactSet Auditing Viewer?action=AUDIT_VALUE&amp;DB=129&amp;ID1=22544710&amp;VALUEID=02001&amp;SDATE=200701&amp;PERIODTYPE=QTR_STD&amp;SCFT=3&amp;window=popup_no_bar&amp;width=385&amp;height=120&amp;START_MAXIMIZED=FALSE&amp;creator=factset&amp;display_string=Audit"}</definedName>
    <definedName name="_2134__FDSAUDITLINK__" hidden="1">{"fdsup://Directions/FactSet Auditing Viewer?action=AUDIT_VALUE&amp;DB=129&amp;ID1=22544710&amp;VALUEID=02001&amp;SDATE=200701&amp;PERIODTYPE=QTR_STD&amp;SCFT=3&amp;window=popup_no_bar&amp;width=385&amp;height=120&amp;START_MAXIMIZED=FALSE&amp;creator=factset&amp;display_string=Audit"}</definedName>
    <definedName name="_2135__FDSAUDITLINK__" hidden="1">{"fdsup://Directions/FactSet Auditing Viewer?action=AUDIT_VALUE&amp;DB=129&amp;ID1=12738710&amp;VALUEID=02001&amp;SDATE=200603&amp;PERIODTYPE=QTR_STD&amp;SCFT=3&amp;window=popup_no_bar&amp;width=385&amp;height=120&amp;START_MAXIMIZED=FALSE&amp;creator=factset&amp;display_string=Audit"}</definedName>
    <definedName name="_2136__FDSAUDITLINK__" hidden="1">{"fdsup://Directions/FactSet Auditing Viewer?action=AUDIT_VALUE&amp;DB=129&amp;ID1=12738710&amp;VALUEID=02001&amp;SDATE=200603&amp;PERIODTYPE=QTR_STD&amp;SCFT=3&amp;window=popup_no_bar&amp;width=385&amp;height=120&amp;START_MAXIMIZED=FALSE&amp;creator=factset&amp;display_string=Audit"}</definedName>
    <definedName name="_2137__FDSAUDITLINK__" hidden="1">{"fdsup://Directions/FactSet Auditing Viewer?action=AUDIT_VALUE&amp;DB=129&amp;ID1=04743P10&amp;VALUEID=02001&amp;SDATE=200603&amp;PERIODTYPE=QTR_STD&amp;SCFT=3&amp;window=popup_no_bar&amp;width=385&amp;height=120&amp;START_MAXIMIZED=FALSE&amp;creator=factset&amp;display_string=Audit"}</definedName>
    <definedName name="_2138__FDSAUDITLINK__" hidden="1">{"fdsup://Directions/FactSet Auditing Viewer?action=AUDIT_VALUE&amp;DB=129&amp;ID1=04743P10&amp;VALUEID=02001&amp;SDATE=200603&amp;PERIODTYPE=QTR_STD&amp;SCFT=3&amp;window=popup_no_bar&amp;width=385&amp;height=120&amp;START_MAXIMIZED=FALSE&amp;creator=factset&amp;display_string=Audit"}</definedName>
    <definedName name="_2139__FDSAUDITLINK__" hidden="1">{"fdsup://Directions/FactSet Auditing Viewer?action=AUDIT_VALUE&amp;DB=129&amp;ID1=03251510&amp;VALUEID=02001&amp;SDATE=200603&amp;PERIODTYPE=QTR_STD&amp;SCFT=3&amp;window=popup_no_bar&amp;width=385&amp;height=120&amp;START_MAXIMIZED=FALSE&amp;creator=factset&amp;display_string=Audit"}</definedName>
    <definedName name="_214__FDSAUDITLINK__" hidden="1">{"fdsup://Directions/FactSet Auditing Viewer?action=AUDIT_VALUE&amp;DB=129&amp;ID1=59513710&amp;VALUEID=02001&amp;SDATE=201101&amp;PERIODTYPE=QTR_STD&amp;SCFT=3&amp;window=popup_no_bar&amp;width=385&amp;height=120&amp;START_MAXIMIZED=FALSE&amp;creator=factset&amp;display_string=Audit"}</definedName>
    <definedName name="_2140__FDSAUDITLINK__" hidden="1">{"fdsup://Directions/FactSet Auditing Viewer?action=AUDIT_VALUE&amp;DB=129&amp;ID1=03251510&amp;VALUEID=02001&amp;SDATE=200603&amp;PERIODTYPE=QTR_STD&amp;SCFT=3&amp;window=popup_no_bar&amp;width=385&amp;height=120&amp;START_MAXIMIZED=FALSE&amp;creator=factset&amp;display_string=Audit"}</definedName>
    <definedName name="_2141__FDSAUDITLINK__" hidden="1">{"fdsup://Directions/FactSet Auditing Viewer?action=AUDIT_VALUE&amp;DB=129&amp;ID1=00790310&amp;VALUEID=02001&amp;SDATE=200603&amp;PERIODTYPE=QTR_STD&amp;SCFT=3&amp;window=popup_no_bar&amp;width=385&amp;height=120&amp;START_MAXIMIZED=FALSE&amp;creator=factset&amp;display_string=Audit"}</definedName>
    <definedName name="_2142__FDSAUDITLINK__" hidden="1">{"fdsup://Directions/FactSet Auditing Viewer?action=AUDIT_VALUE&amp;DB=129&amp;ID1=00790310&amp;VALUEID=02001&amp;SDATE=200603&amp;PERIODTYPE=QTR_STD&amp;SCFT=3&amp;window=popup_no_bar&amp;width=385&amp;height=120&amp;START_MAXIMIZED=FALSE&amp;creator=factset&amp;display_string=Audit"}</definedName>
    <definedName name="_2143__FDSAUDITLINK__" hidden="1">{"fdsup://Directions/FactSet Auditing Viewer?action=AUDIT_VALUE&amp;DB=129&amp;ID1=03822W40&amp;VALUEID=02001&amp;SDATE=200602&amp;PERIODTYPE=QTR_STD&amp;SCFT=3&amp;window=popup_no_bar&amp;width=385&amp;height=120&amp;START_MAXIMIZED=FALSE&amp;creator=factset&amp;display_string=Audit"}</definedName>
    <definedName name="_2144__FDSAUDITLINK__" hidden="1">{"fdsup://Directions/FactSet Auditing Viewer?action=AUDIT_VALUE&amp;DB=129&amp;ID1=03822W40&amp;VALUEID=02001&amp;SDATE=200602&amp;PERIODTYPE=QTR_STD&amp;SCFT=3&amp;window=popup_no_bar&amp;width=385&amp;height=120&amp;START_MAXIMIZED=FALSE&amp;creator=factset&amp;display_string=Audit"}</definedName>
    <definedName name="_2145__FDSAUDITLINK__" hidden="1">{"fdsup://Directions/FactSet Auditing Viewer?action=AUDIT_VALUE&amp;DB=129&amp;ID1=02144110&amp;VALUEID=02001&amp;SDATE=200603&amp;PERIODTYPE=QTR_STD&amp;SCFT=3&amp;window=popup_no_bar&amp;width=385&amp;height=120&amp;START_MAXIMIZED=FALSE&amp;creator=factset&amp;display_string=Audit"}</definedName>
    <definedName name="_2146__FDSAUDITLINK__" hidden="1">{"fdsup://Directions/FactSet Auditing Viewer?action=AUDIT_VALUE&amp;DB=129&amp;ID1=02144110&amp;VALUEID=02001&amp;SDATE=200603&amp;PERIODTYPE=QTR_STD&amp;SCFT=3&amp;window=popup_no_bar&amp;width=385&amp;height=120&amp;START_MAXIMIZED=FALSE&amp;creator=factset&amp;display_string=Audit"}</definedName>
    <definedName name="_2147__FDSAUDITLINK__" hidden="1">{"fdsup://Directions/FactSet Auditing Viewer?action=AUDIT_VALUE&amp;DB=129&amp;ID1=00752J10&amp;VALUEID=02001&amp;SDATE=200603&amp;PERIODTYPE=QTR_STD&amp;SCFT=3&amp;window=popup_no_bar&amp;width=385&amp;height=120&amp;START_MAXIMIZED=FALSE&amp;creator=factset&amp;display_string=Audit"}</definedName>
    <definedName name="_2148__FDSAUDITLINK__" hidden="1">{"fdsup://Directions/FactSet Auditing Viewer?action=AUDIT_VALUE&amp;DB=129&amp;ID1=00752J10&amp;VALUEID=02001&amp;SDATE=200603&amp;PERIODTYPE=QTR_STD&amp;SCFT=3&amp;window=popup_no_bar&amp;width=385&amp;height=120&amp;START_MAXIMIZED=FALSE&amp;creator=factset&amp;display_string=Audit"}</definedName>
    <definedName name="_2149__FDSAUDITLINK__" hidden="1">{"fdsup://Directions/FactSet Auditing Viewer?action=AUDIT_VALUE&amp;DB=129&amp;ID1=98975F10&amp;VALUEID=02001&amp;SDATE=200602&amp;PERIODTYPE=QTR_STD&amp;SCFT=3&amp;window=popup_no_bar&amp;width=385&amp;height=120&amp;START_MAXIMIZED=FALSE&amp;creator=factset&amp;display_string=Audit"}</definedName>
    <definedName name="_215__FDSAUDITLINK__" hidden="1">{"fdsup://Directions/FactSet Auditing Viewer?action=AUDIT_VALUE&amp;DB=129&amp;ID1=G5876H10&amp;VALUEID=02001&amp;SDATE=201004&amp;PERIODTYPE=QTR_STD&amp;SCFT=3&amp;window=popup_no_bar&amp;width=385&amp;height=120&amp;START_MAXIMIZED=FALSE&amp;creator=factset&amp;display_string=Audit"}</definedName>
    <definedName name="_2150__FDSAUDITLINK__" hidden="1">{"fdsup://Directions/FactSet Auditing Viewer?action=AUDIT_VALUE&amp;DB=129&amp;ID1=98975F10&amp;VALUEID=02001&amp;SDATE=200602&amp;PERIODTYPE=QTR_STD&amp;SCFT=3&amp;window=popup_no_bar&amp;width=385&amp;height=120&amp;START_MAXIMIZED=FALSE&amp;creator=factset&amp;display_string=Audit"}</definedName>
    <definedName name="_2151__FDSAUDITLINK__" hidden="1">{"fdsup://Directions/FactSet Auditing Viewer?action=AUDIT_VALUE&amp;DB=129&amp;ID1=98391910&amp;VALUEID=02001&amp;SDATE=200601&amp;PERIODTYPE=QTR_STD&amp;SCFT=3&amp;window=popup_no_bar&amp;width=385&amp;height=120&amp;START_MAXIMIZED=FALSE&amp;creator=factset&amp;display_string=Audit"}</definedName>
    <definedName name="_2152__FDSAUDITLINK__" hidden="1">{"fdsup://Directions/FactSet Auditing Viewer?action=AUDIT_VALUE&amp;DB=129&amp;ID1=98391910&amp;VALUEID=02001&amp;SDATE=200601&amp;PERIODTYPE=QTR_STD&amp;SCFT=3&amp;window=popup_no_bar&amp;width=385&amp;height=120&amp;START_MAXIMIZED=FALSE&amp;creator=factset&amp;display_string=Audit"}</definedName>
    <definedName name="_2153__FDSAUDITLINK__" hidden="1">{"fdsup://Directions/FactSet Auditing Viewer?action=AUDIT_VALUE&amp;DB=129&amp;ID1=92829810&amp;VALUEID=02001&amp;SDATE=200602&amp;PERIODTYPE=QTR_STD&amp;SCFT=3&amp;window=popup_no_bar&amp;width=385&amp;height=120&amp;START_MAXIMIZED=FALSE&amp;creator=factset&amp;display_string=Audit"}</definedName>
    <definedName name="_2154__FDSAUDITLINK__" hidden="1">{"fdsup://Directions/FactSet Auditing Viewer?action=AUDIT_VALUE&amp;DB=129&amp;ID1=92829810&amp;VALUEID=02001&amp;SDATE=200602&amp;PERIODTYPE=QTR_STD&amp;SCFT=3&amp;window=popup_no_bar&amp;width=385&amp;height=120&amp;START_MAXIMIZED=FALSE&amp;creator=factset&amp;display_string=Audit"}</definedName>
    <definedName name="_2155__FDSAUDITLINK__" hidden="1">{"fdsup://Directions/FactSet Auditing Viewer?action=AUDIT_VALUE&amp;DB=129&amp;ID1=88250810&amp;VALUEID=02001&amp;SDATE=200602&amp;PERIODTYPE=QTR_STD&amp;SCFT=3&amp;window=popup_no_bar&amp;width=385&amp;height=120&amp;START_MAXIMIZED=FALSE&amp;creator=factset&amp;display_string=Audit"}</definedName>
    <definedName name="_2156__FDSAUDITLINK__" hidden="1">{"fdsup://Directions/FactSet Auditing Viewer?action=AUDIT_VALUE&amp;DB=129&amp;ID1=88250810&amp;VALUEID=02001&amp;SDATE=200602&amp;PERIODTYPE=QTR_STD&amp;SCFT=3&amp;window=popup_no_bar&amp;width=385&amp;height=120&amp;START_MAXIMIZED=FALSE&amp;creator=factset&amp;display_string=Audit"}</definedName>
    <definedName name="_2157__FDSAUDITLINK__" hidden="1">{"fdsup://Directions/FactSet Auditing Viewer?action=AUDIT_VALUE&amp;DB=129&amp;ID1=89674K10&amp;VALUEID=02001&amp;SDATE=200602&amp;PERIODTYPE=QTR_STD&amp;SCFT=3&amp;window=popup_no_bar&amp;width=385&amp;height=120&amp;START_MAXIMIZED=FALSE&amp;creator=factset&amp;display_string=Audit"}</definedName>
    <definedName name="_2158__FDSAUDITLINK__" hidden="1">{"fdsup://Directions/FactSet Auditing Viewer?action=AUDIT_VALUE&amp;DB=129&amp;ID1=89674K10&amp;VALUEID=02001&amp;SDATE=200602&amp;PERIODTYPE=QTR_STD&amp;SCFT=3&amp;window=popup_no_bar&amp;width=385&amp;height=120&amp;START_MAXIMIZED=FALSE&amp;creator=factset&amp;display_string=Audit"}</definedName>
    <definedName name="_2159__FDSAUDITLINK__" hidden="1">{"fdsup://Directions/FactSet Auditing Viewer?action=AUDIT_VALUE&amp;DB=129&amp;ID1=83088M10&amp;VALUEID=02001&amp;SDATE=200603&amp;PERIODTYPE=QTR_STD&amp;SCFT=3&amp;window=popup_no_bar&amp;width=385&amp;height=120&amp;START_MAXIMIZED=FALSE&amp;creator=factset&amp;display_string=Audit"}</definedName>
    <definedName name="_216__FDSAUDITLINK__" hidden="1">{"fdsup://Directions/FactSet Auditing Viewer?action=AUDIT_VALUE&amp;DB=129&amp;ID1=G5876H10&amp;VALUEID=02001&amp;SDATE=201004&amp;PERIODTYPE=QTR_STD&amp;SCFT=3&amp;window=popup_no_bar&amp;width=385&amp;height=120&amp;START_MAXIMIZED=FALSE&amp;creator=factset&amp;display_string=Audit"}</definedName>
    <definedName name="_2160__FDSAUDITLINK__" hidden="1">{"fdsup://Directions/FactSet Auditing Viewer?action=AUDIT_VALUE&amp;DB=129&amp;ID1=83088M10&amp;VALUEID=02001&amp;SDATE=200603&amp;PERIODTYPE=QTR_STD&amp;SCFT=3&amp;window=popup_no_bar&amp;width=385&amp;height=120&amp;START_MAXIMIZED=FALSE&amp;creator=factset&amp;display_string=Audit"}</definedName>
    <definedName name="_2161__FDSAUDITLINK__" hidden="1">{"fdsup://Directions/FactSet Auditing Viewer?action=AUDIT_VALUE&amp;DB=129&amp;ID1=78477410&amp;VALUEID=02001&amp;SDATE=200602&amp;PERIODTYPE=QTR_STD&amp;SCFT=3&amp;window=popup_no_bar&amp;width=385&amp;height=120&amp;START_MAXIMIZED=FALSE&amp;creator=factset&amp;display_string=Audit"}</definedName>
    <definedName name="_2162__FDSAUDITLINK__" hidden="1">{"fdsup://Directions/FactSet Auditing Viewer?action=AUDIT_VALUE&amp;DB=129&amp;ID1=78477410&amp;VALUEID=02001&amp;SDATE=200602&amp;PERIODTYPE=QTR_STD&amp;SCFT=3&amp;window=popup_no_bar&amp;width=385&amp;height=120&amp;START_MAXIMIZED=FALSE&amp;creator=factset&amp;display_string=Audit"}</definedName>
    <definedName name="_2163__FDSAUDITLINK__" hidden="1">{"fdsup://Directions/FactSet Auditing Viewer?action=AUDIT_VALUE&amp;DB=129&amp;ID1=82705710&amp;VALUEID=02001&amp;SDATE=200602&amp;PERIODTYPE=QTR_STD&amp;SCFT=3&amp;window=popup_no_bar&amp;width=385&amp;height=120&amp;START_MAXIMIZED=FALSE&amp;creator=factset&amp;display_string=Audit"}</definedName>
    <definedName name="_2164__FDSAUDITLINK__" hidden="1">{"fdsup://Directions/FactSet Auditing Viewer?action=AUDIT_VALUE&amp;DB=129&amp;ID1=82705710&amp;VALUEID=02001&amp;SDATE=200602&amp;PERIODTYPE=QTR_STD&amp;SCFT=3&amp;window=popup_no_bar&amp;width=385&amp;height=120&amp;START_MAXIMIZED=FALSE&amp;creator=factset&amp;display_string=Audit"}</definedName>
    <definedName name="_2165__FDSAUDITLINK__" hidden="1">{"fdsup://Directions/FactSet Auditing Viewer?action=AUDIT_VALUE&amp;DB=129&amp;ID1=83547010&amp;VALUEID=02001&amp;SDATE=200602&amp;PERIODTYPE=QTR_STD&amp;SCFT=3&amp;window=popup_no_bar&amp;width=385&amp;height=120&amp;START_MAXIMIZED=FALSE&amp;creator=factset&amp;display_string=Audit"}</definedName>
    <definedName name="_2166__FDSAUDITLINK__" hidden="1">{"fdsup://Directions/FactSet Auditing Viewer?action=AUDIT_VALUE&amp;DB=129&amp;ID1=83547010&amp;VALUEID=02001&amp;SDATE=200602&amp;PERIODTYPE=QTR_STD&amp;SCFT=3&amp;window=popup_no_bar&amp;width=385&amp;height=120&amp;START_MAXIMIZED=FALSE&amp;creator=factset&amp;display_string=Audit"}</definedName>
    <definedName name="_2167__FDSAUDITLINK__" hidden="1">{"fdsup://Directions/FactSet Auditing Viewer?action=AUDIT_VALUE&amp;DB=129&amp;ID1=87160710&amp;VALUEID=02001&amp;SDATE=200603&amp;PERIODTYPE=QTR_STD&amp;SCFT=3&amp;window=popup_no_bar&amp;width=385&amp;height=120&amp;START_MAXIMIZED=FALSE&amp;creator=factset&amp;display_string=Audit"}</definedName>
    <definedName name="_2168__FDSAUDITLINK__" hidden="1">{"fdsup://Directions/FactSet Auditing Viewer?action=AUDIT_VALUE&amp;DB=129&amp;ID1=87160710&amp;VALUEID=02001&amp;SDATE=200603&amp;PERIODTYPE=QTR_STD&amp;SCFT=3&amp;window=popup_no_bar&amp;width=385&amp;height=120&amp;START_MAXIMIZED=FALSE&amp;creator=factset&amp;display_string=Audit"}</definedName>
    <definedName name="_2169__FDSAUDITLINK__" hidden="1">{"fdsup://Directions/FactSet Auditing Viewer?action=AUDIT_VALUE&amp;DB=129&amp;ID1=80004C10&amp;VALUEID=02001&amp;SDATE=200602&amp;PERIODTYPE=QTR_STD&amp;SCFT=3&amp;window=popup_no_bar&amp;width=385&amp;height=120&amp;START_MAXIMIZED=FALSE&amp;creator=factset&amp;display_string=Audit"}</definedName>
    <definedName name="_217__FDSAUDITLINK__" hidden="1">{"fdsup://Directions/FactSet Auditing Viewer?action=AUDIT_VALUE&amp;DB=129&amp;ID1=62007630&amp;VALUEID=02001&amp;SDATE=201004&amp;PERIODTYPE=QTR_STD&amp;SCFT=3&amp;window=popup_no_bar&amp;width=385&amp;height=120&amp;START_MAXIMIZED=FALSE&amp;creator=factset&amp;display_string=Audit"}</definedName>
    <definedName name="_2170__FDSAUDITLINK__" hidden="1">{"fdsup://Directions/FactSet Auditing Viewer?action=AUDIT_VALUE&amp;DB=129&amp;ID1=80004C10&amp;VALUEID=02001&amp;SDATE=200602&amp;PERIODTYPE=QTR_STD&amp;SCFT=3&amp;window=popup_no_bar&amp;width=385&amp;height=120&amp;START_MAXIMIZED=FALSE&amp;creator=factset&amp;display_string=Audit"}</definedName>
    <definedName name="_2171__FDSAUDITLINK__" hidden="1">{"fdsup://Directions/FactSet Auditing Viewer?action=AUDIT_VALUE&amp;DB=129&amp;ID1=81685010&amp;VALUEID=02001&amp;SDATE=200602&amp;PERIODTYPE=QTR_STD&amp;SCFT=3&amp;window=popup_no_bar&amp;width=385&amp;height=120&amp;START_MAXIMIZED=FALSE&amp;creator=factset&amp;display_string=Audit"}</definedName>
    <definedName name="_2172__FDSAUDITLINK__" hidden="1">{"fdsup://Directions/FactSet Auditing Viewer?action=AUDIT_VALUE&amp;DB=129&amp;ID1=81685010&amp;VALUEID=02001&amp;SDATE=200602&amp;PERIODTYPE=QTR_STD&amp;SCFT=3&amp;window=popup_no_bar&amp;width=385&amp;height=120&amp;START_MAXIMIZED=FALSE&amp;creator=factset&amp;display_string=Audit"}</definedName>
    <definedName name="_2173__FDSAUDITLINK__" hidden="1">{"fdsup://Directions/FactSet Auditing Viewer?action=AUDIT_VALUE&amp;DB=129&amp;ID1=82691910&amp;VALUEID=02001&amp;SDATE=200602&amp;PERIODTYPE=QTR_STD&amp;SCFT=3&amp;window=popup_no_bar&amp;width=385&amp;height=120&amp;START_MAXIMIZED=FALSE&amp;creator=factset&amp;display_string=Audit"}</definedName>
    <definedName name="_2174__FDSAUDITLINK__" hidden="1">{"fdsup://Directions/FactSet Auditing Viewer?action=AUDIT_VALUE&amp;DB=129&amp;ID1=82691910&amp;VALUEID=02001&amp;SDATE=200602&amp;PERIODTYPE=QTR_STD&amp;SCFT=3&amp;window=popup_no_bar&amp;width=385&amp;height=120&amp;START_MAXIMIZED=FALSE&amp;creator=factset&amp;display_string=Audit"}</definedName>
    <definedName name="_2175__FDSAUDITLINK__" hidden="1">{"fdsup://Directions/FactSet Auditing Viewer?action=AUDIT_VALUE&amp;DB=129&amp;ID1=82705T10&amp;VALUEID=02001&amp;SDATE=200602&amp;PERIODTYPE=QTR_STD&amp;SCFT=3&amp;window=popup_no_bar&amp;width=385&amp;height=120&amp;START_MAXIMIZED=FALSE&amp;creator=factset&amp;display_string=Audit"}</definedName>
    <definedName name="_2176__FDSAUDITLINK__" hidden="1">{"fdsup://Directions/FactSet Auditing Viewer?action=AUDIT_VALUE&amp;DB=129&amp;ID1=82705T10&amp;VALUEID=02001&amp;SDATE=200602&amp;PERIODTYPE=QTR_STD&amp;SCFT=3&amp;window=popup_no_bar&amp;width=385&amp;height=120&amp;START_MAXIMIZED=FALSE&amp;creator=factset&amp;display_string=Audit"}</definedName>
    <definedName name="_2177__FDSAUDITLINK__" hidden="1">{"fdsup://Directions/FactSet Auditing Viewer?action=AUDIT_VALUE&amp;DB=129&amp;ID1=75091710&amp;VALUEID=02001&amp;SDATE=200602&amp;PERIODTYPE=QTR_STD&amp;SCFT=3&amp;window=popup_no_bar&amp;width=385&amp;height=120&amp;START_MAXIMIZED=FALSE&amp;creator=factset&amp;display_string=Audit"}</definedName>
    <definedName name="_2178__FDSAUDITLINK__" hidden="1">{"fdsup://Directions/FactSet Auditing Viewer?action=AUDIT_VALUE&amp;DB=129&amp;ID1=75091710&amp;VALUEID=02001&amp;SDATE=200602&amp;PERIODTYPE=QTR_STD&amp;SCFT=3&amp;window=popup_no_bar&amp;width=385&amp;height=120&amp;START_MAXIMIZED=FALSE&amp;creator=factset&amp;display_string=Audit"}</definedName>
    <definedName name="_2179__FDSAUDITLINK__" hidden="1">{"fdsup://Directions/FactSet Auditing Viewer?action=AUDIT_VALUE&amp;DB=129&amp;ID1=74994110&amp;VALUEID=02001&amp;SDATE=200601&amp;PERIODTYPE=QTR_STD&amp;SCFT=3&amp;window=popup_no_bar&amp;width=385&amp;height=120&amp;START_MAXIMIZED=FALSE&amp;creator=factset&amp;display_string=Audit"}</definedName>
    <definedName name="_218__FDSAUDITLINK__" hidden="1">{"fdsup://Directions/FactSet Auditing Viewer?action=AUDIT_VALUE&amp;DB=129&amp;ID1=62007630&amp;VALUEID=02001&amp;SDATE=201004&amp;PERIODTYPE=QTR_STD&amp;SCFT=3&amp;window=popup_no_bar&amp;width=385&amp;height=120&amp;START_MAXIMIZED=FALSE&amp;creator=factset&amp;display_string=Audit"}</definedName>
    <definedName name="_2180__FDSAUDITLINK__" hidden="1">{"fdsup://Directions/FactSet Auditing Viewer?action=AUDIT_VALUE&amp;DB=129&amp;ID1=74994110&amp;VALUEID=02001&amp;SDATE=200601&amp;PERIODTYPE=QTR_STD&amp;SCFT=3&amp;window=popup_no_bar&amp;width=385&amp;height=120&amp;START_MAXIMIZED=FALSE&amp;creator=factset&amp;display_string=Audit"}</definedName>
    <definedName name="_2181__FDSAUDITLINK__" hidden="1">{"fdsup://Directions/FactSet Auditing Viewer?action=AUDIT_VALUE&amp;DB=129&amp;ID1=74727710&amp;VALUEID=02001&amp;SDATE=200601&amp;PERIODTYPE=QTR_STD&amp;SCFT=3&amp;window=popup_no_bar&amp;width=385&amp;height=120&amp;START_MAXIMIZED=FALSE&amp;creator=factset&amp;display_string=Audit"}</definedName>
    <definedName name="_2182__FDSAUDITLINK__" hidden="1">{"fdsup://Directions/FactSet Auditing Viewer?action=AUDIT_VALUE&amp;DB=129&amp;ID1=74727710&amp;VALUEID=02001&amp;SDATE=200601&amp;PERIODTYPE=QTR_STD&amp;SCFT=3&amp;window=popup_no_bar&amp;width=385&amp;height=120&amp;START_MAXIMIZED=FALSE&amp;creator=factset&amp;display_string=Audit"}</definedName>
    <definedName name="_2183__FDSAUDITLINK__" hidden="1">{"fdsup://Directions/FactSet Auditing Viewer?action=AUDIT_VALUE&amp;DB=129&amp;ID1=74752510&amp;VALUEID=02001&amp;SDATE=200603&amp;PERIODTYPE=QTR_STD&amp;SCFT=3&amp;window=popup_no_bar&amp;width=385&amp;height=120&amp;START_MAXIMIZED=FALSE&amp;creator=factset&amp;display_string=Audit"}</definedName>
    <definedName name="_2184__FDSAUDITLINK__" hidden="1">{"fdsup://Directions/FactSet Auditing Viewer?action=AUDIT_VALUE&amp;DB=129&amp;ID1=74752510&amp;VALUEID=02001&amp;SDATE=200603&amp;PERIODTYPE=QTR_STD&amp;SCFT=3&amp;window=popup_no_bar&amp;width=385&amp;height=120&amp;START_MAXIMIZED=FALSE&amp;creator=factset&amp;display_string=Audit"}</definedName>
    <definedName name="_2185__FDSAUDITLINK__" hidden="1">{"fdsup://Directions/FactSet Auditing Viewer?action=AUDIT_VALUE&amp;DB=129&amp;ID1=72581M30&amp;VALUEID=02001&amp;SDATE=200602&amp;PERIODTYPE=QTR_STD&amp;SCFT=3&amp;window=popup_no_bar&amp;width=385&amp;height=120&amp;START_MAXIMIZED=FALSE&amp;creator=factset&amp;display_string=Audit"}</definedName>
    <definedName name="_2186__FDSAUDITLINK__" hidden="1">{"fdsup://Directions/FactSet Auditing Viewer?action=AUDIT_VALUE&amp;DB=129&amp;ID1=72581M30&amp;VALUEID=02001&amp;SDATE=200602&amp;PERIODTYPE=QTR_STD&amp;SCFT=3&amp;window=popup_no_bar&amp;width=385&amp;height=120&amp;START_MAXIMIZED=FALSE&amp;creator=factset&amp;display_string=Audit"}</definedName>
    <definedName name="_2187__FDSAUDITLINK__" hidden="1">{"fdsup://Directions/FactSet Auditing Viewer?action=AUDIT_VALUE&amp;DB=129&amp;ID1=73927610&amp;VALUEID=02001&amp;SDATE=200602&amp;PERIODTYPE=QTR_STD&amp;SCFT=3&amp;window=popup_no_bar&amp;width=385&amp;height=120&amp;START_MAXIMIZED=FALSE&amp;creator=factset&amp;display_string=Audit"}</definedName>
    <definedName name="_2188__FDSAUDITLINK__" hidden="1">{"fdsup://Directions/FactSet Auditing Viewer?action=AUDIT_VALUE&amp;DB=129&amp;ID1=73927610&amp;VALUEID=02001&amp;SDATE=200602&amp;PERIODTYPE=QTR_STD&amp;SCFT=3&amp;window=popup_no_bar&amp;width=385&amp;height=120&amp;START_MAXIMIZED=FALSE&amp;creator=factset&amp;display_string=Audit"}</definedName>
    <definedName name="_2189__FDSAUDITLINK__" hidden="1">{"fdsup://Directions/FactSet Auditing Viewer?action=AUDIT_VALUE&amp;DB=129&amp;ID1=69344F10&amp;VALUEID=02001&amp;SDATE=200602&amp;PERIODTYPE=QTR_STD&amp;SCFT=3&amp;window=popup_no_bar&amp;width=385&amp;height=120&amp;START_MAXIMIZED=FALSE&amp;creator=factset&amp;display_string=Audit"}</definedName>
    <definedName name="_219__FDSAUDITLINK__" hidden="1">{"fdsup://Directions/FactSet Auditing Viewer?action=AUDIT_VALUE&amp;DB=129&amp;ID1=60456710&amp;VALUEID=02001&amp;SDATE=201102&amp;PERIODTYPE=QTR_STD&amp;SCFT=3&amp;window=popup_no_bar&amp;width=385&amp;height=120&amp;START_MAXIMIZED=FALSE&amp;creator=factset&amp;display_string=Audit"}</definedName>
    <definedName name="_2190__FDSAUDITLINK__" hidden="1">{"fdsup://Directions/FactSet Auditing Viewer?action=AUDIT_VALUE&amp;DB=129&amp;ID1=69344F10&amp;VALUEID=02001&amp;SDATE=200602&amp;PERIODTYPE=QTR_STD&amp;SCFT=3&amp;window=popup_no_bar&amp;width=385&amp;height=120&amp;START_MAXIMIZED=FALSE&amp;creator=factset&amp;display_string=Audit"}</definedName>
    <definedName name="_2191__FDSAUDITLINK__" hidden="1">{"fdsup://Directions/FactSet Auditing Viewer?action=AUDIT_VALUE&amp;DB=129&amp;ID1=69341710&amp;VALUEID=02001&amp;SDATE=200602&amp;PERIODTYPE=QTR_STD&amp;SCFT=3&amp;window=popup_no_bar&amp;width=385&amp;height=120&amp;START_MAXIMIZED=FALSE&amp;creator=factset&amp;display_string=Audit"}</definedName>
    <definedName name="_2192__FDSAUDITLINK__" hidden="1">{"fdsup://Directions/FactSet Auditing Viewer?action=AUDIT_VALUE&amp;DB=129&amp;ID1=69341710&amp;VALUEID=02001&amp;SDATE=200602&amp;PERIODTYPE=QTR_STD&amp;SCFT=3&amp;window=popup_no_bar&amp;width=385&amp;height=120&amp;START_MAXIMIZED=FALSE&amp;creator=factset&amp;display_string=Audit"}</definedName>
    <definedName name="_2193__FDSAUDITLINK__" hidden="1">{"fdsup://Directions/FactSet Auditing Viewer?action=AUDIT_VALUE&amp;DB=129&amp;ID1=68218910&amp;VALUEID=02001&amp;SDATE=200602&amp;PERIODTYPE=QTR_STD&amp;SCFT=3&amp;window=popup_no_bar&amp;width=385&amp;height=120&amp;START_MAXIMIZED=FALSE&amp;creator=factset&amp;display_string=Audit"}</definedName>
    <definedName name="_2194__FDSAUDITLINK__" hidden="1">{"fdsup://Directions/FactSet Auditing Viewer?action=AUDIT_VALUE&amp;DB=129&amp;ID1=68218910&amp;VALUEID=02001&amp;SDATE=200602&amp;PERIODTYPE=QTR_STD&amp;SCFT=3&amp;window=popup_no_bar&amp;width=385&amp;height=120&amp;START_MAXIMIZED=FALSE&amp;creator=factset&amp;display_string=Audit"}</definedName>
    <definedName name="_2195__FDSAUDITLINK__" hidden="1">{"fdsup://Directions/FactSet Auditing Viewer?action=AUDIT_VALUE&amp;DB=129&amp;ID1=67000810&amp;VALUEID=02001&amp;SDATE=200602&amp;PERIODTYPE=QTR_STD&amp;SCFT=3&amp;window=popup_no_bar&amp;width=385&amp;height=120&amp;START_MAXIMIZED=FALSE&amp;creator=factset&amp;display_string=Audit"}</definedName>
    <definedName name="_2196__FDSAUDITLINK__" hidden="1">{"fdsup://Directions/FactSet Auditing Viewer?action=AUDIT_VALUE&amp;DB=129&amp;ID1=67000810&amp;VALUEID=02001&amp;SDATE=200602&amp;PERIODTYPE=QTR_STD&amp;SCFT=3&amp;window=popup_no_bar&amp;width=385&amp;height=120&amp;START_MAXIMIZED=FALSE&amp;creator=factset&amp;display_string=Audit"}</definedName>
    <definedName name="_2197__FDSAUDITLINK__" hidden="1">{"fdsup://Directions/FactSet Auditing Viewer?action=AUDIT_VALUE&amp;DB=129&amp;ID1=67066G10&amp;VALUEID=02001&amp;SDATE=200602&amp;PERIODTYPE=QTR_STD&amp;SCFT=3&amp;window=popup_no_bar&amp;width=385&amp;height=120&amp;START_MAXIMIZED=FALSE&amp;creator=factset&amp;display_string=Audit"}</definedName>
    <definedName name="_2198__FDSAUDITLINK__" hidden="1">{"fdsup://Directions/FactSet Auditing Viewer?action=AUDIT_VALUE&amp;DB=129&amp;ID1=67066G10&amp;VALUEID=02001&amp;SDATE=200602&amp;PERIODTYPE=QTR_STD&amp;SCFT=3&amp;window=popup_no_bar&amp;width=385&amp;height=120&amp;START_MAXIMIZED=FALSE&amp;creator=factset&amp;display_string=Audit"}</definedName>
    <definedName name="_2199__FDSAUDITLINK__" hidden="1">{"fdsup://Directions/FactSet Auditing Viewer?action=AUDIT_VALUE&amp;DB=129&amp;ID1=64118B10&amp;VALUEID=02001&amp;SDATE=200602&amp;PERIODTYPE=QTR_STD&amp;SCFT=3&amp;window=popup_no_bar&amp;width=385&amp;height=120&amp;START_MAXIMIZED=FALSE&amp;creator=factset&amp;display_string=Audit"}</definedName>
    <definedName name="_22__FDSAUDITLINK__" hidden="1">{"fdsup://directions/FAT Viewer?action=UPDATE&amp;creator=factset&amp;DYN_ARGS=TRUE&amp;DOC_NAME=FAT:FQL_AUDITING_CLIENT_TEMPLATE.FAT&amp;display_string=Audit&amp;VAR:KEY=GLKDQTYVIN&amp;VAR:QUERY=RkZfU0hTX0ZMT0FUKEFOTiwp&amp;WINDOW=FIRST_POPUP&amp;HEIGHT=450&amp;WIDTH=450&amp;START_MAXIMIZED=FALS","E&amp;VAR:CALENDAR=US&amp;VAR:SYMBOL=WYNN RESORTS&amp;VAR:INDEX=0"}</definedName>
    <definedName name="_220__FDSAUDITLINK__" hidden="1">{"fdsup://Directions/FactSet Auditing Viewer?action=AUDIT_VALUE&amp;DB=129&amp;ID1=60456710&amp;VALUEID=02001&amp;SDATE=201102&amp;PERIODTYPE=QTR_STD&amp;SCFT=3&amp;window=popup_no_bar&amp;width=385&amp;height=120&amp;START_MAXIMIZED=FALSE&amp;creator=factset&amp;display_string=Audit"}</definedName>
    <definedName name="_2200__FDSAUDITLINK__" hidden="1">{"fdsup://Directions/FactSet Auditing Viewer?action=AUDIT_VALUE&amp;DB=129&amp;ID1=64118B10&amp;VALUEID=02001&amp;SDATE=200602&amp;PERIODTYPE=QTR_STD&amp;SCFT=3&amp;window=popup_no_bar&amp;width=385&amp;height=120&amp;START_MAXIMIZED=FALSE&amp;creator=factset&amp;display_string=Audit"}</definedName>
    <definedName name="_2201__FDSAUDITLINK__" hidden="1">{"fdsup://Directions/FactSet Auditing Viewer?action=AUDIT_VALUE&amp;DB=129&amp;ID1=59511210&amp;VALUEID=02001&amp;SDATE=200603&amp;PERIODTYPE=QTR_STD&amp;SCFT=3&amp;window=popup_no_bar&amp;width=385&amp;height=120&amp;START_MAXIMIZED=FALSE&amp;creator=factset&amp;display_string=Audit"}</definedName>
    <definedName name="_2202__FDSAUDITLINK__" hidden="1">{"fdsup://Directions/FactSet Auditing Viewer?action=AUDIT_VALUE&amp;DB=129&amp;ID1=59511210&amp;VALUEID=02001&amp;SDATE=200603&amp;PERIODTYPE=QTR_STD&amp;SCFT=3&amp;window=popup_no_bar&amp;width=385&amp;height=120&amp;START_MAXIMIZED=FALSE&amp;creator=factset&amp;display_string=Audit"}</definedName>
    <definedName name="_2203__FDSAUDITLINK__" hidden="1">{"fdsup://Directions/FactSet Auditing Viewer?action=AUDIT_VALUE&amp;DB=129&amp;ID1=59513710&amp;VALUEID=02001&amp;SDATE=200603&amp;PERIODTYPE=QTR_STD&amp;SCFT=3&amp;window=popup_no_bar&amp;width=385&amp;height=120&amp;START_MAXIMIZED=FALSE&amp;creator=factset&amp;display_string=Audit"}</definedName>
    <definedName name="_2204__FDSAUDITLINK__" hidden="1">{"fdsup://Directions/FactSet Auditing Viewer?action=AUDIT_VALUE&amp;DB=129&amp;ID1=59513710&amp;VALUEID=02001&amp;SDATE=200603&amp;PERIODTYPE=QTR_STD&amp;SCFT=3&amp;window=popup_no_bar&amp;width=385&amp;height=120&amp;START_MAXIMIZED=FALSE&amp;creator=factset&amp;display_string=Audit"}</definedName>
    <definedName name="_2205__FDSAUDITLINK__" hidden="1">{"fdsup://Directions/FactSet Auditing Viewer?action=AUDIT_VALUE&amp;DB=129&amp;ID1=G5876H10&amp;VALUEID=02001&amp;SDATE=200602&amp;PERIODTYPE=QTR_STD&amp;SCFT=3&amp;window=popup_no_bar&amp;width=385&amp;height=120&amp;START_MAXIMIZED=FALSE&amp;creator=factset&amp;display_string=Audit"}</definedName>
    <definedName name="_2206__FDSAUDITLINK__" hidden="1">{"fdsup://Directions/FactSet Auditing Viewer?action=AUDIT_VALUE&amp;DB=129&amp;ID1=G5876H10&amp;VALUEID=02001&amp;SDATE=200602&amp;PERIODTYPE=QTR_STD&amp;SCFT=3&amp;window=popup_no_bar&amp;width=385&amp;height=120&amp;START_MAXIMIZED=FALSE&amp;creator=factset&amp;display_string=Audit"}</definedName>
    <definedName name="_2207__FDSAUDITLINK__" hidden="1">{"fdsup://Directions/FactSet Auditing Viewer?action=AUDIT_VALUE&amp;DB=129&amp;ID1=62007630&amp;VALUEID=02001&amp;SDATE=200602&amp;PERIODTYPE=QTR_STD&amp;SCFT=3&amp;window=popup_no_bar&amp;width=385&amp;height=120&amp;START_MAXIMIZED=FALSE&amp;creator=factset&amp;display_string=Audit"}</definedName>
    <definedName name="_2208__FDSAUDITLINK__" hidden="1">{"fdsup://Directions/FactSet Auditing Viewer?action=AUDIT_VALUE&amp;DB=129&amp;ID1=62007630&amp;VALUEID=02001&amp;SDATE=200602&amp;PERIODTYPE=QTR_STD&amp;SCFT=3&amp;window=popup_no_bar&amp;width=385&amp;height=120&amp;START_MAXIMIZED=FALSE&amp;creator=factset&amp;display_string=Audit"}</definedName>
    <definedName name="_2209__FDSAUDITLINK__" hidden="1">{"fdsup://Directions/FactSet Auditing Viewer?action=AUDIT_VALUE&amp;DB=129&amp;ID1=59479310&amp;VALUEID=02001&amp;SDATE=200602&amp;PERIODTYPE=QTR_STD&amp;SCFT=3&amp;window=popup_no_bar&amp;width=385&amp;height=120&amp;START_MAXIMIZED=FALSE&amp;creator=factset&amp;display_string=Audit"}</definedName>
    <definedName name="_221__FDSAUDITLINK__" hidden="1">{"fdsup://Directions/FactSet Auditing Viewer?action=AUDIT_VALUE&amp;DB=129&amp;ID1=59479310&amp;VALUEID=02001&amp;SDATE=201004&amp;PERIODTYPE=QTR_STD&amp;SCFT=3&amp;window=popup_no_bar&amp;width=385&amp;height=120&amp;START_MAXIMIZED=FALSE&amp;creator=factset&amp;display_string=Audit"}</definedName>
    <definedName name="_2210__FDSAUDITLINK__" hidden="1">{"fdsup://Directions/FactSet Auditing Viewer?action=AUDIT_VALUE&amp;DB=129&amp;ID1=59479310&amp;VALUEID=02001&amp;SDATE=200602&amp;PERIODTYPE=QTR_STD&amp;SCFT=3&amp;window=popup_no_bar&amp;width=385&amp;height=120&amp;START_MAXIMIZED=FALSE&amp;creator=factset&amp;display_string=Audit"}</definedName>
    <definedName name="_2211__FDSAUDITLINK__" hidden="1">{"fdsup://Directions/FactSet Auditing Viewer?action=AUDIT_VALUE&amp;DB=129&amp;ID1=59501710&amp;VALUEID=02001&amp;SDATE=200601&amp;PERIODTYPE=QTR_STD&amp;SCFT=3&amp;window=popup_no_bar&amp;width=385&amp;height=120&amp;START_MAXIMIZED=FALSE&amp;creator=factset&amp;display_string=Audit"}</definedName>
    <definedName name="_2212__FDSAUDITLINK__" hidden="1">{"fdsup://Directions/FactSet Auditing Viewer?action=AUDIT_VALUE&amp;DB=129&amp;ID1=59501710&amp;VALUEID=02001&amp;SDATE=200601&amp;PERIODTYPE=QTR_STD&amp;SCFT=3&amp;window=popup_no_bar&amp;width=385&amp;height=120&amp;START_MAXIMIZED=FALSE&amp;creator=factset&amp;display_string=Audit"}</definedName>
    <definedName name="_2213__FDSAUDITLINK__" hidden="1">{"fdsup://Directions/FactSet Auditing Viewer?action=AUDIT_VALUE&amp;DB=129&amp;ID1=50216110&amp;VALUEID=02001&amp;SDATE=200602&amp;PERIODTYPE=QTR_STD&amp;SCFT=3&amp;window=popup_no_bar&amp;width=385&amp;height=120&amp;START_MAXIMIZED=FALSE&amp;creator=factset&amp;display_string=Audit"}</definedName>
    <definedName name="_2214__FDSAUDITLINK__" hidden="1">{"fdsup://Directions/FactSet Auditing Viewer?action=AUDIT_VALUE&amp;DB=129&amp;ID1=50216110&amp;VALUEID=02001&amp;SDATE=200602&amp;PERIODTYPE=QTR_STD&amp;SCFT=3&amp;window=popup_no_bar&amp;width=385&amp;height=120&amp;START_MAXIMIZED=FALSE&amp;creator=factset&amp;display_string=Audit"}</definedName>
    <definedName name="_2215__FDSAUDITLINK__" hidden="1">{"fdsup://Directions/FactSet Auditing Viewer?action=AUDIT_VALUE&amp;DB=129&amp;ID1=51841510&amp;VALUEID=02001&amp;SDATE=200602&amp;PERIODTYPE=QTR_STD&amp;SCFT=3&amp;window=popup_no_bar&amp;width=385&amp;height=120&amp;START_MAXIMIZED=FALSE&amp;creator=factset&amp;display_string=Audit"}</definedName>
    <definedName name="_2216__FDSAUDITLINK__" hidden="1">{"fdsup://Directions/FactSet Auditing Viewer?action=AUDIT_VALUE&amp;DB=129&amp;ID1=51841510&amp;VALUEID=02001&amp;SDATE=200602&amp;PERIODTYPE=QTR_STD&amp;SCFT=3&amp;window=popup_no_bar&amp;width=385&amp;height=120&amp;START_MAXIMIZED=FALSE&amp;creator=factset&amp;display_string=Audit"}</definedName>
    <definedName name="_2217__FDSAUDITLINK__" hidden="1">{"fdsup://Directions/FactSet Auditing Viewer?action=AUDIT_VALUE&amp;DB=129&amp;ID1=48836020&amp;VALUEID=02001&amp;SDATE=200601&amp;PERIODTYPE=QTR_STD&amp;SCFT=3&amp;window=popup_no_bar&amp;width=385&amp;height=120&amp;START_MAXIMIZED=FALSE&amp;creator=factset&amp;display_string=Audit"}</definedName>
    <definedName name="_2218__FDSAUDITLINK__" hidden="1">{"fdsup://Directions/FactSet Auditing Viewer?action=AUDIT_VALUE&amp;DB=129&amp;ID1=48836020&amp;VALUEID=02001&amp;SDATE=200601&amp;PERIODTYPE=QTR_STD&amp;SCFT=3&amp;window=popup_no_bar&amp;width=385&amp;height=120&amp;START_MAXIMIZED=FALSE&amp;creator=factset&amp;display_string=Audit"}</definedName>
    <definedName name="_2219__FDSAUDITLINK__" hidden="1">{"fdsup://Directions/FactSet Auditing Viewer?action=AUDIT_VALUE&amp;DB=129&amp;ID1=48203R10&amp;VALUEID=02001&amp;SDATE=200602&amp;PERIODTYPE=QTR_STD&amp;SCFT=3&amp;window=popup_no_bar&amp;width=385&amp;height=120&amp;START_MAXIMIZED=FALSE&amp;creator=factset&amp;display_string=Audit"}</definedName>
    <definedName name="_222__FDSAUDITLINK__" hidden="1">{"fdsup://Directions/FactSet Auditing Viewer?action=AUDIT_VALUE&amp;DB=129&amp;ID1=59479310&amp;VALUEID=02001&amp;SDATE=201004&amp;PERIODTYPE=QTR_STD&amp;SCFT=3&amp;window=popup_no_bar&amp;width=385&amp;height=120&amp;START_MAXIMIZED=FALSE&amp;creator=factset&amp;display_string=Audit"}</definedName>
    <definedName name="_2220__FDSAUDITLINK__" hidden="1">{"fdsup://Directions/FactSet Auditing Viewer?action=AUDIT_VALUE&amp;DB=129&amp;ID1=48203R10&amp;VALUEID=02001&amp;SDATE=200602&amp;PERIODTYPE=QTR_STD&amp;SCFT=3&amp;window=popup_no_bar&amp;width=385&amp;height=120&amp;START_MAXIMIZED=FALSE&amp;creator=factset&amp;display_string=Audit"}</definedName>
    <definedName name="_2221__FDSAUDITLINK__" hidden="1">{"fdsup://Directions/FactSet Auditing Viewer?action=AUDIT_VALUE&amp;DB=129&amp;ID1=46069S10&amp;VALUEID=02001&amp;SDATE=200602&amp;PERIODTYPE=QTR_STD&amp;SCFT=3&amp;window=popup_no_bar&amp;width=385&amp;height=120&amp;START_MAXIMIZED=FALSE&amp;creator=factset&amp;display_string=Audit"}</definedName>
    <definedName name="_2222__FDSAUDITLINK__" hidden="1">{"fdsup://Directions/FactSet Auditing Viewer?action=AUDIT_VALUE&amp;DB=129&amp;ID1=46069S10&amp;VALUEID=02001&amp;SDATE=200602&amp;PERIODTYPE=QTR_STD&amp;SCFT=3&amp;window=popup_no_bar&amp;width=385&amp;height=120&amp;START_MAXIMIZED=FALSE&amp;creator=factset&amp;display_string=Audit"}</definedName>
    <definedName name="_2223__FDSAUDITLINK__" hidden="1">{"fdsup://Directions/FactSet Auditing Viewer?action=AUDIT_VALUE&amp;DB=129&amp;ID1=45814010&amp;VALUEID=02001&amp;SDATE=200602&amp;PERIODTYPE=QTR_STD&amp;SCFT=3&amp;window=popup_no_bar&amp;width=385&amp;height=120&amp;START_MAXIMIZED=FALSE&amp;creator=factset&amp;display_string=Audit"}</definedName>
    <definedName name="_2224__FDSAUDITLINK__" hidden="1">{"fdsup://Directions/FactSet Auditing Viewer?action=AUDIT_VALUE&amp;DB=129&amp;ID1=45814010&amp;VALUEID=02001&amp;SDATE=200602&amp;PERIODTYPE=QTR_STD&amp;SCFT=3&amp;window=popup_no_bar&amp;width=385&amp;height=120&amp;START_MAXIMIZED=FALSE&amp;creator=factset&amp;display_string=Audit"}</definedName>
    <definedName name="_2225__FDSAUDITLINK__" hidden="1">{"fdsup://Directions/FactSet Auditing Viewer?action=AUDIT_VALUE&amp;DB=129&amp;ID1=45811810&amp;VALUEID=02001&amp;SDATE=200601&amp;PERIODTYPE=QTR_STD&amp;SCFT=3&amp;window=popup_no_bar&amp;width=385&amp;height=120&amp;START_MAXIMIZED=FALSE&amp;creator=factset&amp;display_string=Audit"}</definedName>
    <definedName name="_2226__FDSAUDITLINK__" hidden="1">{"fdsup://Directions/FactSet Auditing Viewer?action=AUDIT_VALUE&amp;DB=129&amp;ID1=45811810&amp;VALUEID=02001&amp;SDATE=200601&amp;PERIODTYPE=QTR_STD&amp;SCFT=3&amp;window=popup_no_bar&amp;width=385&amp;height=120&amp;START_MAXIMIZED=FALSE&amp;creator=factset&amp;display_string=Audit"}</definedName>
    <definedName name="_2227__FDSAUDITLINK__" hidden="1">{"fdsup://Directions/FactSet Auditing Viewer?action=AUDIT_VALUE&amp;DB=129&amp;ID1=42823610&amp;VALUEID=02001&amp;SDATE=200603&amp;PERIODTYPE=QTR_STD&amp;SCFT=3&amp;window=popup_no_bar&amp;width=385&amp;height=120&amp;START_MAXIMIZED=FALSE&amp;creator=factset&amp;display_string=Audit"}</definedName>
    <definedName name="_2228__FDSAUDITLINK__" hidden="1">{"fdsup://Directions/FactSet Auditing Viewer?action=AUDIT_VALUE&amp;DB=129&amp;ID1=42823610&amp;VALUEID=02001&amp;SDATE=200603&amp;PERIODTYPE=QTR_STD&amp;SCFT=3&amp;window=popup_no_bar&amp;width=385&amp;height=120&amp;START_MAXIMIZED=FALSE&amp;creator=factset&amp;display_string=Audit"}</definedName>
    <definedName name="_2229__FDSAUDITLINK__" hidden="1">{"fdsup://Directions/FactSet Auditing Viewer?action=AUDIT_VALUE&amp;DB=129&amp;ID1=H2906T10&amp;VALUEID=02001&amp;SDATE=200602&amp;PERIODTYPE=QTR_STD&amp;SCFT=3&amp;window=popup_no_bar&amp;width=385&amp;height=120&amp;START_MAXIMIZED=FALSE&amp;creator=factset&amp;display_string=Audit"}</definedName>
    <definedName name="_223__FDSAUDITLINK__" hidden="1">{"fdsup://Directions/FactSet Auditing Viewer?action=AUDIT_VALUE&amp;DB=129&amp;ID1=59501710&amp;VALUEID=02001&amp;SDATE=201003&amp;PERIODTYPE=QTR_STD&amp;SCFT=3&amp;window=popup_no_bar&amp;width=385&amp;height=120&amp;START_MAXIMIZED=FALSE&amp;creator=factset&amp;display_string=Audit"}</definedName>
    <definedName name="_2230__FDSAUDITLINK__" hidden="1">{"fdsup://Directions/FactSet Auditing Viewer?action=AUDIT_VALUE&amp;DB=129&amp;ID1=H2906T10&amp;VALUEID=02001&amp;SDATE=200602&amp;PERIODTYPE=QTR_STD&amp;SCFT=3&amp;window=popup_no_bar&amp;width=385&amp;height=120&amp;START_MAXIMIZED=FALSE&amp;creator=factset&amp;display_string=Audit"}</definedName>
    <definedName name="_2231__FDSAUDITLINK__" hidden="1">{"fdsup://Directions/FactSet Auditing Viewer?action=AUDIT_VALUE&amp;DB=129&amp;ID1=34637510&amp;VALUEID=02001&amp;SDATE=200602&amp;PERIODTYPE=QTR_STD&amp;SCFT=3&amp;window=popup_no_bar&amp;width=385&amp;height=120&amp;START_MAXIMIZED=FALSE&amp;creator=factset&amp;display_string=Audit"}</definedName>
    <definedName name="_2232__FDSAUDITLINK__" hidden="1">{"fdsup://Directions/FactSet Auditing Viewer?action=AUDIT_VALUE&amp;DB=129&amp;ID1=34637510&amp;VALUEID=02001&amp;SDATE=200602&amp;PERIODTYPE=QTR_STD&amp;SCFT=3&amp;window=popup_no_bar&amp;width=385&amp;height=120&amp;START_MAXIMIZED=FALSE&amp;creator=factset&amp;display_string=Audit"}</definedName>
    <definedName name="_2233__FDSAUDITLINK__" hidden="1">{"fdsup://Directions/FactSet Auditing Viewer?action=AUDIT_VALUE&amp;DB=129&amp;ID1=31561610&amp;VALUEID=02001&amp;SDATE=200603&amp;PERIODTYPE=QTR_STD&amp;SCFT=3&amp;window=popup_no_bar&amp;width=385&amp;height=120&amp;START_MAXIMIZED=FALSE&amp;creator=factset&amp;display_string=Audit"}</definedName>
    <definedName name="_2234__FDSAUDITLINK__" hidden="1">{"fdsup://Directions/FactSet Auditing Viewer?action=AUDIT_VALUE&amp;DB=129&amp;ID1=31561610&amp;VALUEID=02001&amp;SDATE=200603&amp;PERIODTYPE=QTR_STD&amp;SCFT=3&amp;window=popup_no_bar&amp;width=385&amp;height=120&amp;START_MAXIMIZED=FALSE&amp;creator=factset&amp;display_string=Audit"}</definedName>
    <definedName name="_2235__FDSAUDITLINK__" hidden="1">{"fdsup://Directions/FactSet Auditing Viewer?action=AUDIT_VALUE&amp;DB=129&amp;ID1=25454310&amp;VALUEID=02001&amp;SDATE=200602&amp;PERIODTYPE=QTR_STD&amp;SCFT=3&amp;window=popup_no_bar&amp;width=385&amp;height=120&amp;START_MAXIMIZED=FALSE&amp;creator=factset&amp;display_string=Audit"}</definedName>
    <definedName name="_2236__FDSAUDITLINK__" hidden="1">{"fdsup://Directions/FactSet Auditing Viewer?action=AUDIT_VALUE&amp;DB=129&amp;ID1=25454310&amp;VALUEID=02001&amp;SDATE=200602&amp;PERIODTYPE=QTR_STD&amp;SCFT=3&amp;window=popup_no_bar&amp;width=385&amp;height=120&amp;START_MAXIMIZED=FALSE&amp;creator=factset&amp;display_string=Audit"}</definedName>
    <definedName name="_2237__FDSAUDITLINK__" hidden="1">{"fdsup://Directions/FactSet Auditing Viewer?action=AUDIT_VALUE&amp;DB=129&amp;ID1=24702R10&amp;VALUEID=02001&amp;SDATE=200602&amp;PERIODTYPE=QTR_STD&amp;SCFT=3&amp;window=popup_no_bar&amp;width=385&amp;height=120&amp;START_MAXIMIZED=FALSE&amp;creator=factset&amp;display_string=Audit"}</definedName>
    <definedName name="_2238__FDSAUDITLINK__" hidden="1">{"fdsup://Directions/FactSet Auditing Viewer?action=AUDIT_VALUE&amp;DB=129&amp;ID1=24702R10&amp;VALUEID=02001&amp;SDATE=200602&amp;PERIODTYPE=QTR_STD&amp;SCFT=3&amp;window=popup_no_bar&amp;width=385&amp;height=120&amp;START_MAXIMIZED=FALSE&amp;creator=factset&amp;display_string=Audit"}</definedName>
    <definedName name="_2239__FDSAUDITLINK__" hidden="1">{"fdsup://Directions/FactSet Auditing Viewer?action=AUDIT_VALUE&amp;DB=129&amp;ID1=23257210&amp;VALUEID=02001&amp;SDATE=200602&amp;PERIODTYPE=QTR_STD&amp;SCFT=3&amp;window=popup_no_bar&amp;width=385&amp;height=120&amp;START_MAXIMIZED=FALSE&amp;creator=factset&amp;display_string=Audit"}</definedName>
    <definedName name="_224__FDSAUDITLINK__" hidden="1">{"fdsup://Directions/FactSet Auditing Viewer?action=AUDIT_VALUE&amp;DB=129&amp;ID1=59501710&amp;VALUEID=02001&amp;SDATE=201003&amp;PERIODTYPE=QTR_STD&amp;SCFT=3&amp;window=popup_no_bar&amp;width=385&amp;height=120&amp;START_MAXIMIZED=FALSE&amp;creator=factset&amp;display_string=Audit"}</definedName>
    <definedName name="_2240__FDSAUDITLINK__" hidden="1">{"fdsup://Directions/FactSet Auditing Viewer?action=AUDIT_VALUE&amp;DB=129&amp;ID1=23257210&amp;VALUEID=02001&amp;SDATE=200602&amp;PERIODTYPE=QTR_STD&amp;SCFT=3&amp;window=popup_no_bar&amp;width=385&amp;height=120&amp;START_MAXIMIZED=FALSE&amp;creator=factset&amp;display_string=Audit"}</definedName>
    <definedName name="_2241__FDSAUDITLINK__" hidden="1">{"fdsup://Directions/FactSet Auditing Viewer?action=AUDIT_VALUE&amp;DB=129&amp;ID1=23280610&amp;VALUEID=02001&amp;SDATE=200602&amp;PERIODTYPE=QTR_STD&amp;SCFT=3&amp;window=popup_no_bar&amp;width=385&amp;height=120&amp;START_MAXIMIZED=FALSE&amp;creator=factset&amp;display_string=Audit"}</definedName>
    <definedName name="_2242__FDSAUDITLINK__" hidden="1">{"fdsup://Directions/FactSet Auditing Viewer?action=AUDIT_VALUE&amp;DB=129&amp;ID1=23280610&amp;VALUEID=02001&amp;SDATE=200602&amp;PERIODTYPE=QTR_STD&amp;SCFT=3&amp;window=popup_no_bar&amp;width=385&amp;height=120&amp;START_MAXIMIZED=FALSE&amp;creator=factset&amp;display_string=Audit"}</definedName>
    <definedName name="_2243__FDSAUDITLINK__" hidden="1">{"fdsup://Directions/FactSet Auditing Viewer?action=AUDIT_VALUE&amp;DB=129&amp;ID1=20714230&amp;VALUEID=02001&amp;SDATE=200603&amp;PERIODTYPE=QTR_STD&amp;SCFT=3&amp;window=popup_no_bar&amp;width=385&amp;height=120&amp;START_MAXIMIZED=FALSE&amp;creator=factset&amp;display_string=Audit"}</definedName>
    <definedName name="_2244__FDSAUDITLINK__" hidden="1">{"fdsup://Directions/FactSet Auditing Viewer?action=AUDIT_VALUE&amp;DB=129&amp;ID1=20714230&amp;VALUEID=02001&amp;SDATE=200603&amp;PERIODTYPE=QTR_STD&amp;SCFT=3&amp;window=popup_no_bar&amp;width=385&amp;height=120&amp;START_MAXIMIZED=FALSE&amp;creator=factset&amp;display_string=Audit"}</definedName>
    <definedName name="_2245__FDSAUDITLINK__" hidden="1">{"fdsup://Directions/FactSet Auditing Viewer?action=AUDIT_VALUE&amp;DB=129&amp;ID1=12738710&amp;VALUEID=02001&amp;SDATE=200602&amp;PERIODTYPE=QTR_STD&amp;SCFT=3&amp;window=popup_no_bar&amp;width=385&amp;height=120&amp;START_MAXIMIZED=FALSE&amp;creator=factset&amp;display_string=Audit"}</definedName>
    <definedName name="_2246__FDSAUDITLINK__" hidden="1">{"fdsup://Directions/FactSet Auditing Viewer?action=AUDIT_VALUE&amp;DB=129&amp;ID1=12738710&amp;VALUEID=02001&amp;SDATE=200602&amp;PERIODTYPE=QTR_STD&amp;SCFT=3&amp;window=popup_no_bar&amp;width=385&amp;height=120&amp;START_MAXIMIZED=FALSE&amp;creator=factset&amp;display_string=Audit"}</definedName>
    <definedName name="_2247__FDSAUDITLINK__" hidden="1">{"fdsup://Directions/FactSet Auditing Viewer?action=AUDIT_VALUE&amp;DB=129&amp;ID1=11162130&amp;VALUEID=02001&amp;SDATE=200603&amp;PERIODTYPE=QTR_STD&amp;SCFT=3&amp;window=popup_no_bar&amp;width=385&amp;height=120&amp;START_MAXIMIZED=FALSE&amp;creator=factset&amp;display_string=Audit"}</definedName>
    <definedName name="_2248__FDSAUDITLINK__" hidden="1">{"fdsup://Directions/FactSet Auditing Viewer?action=AUDIT_VALUE&amp;DB=129&amp;ID1=11162130&amp;VALUEID=02001&amp;SDATE=200603&amp;PERIODTYPE=QTR_STD&amp;SCFT=3&amp;window=popup_no_bar&amp;width=385&amp;height=120&amp;START_MAXIMIZED=FALSE&amp;creator=factset&amp;display_string=Audit"}</definedName>
    <definedName name="_2249__FDSAUDITLINK__" hidden="1">{"fdsup://Directions/FactSet Auditing Viewer?action=AUDIT_VALUE&amp;DB=129&amp;ID1=04743P10&amp;VALUEID=02001&amp;SDATE=200602&amp;PERIODTYPE=QTR_STD&amp;SCFT=3&amp;window=popup_no_bar&amp;width=385&amp;height=120&amp;START_MAXIMIZED=FALSE&amp;creator=factset&amp;display_string=Audit"}</definedName>
    <definedName name="_225__FDSAUDITLINK__" hidden="1">{"fdsup://Directions/FactSet Auditing Viewer?action=AUDIT_VALUE&amp;DB=129&amp;ID1=50216110&amp;VALUEID=02001&amp;SDATE=201004&amp;PERIODTYPE=QTR_STD&amp;SCFT=3&amp;window=popup_no_bar&amp;width=385&amp;height=120&amp;START_MAXIMIZED=FALSE&amp;creator=factset&amp;display_string=Audit"}</definedName>
    <definedName name="_2250__FDSAUDITLINK__" hidden="1">{"fdsup://Directions/FactSet Auditing Viewer?action=AUDIT_VALUE&amp;DB=129&amp;ID1=04743P10&amp;VALUEID=02001&amp;SDATE=200602&amp;PERIODTYPE=QTR_STD&amp;SCFT=3&amp;window=popup_no_bar&amp;width=385&amp;height=120&amp;START_MAXIMIZED=FALSE&amp;creator=factset&amp;display_string=Audit"}</definedName>
    <definedName name="_2251__FDSAUDITLINK__" hidden="1">{"fdsup://Directions/FactSet Auditing Viewer?action=AUDIT_VALUE&amp;DB=129&amp;ID1=03251510&amp;VALUEID=02001&amp;SDATE=200602&amp;PERIODTYPE=QTR_STD&amp;SCFT=3&amp;window=popup_no_bar&amp;width=385&amp;height=120&amp;START_MAXIMIZED=FALSE&amp;creator=factset&amp;display_string=Audit"}</definedName>
    <definedName name="_2252__FDSAUDITLINK__" hidden="1">{"fdsup://Directions/FactSet Auditing Viewer?action=AUDIT_VALUE&amp;DB=129&amp;ID1=03251510&amp;VALUEID=02001&amp;SDATE=200602&amp;PERIODTYPE=QTR_STD&amp;SCFT=3&amp;window=popup_no_bar&amp;width=385&amp;height=120&amp;START_MAXIMIZED=FALSE&amp;creator=factset&amp;display_string=Audit"}</definedName>
    <definedName name="_2253__FDSAUDITLINK__" hidden="1">{"fdsup://Directions/FactSet Auditing Viewer?action=AUDIT_VALUE&amp;DB=129&amp;ID1=00790310&amp;VALUEID=02001&amp;SDATE=200602&amp;PERIODTYPE=QTR_STD&amp;SCFT=3&amp;window=popup_no_bar&amp;width=385&amp;height=120&amp;START_MAXIMIZED=FALSE&amp;creator=factset&amp;display_string=Audit"}</definedName>
    <definedName name="_2254__FDSAUDITLINK__" hidden="1">{"fdsup://Directions/FactSet Auditing Viewer?action=AUDIT_VALUE&amp;DB=129&amp;ID1=00790310&amp;VALUEID=02001&amp;SDATE=200602&amp;PERIODTYPE=QTR_STD&amp;SCFT=3&amp;window=popup_no_bar&amp;width=385&amp;height=120&amp;START_MAXIMIZED=FALSE&amp;creator=factset&amp;display_string=Audit"}</definedName>
    <definedName name="_2255__FDSAUDITLINK__" hidden="1">{"fdsup://Directions/FactSet Auditing Viewer?action=AUDIT_VALUE&amp;DB=129&amp;ID1=03822W40&amp;VALUEID=02001&amp;SDATE=200601&amp;PERIODTYPE=QTR_STD&amp;SCFT=3&amp;window=popup_no_bar&amp;width=385&amp;height=120&amp;START_MAXIMIZED=FALSE&amp;creator=factset&amp;display_string=Audit"}</definedName>
    <definedName name="_2256__FDSAUDITLINK__" hidden="1">{"fdsup://Directions/FactSet Auditing Viewer?action=AUDIT_VALUE&amp;DB=129&amp;ID1=03822W40&amp;VALUEID=02001&amp;SDATE=200601&amp;PERIODTYPE=QTR_STD&amp;SCFT=3&amp;window=popup_no_bar&amp;width=385&amp;height=120&amp;START_MAXIMIZED=FALSE&amp;creator=factset&amp;display_string=Audit"}</definedName>
    <definedName name="_2257__FDSAUDITLINK__" hidden="1">{"fdsup://Directions/FactSet Auditing Viewer?action=AUDIT_VALUE&amp;DB=129&amp;ID1=03822210&amp;VALUEID=02001&amp;SDATE=200603&amp;PERIODTYPE=QTR_STD&amp;SCFT=3&amp;window=popup_no_bar&amp;width=385&amp;height=120&amp;START_MAXIMIZED=FALSE&amp;creator=factset&amp;display_string=Audit"}</definedName>
    <definedName name="_2258__FDSAUDITLINK__" hidden="1">{"fdsup://Directions/FactSet Auditing Viewer?action=AUDIT_VALUE&amp;DB=129&amp;ID1=03822210&amp;VALUEID=02001&amp;SDATE=200603&amp;PERIODTYPE=QTR_STD&amp;SCFT=3&amp;window=popup_no_bar&amp;width=385&amp;height=120&amp;START_MAXIMIZED=FALSE&amp;creator=factset&amp;display_string=Audit"}</definedName>
    <definedName name="_2259__FDSAUDITLINK__" hidden="1">{"fdsup://Directions/FactSet Auditing Viewer?action=AUDIT_VALUE&amp;DB=129&amp;ID1=02144110&amp;VALUEID=02001&amp;SDATE=200602&amp;PERIODTYPE=QTR_STD&amp;SCFT=3&amp;window=popup_no_bar&amp;width=385&amp;height=120&amp;START_MAXIMIZED=FALSE&amp;creator=factset&amp;display_string=Audit"}</definedName>
    <definedName name="_226__FDSAUDITLINK__" hidden="1">{"fdsup://Directions/FactSet Auditing Viewer?action=AUDIT_VALUE&amp;DB=129&amp;ID1=50216110&amp;VALUEID=02001&amp;SDATE=201004&amp;PERIODTYPE=QTR_STD&amp;SCFT=3&amp;window=popup_no_bar&amp;width=385&amp;height=120&amp;START_MAXIMIZED=FALSE&amp;creator=factset&amp;display_string=Audit"}</definedName>
    <definedName name="_2260__FDSAUDITLINK__" hidden="1">{"fdsup://Directions/FactSet Auditing Viewer?action=AUDIT_VALUE&amp;DB=129&amp;ID1=02144110&amp;VALUEID=02001&amp;SDATE=200602&amp;PERIODTYPE=QTR_STD&amp;SCFT=3&amp;window=popup_no_bar&amp;width=385&amp;height=120&amp;START_MAXIMIZED=FALSE&amp;creator=factset&amp;display_string=Audit"}</definedName>
    <definedName name="_2261__FDSAUDITLINK__" hidden="1">{"fdsup://Directions/FactSet Auditing Viewer?action=AUDIT_VALUE&amp;DB=129&amp;ID1=03265410&amp;VALUEID=02001&amp;SDATE=200603&amp;PERIODTYPE=QTR_STD&amp;SCFT=3&amp;window=popup_no_bar&amp;width=385&amp;height=120&amp;START_MAXIMIZED=FALSE&amp;creator=factset&amp;display_string=Audit"}</definedName>
    <definedName name="_2262__FDSAUDITLINK__" hidden="1">{"fdsup://Directions/FactSet Auditing Viewer?action=AUDIT_VALUE&amp;DB=129&amp;ID1=03265410&amp;VALUEID=02001&amp;SDATE=200603&amp;PERIODTYPE=QTR_STD&amp;SCFT=3&amp;window=popup_no_bar&amp;width=385&amp;height=120&amp;START_MAXIMIZED=FALSE&amp;creator=factset&amp;display_string=Audit"}</definedName>
    <definedName name="_2263__FDSAUDITLINK__" hidden="1">{"fdsup://Directions/FactSet Auditing Viewer?action=AUDIT_VALUE&amp;DB=129&amp;ID1=00752J10&amp;VALUEID=02001&amp;SDATE=200602&amp;PERIODTYPE=QTR_STD&amp;SCFT=3&amp;window=popup_no_bar&amp;width=385&amp;height=120&amp;START_MAXIMIZED=FALSE&amp;creator=factset&amp;display_string=Audit"}</definedName>
    <definedName name="_2264__FDSAUDITLINK__" hidden="1">{"fdsup://Directions/FactSet Auditing Viewer?action=AUDIT_VALUE&amp;DB=129&amp;ID1=00752J10&amp;VALUEID=02001&amp;SDATE=200602&amp;PERIODTYPE=QTR_STD&amp;SCFT=3&amp;window=popup_no_bar&amp;width=385&amp;height=120&amp;START_MAXIMIZED=FALSE&amp;creator=factset&amp;display_string=Audit"}</definedName>
    <definedName name="_2265__FDSAUDITLINK__" hidden="1">{"fdsup://Directions/FactSet Auditing Viewer?action=AUDIT_VALUE&amp;DB=129&amp;ID1=98975F10&amp;VALUEID=02001&amp;SDATE=200601&amp;PERIODTYPE=QTR_STD&amp;SCFT=3&amp;window=popup_no_bar&amp;width=385&amp;height=120&amp;START_MAXIMIZED=FALSE&amp;creator=factset&amp;display_string=Audit"}</definedName>
    <definedName name="_2266__FDSAUDITLINK__" hidden="1">{"fdsup://Directions/FactSet Auditing Viewer?action=AUDIT_VALUE&amp;DB=129&amp;ID1=98975F10&amp;VALUEID=02001&amp;SDATE=200601&amp;PERIODTYPE=QTR_STD&amp;SCFT=3&amp;window=popup_no_bar&amp;width=385&amp;height=120&amp;START_MAXIMIZED=FALSE&amp;creator=factset&amp;display_string=Audit"}</definedName>
    <definedName name="_2267__FDSAUDITLINK__" hidden="1">{"fdsup://Directions/FactSet Auditing Viewer?action=AUDIT_VALUE&amp;DB=129&amp;ID1=95810210&amp;VALUEID=02001&amp;SDATE=200603&amp;PERIODTYPE=QTR_STD&amp;SCFT=3&amp;window=popup_no_bar&amp;width=385&amp;height=120&amp;START_MAXIMIZED=FALSE&amp;creator=factset&amp;display_string=Audit"}</definedName>
    <definedName name="_2268__FDSAUDITLINK__" hidden="1">{"fdsup://Directions/FactSet Auditing Viewer?action=AUDIT_VALUE&amp;DB=129&amp;ID1=95810210&amp;VALUEID=02001&amp;SDATE=200603&amp;PERIODTYPE=QTR_STD&amp;SCFT=3&amp;window=popup_no_bar&amp;width=385&amp;height=120&amp;START_MAXIMIZED=FALSE&amp;creator=factset&amp;display_string=Audit"}</definedName>
    <definedName name="_2269__FDSAUDITLINK__" hidden="1">{"fdsup://Directions/FactSet Auditing Viewer?action=AUDIT_VALUE&amp;DB=129&amp;ID1=92829810&amp;VALUEID=02001&amp;SDATE=200601&amp;PERIODTYPE=QTR_STD&amp;SCFT=3&amp;window=popup_no_bar&amp;width=385&amp;height=120&amp;START_MAXIMIZED=FALSE&amp;creator=factset&amp;display_string=Audit"}</definedName>
    <definedName name="_227__FDSAUDITLINK__" hidden="1">{"fdsup://Directions/FactSet Auditing Viewer?action=AUDIT_VALUE&amp;DB=129&amp;ID1=51841510&amp;VALUEID=02001&amp;SDATE=201004&amp;PERIODTYPE=QTR_STD&amp;SCFT=3&amp;window=popup_no_bar&amp;width=385&amp;height=120&amp;START_MAXIMIZED=FALSE&amp;creator=factset&amp;display_string=Audit"}</definedName>
    <definedName name="_2270__FDSAUDITLINK__" hidden="1">{"fdsup://Directions/FactSet Auditing Viewer?action=AUDIT_VALUE&amp;DB=129&amp;ID1=92829810&amp;VALUEID=02001&amp;SDATE=200601&amp;PERIODTYPE=QTR_STD&amp;SCFT=3&amp;window=popup_no_bar&amp;width=385&amp;height=120&amp;START_MAXIMIZED=FALSE&amp;creator=factset&amp;display_string=Audit"}</definedName>
    <definedName name="_2271__FDSAUDITLINK__" hidden="1">{"fdsup://Directions/FactSet Auditing Viewer?action=AUDIT_VALUE&amp;DB=129&amp;ID1=88250810&amp;VALUEID=02001&amp;SDATE=200601&amp;PERIODTYPE=QTR_STD&amp;SCFT=3&amp;window=popup_no_bar&amp;width=385&amp;height=120&amp;START_MAXIMIZED=FALSE&amp;creator=factset&amp;display_string=Audit"}</definedName>
    <definedName name="_2272__FDSAUDITLINK__" hidden="1">{"fdsup://Directions/FactSet Auditing Viewer?action=AUDIT_VALUE&amp;DB=129&amp;ID1=88250810&amp;VALUEID=02001&amp;SDATE=200601&amp;PERIODTYPE=QTR_STD&amp;SCFT=3&amp;window=popup_no_bar&amp;width=385&amp;height=120&amp;START_MAXIMIZED=FALSE&amp;creator=factset&amp;display_string=Audit"}</definedName>
    <definedName name="_2273__FDSAUDITLINK__" hidden="1">{"fdsup://Directions/FactSet Auditing Viewer?action=AUDIT_VALUE&amp;DB=129&amp;ID1=89674K10&amp;VALUEID=02001&amp;SDATE=200601&amp;PERIODTYPE=QTR_STD&amp;SCFT=3&amp;window=popup_no_bar&amp;width=385&amp;height=120&amp;START_MAXIMIZED=FALSE&amp;creator=factset&amp;display_string=Audit"}</definedName>
    <definedName name="_2274__FDSAUDITLINK__" hidden="1">{"fdsup://Directions/FactSet Auditing Viewer?action=AUDIT_VALUE&amp;DB=129&amp;ID1=89674K10&amp;VALUEID=02001&amp;SDATE=200601&amp;PERIODTYPE=QTR_STD&amp;SCFT=3&amp;window=popup_no_bar&amp;width=385&amp;height=120&amp;START_MAXIMIZED=FALSE&amp;creator=factset&amp;display_string=Audit"}</definedName>
    <definedName name="_2275__FDSAUDITLINK__" hidden="1">{"fdsup://Directions/FactSet Auditing Viewer?action=AUDIT_VALUE&amp;DB=129&amp;ID1=83088M10&amp;VALUEID=02001&amp;SDATE=200602&amp;PERIODTYPE=QTR_STD&amp;SCFT=3&amp;window=popup_no_bar&amp;width=385&amp;height=120&amp;START_MAXIMIZED=FALSE&amp;creator=factset&amp;display_string=Audit"}</definedName>
    <definedName name="_2276__FDSAUDITLINK__" hidden="1">{"fdsup://Directions/FactSet Auditing Viewer?action=AUDIT_VALUE&amp;DB=129&amp;ID1=83088M10&amp;VALUEID=02001&amp;SDATE=200602&amp;PERIODTYPE=QTR_STD&amp;SCFT=3&amp;window=popup_no_bar&amp;width=385&amp;height=120&amp;START_MAXIMIZED=FALSE&amp;creator=factset&amp;display_string=Audit"}</definedName>
    <definedName name="_2277__FDSAUDITLINK__" hidden="1">{"fdsup://Directions/FactSet Auditing Viewer?action=AUDIT_VALUE&amp;DB=129&amp;ID1=G7945M10&amp;VALUEID=02001&amp;SDATE=200603&amp;PERIODTYPE=QTR_STD&amp;SCFT=3&amp;window=popup_no_bar&amp;width=385&amp;height=120&amp;START_MAXIMIZED=FALSE&amp;creator=factset&amp;display_string=Audit"}</definedName>
    <definedName name="_2278__FDSAUDITLINK__" hidden="1">{"fdsup://Directions/FactSet Auditing Viewer?action=AUDIT_VALUE&amp;DB=129&amp;ID1=G7945M10&amp;VALUEID=02001&amp;SDATE=200603&amp;PERIODTYPE=QTR_STD&amp;SCFT=3&amp;window=popup_no_bar&amp;width=385&amp;height=120&amp;START_MAXIMIZED=FALSE&amp;creator=factset&amp;display_string=Audit"}</definedName>
    <definedName name="_2279__FDSAUDITLINK__" hidden="1">{"fdsup://Directions/FactSet Auditing Viewer?action=AUDIT_VALUE&amp;DB=129&amp;ID1=78477410&amp;VALUEID=02001&amp;SDATE=200601&amp;PERIODTYPE=QTR_STD&amp;SCFT=3&amp;window=popup_no_bar&amp;width=385&amp;height=120&amp;START_MAXIMIZED=FALSE&amp;creator=factset&amp;display_string=Audit"}</definedName>
    <definedName name="_228__FDSAUDITLINK__" hidden="1">{"fdsup://Directions/FactSet Auditing Viewer?action=AUDIT_VALUE&amp;DB=129&amp;ID1=51841510&amp;VALUEID=02001&amp;SDATE=201004&amp;PERIODTYPE=QTR_STD&amp;SCFT=3&amp;window=popup_no_bar&amp;width=385&amp;height=120&amp;START_MAXIMIZED=FALSE&amp;creator=factset&amp;display_string=Audit"}</definedName>
    <definedName name="_2280__FDSAUDITLINK__" hidden="1">{"fdsup://Directions/FactSet Auditing Viewer?action=AUDIT_VALUE&amp;DB=129&amp;ID1=78477410&amp;VALUEID=02001&amp;SDATE=200601&amp;PERIODTYPE=QTR_STD&amp;SCFT=3&amp;window=popup_no_bar&amp;width=385&amp;height=120&amp;START_MAXIMIZED=FALSE&amp;creator=factset&amp;display_string=Audit"}</definedName>
    <definedName name="_2281__FDSAUDITLINK__" hidden="1">{"fdsup://Directions/FactSet Auditing Viewer?action=AUDIT_VALUE&amp;DB=129&amp;ID1=83547010&amp;VALUEID=02001&amp;SDATE=200601&amp;PERIODTYPE=QTR_STD&amp;SCFT=3&amp;window=popup_no_bar&amp;width=385&amp;height=120&amp;START_MAXIMIZED=FALSE&amp;creator=factset&amp;display_string=Audit"}</definedName>
    <definedName name="_2282__FDSAUDITLINK__" hidden="1">{"fdsup://Directions/FactSet Auditing Viewer?action=AUDIT_VALUE&amp;DB=129&amp;ID1=83547010&amp;VALUEID=02001&amp;SDATE=200601&amp;PERIODTYPE=QTR_STD&amp;SCFT=3&amp;window=popup_no_bar&amp;width=385&amp;height=120&amp;START_MAXIMIZED=FALSE&amp;creator=factset&amp;display_string=Audit"}</definedName>
    <definedName name="_2283__FDSAUDITLINK__" hidden="1">{"fdsup://Directions/FactSet Auditing Viewer?action=AUDIT_VALUE&amp;DB=129&amp;ID1=87160710&amp;VALUEID=02001&amp;SDATE=200602&amp;PERIODTYPE=QTR_STD&amp;SCFT=3&amp;window=popup_no_bar&amp;width=385&amp;height=120&amp;START_MAXIMIZED=FALSE&amp;creator=factset&amp;display_string=Audit"}</definedName>
    <definedName name="_2284__FDSAUDITLINK__" hidden="1">{"fdsup://Directions/FactSet Auditing Viewer?action=AUDIT_VALUE&amp;DB=129&amp;ID1=87160710&amp;VALUEID=02001&amp;SDATE=200602&amp;PERIODTYPE=QTR_STD&amp;SCFT=3&amp;window=popup_no_bar&amp;width=385&amp;height=120&amp;START_MAXIMIZED=FALSE&amp;creator=factset&amp;display_string=Audit"}</definedName>
    <definedName name="_2285__FDSAUDITLINK__" hidden="1">{"fdsup://Directions/FactSet Auditing Viewer?action=AUDIT_VALUE&amp;DB=129&amp;ID1=80004C10&amp;VALUEID=02001&amp;SDATE=200601&amp;PERIODTYPE=QTR_STD&amp;SCFT=3&amp;window=popup_no_bar&amp;width=385&amp;height=120&amp;START_MAXIMIZED=FALSE&amp;creator=factset&amp;display_string=Audit"}</definedName>
    <definedName name="_2286__FDSAUDITLINK__" hidden="1">{"fdsup://Directions/FactSet Auditing Viewer?action=AUDIT_VALUE&amp;DB=129&amp;ID1=80004C10&amp;VALUEID=02001&amp;SDATE=200601&amp;PERIODTYPE=QTR_STD&amp;SCFT=3&amp;window=popup_no_bar&amp;width=385&amp;height=120&amp;START_MAXIMIZED=FALSE&amp;creator=factset&amp;display_string=Audit"}</definedName>
    <definedName name="_2287__FDSAUDITLINK__" hidden="1">{"fdsup://Directions/FactSet Auditing Viewer?action=AUDIT_VALUE&amp;DB=129&amp;ID1=81685010&amp;VALUEID=02001&amp;SDATE=200601&amp;PERIODTYPE=QTR_STD&amp;SCFT=3&amp;window=popup_no_bar&amp;width=385&amp;height=120&amp;START_MAXIMIZED=FALSE&amp;creator=factset&amp;display_string=Audit"}</definedName>
    <definedName name="_2288__FDSAUDITLINK__" hidden="1">{"fdsup://Directions/FactSet Auditing Viewer?action=AUDIT_VALUE&amp;DB=129&amp;ID1=81685010&amp;VALUEID=02001&amp;SDATE=200601&amp;PERIODTYPE=QTR_STD&amp;SCFT=3&amp;window=popup_no_bar&amp;width=385&amp;height=120&amp;START_MAXIMIZED=FALSE&amp;creator=factset&amp;display_string=Audit"}</definedName>
    <definedName name="_2289__FDSAUDITLINK__" hidden="1">{"fdsup://Directions/FactSet Auditing Viewer?action=AUDIT_VALUE&amp;DB=129&amp;ID1=82691910&amp;VALUEID=02001&amp;SDATE=200601&amp;PERIODTYPE=QTR_STD&amp;SCFT=3&amp;window=popup_no_bar&amp;width=385&amp;height=120&amp;START_MAXIMIZED=FALSE&amp;creator=factset&amp;display_string=Audit"}</definedName>
    <definedName name="_229__FDSAUDITLINK__" hidden="1">{"fdsup://Directions/FactSet Auditing Viewer?action=AUDIT_VALUE&amp;DB=129&amp;ID1=51280710&amp;VALUEID=02001&amp;SDATE=201102&amp;PERIODTYPE=QTR_STD&amp;SCFT=3&amp;window=popup_no_bar&amp;width=385&amp;height=120&amp;START_MAXIMIZED=FALSE&amp;creator=factset&amp;display_string=Audit"}</definedName>
    <definedName name="_2290__FDSAUDITLINK__" hidden="1">{"fdsup://Directions/FactSet Auditing Viewer?action=AUDIT_VALUE&amp;DB=129&amp;ID1=82691910&amp;VALUEID=02001&amp;SDATE=200601&amp;PERIODTYPE=QTR_STD&amp;SCFT=3&amp;window=popup_no_bar&amp;width=385&amp;height=120&amp;START_MAXIMIZED=FALSE&amp;creator=factset&amp;display_string=Audit"}</definedName>
    <definedName name="_2291__FDSAUDITLINK__" hidden="1">{"fdsup://Directions/FactSet Auditing Viewer?action=AUDIT_VALUE&amp;DB=129&amp;ID1=82705T10&amp;VALUEID=02001&amp;SDATE=200601&amp;PERIODTYPE=QTR_STD&amp;SCFT=3&amp;window=popup_no_bar&amp;width=385&amp;height=120&amp;START_MAXIMIZED=FALSE&amp;creator=factset&amp;display_string=Audit"}</definedName>
    <definedName name="_2292__FDSAUDITLINK__" hidden="1">{"fdsup://Directions/FactSet Auditing Viewer?action=AUDIT_VALUE&amp;DB=129&amp;ID1=82705T10&amp;VALUEID=02001&amp;SDATE=200601&amp;PERIODTYPE=QTR_STD&amp;SCFT=3&amp;window=popup_no_bar&amp;width=385&amp;height=120&amp;START_MAXIMIZED=FALSE&amp;creator=factset&amp;display_string=Audit"}</definedName>
    <definedName name="_2293__FDSAUDITLINK__" hidden="1">{"fdsup://Directions/FactSet Auditing Viewer?action=AUDIT_VALUE&amp;DB=129&amp;ID1=75091710&amp;VALUEID=02001&amp;SDATE=200601&amp;PERIODTYPE=QTR_STD&amp;SCFT=3&amp;window=popup_no_bar&amp;width=385&amp;height=120&amp;START_MAXIMIZED=FALSE&amp;creator=factset&amp;display_string=Audit"}</definedName>
    <definedName name="_2294__FDSAUDITLINK__" hidden="1">{"fdsup://Directions/FactSet Auditing Viewer?action=AUDIT_VALUE&amp;DB=129&amp;ID1=75091710&amp;VALUEID=02001&amp;SDATE=200601&amp;PERIODTYPE=QTR_STD&amp;SCFT=3&amp;window=popup_no_bar&amp;width=385&amp;height=120&amp;START_MAXIMIZED=FALSE&amp;creator=factset&amp;display_string=Audit"}</definedName>
    <definedName name="_2295__FDSAUDITLINK__" hidden="1">{"fdsup://Directions/FactSet Auditing Viewer?action=AUDIT_VALUE&amp;DB=129&amp;ID1=74752510&amp;VALUEID=02001&amp;SDATE=200602&amp;PERIODTYPE=QTR_STD&amp;SCFT=3&amp;window=popup_no_bar&amp;width=385&amp;height=120&amp;START_MAXIMIZED=FALSE&amp;creator=factset&amp;display_string=Audit"}</definedName>
    <definedName name="_2296__FDSAUDITLINK__" hidden="1">{"fdsup://Directions/FactSet Auditing Viewer?action=AUDIT_VALUE&amp;DB=129&amp;ID1=74752510&amp;VALUEID=02001&amp;SDATE=200602&amp;PERIODTYPE=QTR_STD&amp;SCFT=3&amp;window=popup_no_bar&amp;width=385&amp;height=120&amp;START_MAXIMIZED=FALSE&amp;creator=factset&amp;display_string=Audit"}</definedName>
    <definedName name="_2297__FDSAUDITLINK__" hidden="1">{"fdsup://Directions/FactSet Auditing Viewer?action=AUDIT_VALUE&amp;DB=129&amp;ID1=72581M30&amp;VALUEID=02001&amp;SDATE=200601&amp;PERIODTYPE=QTR_STD&amp;SCFT=3&amp;window=popup_no_bar&amp;width=385&amp;height=120&amp;START_MAXIMIZED=FALSE&amp;creator=factset&amp;display_string=Audit"}</definedName>
    <definedName name="_2298__FDSAUDITLINK__" hidden="1">{"fdsup://Directions/FactSet Auditing Viewer?action=AUDIT_VALUE&amp;DB=129&amp;ID1=72581M30&amp;VALUEID=02001&amp;SDATE=200601&amp;PERIODTYPE=QTR_STD&amp;SCFT=3&amp;window=popup_no_bar&amp;width=385&amp;height=120&amp;START_MAXIMIZED=FALSE&amp;creator=factset&amp;display_string=Audit"}</definedName>
    <definedName name="_2299__FDSAUDITLINK__" hidden="1">{"fdsup://Directions/FactSet Auditing Viewer?action=AUDIT_VALUE&amp;DB=129&amp;ID1=73927610&amp;VALUEID=02001&amp;SDATE=200601&amp;PERIODTYPE=QTR_STD&amp;SCFT=3&amp;window=popup_no_bar&amp;width=385&amp;height=120&amp;START_MAXIMIZED=FALSE&amp;creator=factset&amp;display_string=Audit"}</definedName>
    <definedName name="_23__FDSAUDITLINK__" hidden="1">{"fdsup://directions/FAT Viewer?action=UPDATE&amp;creator=factset&amp;DYN_ARGS=TRUE&amp;DOC_NAME=FAT:FQL_AUDITING_CLIENT_TEMPLATE.FAT&amp;display_string=Audit&amp;VAR:KEY=GLKDQTYVIN&amp;VAR:QUERY=RkZfU0hTX0ZMT0FUKEFOTiwp&amp;WINDOW=FIRST_POPUP&amp;HEIGHT=450&amp;WIDTH=450&amp;START_MAXIMIZED=FALS","E&amp;VAR:CALENDAR=US&amp;VAR:SYMBOL=WYNN RESORTS&amp;VAR:INDEX=0"}</definedName>
    <definedName name="_230__FDSAUDITLINK__" hidden="1">{"fdsup://Directions/FactSet Auditing Viewer?action=AUDIT_VALUE&amp;DB=129&amp;ID1=51280710&amp;VALUEID=02001&amp;SDATE=201102&amp;PERIODTYPE=QTR_STD&amp;SCFT=3&amp;window=popup_no_bar&amp;width=385&amp;height=120&amp;START_MAXIMIZED=FALSE&amp;creator=factset&amp;display_string=Audit"}</definedName>
    <definedName name="_2300__FDSAUDITLINK__" hidden="1">{"fdsup://Directions/FactSet Auditing Viewer?action=AUDIT_VALUE&amp;DB=129&amp;ID1=73927610&amp;VALUEID=02001&amp;SDATE=200601&amp;PERIODTYPE=QTR_STD&amp;SCFT=3&amp;window=popup_no_bar&amp;width=385&amp;height=120&amp;START_MAXIMIZED=FALSE&amp;creator=factset&amp;display_string=Audit"}</definedName>
    <definedName name="_2301__FDSAUDITLINK__" hidden="1">{"fdsup://Directions/FactSet Auditing Viewer?action=AUDIT_VALUE&amp;DB=129&amp;ID1=69344F10&amp;VALUEID=02001&amp;SDATE=200601&amp;PERIODTYPE=QTR_STD&amp;SCFT=3&amp;window=popup_no_bar&amp;width=385&amp;height=120&amp;START_MAXIMIZED=FALSE&amp;creator=factset&amp;display_string=Audit"}</definedName>
    <definedName name="_2302__FDSAUDITLINK__" hidden="1">{"fdsup://Directions/FactSet Auditing Viewer?action=AUDIT_VALUE&amp;DB=129&amp;ID1=69344F10&amp;VALUEID=02001&amp;SDATE=200601&amp;PERIODTYPE=QTR_STD&amp;SCFT=3&amp;window=popup_no_bar&amp;width=385&amp;height=120&amp;START_MAXIMIZED=FALSE&amp;creator=factset&amp;display_string=Audit"}</definedName>
    <definedName name="_2303__FDSAUDITLINK__" hidden="1">{"fdsup://Directions/FactSet Auditing Viewer?action=AUDIT_VALUE&amp;DB=129&amp;ID1=69341710&amp;VALUEID=02001&amp;SDATE=200601&amp;PERIODTYPE=QTR_STD&amp;SCFT=3&amp;window=popup_no_bar&amp;width=385&amp;height=120&amp;START_MAXIMIZED=FALSE&amp;creator=factset&amp;display_string=Audit"}</definedName>
    <definedName name="_2304__FDSAUDITLINK__" hidden="1">{"fdsup://Directions/FactSet Auditing Viewer?action=AUDIT_VALUE&amp;DB=129&amp;ID1=69341710&amp;VALUEID=02001&amp;SDATE=200601&amp;PERIODTYPE=QTR_STD&amp;SCFT=3&amp;window=popup_no_bar&amp;width=385&amp;height=120&amp;START_MAXIMIZED=FALSE&amp;creator=factset&amp;display_string=Audit"}</definedName>
    <definedName name="_2305__FDSAUDITLINK__" hidden="1">{"fdsup://Directions/FactSet Auditing Viewer?action=AUDIT_VALUE&amp;DB=129&amp;ID1=68218910&amp;VALUEID=02001&amp;SDATE=200601&amp;PERIODTYPE=QTR_STD&amp;SCFT=3&amp;window=popup_no_bar&amp;width=385&amp;height=120&amp;START_MAXIMIZED=FALSE&amp;creator=factset&amp;display_string=Audit"}</definedName>
    <definedName name="_2306__FDSAUDITLINK__" hidden="1">{"fdsup://Directions/FactSet Auditing Viewer?action=AUDIT_VALUE&amp;DB=129&amp;ID1=68218910&amp;VALUEID=02001&amp;SDATE=200601&amp;PERIODTYPE=QTR_STD&amp;SCFT=3&amp;window=popup_no_bar&amp;width=385&amp;height=120&amp;START_MAXIMIZED=FALSE&amp;creator=factset&amp;display_string=Audit"}</definedName>
    <definedName name="_2307__FDSAUDITLINK__" hidden="1">{"fdsup://Directions/FactSet Auditing Viewer?action=AUDIT_VALUE&amp;DB=129&amp;ID1=67000810&amp;VALUEID=02001&amp;SDATE=200601&amp;PERIODTYPE=QTR_STD&amp;SCFT=3&amp;window=popup_no_bar&amp;width=385&amp;height=120&amp;START_MAXIMIZED=FALSE&amp;creator=factset&amp;display_string=Audit"}</definedName>
    <definedName name="_2308__FDSAUDITLINK__" hidden="1">{"fdsup://Directions/FactSet Auditing Viewer?action=AUDIT_VALUE&amp;DB=129&amp;ID1=67000810&amp;VALUEID=02001&amp;SDATE=200601&amp;PERIODTYPE=QTR_STD&amp;SCFT=3&amp;window=popup_no_bar&amp;width=385&amp;height=120&amp;START_MAXIMIZED=FALSE&amp;creator=factset&amp;display_string=Audit"}</definedName>
    <definedName name="_2309__FDSAUDITLINK__" hidden="1">{"fdsup://Directions/FactSet Auditing Viewer?action=AUDIT_VALUE&amp;DB=129&amp;ID1=67066G10&amp;VALUEID=02001&amp;SDATE=200601&amp;PERIODTYPE=QTR_STD&amp;SCFT=3&amp;window=popup_no_bar&amp;width=385&amp;height=120&amp;START_MAXIMIZED=FALSE&amp;creator=factset&amp;display_string=Audit"}</definedName>
    <definedName name="_231__FDSAUDITLINK__" hidden="1">{"fdsup://Directions/FactSet Auditing Viewer?action=AUDIT_VALUE&amp;DB=129&amp;ID1=53567810&amp;VALUEID=02001&amp;SDATE=201102&amp;PERIODTYPE=QTR_STD&amp;SCFT=3&amp;window=popup_no_bar&amp;width=385&amp;height=120&amp;START_MAXIMIZED=FALSE&amp;creator=factset&amp;display_string=Audit"}</definedName>
    <definedName name="_2310__FDSAUDITLINK__" hidden="1">{"fdsup://Directions/FactSet Auditing Viewer?action=AUDIT_VALUE&amp;DB=129&amp;ID1=67066G10&amp;VALUEID=02001&amp;SDATE=200601&amp;PERIODTYPE=QTR_STD&amp;SCFT=3&amp;window=popup_no_bar&amp;width=385&amp;height=120&amp;START_MAXIMIZED=FALSE&amp;creator=factset&amp;display_string=Audit"}</definedName>
    <definedName name="_2311__FDSAUDITLINK__" hidden="1">{"fdsup://Directions/FactSet Auditing Viewer?action=AUDIT_VALUE&amp;DB=129&amp;ID1=63764010&amp;VALUEID=02001&amp;SDATE=200503&amp;PERIODTYPE=QTR_STD&amp;SCFT=3&amp;window=popup_no_bar&amp;width=385&amp;height=120&amp;START_MAXIMIZED=FALSE&amp;creator=factset&amp;display_string=Audit"}</definedName>
    <definedName name="_2312__FDSAUDITLINK__" hidden="1">{"fdsup://Directions/FactSet Auditing Viewer?action=AUDIT_VALUE&amp;DB=129&amp;ID1=63764010&amp;VALUEID=02001&amp;SDATE=200503&amp;PERIODTYPE=QTR_STD&amp;SCFT=3&amp;window=popup_no_bar&amp;width=385&amp;height=120&amp;START_MAXIMIZED=FALSE&amp;creator=factset&amp;display_string=Audit"}</definedName>
    <definedName name="_2313__FDSAUDITLINK__" hidden="1">{"fdsup://Directions/FactSet Auditing Viewer?action=AUDIT_VALUE&amp;DB=129&amp;ID1=64118B10&amp;VALUEID=02001&amp;SDATE=200601&amp;PERIODTYPE=QTR_STD&amp;SCFT=3&amp;window=popup_no_bar&amp;width=385&amp;height=120&amp;START_MAXIMIZED=FALSE&amp;creator=factset&amp;display_string=Audit"}</definedName>
    <definedName name="_2314__FDSAUDITLINK__" hidden="1">{"fdsup://Directions/FactSet Auditing Viewer?action=AUDIT_VALUE&amp;DB=129&amp;ID1=64118B10&amp;VALUEID=02001&amp;SDATE=200601&amp;PERIODTYPE=QTR_STD&amp;SCFT=3&amp;window=popup_no_bar&amp;width=385&amp;height=120&amp;START_MAXIMIZED=FALSE&amp;creator=factset&amp;display_string=Audit"}</definedName>
    <definedName name="_2315__FDSAUDITLINK__" hidden="1">{"fdsup://Directions/FactSet Auditing Viewer?action=AUDIT_VALUE&amp;DB=129&amp;ID1=57772K10&amp;VALUEID=02001&amp;SDATE=200603&amp;PERIODTYPE=QTR_STD&amp;SCFT=3&amp;window=popup_no_bar&amp;width=385&amp;height=120&amp;START_MAXIMIZED=FALSE&amp;creator=factset&amp;display_string=Audit"}</definedName>
    <definedName name="_2316__FDSAUDITLINK__" hidden="1">{"fdsup://Directions/FactSet Auditing Viewer?action=AUDIT_VALUE&amp;DB=129&amp;ID1=57772K10&amp;VALUEID=02001&amp;SDATE=200603&amp;PERIODTYPE=QTR_STD&amp;SCFT=3&amp;window=popup_no_bar&amp;width=385&amp;height=120&amp;START_MAXIMIZED=FALSE&amp;creator=factset&amp;display_string=Audit"}</definedName>
    <definedName name="_2317__FDSAUDITLINK__" hidden="1">{"fdsup://Directions/FactSet Auditing Viewer?action=AUDIT_VALUE&amp;DB=129&amp;ID1=59511210&amp;VALUEID=02001&amp;SDATE=200602&amp;PERIODTYPE=QTR_STD&amp;SCFT=3&amp;window=popup_no_bar&amp;width=385&amp;height=120&amp;START_MAXIMIZED=FALSE&amp;creator=factset&amp;display_string=Audit"}</definedName>
    <definedName name="_2318__FDSAUDITLINK__" hidden="1">{"fdsup://Directions/FactSet Auditing Viewer?action=AUDIT_VALUE&amp;DB=129&amp;ID1=59511210&amp;VALUEID=02001&amp;SDATE=200602&amp;PERIODTYPE=QTR_STD&amp;SCFT=3&amp;window=popup_no_bar&amp;width=385&amp;height=120&amp;START_MAXIMIZED=FALSE&amp;creator=factset&amp;display_string=Audit"}</definedName>
    <definedName name="_2319__FDSAUDITLINK__" hidden="1">{"fdsup://Directions/FactSet Auditing Viewer?action=AUDIT_VALUE&amp;DB=129&amp;ID1=59513710&amp;VALUEID=02001&amp;SDATE=200602&amp;PERIODTYPE=QTR_STD&amp;SCFT=3&amp;window=popup_no_bar&amp;width=385&amp;height=120&amp;START_MAXIMIZED=FALSE&amp;creator=factset&amp;display_string=Audit"}</definedName>
    <definedName name="_232__FDSAUDITLINK__" hidden="1">{"fdsup://Directions/FactSet Auditing Viewer?action=AUDIT_VALUE&amp;DB=129&amp;ID1=53567810&amp;VALUEID=02001&amp;SDATE=201102&amp;PERIODTYPE=QTR_STD&amp;SCFT=3&amp;window=popup_no_bar&amp;width=385&amp;height=120&amp;START_MAXIMIZED=FALSE&amp;creator=factset&amp;display_string=Audit"}</definedName>
    <definedName name="_2320__FDSAUDITLINK__" hidden="1">{"fdsup://Directions/FactSet Auditing Viewer?action=AUDIT_VALUE&amp;DB=129&amp;ID1=59513710&amp;VALUEID=02001&amp;SDATE=200602&amp;PERIODTYPE=QTR_STD&amp;SCFT=3&amp;window=popup_no_bar&amp;width=385&amp;height=120&amp;START_MAXIMIZED=FALSE&amp;creator=factset&amp;display_string=Audit"}</definedName>
    <definedName name="_2321__FDSAUDITLINK__" hidden="1">{"fdsup://Directions/FactSet Auditing Viewer?action=AUDIT_VALUE&amp;DB=129&amp;ID1=G5876H10&amp;VALUEID=02001&amp;SDATE=200601&amp;PERIODTYPE=QTR_STD&amp;SCFT=3&amp;window=popup_no_bar&amp;width=385&amp;height=120&amp;START_MAXIMIZED=FALSE&amp;creator=factset&amp;display_string=Audit"}</definedName>
    <definedName name="_2322__FDSAUDITLINK__" hidden="1">{"fdsup://Directions/FactSet Auditing Viewer?action=AUDIT_VALUE&amp;DB=129&amp;ID1=G5876H10&amp;VALUEID=02001&amp;SDATE=200601&amp;PERIODTYPE=QTR_STD&amp;SCFT=3&amp;window=popup_no_bar&amp;width=385&amp;height=120&amp;START_MAXIMIZED=FALSE&amp;creator=factset&amp;display_string=Audit"}</definedName>
    <definedName name="_2323__FDSAUDITLINK__" hidden="1">{"fdsup://Directions/FactSet Auditing Viewer?action=AUDIT_VALUE&amp;DB=129&amp;ID1=62007630&amp;VALUEID=02001&amp;SDATE=200601&amp;PERIODTYPE=QTR_STD&amp;SCFT=3&amp;window=popup_no_bar&amp;width=385&amp;height=120&amp;START_MAXIMIZED=FALSE&amp;creator=factset&amp;display_string=Audit"}</definedName>
    <definedName name="_2324__FDSAUDITLINK__" hidden="1">{"fdsup://Directions/FactSet Auditing Viewer?action=AUDIT_VALUE&amp;DB=129&amp;ID1=62007630&amp;VALUEID=02001&amp;SDATE=200601&amp;PERIODTYPE=QTR_STD&amp;SCFT=3&amp;window=popup_no_bar&amp;width=385&amp;height=120&amp;START_MAXIMIZED=FALSE&amp;creator=factset&amp;display_string=Audit"}</definedName>
    <definedName name="_2325__FDSAUDITLINK__" hidden="1">{"fdsup://Directions/FactSet Auditing Viewer?action=AUDIT_VALUE&amp;DB=129&amp;ID1=60456710&amp;VALUEID=02001&amp;SDATE=200603&amp;PERIODTYPE=QTR_STD&amp;SCFT=3&amp;window=popup_no_bar&amp;width=385&amp;height=120&amp;START_MAXIMIZED=FALSE&amp;creator=factset&amp;display_string=Audit"}</definedName>
    <definedName name="_2326__FDSAUDITLINK__" hidden="1">{"fdsup://Directions/FactSet Auditing Viewer?action=AUDIT_VALUE&amp;DB=129&amp;ID1=60456710&amp;VALUEID=02001&amp;SDATE=200603&amp;PERIODTYPE=QTR_STD&amp;SCFT=3&amp;window=popup_no_bar&amp;width=385&amp;height=120&amp;START_MAXIMIZED=FALSE&amp;creator=factset&amp;display_string=Audit"}</definedName>
    <definedName name="_2327__FDSAUDITLINK__" hidden="1">{"fdsup://Directions/FactSet Auditing Viewer?action=AUDIT_VALUE&amp;DB=129&amp;ID1=59479310&amp;VALUEID=02001&amp;SDATE=200601&amp;PERIODTYPE=QTR_STD&amp;SCFT=3&amp;window=popup_no_bar&amp;width=385&amp;height=120&amp;START_MAXIMIZED=FALSE&amp;creator=factset&amp;display_string=Audit"}</definedName>
    <definedName name="_2328__FDSAUDITLINK__" hidden="1">{"fdsup://Directions/FactSet Auditing Viewer?action=AUDIT_VALUE&amp;DB=129&amp;ID1=59479310&amp;VALUEID=02001&amp;SDATE=200601&amp;PERIODTYPE=QTR_STD&amp;SCFT=3&amp;window=popup_no_bar&amp;width=385&amp;height=120&amp;START_MAXIMIZED=FALSE&amp;creator=factset&amp;display_string=Audit"}</definedName>
    <definedName name="_2329__FDSAUDITLINK__" hidden="1">{"fdsup://Directions/FactSet Auditing Viewer?action=AUDIT_VALUE&amp;DB=129&amp;ID1=50216110&amp;VALUEID=02001&amp;SDATE=200601&amp;PERIODTYPE=QTR_STD&amp;SCFT=3&amp;window=popup_no_bar&amp;width=385&amp;height=120&amp;START_MAXIMIZED=FALSE&amp;creator=factset&amp;display_string=Audit"}</definedName>
    <definedName name="_233__FDSAUDITLINK__" hidden="1">{"fdsup://Directions/FactSet Auditing Viewer?action=AUDIT_VALUE&amp;DB=129&amp;ID1=48248010&amp;VALUEID=02001&amp;SDATE=201102&amp;PERIODTYPE=QTR_STD&amp;SCFT=3&amp;window=popup_no_bar&amp;width=385&amp;height=120&amp;START_MAXIMIZED=FALSE&amp;creator=factset&amp;display_string=Audit"}</definedName>
    <definedName name="_2330__FDSAUDITLINK__" hidden="1">{"fdsup://Directions/FactSet Auditing Viewer?action=AUDIT_VALUE&amp;DB=129&amp;ID1=50216110&amp;VALUEID=02001&amp;SDATE=200601&amp;PERIODTYPE=QTR_STD&amp;SCFT=3&amp;window=popup_no_bar&amp;width=385&amp;height=120&amp;START_MAXIMIZED=FALSE&amp;creator=factset&amp;display_string=Audit"}</definedName>
    <definedName name="_2331__FDSAUDITLINK__" hidden="1">{"fdsup://Directions/FactSet Auditing Viewer?action=AUDIT_VALUE&amp;DB=129&amp;ID1=51841510&amp;VALUEID=02001&amp;SDATE=200601&amp;PERIODTYPE=QTR_STD&amp;SCFT=3&amp;window=popup_no_bar&amp;width=385&amp;height=120&amp;START_MAXIMIZED=FALSE&amp;creator=factset&amp;display_string=Audit"}</definedName>
    <definedName name="_2332__FDSAUDITLINK__" hidden="1">{"fdsup://Directions/FactSet Auditing Viewer?action=AUDIT_VALUE&amp;DB=129&amp;ID1=51841510&amp;VALUEID=02001&amp;SDATE=200601&amp;PERIODTYPE=QTR_STD&amp;SCFT=3&amp;window=popup_no_bar&amp;width=385&amp;height=120&amp;START_MAXIMIZED=FALSE&amp;creator=factset&amp;display_string=Audit"}</definedName>
    <definedName name="_2333__FDSAUDITLINK__" hidden="1">{"fdsup://Directions/FactSet Auditing Viewer?action=AUDIT_VALUE&amp;DB=129&amp;ID1=51280710&amp;VALUEID=02001&amp;SDATE=200603&amp;PERIODTYPE=QTR_STD&amp;SCFT=3&amp;window=popup_no_bar&amp;width=385&amp;height=120&amp;START_MAXIMIZED=FALSE&amp;creator=factset&amp;display_string=Audit"}</definedName>
    <definedName name="_2334__FDSAUDITLINK__" hidden="1">{"fdsup://Directions/FactSet Auditing Viewer?action=AUDIT_VALUE&amp;DB=129&amp;ID1=51280710&amp;VALUEID=02001&amp;SDATE=200603&amp;PERIODTYPE=QTR_STD&amp;SCFT=3&amp;window=popup_no_bar&amp;width=385&amp;height=120&amp;START_MAXIMIZED=FALSE&amp;creator=factset&amp;display_string=Audit"}</definedName>
    <definedName name="_2335__FDSAUDITLINK__" hidden="1">{"fdsup://Directions/FactSet Auditing Viewer?action=AUDIT_VALUE&amp;DB=129&amp;ID1=53567810&amp;VALUEID=02001&amp;SDATE=200603&amp;PERIODTYPE=QTR_STD&amp;SCFT=3&amp;window=popup_no_bar&amp;width=385&amp;height=120&amp;START_MAXIMIZED=FALSE&amp;creator=factset&amp;display_string=Audit"}</definedName>
    <definedName name="_2336__FDSAUDITLINK__" hidden="1">{"fdsup://Directions/FactSet Auditing Viewer?action=AUDIT_VALUE&amp;DB=129&amp;ID1=53567810&amp;VALUEID=02001&amp;SDATE=200603&amp;PERIODTYPE=QTR_STD&amp;SCFT=3&amp;window=popup_no_bar&amp;width=385&amp;height=120&amp;START_MAXIMIZED=FALSE&amp;creator=factset&amp;display_string=Audit"}</definedName>
    <definedName name="_2337__FDSAUDITLINK__" hidden="1">{"fdsup://Directions/FactSet Auditing Viewer?action=AUDIT_VALUE&amp;DB=129&amp;ID1=48248010&amp;VALUEID=02001&amp;SDATE=200603&amp;PERIODTYPE=QTR_STD&amp;SCFT=3&amp;window=popup_no_bar&amp;width=385&amp;height=120&amp;START_MAXIMIZED=FALSE&amp;creator=factset&amp;display_string=Audit"}</definedName>
    <definedName name="_2338__FDSAUDITLINK__" hidden="1">{"fdsup://Directions/FactSet Auditing Viewer?action=AUDIT_VALUE&amp;DB=129&amp;ID1=48248010&amp;VALUEID=02001&amp;SDATE=200603&amp;PERIODTYPE=QTR_STD&amp;SCFT=3&amp;window=popup_no_bar&amp;width=385&amp;height=120&amp;START_MAXIMIZED=FALSE&amp;creator=factset&amp;display_string=Audit"}</definedName>
    <definedName name="_2339__FDSAUDITLINK__" hidden="1">{"fdsup://Directions/FactSet Auditing Viewer?action=AUDIT_VALUE&amp;DB=129&amp;ID1=48203R10&amp;VALUEID=02001&amp;SDATE=200601&amp;PERIODTYPE=QTR_STD&amp;SCFT=3&amp;window=popup_no_bar&amp;width=385&amp;height=120&amp;START_MAXIMIZED=FALSE&amp;creator=factset&amp;display_string=Audit"}</definedName>
    <definedName name="_234__FDSAUDITLINK__" hidden="1">{"fdsup://Directions/FactSet Auditing Viewer?action=AUDIT_VALUE&amp;DB=129&amp;ID1=48248010&amp;VALUEID=02001&amp;SDATE=201102&amp;PERIODTYPE=QTR_STD&amp;SCFT=3&amp;window=popup_no_bar&amp;width=385&amp;height=120&amp;START_MAXIMIZED=FALSE&amp;creator=factset&amp;display_string=Audit"}</definedName>
    <definedName name="_2340__FDSAUDITLINK__" hidden="1">{"fdsup://Directions/FactSet Auditing Viewer?action=AUDIT_VALUE&amp;DB=129&amp;ID1=48203R10&amp;VALUEID=02001&amp;SDATE=200601&amp;PERIODTYPE=QTR_STD&amp;SCFT=3&amp;window=popup_no_bar&amp;width=385&amp;height=120&amp;START_MAXIMIZED=FALSE&amp;creator=factset&amp;display_string=Audit"}</definedName>
    <definedName name="_2341__FDSAUDITLINK__" hidden="1">{"fdsup://Directions/FactSet Auditing Viewer?action=AUDIT_VALUE&amp;DB=129&amp;ID1=86681020&amp;VALUEID=02001&amp;SDATE=200603&amp;PERIODTYPE=QTR_STD&amp;SCFT=3&amp;window=popup_no_bar&amp;width=385&amp;height=120&amp;START_MAXIMIZED=FALSE&amp;creator=factset&amp;display_string=Audit"}</definedName>
    <definedName name="_2342__FDSAUDITLINK__" hidden="1">{"fdsup://Directions/FactSet Auditing Viewer?action=AUDIT_VALUE&amp;DB=129&amp;ID1=86681020&amp;VALUEID=02001&amp;SDATE=200603&amp;PERIODTYPE=QTR_STD&amp;SCFT=3&amp;window=popup_no_bar&amp;width=385&amp;height=120&amp;START_MAXIMIZED=FALSE&amp;creator=factset&amp;display_string=Audit"}</definedName>
    <definedName name="_2343__FDSAUDITLINK__" hidden="1">{"fdsup://Directions/FactSet Auditing Viewer?action=AUDIT_VALUE&amp;DB=129&amp;ID1=46069S10&amp;VALUEID=02001&amp;SDATE=200601&amp;PERIODTYPE=QTR_STD&amp;SCFT=3&amp;window=popup_no_bar&amp;width=385&amp;height=120&amp;START_MAXIMIZED=FALSE&amp;creator=factset&amp;display_string=Audit"}</definedName>
    <definedName name="_2344__FDSAUDITLINK__" hidden="1">{"fdsup://Directions/FactSet Auditing Viewer?action=AUDIT_VALUE&amp;DB=129&amp;ID1=46069S10&amp;VALUEID=02001&amp;SDATE=200601&amp;PERIODTYPE=QTR_STD&amp;SCFT=3&amp;window=popup_no_bar&amp;width=385&amp;height=120&amp;START_MAXIMIZED=FALSE&amp;creator=factset&amp;display_string=Audit"}</definedName>
    <definedName name="_2345__FDSAUDITLINK__" hidden="1">{"fdsup://Directions/FactSet Auditing Viewer?action=AUDIT_VALUE&amp;DB=129&amp;ID1=46025410&amp;VALUEID=02001&amp;SDATE=200603&amp;PERIODTYPE=QTR_STD&amp;SCFT=3&amp;window=popup_no_bar&amp;width=385&amp;height=120&amp;START_MAXIMIZED=FALSE&amp;creator=factset&amp;display_string=Audit"}</definedName>
    <definedName name="_2346__FDSAUDITLINK__" hidden="1">{"fdsup://Directions/FactSet Auditing Viewer?action=AUDIT_VALUE&amp;DB=129&amp;ID1=46025410&amp;VALUEID=02001&amp;SDATE=200603&amp;PERIODTYPE=QTR_STD&amp;SCFT=3&amp;window=popup_no_bar&amp;width=385&amp;height=120&amp;START_MAXIMIZED=FALSE&amp;creator=factset&amp;display_string=Audit"}</definedName>
    <definedName name="_2347__FDSAUDITLINK__" hidden="1">{"fdsup://Directions/FactSet Auditing Viewer?action=AUDIT_VALUE&amp;DB=129&amp;ID1=45814010&amp;VALUEID=02001&amp;SDATE=200601&amp;PERIODTYPE=QTR_STD&amp;SCFT=3&amp;window=popup_no_bar&amp;width=385&amp;height=120&amp;START_MAXIMIZED=FALSE&amp;creator=factset&amp;display_string=Audit"}</definedName>
    <definedName name="_2348__FDSAUDITLINK__" hidden="1">{"fdsup://Directions/FactSet Auditing Viewer?action=AUDIT_VALUE&amp;DB=129&amp;ID1=45814010&amp;VALUEID=02001&amp;SDATE=200601&amp;PERIODTYPE=QTR_STD&amp;SCFT=3&amp;window=popup_no_bar&amp;width=385&amp;height=120&amp;START_MAXIMIZED=FALSE&amp;creator=factset&amp;display_string=Audit"}</definedName>
    <definedName name="_2349__FDSAUDITLINK__" hidden="1">{"fdsup://Directions/FactSet Auditing Viewer?action=AUDIT_VALUE&amp;DB=129&amp;ID1=42823610&amp;VALUEID=02001&amp;SDATE=200602&amp;PERIODTYPE=QTR_STD&amp;SCFT=3&amp;window=popup_no_bar&amp;width=385&amp;height=120&amp;START_MAXIMIZED=FALSE&amp;creator=factset&amp;display_string=Audit"}</definedName>
    <definedName name="_235__FDSAUDITLINK__" hidden="1">{"fdsup://Directions/FactSet Auditing Viewer?action=AUDIT_VALUE&amp;DB=129&amp;ID1=48836020&amp;VALUEID=02001&amp;SDATE=201003&amp;PERIODTYPE=QTR_STD&amp;SCFT=3&amp;window=popup_no_bar&amp;width=385&amp;height=120&amp;START_MAXIMIZED=FALSE&amp;creator=factset&amp;display_string=Audit"}</definedName>
    <definedName name="_2350__FDSAUDITLINK__" hidden="1">{"fdsup://Directions/FactSet Auditing Viewer?action=AUDIT_VALUE&amp;DB=129&amp;ID1=42823610&amp;VALUEID=02001&amp;SDATE=200602&amp;PERIODTYPE=QTR_STD&amp;SCFT=3&amp;window=popup_no_bar&amp;width=385&amp;height=120&amp;START_MAXIMIZED=FALSE&amp;creator=factset&amp;display_string=Audit"}</definedName>
    <definedName name="_2351__FDSAUDITLINK__" hidden="1">{"fdsup://Directions/FactSet Auditing Viewer?action=AUDIT_VALUE&amp;DB=129&amp;ID1=H2906T10&amp;VALUEID=02001&amp;SDATE=200601&amp;PERIODTYPE=QTR_STD&amp;SCFT=3&amp;window=popup_no_bar&amp;width=385&amp;height=120&amp;START_MAXIMIZED=FALSE&amp;creator=factset&amp;display_string=Audit"}</definedName>
    <definedName name="_2352__FDSAUDITLINK__" hidden="1">{"fdsup://Directions/FactSet Auditing Viewer?action=AUDIT_VALUE&amp;DB=129&amp;ID1=H2906T10&amp;VALUEID=02001&amp;SDATE=200601&amp;PERIODTYPE=QTR_STD&amp;SCFT=3&amp;window=popup_no_bar&amp;width=385&amp;height=120&amp;START_MAXIMIZED=FALSE&amp;creator=factset&amp;display_string=Audit"}</definedName>
    <definedName name="_2353__FDSAUDITLINK__" hidden="1">{"fdsup://Directions/FactSet Auditing Viewer?action=AUDIT_VALUE&amp;DB=129&amp;ID1=34637510&amp;VALUEID=02001&amp;SDATE=200601&amp;PERIODTYPE=QTR_STD&amp;SCFT=3&amp;window=popup_no_bar&amp;width=385&amp;height=120&amp;START_MAXIMIZED=FALSE&amp;creator=factset&amp;display_string=Audit"}</definedName>
    <definedName name="_2354__FDSAUDITLINK__" hidden="1">{"fdsup://Directions/FactSet Auditing Viewer?action=AUDIT_VALUE&amp;DB=129&amp;ID1=34637510&amp;VALUEID=02001&amp;SDATE=200601&amp;PERIODTYPE=QTR_STD&amp;SCFT=3&amp;window=popup_no_bar&amp;width=385&amp;height=120&amp;START_MAXIMIZED=FALSE&amp;creator=factset&amp;display_string=Audit"}</definedName>
    <definedName name="_2355__FDSAUDITLINK__" hidden="1">{"fdsup://Directions/FactSet Auditing Viewer?action=AUDIT_VALUE&amp;DB=129&amp;ID1=31561610&amp;VALUEID=02001&amp;SDATE=200602&amp;PERIODTYPE=QTR_STD&amp;SCFT=3&amp;window=popup_no_bar&amp;width=385&amp;height=120&amp;START_MAXIMIZED=FALSE&amp;creator=factset&amp;display_string=Audit"}</definedName>
    <definedName name="_2356__FDSAUDITLINK__" hidden="1">{"fdsup://Directions/FactSet Auditing Viewer?action=AUDIT_VALUE&amp;DB=129&amp;ID1=31561610&amp;VALUEID=02001&amp;SDATE=200602&amp;PERIODTYPE=QTR_STD&amp;SCFT=3&amp;window=popup_no_bar&amp;width=385&amp;height=120&amp;START_MAXIMIZED=FALSE&amp;creator=factset&amp;display_string=Audit"}</definedName>
    <definedName name="_2357__FDSAUDITLINK__" hidden="1">{"fdsup://Directions/FactSet Auditing Viewer?action=AUDIT_VALUE&amp;DB=129&amp;ID1=29247520&amp;VALUEID=02001&amp;SDATE=200603&amp;PERIODTYPE=QTR_STD&amp;SCFT=3&amp;window=popup_no_bar&amp;width=385&amp;height=120&amp;START_MAXIMIZED=FALSE&amp;creator=factset&amp;display_string=Audit"}</definedName>
    <definedName name="_2358__FDSAUDITLINK__" hidden="1">{"fdsup://Directions/FactSet Auditing Viewer?action=AUDIT_VALUE&amp;DB=129&amp;ID1=29247520&amp;VALUEID=02001&amp;SDATE=200603&amp;PERIODTYPE=QTR_STD&amp;SCFT=3&amp;window=popup_no_bar&amp;width=385&amp;height=120&amp;START_MAXIMIZED=FALSE&amp;creator=factset&amp;display_string=Audit"}</definedName>
    <definedName name="_2359__FDSAUDITLINK__" hidden="1">{"fdsup://Directions/FactSet Auditing Viewer?action=AUDIT_VALUE&amp;DB=129&amp;ID1=25454310&amp;VALUEID=02001&amp;SDATE=200601&amp;PERIODTYPE=QTR_STD&amp;SCFT=3&amp;window=popup_no_bar&amp;width=385&amp;height=120&amp;START_MAXIMIZED=FALSE&amp;creator=factset&amp;display_string=Audit"}</definedName>
    <definedName name="_236__FDSAUDITLINK__" hidden="1">{"fdsup://Directions/FactSet Auditing Viewer?action=AUDIT_VALUE&amp;DB=129&amp;ID1=48836020&amp;VALUEID=02001&amp;SDATE=201003&amp;PERIODTYPE=QTR_STD&amp;SCFT=3&amp;window=popup_no_bar&amp;width=385&amp;height=120&amp;START_MAXIMIZED=FALSE&amp;creator=factset&amp;display_string=Audit"}</definedName>
    <definedName name="_2360__FDSAUDITLINK__" hidden="1">{"fdsup://Directions/FactSet Auditing Viewer?action=AUDIT_VALUE&amp;DB=129&amp;ID1=25454310&amp;VALUEID=02001&amp;SDATE=200601&amp;PERIODTYPE=QTR_STD&amp;SCFT=3&amp;window=popup_no_bar&amp;width=385&amp;height=120&amp;START_MAXIMIZED=FALSE&amp;creator=factset&amp;display_string=Audit"}</definedName>
    <definedName name="_2361__FDSAUDITLINK__" hidden="1">{"fdsup://Directions/FactSet Auditing Viewer?action=AUDIT_VALUE&amp;DB=129&amp;ID1=24702R10&amp;VALUEID=02001&amp;SDATE=200601&amp;PERIODTYPE=QTR_STD&amp;SCFT=3&amp;window=popup_no_bar&amp;width=385&amp;height=120&amp;START_MAXIMIZED=FALSE&amp;creator=factset&amp;display_string=Audit"}</definedName>
    <definedName name="_2362__FDSAUDITLINK__" hidden="1">{"fdsup://Directions/FactSet Auditing Viewer?action=AUDIT_VALUE&amp;DB=129&amp;ID1=24702R10&amp;VALUEID=02001&amp;SDATE=200601&amp;PERIODTYPE=QTR_STD&amp;SCFT=3&amp;window=popup_no_bar&amp;width=385&amp;height=120&amp;START_MAXIMIZED=FALSE&amp;creator=factset&amp;display_string=Audit"}</definedName>
    <definedName name="_2363__FDSAUDITLINK__" hidden="1">{"fdsup://Directions/FactSet Auditing Viewer?action=AUDIT_VALUE&amp;DB=129&amp;ID1=23257210&amp;VALUEID=02001&amp;SDATE=200601&amp;PERIODTYPE=QTR_STD&amp;SCFT=3&amp;window=popup_no_bar&amp;width=385&amp;height=120&amp;START_MAXIMIZED=FALSE&amp;creator=factset&amp;display_string=Audit"}</definedName>
    <definedName name="_2364__FDSAUDITLINK__" hidden="1">{"fdsup://Directions/FactSet Auditing Viewer?action=AUDIT_VALUE&amp;DB=129&amp;ID1=23257210&amp;VALUEID=02001&amp;SDATE=200601&amp;PERIODTYPE=QTR_STD&amp;SCFT=3&amp;window=popup_no_bar&amp;width=385&amp;height=120&amp;START_MAXIMIZED=FALSE&amp;creator=factset&amp;display_string=Audit"}</definedName>
    <definedName name="_2365__FDSAUDITLINK__" hidden="1">{"fdsup://Directions/FactSet Auditing Viewer?action=AUDIT_VALUE&amp;DB=129&amp;ID1=23280610&amp;VALUEID=02001&amp;SDATE=200601&amp;PERIODTYPE=QTR_STD&amp;SCFT=3&amp;window=popup_no_bar&amp;width=385&amp;height=120&amp;START_MAXIMIZED=FALSE&amp;creator=factset&amp;display_string=Audit"}</definedName>
    <definedName name="_2366__FDSAUDITLINK__" hidden="1">{"fdsup://Directions/FactSet Auditing Viewer?action=AUDIT_VALUE&amp;DB=129&amp;ID1=23280610&amp;VALUEID=02001&amp;SDATE=200601&amp;PERIODTYPE=QTR_STD&amp;SCFT=3&amp;window=popup_no_bar&amp;width=385&amp;height=120&amp;START_MAXIMIZED=FALSE&amp;creator=factset&amp;display_string=Audit"}</definedName>
    <definedName name="_2367__FDSAUDITLINK__" hidden="1">{"fdsup://Directions/FactSet Auditing Viewer?action=AUDIT_VALUE&amp;DB=129&amp;ID1=17275R10&amp;VALUEID=02001&amp;SDATE=200603&amp;PERIODTYPE=QTR_STD&amp;SCFT=3&amp;window=popup_no_bar&amp;width=385&amp;height=120&amp;START_MAXIMIZED=FALSE&amp;creator=factset&amp;display_string=Audit"}</definedName>
    <definedName name="_2368__FDSAUDITLINK__" hidden="1">{"fdsup://Directions/FactSet Auditing Viewer?action=AUDIT_VALUE&amp;DB=129&amp;ID1=17275R10&amp;VALUEID=02001&amp;SDATE=200603&amp;PERIODTYPE=QTR_STD&amp;SCFT=3&amp;window=popup_no_bar&amp;width=385&amp;height=120&amp;START_MAXIMIZED=FALSE&amp;creator=factset&amp;display_string=Audit"}</definedName>
    <definedName name="_2369__FDSAUDITLINK__" hidden="1">{"fdsup://Directions/FactSet Auditing Viewer?action=AUDIT_VALUE&amp;DB=129&amp;ID1=22544710&amp;VALUEID=02001&amp;SDATE=200603&amp;PERIODTYPE=QTR_STD&amp;SCFT=3&amp;window=popup_no_bar&amp;width=385&amp;height=120&amp;START_MAXIMIZED=FALSE&amp;creator=factset&amp;display_string=Audit"}</definedName>
    <definedName name="_237__FDSAUDITLINK__" hidden="1">{"fdsup://Directions/FactSet Auditing Viewer?action=AUDIT_VALUE&amp;DB=129&amp;ID1=48203R10&amp;VALUEID=02001&amp;SDATE=201004&amp;PERIODTYPE=QTR_STD&amp;SCFT=3&amp;window=popup_no_bar&amp;width=385&amp;height=120&amp;START_MAXIMIZED=FALSE&amp;creator=factset&amp;display_string=Audit"}</definedName>
    <definedName name="_2370__FDSAUDITLINK__" hidden="1">{"fdsup://Directions/FactSet Auditing Viewer?action=AUDIT_VALUE&amp;DB=129&amp;ID1=22544710&amp;VALUEID=02001&amp;SDATE=200603&amp;PERIODTYPE=QTR_STD&amp;SCFT=3&amp;window=popup_no_bar&amp;width=385&amp;height=120&amp;START_MAXIMIZED=FALSE&amp;creator=factset&amp;display_string=Audit"}</definedName>
    <definedName name="_2371__FDSAUDITLINK__" hidden="1">{"fdsup://Directions/FactSet Auditing Viewer?action=AUDIT_VALUE&amp;DB=129&amp;ID1=20714230&amp;VALUEID=02001&amp;SDATE=200602&amp;PERIODTYPE=QTR_STD&amp;SCFT=3&amp;window=popup_no_bar&amp;width=385&amp;height=120&amp;START_MAXIMIZED=FALSE&amp;creator=factset&amp;display_string=Audit"}</definedName>
    <definedName name="_2372__FDSAUDITLINK__" hidden="1">{"fdsup://Directions/FactSet Auditing Viewer?action=AUDIT_VALUE&amp;DB=129&amp;ID1=20714230&amp;VALUEID=02001&amp;SDATE=200602&amp;PERIODTYPE=QTR_STD&amp;SCFT=3&amp;window=popup_no_bar&amp;width=385&amp;height=120&amp;START_MAXIMIZED=FALSE&amp;creator=factset&amp;display_string=Audit"}</definedName>
    <definedName name="_2373__FDSAUDITLINK__" hidden="1">{"fdsup://Directions/FactSet Auditing Viewer?action=AUDIT_VALUE&amp;DB=129&amp;ID1=12738710&amp;VALUEID=02001&amp;SDATE=200601&amp;PERIODTYPE=QTR_STD&amp;SCFT=3&amp;window=popup_no_bar&amp;width=385&amp;height=120&amp;START_MAXIMIZED=FALSE&amp;creator=factset&amp;display_string=Audit"}</definedName>
    <definedName name="_2374__FDSAUDITLINK__" hidden="1">{"fdsup://Directions/FactSet Auditing Viewer?action=AUDIT_VALUE&amp;DB=129&amp;ID1=12738710&amp;VALUEID=02001&amp;SDATE=200601&amp;PERIODTYPE=QTR_STD&amp;SCFT=3&amp;window=popup_no_bar&amp;width=385&amp;height=120&amp;START_MAXIMIZED=FALSE&amp;creator=factset&amp;display_string=Audit"}</definedName>
    <definedName name="_2375__FDSAUDITLINK__" hidden="1">{"fdsup://Directions/FactSet Auditing Viewer?action=AUDIT_VALUE&amp;DB=129&amp;ID1=11162130&amp;VALUEID=02001&amp;SDATE=200602&amp;PERIODTYPE=QTR_STD&amp;SCFT=3&amp;window=popup_no_bar&amp;width=385&amp;height=120&amp;START_MAXIMIZED=FALSE&amp;creator=factset&amp;display_string=Audit"}</definedName>
    <definedName name="_2376__FDSAUDITLINK__" hidden="1">{"fdsup://Directions/FactSet Auditing Viewer?action=AUDIT_VALUE&amp;DB=129&amp;ID1=11162130&amp;VALUEID=02001&amp;SDATE=200602&amp;PERIODTYPE=QTR_STD&amp;SCFT=3&amp;window=popup_no_bar&amp;width=385&amp;height=120&amp;START_MAXIMIZED=FALSE&amp;creator=factset&amp;display_string=Audit"}</definedName>
    <definedName name="_2377__FDSAUDITLINK__" hidden="1">{"fdsup://Directions/FactSet Auditing Viewer?action=AUDIT_VALUE&amp;DB=129&amp;ID1=04743P10&amp;VALUEID=02001&amp;SDATE=200601&amp;PERIODTYPE=QTR_STD&amp;SCFT=3&amp;window=popup_no_bar&amp;width=385&amp;height=120&amp;START_MAXIMIZED=FALSE&amp;creator=factset&amp;display_string=Audit"}</definedName>
    <definedName name="_2378__FDSAUDITLINK__" hidden="1">{"fdsup://Directions/FactSet Auditing Viewer?action=AUDIT_VALUE&amp;DB=129&amp;ID1=04743P10&amp;VALUEID=02001&amp;SDATE=200601&amp;PERIODTYPE=QTR_STD&amp;SCFT=3&amp;window=popup_no_bar&amp;width=385&amp;height=120&amp;START_MAXIMIZED=FALSE&amp;creator=factset&amp;display_string=Audit"}</definedName>
    <definedName name="_2379__FDSAUDITLINK__" hidden="1">{"fdsup://Directions/FactSet Auditing Viewer?action=AUDIT_VALUE&amp;DB=129&amp;ID1=03251510&amp;VALUEID=02001&amp;SDATE=200601&amp;PERIODTYPE=QTR_STD&amp;SCFT=3&amp;window=popup_no_bar&amp;width=385&amp;height=120&amp;START_MAXIMIZED=FALSE&amp;creator=factset&amp;display_string=Audit"}</definedName>
    <definedName name="_238__FDSAUDITLINK__" hidden="1">{"fdsup://Directions/FactSet Auditing Viewer?action=AUDIT_VALUE&amp;DB=129&amp;ID1=48203R10&amp;VALUEID=02001&amp;SDATE=201004&amp;PERIODTYPE=QTR_STD&amp;SCFT=3&amp;window=popup_no_bar&amp;width=385&amp;height=120&amp;START_MAXIMIZED=FALSE&amp;creator=factset&amp;display_string=Audit"}</definedName>
    <definedName name="_2380__FDSAUDITLINK__" hidden="1">{"fdsup://Directions/FactSet Auditing Viewer?action=AUDIT_VALUE&amp;DB=129&amp;ID1=03251510&amp;VALUEID=02001&amp;SDATE=200601&amp;PERIODTYPE=QTR_STD&amp;SCFT=3&amp;window=popup_no_bar&amp;width=385&amp;height=120&amp;START_MAXIMIZED=FALSE&amp;creator=factset&amp;display_string=Audit"}</definedName>
    <definedName name="_2381__FDSAUDITLINK__" hidden="1">{"fdsup://Directions/FactSet Auditing Viewer?action=AUDIT_VALUE&amp;DB=129&amp;ID1=00790310&amp;VALUEID=02001&amp;SDATE=200601&amp;PERIODTYPE=QTR_STD&amp;SCFT=3&amp;window=popup_no_bar&amp;width=385&amp;height=120&amp;START_MAXIMIZED=FALSE&amp;creator=factset&amp;display_string=Audit"}</definedName>
    <definedName name="_2382__FDSAUDITLINK__" hidden="1">{"fdsup://Directions/FactSet Auditing Viewer?action=AUDIT_VALUE&amp;DB=129&amp;ID1=00790310&amp;VALUEID=02001&amp;SDATE=200601&amp;PERIODTYPE=QTR_STD&amp;SCFT=3&amp;window=popup_no_bar&amp;width=385&amp;height=120&amp;START_MAXIMIZED=FALSE&amp;creator=factset&amp;display_string=Audit"}</definedName>
    <definedName name="_2383__FDSAUDITLINK__" hidden="1">{"fdsup://Directions/FactSet Auditing Viewer?action=AUDIT_VALUE&amp;DB=129&amp;ID1=03822210&amp;VALUEID=02001&amp;SDATE=200602&amp;PERIODTYPE=QTR_STD&amp;SCFT=3&amp;window=popup_no_bar&amp;width=385&amp;height=120&amp;START_MAXIMIZED=FALSE&amp;creator=factset&amp;display_string=Audit"}</definedName>
    <definedName name="_2384__FDSAUDITLINK__" hidden="1">{"fdsup://Directions/FactSet Auditing Viewer?action=AUDIT_VALUE&amp;DB=129&amp;ID1=03822210&amp;VALUEID=02001&amp;SDATE=200602&amp;PERIODTYPE=QTR_STD&amp;SCFT=3&amp;window=popup_no_bar&amp;width=385&amp;height=120&amp;START_MAXIMIZED=FALSE&amp;creator=factset&amp;display_string=Audit"}</definedName>
    <definedName name="_2385__FDSAUDITLINK__" hidden="1">{"fdsup://Directions/FactSet Auditing Viewer?action=AUDIT_VALUE&amp;DB=129&amp;ID1=02144110&amp;VALUEID=02001&amp;SDATE=200601&amp;PERIODTYPE=QTR_STD&amp;SCFT=3&amp;window=popup_no_bar&amp;width=385&amp;height=120&amp;START_MAXIMIZED=FALSE&amp;creator=factset&amp;display_string=Audit"}</definedName>
    <definedName name="_2386__FDSAUDITLINK__" hidden="1">{"fdsup://Directions/FactSet Auditing Viewer?action=AUDIT_VALUE&amp;DB=129&amp;ID1=02144110&amp;VALUEID=02001&amp;SDATE=200601&amp;PERIODTYPE=QTR_STD&amp;SCFT=3&amp;window=popup_no_bar&amp;width=385&amp;height=120&amp;START_MAXIMIZED=FALSE&amp;creator=factset&amp;display_string=Audit"}</definedName>
    <definedName name="_2387__FDSAUDITLINK__" hidden="1">{"fdsup://Directions/FactSet Auditing Viewer?action=AUDIT_VALUE&amp;DB=129&amp;ID1=00752J10&amp;VALUEID=02001&amp;SDATE=200601&amp;PERIODTYPE=QTR_STD&amp;SCFT=3&amp;window=popup_no_bar&amp;width=385&amp;height=120&amp;START_MAXIMIZED=FALSE&amp;creator=factset&amp;display_string=Audit"}</definedName>
    <definedName name="_2388__FDSAUDITLINK__" hidden="1">{"fdsup://Directions/FactSet Auditing Viewer?action=AUDIT_VALUE&amp;DB=129&amp;ID1=00752J10&amp;VALUEID=02001&amp;SDATE=200601&amp;PERIODTYPE=QTR_STD&amp;SCFT=3&amp;window=popup_no_bar&amp;width=385&amp;height=120&amp;START_MAXIMIZED=FALSE&amp;creator=factset&amp;display_string=Audit"}</definedName>
    <definedName name="_2389__FDSAUDITLINK__" hidden="1">{"fdsup://Directions/FactSet Auditing Viewer?action=AUDIT_VALUE&amp;DB=129&amp;ID1=98391910&amp;VALUEID=02001&amp;SDATE=200503&amp;PERIODTYPE=QTR_STD&amp;SCFT=3&amp;window=popup_no_bar&amp;width=385&amp;height=120&amp;START_MAXIMIZED=FALSE&amp;creator=factset&amp;display_string=Audit"}</definedName>
    <definedName name="_239__FDSAUDITLINK__" hidden="1">{"fdsup://Directions/FactSet Auditing Viewer?action=AUDIT_VALUE&amp;DB=129&amp;ID1=46069S10&amp;VALUEID=02001&amp;SDATE=201004&amp;PERIODTYPE=QTR_STD&amp;SCFT=3&amp;window=popup_no_bar&amp;width=385&amp;height=120&amp;START_MAXIMIZED=FALSE&amp;creator=factset&amp;display_string=Audit"}</definedName>
    <definedName name="_2390__FDSAUDITLINK__" hidden="1">{"fdsup://Directions/FactSet Auditing Viewer?action=AUDIT_VALUE&amp;DB=129&amp;ID1=98391910&amp;VALUEID=02001&amp;SDATE=200503&amp;PERIODTYPE=QTR_STD&amp;SCFT=3&amp;window=popup_no_bar&amp;width=385&amp;height=120&amp;START_MAXIMIZED=FALSE&amp;creator=factset&amp;display_string=Audit"}</definedName>
    <definedName name="_2391__FDSAUDITLINK__" hidden="1">{"fdsup://Directions/FactSet Auditing Viewer?action=AUDIT_VALUE&amp;DB=129&amp;ID1=95810210&amp;VALUEID=02001&amp;SDATE=200602&amp;PERIODTYPE=QTR_STD&amp;SCFT=3&amp;window=popup_no_bar&amp;width=385&amp;height=120&amp;START_MAXIMIZED=FALSE&amp;creator=factset&amp;display_string=Audit"}</definedName>
    <definedName name="_2392__FDSAUDITLINK__" hidden="1">{"fdsup://Directions/FactSet Auditing Viewer?action=AUDIT_VALUE&amp;DB=129&amp;ID1=95810210&amp;VALUEID=02001&amp;SDATE=200602&amp;PERIODTYPE=QTR_STD&amp;SCFT=3&amp;window=popup_no_bar&amp;width=385&amp;height=120&amp;START_MAXIMIZED=FALSE&amp;creator=factset&amp;display_string=Audit"}</definedName>
    <definedName name="_2393__FDSAUDITLINK__" hidden="1">{"fdsup://Directions/FactSet Auditing Viewer?action=AUDIT_VALUE&amp;DB=129&amp;ID1=92849730&amp;VALUEID=02001&amp;SDATE=200601&amp;PERIODTYPE=QTR_STD&amp;SCFT=3&amp;window=popup_no_bar&amp;width=385&amp;height=120&amp;START_MAXIMIZED=FALSE&amp;creator=factset&amp;display_string=Audit"}</definedName>
    <definedName name="_2394__FDSAUDITLINK__" hidden="1">{"fdsup://Directions/FactSet Auditing Viewer?action=AUDIT_VALUE&amp;DB=129&amp;ID1=92849730&amp;VALUEID=02001&amp;SDATE=200601&amp;PERIODTYPE=QTR_STD&amp;SCFT=3&amp;window=popup_no_bar&amp;width=385&amp;height=120&amp;START_MAXIMIZED=FALSE&amp;creator=factset&amp;display_string=Audit"}</definedName>
    <definedName name="_2395__FDSAUDITLINK__" hidden="1">{"fdsup://Directions/FactSet Auditing Viewer?action=AUDIT_VALUE&amp;DB=129&amp;ID1=83088M10&amp;VALUEID=02001&amp;SDATE=200601&amp;PERIODTYPE=QTR_STD&amp;SCFT=3&amp;window=popup_no_bar&amp;width=385&amp;height=120&amp;START_MAXIMIZED=FALSE&amp;creator=factset&amp;display_string=Audit"}</definedName>
    <definedName name="_2396__FDSAUDITLINK__" hidden="1">{"fdsup://Directions/FactSet Auditing Viewer?action=AUDIT_VALUE&amp;DB=129&amp;ID1=83088M10&amp;VALUEID=02001&amp;SDATE=200601&amp;PERIODTYPE=QTR_STD&amp;SCFT=3&amp;window=popup_no_bar&amp;width=385&amp;height=120&amp;START_MAXIMIZED=FALSE&amp;creator=factset&amp;display_string=Audit"}</definedName>
    <definedName name="_2397__FDSAUDITLINK__" hidden="1">{"fdsup://Directions/FactSet Auditing Viewer?action=AUDIT_VALUE&amp;DB=129&amp;ID1=G7945M10&amp;VALUEID=02001&amp;SDATE=200602&amp;PERIODTYPE=QTR_STD&amp;SCFT=3&amp;window=popup_no_bar&amp;width=385&amp;height=120&amp;START_MAXIMIZED=FALSE&amp;creator=factset&amp;display_string=Audit"}</definedName>
    <definedName name="_2398__FDSAUDITLINK__" hidden="1">{"fdsup://Directions/FactSet Auditing Viewer?action=AUDIT_VALUE&amp;DB=129&amp;ID1=G7945M10&amp;VALUEID=02001&amp;SDATE=200602&amp;PERIODTYPE=QTR_STD&amp;SCFT=3&amp;window=popup_no_bar&amp;width=385&amp;height=120&amp;START_MAXIMIZED=FALSE&amp;creator=factset&amp;display_string=Audit"}</definedName>
    <definedName name="_2399__FDSAUDITLINK__" hidden="1">{"fdsup://Directions/FactSet Auditing Viewer?action=AUDIT_VALUE&amp;DB=129&amp;ID1=87160710&amp;VALUEID=02001&amp;SDATE=200601&amp;PERIODTYPE=QTR_STD&amp;SCFT=3&amp;window=popup_no_bar&amp;width=385&amp;height=120&amp;START_MAXIMIZED=FALSE&amp;creator=factset&amp;display_string=Audit"}</definedName>
    <definedName name="_24__FDSAUDITLINK__" hidden="1">{"fdsup://directions/FAT Viewer?action=UPDATE&amp;creator=factset&amp;DYN_ARGS=TRUE&amp;DOC_NAME=FAT:FQL_AUDITING_CLIENT_TEMPLATE.FAT&amp;display_string=Audit&amp;VAR:KEY=QXUJULMNYZ&amp;VAR:QUERY=RkZfU0hTX0ZMT0FUKEFOTiw0MDg2Nik=&amp;WINDOW=FIRST_POPUP&amp;HEIGHT=450&amp;WIDTH=450&amp;START_MAXIMI","ZED=FALSE&amp;VAR:CALENDAR=US&amp;VAR:SYMBOL=LAS VEGAS SANDS&amp;VAR:INDEX=0"}</definedName>
    <definedName name="_240__FDSAUDITLINK__" hidden="1">{"fdsup://Directions/FactSet Auditing Viewer?action=AUDIT_VALUE&amp;DB=129&amp;ID1=46069S10&amp;VALUEID=02001&amp;SDATE=201004&amp;PERIODTYPE=QTR_STD&amp;SCFT=3&amp;window=popup_no_bar&amp;width=385&amp;height=120&amp;START_MAXIMIZED=FALSE&amp;creator=factset&amp;display_string=Audit"}</definedName>
    <definedName name="_2400__FDSAUDITLINK__" hidden="1">{"fdsup://Directions/FactSet Auditing Viewer?action=AUDIT_VALUE&amp;DB=129&amp;ID1=87160710&amp;VALUEID=02001&amp;SDATE=200601&amp;PERIODTYPE=QTR_STD&amp;SCFT=3&amp;window=popup_no_bar&amp;width=385&amp;height=120&amp;START_MAXIMIZED=FALSE&amp;creator=factset&amp;display_string=Audit"}</definedName>
    <definedName name="_2401__FDSAUDITLINK__" hidden="1">{"fdsup://Directions/FactSet Auditing Viewer?action=AUDIT_VALUE&amp;DB=129&amp;ID1=74994110&amp;VALUEID=02001&amp;SDATE=200503&amp;PERIODTYPE=QTR_STD&amp;SCFT=3&amp;window=popup_no_bar&amp;width=385&amp;height=120&amp;START_MAXIMIZED=FALSE&amp;creator=factset&amp;display_string=Audit"}</definedName>
    <definedName name="_2402__FDSAUDITLINK__" hidden="1">{"fdsup://Directions/FactSet Auditing Viewer?action=AUDIT_VALUE&amp;DB=129&amp;ID1=74994110&amp;VALUEID=02001&amp;SDATE=200503&amp;PERIODTYPE=QTR_STD&amp;SCFT=3&amp;window=popup_no_bar&amp;width=385&amp;height=120&amp;START_MAXIMIZED=FALSE&amp;creator=factset&amp;display_string=Audit"}</definedName>
    <definedName name="_2403__FDSAUDITLINK__" hidden="1">{"fdsup://Directions/FactSet Auditing Viewer?action=AUDIT_VALUE&amp;DB=129&amp;ID1=74727710&amp;VALUEID=02001&amp;SDATE=200503&amp;PERIODTYPE=QTR_STD&amp;SCFT=3&amp;window=popup_no_bar&amp;width=385&amp;height=120&amp;START_MAXIMIZED=FALSE&amp;creator=factset&amp;display_string=Audit"}</definedName>
    <definedName name="_2404__FDSAUDITLINK__" hidden="1">{"fdsup://Directions/FactSet Auditing Viewer?action=AUDIT_VALUE&amp;DB=129&amp;ID1=74727710&amp;VALUEID=02001&amp;SDATE=200503&amp;PERIODTYPE=QTR_STD&amp;SCFT=3&amp;window=popup_no_bar&amp;width=385&amp;height=120&amp;START_MAXIMIZED=FALSE&amp;creator=factset&amp;display_string=Audit"}</definedName>
    <definedName name="_2405__FDSAUDITLINK__" hidden="1">{"fdsup://Directions/FactSet Auditing Viewer?action=AUDIT_VALUE&amp;DB=129&amp;ID1=74752510&amp;VALUEID=02001&amp;SDATE=200601&amp;PERIODTYPE=QTR_STD&amp;SCFT=3&amp;window=popup_no_bar&amp;width=385&amp;height=120&amp;START_MAXIMIZED=FALSE&amp;creator=factset&amp;display_string=Audit"}</definedName>
    <definedName name="_2406__FDSAUDITLINK__" hidden="1">{"fdsup://Directions/FactSet Auditing Viewer?action=AUDIT_VALUE&amp;DB=129&amp;ID1=74752510&amp;VALUEID=02001&amp;SDATE=200601&amp;PERIODTYPE=QTR_STD&amp;SCFT=3&amp;window=popup_no_bar&amp;width=385&amp;height=120&amp;START_MAXIMIZED=FALSE&amp;creator=factset&amp;display_string=Audit"}</definedName>
    <definedName name="_2407__FDSAUDITLINK__" hidden="1">{"fdsup://Directions/FactSet Auditing Viewer?action=AUDIT_VALUE&amp;DB=129&amp;ID1=63764010&amp;VALUEID=02001&amp;SDATE=200502&amp;PERIODTYPE=QTR_STD&amp;SCFT=3&amp;window=popup_no_bar&amp;width=385&amp;height=120&amp;START_MAXIMIZED=FALSE&amp;creator=factset&amp;display_string=Audit"}</definedName>
    <definedName name="_2408__FDSAUDITLINK__" hidden="1">{"fdsup://Directions/FactSet Auditing Viewer?action=AUDIT_VALUE&amp;DB=129&amp;ID1=63764010&amp;VALUEID=02001&amp;SDATE=200502&amp;PERIODTYPE=QTR_STD&amp;SCFT=3&amp;window=popup_no_bar&amp;width=385&amp;height=120&amp;START_MAXIMIZED=FALSE&amp;creator=factset&amp;display_string=Audit"}</definedName>
    <definedName name="_2409__FDSAUDITLINK__" hidden="1">{"fdsup://Directions/FactSet Auditing Viewer?action=AUDIT_VALUE&amp;DB=129&amp;ID1=57772K10&amp;VALUEID=02001&amp;SDATE=200602&amp;PERIODTYPE=QTR_STD&amp;SCFT=3&amp;window=popup_no_bar&amp;width=385&amp;height=120&amp;START_MAXIMIZED=FALSE&amp;creator=factset&amp;display_string=Audit"}</definedName>
    <definedName name="_241__FDSAUDITLINK__" hidden="1">{"fdsup://Directions/FactSet Auditing Viewer?action=AUDIT_VALUE&amp;DB=129&amp;ID1=46025410&amp;VALUEID=02001&amp;SDATE=201102&amp;PERIODTYPE=QTR_STD&amp;SCFT=3&amp;window=popup_no_bar&amp;width=385&amp;height=120&amp;START_MAXIMIZED=FALSE&amp;creator=factset&amp;display_string=Audit"}</definedName>
    <definedName name="_2410__FDSAUDITLINK__" hidden="1">{"fdsup://Directions/FactSet Auditing Viewer?action=AUDIT_VALUE&amp;DB=129&amp;ID1=57772K10&amp;VALUEID=02001&amp;SDATE=200602&amp;PERIODTYPE=QTR_STD&amp;SCFT=3&amp;window=popup_no_bar&amp;width=385&amp;height=120&amp;START_MAXIMIZED=FALSE&amp;creator=factset&amp;display_string=Audit"}</definedName>
    <definedName name="_2411__FDSAUDITLINK__" hidden="1">{"fdsup://Directions/FactSet Auditing Viewer?action=AUDIT_VALUE&amp;DB=129&amp;ID1=59511210&amp;VALUEID=02001&amp;SDATE=200601&amp;PERIODTYPE=QTR_STD&amp;SCFT=3&amp;window=popup_no_bar&amp;width=385&amp;height=120&amp;START_MAXIMIZED=FALSE&amp;creator=factset&amp;display_string=Audit"}</definedName>
    <definedName name="_2412__FDSAUDITLINK__" hidden="1">{"fdsup://Directions/FactSet Auditing Viewer?action=AUDIT_VALUE&amp;DB=129&amp;ID1=59511210&amp;VALUEID=02001&amp;SDATE=200601&amp;PERIODTYPE=QTR_STD&amp;SCFT=3&amp;window=popup_no_bar&amp;width=385&amp;height=120&amp;START_MAXIMIZED=FALSE&amp;creator=factset&amp;display_string=Audit"}</definedName>
    <definedName name="_2413__FDSAUDITLINK__" hidden="1">{"fdsup://Directions/FactSet Auditing Viewer?action=AUDIT_VALUE&amp;DB=129&amp;ID1=59513710&amp;VALUEID=02001&amp;SDATE=200601&amp;PERIODTYPE=QTR_STD&amp;SCFT=3&amp;window=popup_no_bar&amp;width=385&amp;height=120&amp;START_MAXIMIZED=FALSE&amp;creator=factset&amp;display_string=Audit"}</definedName>
    <definedName name="_2414__FDSAUDITLINK__" hidden="1">{"fdsup://Directions/FactSet Auditing Viewer?action=AUDIT_VALUE&amp;DB=129&amp;ID1=59513710&amp;VALUEID=02001&amp;SDATE=200601&amp;PERIODTYPE=QTR_STD&amp;SCFT=3&amp;window=popup_no_bar&amp;width=385&amp;height=120&amp;START_MAXIMIZED=FALSE&amp;creator=factset&amp;display_string=Audit"}</definedName>
    <definedName name="_2415__FDSAUDITLINK__" hidden="1">{"fdsup://Directions/FactSet Auditing Viewer?action=AUDIT_VALUE&amp;DB=129&amp;ID1=60456710&amp;VALUEID=02001&amp;SDATE=200602&amp;PERIODTYPE=QTR_STD&amp;SCFT=3&amp;window=popup_no_bar&amp;width=385&amp;height=120&amp;START_MAXIMIZED=FALSE&amp;creator=factset&amp;display_string=Audit"}</definedName>
    <definedName name="_2416__FDSAUDITLINK__" hidden="1">{"fdsup://Directions/FactSet Auditing Viewer?action=AUDIT_VALUE&amp;DB=129&amp;ID1=60456710&amp;VALUEID=02001&amp;SDATE=200602&amp;PERIODTYPE=QTR_STD&amp;SCFT=3&amp;window=popup_no_bar&amp;width=385&amp;height=120&amp;START_MAXIMIZED=FALSE&amp;creator=factset&amp;display_string=Audit"}</definedName>
    <definedName name="_2417__FDSAUDITLINK__" hidden="1">{"fdsup://Directions/FactSet Auditing Viewer?action=AUDIT_VALUE&amp;DB=129&amp;ID1=59501710&amp;VALUEID=02001&amp;SDATE=200503&amp;PERIODTYPE=QTR_STD&amp;SCFT=3&amp;window=popup_no_bar&amp;width=385&amp;height=120&amp;START_MAXIMIZED=FALSE&amp;creator=factset&amp;display_string=Audit"}</definedName>
    <definedName name="_2418__FDSAUDITLINK__" hidden="1">{"fdsup://Directions/FactSet Auditing Viewer?action=AUDIT_VALUE&amp;DB=129&amp;ID1=59501710&amp;VALUEID=02001&amp;SDATE=200503&amp;PERIODTYPE=QTR_STD&amp;SCFT=3&amp;window=popup_no_bar&amp;width=385&amp;height=120&amp;START_MAXIMIZED=FALSE&amp;creator=factset&amp;display_string=Audit"}</definedName>
    <definedName name="_2419__FDSAUDITLINK__" hidden="1">{"fdsup://Directions/FactSet Auditing Viewer?action=AUDIT_VALUE&amp;DB=129&amp;ID1=51280710&amp;VALUEID=02001&amp;SDATE=200602&amp;PERIODTYPE=QTR_STD&amp;SCFT=3&amp;window=popup_no_bar&amp;width=385&amp;height=120&amp;START_MAXIMIZED=FALSE&amp;creator=factset&amp;display_string=Audit"}</definedName>
    <definedName name="_242__FDSAUDITLINK__" hidden="1">{"fdsup://Directions/FactSet Auditing Viewer?action=AUDIT_VALUE&amp;DB=129&amp;ID1=46025410&amp;VALUEID=02001&amp;SDATE=201102&amp;PERIODTYPE=QTR_STD&amp;SCFT=3&amp;window=popup_no_bar&amp;width=385&amp;height=120&amp;START_MAXIMIZED=FALSE&amp;creator=factset&amp;display_string=Audit"}</definedName>
    <definedName name="_2420__FDSAUDITLINK__" hidden="1">{"fdsup://Directions/FactSet Auditing Viewer?action=AUDIT_VALUE&amp;DB=129&amp;ID1=51280710&amp;VALUEID=02001&amp;SDATE=200602&amp;PERIODTYPE=QTR_STD&amp;SCFT=3&amp;window=popup_no_bar&amp;width=385&amp;height=120&amp;START_MAXIMIZED=FALSE&amp;creator=factset&amp;display_string=Audit"}</definedName>
    <definedName name="_2421__FDSAUDITLINK__" hidden="1">{"fdsup://Directions/FactSet Auditing Viewer?action=AUDIT_VALUE&amp;DB=129&amp;ID1=53567810&amp;VALUEID=02001&amp;SDATE=200602&amp;PERIODTYPE=QTR_STD&amp;SCFT=3&amp;window=popup_no_bar&amp;width=385&amp;height=120&amp;START_MAXIMIZED=FALSE&amp;creator=factset&amp;display_string=Audit"}</definedName>
    <definedName name="_2422__FDSAUDITLINK__" hidden="1">{"fdsup://Directions/FactSet Auditing Viewer?action=AUDIT_VALUE&amp;DB=129&amp;ID1=53567810&amp;VALUEID=02001&amp;SDATE=200602&amp;PERIODTYPE=QTR_STD&amp;SCFT=3&amp;window=popup_no_bar&amp;width=385&amp;height=120&amp;START_MAXIMIZED=FALSE&amp;creator=factset&amp;display_string=Audit"}</definedName>
    <definedName name="_2423__FDSAUDITLINK__" hidden="1">{"fdsup://Directions/FactSet Auditing Viewer?action=AUDIT_VALUE&amp;DB=129&amp;ID1=48248010&amp;VALUEID=02001&amp;SDATE=200602&amp;PERIODTYPE=QTR_STD&amp;SCFT=3&amp;window=popup_no_bar&amp;width=385&amp;height=120&amp;START_MAXIMIZED=FALSE&amp;creator=factset&amp;display_string=Audit"}</definedName>
    <definedName name="_2424__FDSAUDITLINK__" hidden="1">{"fdsup://Directions/FactSet Auditing Viewer?action=AUDIT_VALUE&amp;DB=129&amp;ID1=48248010&amp;VALUEID=02001&amp;SDATE=200602&amp;PERIODTYPE=QTR_STD&amp;SCFT=3&amp;window=popup_no_bar&amp;width=385&amp;height=120&amp;START_MAXIMIZED=FALSE&amp;creator=factset&amp;display_string=Audit"}</definedName>
    <definedName name="_2425__FDSAUDITLINK__" hidden="1">{"fdsup://Directions/FactSet Auditing Viewer?action=AUDIT_VALUE&amp;DB=129&amp;ID1=48836020&amp;VALUEID=02001&amp;SDATE=200503&amp;PERIODTYPE=QTR_STD&amp;SCFT=3&amp;window=popup_no_bar&amp;width=385&amp;height=120&amp;START_MAXIMIZED=FALSE&amp;creator=factset&amp;display_string=Audit"}</definedName>
    <definedName name="_2426__FDSAUDITLINK__" hidden="1">{"fdsup://Directions/FactSet Auditing Viewer?action=AUDIT_VALUE&amp;DB=129&amp;ID1=48836020&amp;VALUEID=02001&amp;SDATE=200503&amp;PERIODTYPE=QTR_STD&amp;SCFT=3&amp;window=popup_no_bar&amp;width=385&amp;height=120&amp;START_MAXIMIZED=FALSE&amp;creator=factset&amp;display_string=Audit"}</definedName>
    <definedName name="_2427__FDSAUDITLINK__" hidden="1">{"fdsup://Directions/FactSet Auditing Viewer?action=AUDIT_VALUE&amp;DB=129&amp;ID1=86681020&amp;VALUEID=02001&amp;SDATE=200602&amp;PERIODTYPE=QTR_STD&amp;SCFT=3&amp;window=popup_no_bar&amp;width=385&amp;height=120&amp;START_MAXIMIZED=FALSE&amp;creator=factset&amp;display_string=Audit"}</definedName>
    <definedName name="_2428__FDSAUDITLINK__" hidden="1">{"fdsup://Directions/FactSet Auditing Viewer?action=AUDIT_VALUE&amp;DB=129&amp;ID1=86681020&amp;VALUEID=02001&amp;SDATE=200602&amp;PERIODTYPE=QTR_STD&amp;SCFT=3&amp;window=popup_no_bar&amp;width=385&amp;height=120&amp;START_MAXIMIZED=FALSE&amp;creator=factset&amp;display_string=Audit"}</definedName>
    <definedName name="_2429__FDSAUDITLINK__" hidden="1">{"fdsup://Directions/FactSet Auditing Viewer?action=AUDIT_VALUE&amp;DB=129&amp;ID1=46025410&amp;VALUEID=02001&amp;SDATE=200602&amp;PERIODTYPE=QTR_STD&amp;SCFT=3&amp;window=popup_no_bar&amp;width=385&amp;height=120&amp;START_MAXIMIZED=FALSE&amp;creator=factset&amp;display_string=Audit"}</definedName>
    <definedName name="_243__FDSAUDITLINK__" hidden="1">{"fdsup://Directions/FactSet Auditing Viewer?action=AUDIT_VALUE&amp;DB=129&amp;ID1=45772F10&amp;VALUEID=02001&amp;SDATE=201004&amp;PERIODTYPE=QTR_STD&amp;SCFT=3&amp;window=popup_no_bar&amp;width=385&amp;height=120&amp;START_MAXIMIZED=FALSE&amp;creator=factset&amp;display_string=Audit"}</definedName>
    <definedName name="_2430__FDSAUDITLINK__" hidden="1">{"fdsup://Directions/FactSet Auditing Viewer?action=AUDIT_VALUE&amp;DB=129&amp;ID1=46025410&amp;VALUEID=02001&amp;SDATE=200602&amp;PERIODTYPE=QTR_STD&amp;SCFT=3&amp;window=popup_no_bar&amp;width=385&amp;height=120&amp;START_MAXIMIZED=FALSE&amp;creator=factset&amp;display_string=Audit"}</definedName>
    <definedName name="_2431__FDSAUDITLINK__" hidden="1">{"fdsup://Directions/FactSet Auditing Viewer?action=AUDIT_VALUE&amp;DB=129&amp;ID1=45811810&amp;VALUEID=02001&amp;SDATE=200503&amp;PERIODTYPE=QTR_STD&amp;SCFT=3&amp;window=popup_no_bar&amp;width=385&amp;height=120&amp;START_MAXIMIZED=FALSE&amp;creator=factset&amp;display_string=Audit"}</definedName>
    <definedName name="_2432__FDSAUDITLINK__" hidden="1">{"fdsup://Directions/FactSet Auditing Viewer?action=AUDIT_VALUE&amp;DB=129&amp;ID1=45811810&amp;VALUEID=02001&amp;SDATE=200503&amp;PERIODTYPE=QTR_STD&amp;SCFT=3&amp;window=popup_no_bar&amp;width=385&amp;height=120&amp;START_MAXIMIZED=FALSE&amp;creator=factset&amp;display_string=Audit"}</definedName>
    <definedName name="_2433__FDSAUDITLINK__" hidden="1">{"fdsup://Directions/FactSet Auditing Viewer?action=AUDIT_VALUE&amp;DB=129&amp;ID1=42823610&amp;VALUEID=02001&amp;SDATE=200601&amp;PERIODTYPE=QTR_STD&amp;SCFT=3&amp;window=popup_no_bar&amp;width=385&amp;height=120&amp;START_MAXIMIZED=FALSE&amp;creator=factset&amp;display_string=Audit"}</definedName>
    <definedName name="_2434__FDSAUDITLINK__" hidden="1">{"fdsup://Directions/FactSet Auditing Viewer?action=AUDIT_VALUE&amp;DB=129&amp;ID1=42823610&amp;VALUEID=02001&amp;SDATE=200601&amp;PERIODTYPE=QTR_STD&amp;SCFT=3&amp;window=popup_no_bar&amp;width=385&amp;height=120&amp;START_MAXIMIZED=FALSE&amp;creator=factset&amp;display_string=Audit"}</definedName>
    <definedName name="_2435__FDSAUDITLINK__" hidden="1">{"fdsup://Directions/FactSet Auditing Viewer?action=AUDIT_VALUE&amp;DB=129&amp;ID1=31561610&amp;VALUEID=02001&amp;SDATE=200601&amp;PERIODTYPE=QTR_STD&amp;SCFT=3&amp;window=popup_no_bar&amp;width=385&amp;height=120&amp;START_MAXIMIZED=FALSE&amp;creator=factset&amp;display_string=Audit"}</definedName>
    <definedName name="_2436__FDSAUDITLINK__" hidden="1">{"fdsup://Directions/FactSet Auditing Viewer?action=AUDIT_VALUE&amp;DB=129&amp;ID1=31561610&amp;VALUEID=02001&amp;SDATE=200601&amp;PERIODTYPE=QTR_STD&amp;SCFT=3&amp;window=popup_no_bar&amp;width=385&amp;height=120&amp;START_MAXIMIZED=FALSE&amp;creator=factset&amp;display_string=Audit"}</definedName>
    <definedName name="_2437__FDSAUDITLINK__" hidden="1">{"fdsup://Directions/FactSet Auditing Viewer?action=AUDIT_VALUE&amp;DB=129&amp;ID1=29247520&amp;VALUEID=02001&amp;SDATE=200602&amp;PERIODTYPE=QTR_STD&amp;SCFT=3&amp;window=popup_no_bar&amp;width=385&amp;height=120&amp;START_MAXIMIZED=FALSE&amp;creator=factset&amp;display_string=Audit"}</definedName>
    <definedName name="_2438__FDSAUDITLINK__" hidden="1">{"fdsup://Directions/FactSet Auditing Viewer?action=AUDIT_VALUE&amp;DB=129&amp;ID1=29247520&amp;VALUEID=02001&amp;SDATE=200602&amp;PERIODTYPE=QTR_STD&amp;SCFT=3&amp;window=popup_no_bar&amp;width=385&amp;height=120&amp;START_MAXIMIZED=FALSE&amp;creator=factset&amp;display_string=Audit"}</definedName>
    <definedName name="_2439__FDSAUDITLINK__" hidden="1">{"fdsup://Directions/FactSet Auditing Viewer?action=AUDIT_VALUE&amp;DB=129&amp;ID1=17275R10&amp;VALUEID=02001&amp;SDATE=200602&amp;PERIODTYPE=QTR_STD&amp;SCFT=3&amp;window=popup_no_bar&amp;width=385&amp;height=120&amp;START_MAXIMIZED=FALSE&amp;creator=factset&amp;display_string=Audit"}</definedName>
    <definedName name="_244__FDSAUDITLINK__" hidden="1">{"fdsup://Directions/FactSet Auditing Viewer?action=AUDIT_VALUE&amp;DB=129&amp;ID1=45772F10&amp;VALUEID=02001&amp;SDATE=201004&amp;PERIODTYPE=QTR_STD&amp;SCFT=3&amp;window=popup_no_bar&amp;width=385&amp;height=120&amp;START_MAXIMIZED=FALSE&amp;creator=factset&amp;display_string=Audit"}</definedName>
    <definedName name="_2440__FDSAUDITLINK__" hidden="1">{"fdsup://Directions/FactSet Auditing Viewer?action=AUDIT_VALUE&amp;DB=129&amp;ID1=17275R10&amp;VALUEID=02001&amp;SDATE=200602&amp;PERIODTYPE=QTR_STD&amp;SCFT=3&amp;window=popup_no_bar&amp;width=385&amp;height=120&amp;START_MAXIMIZED=FALSE&amp;creator=factset&amp;display_string=Audit"}</definedName>
    <definedName name="_2441__FDSAUDITLINK__" hidden="1">{"fdsup://Directions/FactSet Auditing Viewer?action=AUDIT_VALUE&amp;DB=129&amp;ID1=22544710&amp;VALUEID=02001&amp;SDATE=200602&amp;PERIODTYPE=QTR_STD&amp;SCFT=3&amp;window=popup_no_bar&amp;width=385&amp;height=120&amp;START_MAXIMIZED=FALSE&amp;creator=factset&amp;display_string=Audit"}</definedName>
    <definedName name="_2442__FDSAUDITLINK__" hidden="1">{"fdsup://Directions/FactSet Auditing Viewer?action=AUDIT_VALUE&amp;DB=129&amp;ID1=22544710&amp;VALUEID=02001&amp;SDATE=200602&amp;PERIODTYPE=QTR_STD&amp;SCFT=3&amp;window=popup_no_bar&amp;width=385&amp;height=120&amp;START_MAXIMIZED=FALSE&amp;creator=factset&amp;display_string=Audit"}</definedName>
    <definedName name="_2443__FDSAUDITLINK__" hidden="1">{"fdsup://Directions/FactSet Auditing Viewer?action=AUDIT_VALUE&amp;DB=129&amp;ID1=12738710&amp;VALUEID=02001&amp;SDATE=200504&amp;PERIODTYPE=QTR_STD&amp;SCFT=3&amp;window=popup_no_bar&amp;width=385&amp;height=120&amp;START_MAXIMIZED=FALSE&amp;creator=factset&amp;display_string=Audit"}</definedName>
    <definedName name="_2444__FDSAUDITLINK__" hidden="1">{"fdsup://Directions/FactSet Auditing Viewer?action=AUDIT_VALUE&amp;DB=129&amp;ID1=12738710&amp;VALUEID=02001&amp;SDATE=200504&amp;PERIODTYPE=QTR_STD&amp;SCFT=3&amp;window=popup_no_bar&amp;width=385&amp;height=120&amp;START_MAXIMIZED=FALSE&amp;creator=factset&amp;display_string=Audit"}</definedName>
    <definedName name="_2445__FDSAUDITLINK__" hidden="1">{"fdsup://Directions/FactSet Auditing Viewer?action=AUDIT_VALUE&amp;DB=129&amp;ID1=11162130&amp;VALUEID=02001&amp;SDATE=200601&amp;PERIODTYPE=QTR_STD&amp;SCFT=3&amp;window=popup_no_bar&amp;width=385&amp;height=120&amp;START_MAXIMIZED=FALSE&amp;creator=factset&amp;display_string=Audit"}</definedName>
    <definedName name="_2446__FDSAUDITLINK__" hidden="1">{"fdsup://Directions/FactSet Auditing Viewer?action=AUDIT_VALUE&amp;DB=129&amp;ID1=11162130&amp;VALUEID=02001&amp;SDATE=200601&amp;PERIODTYPE=QTR_STD&amp;SCFT=3&amp;window=popup_no_bar&amp;width=385&amp;height=120&amp;START_MAXIMIZED=FALSE&amp;creator=factset&amp;display_string=Audit"}</definedName>
    <definedName name="_2447__FDSAUDITLINK__" hidden="1">{"fdsup://Directions/FactSet Auditing Viewer?action=AUDIT_VALUE&amp;DB=129&amp;ID1=03822W40&amp;VALUEID=02001&amp;SDATE=200503&amp;PERIODTYPE=QTR_STD&amp;SCFT=3&amp;window=popup_no_bar&amp;width=385&amp;height=120&amp;START_MAXIMIZED=FALSE&amp;creator=factset&amp;display_string=Audit"}</definedName>
    <definedName name="_2448__FDSAUDITLINK__" hidden="1">{"fdsup://Directions/FactSet Auditing Viewer?action=AUDIT_VALUE&amp;DB=129&amp;ID1=03822W40&amp;VALUEID=02001&amp;SDATE=200503&amp;PERIODTYPE=QTR_STD&amp;SCFT=3&amp;window=popup_no_bar&amp;width=385&amp;height=120&amp;START_MAXIMIZED=FALSE&amp;creator=factset&amp;display_string=Audit"}</definedName>
    <definedName name="_2449__FDSAUDITLINK__" hidden="1">{"fdsup://Directions/FactSet Auditing Viewer?action=AUDIT_VALUE&amp;DB=129&amp;ID1=03822210&amp;VALUEID=02001&amp;SDATE=200601&amp;PERIODTYPE=QTR_STD&amp;SCFT=3&amp;window=popup_no_bar&amp;width=385&amp;height=120&amp;START_MAXIMIZED=FALSE&amp;creator=factset&amp;display_string=Audit"}</definedName>
    <definedName name="_245__FDSAUDITLINK__" hidden="1">{"fdsup://Directions/FactSet Auditing Viewer?action=AUDIT_VALUE&amp;DB=129&amp;ID1=45814010&amp;VALUEID=02001&amp;SDATE=201004&amp;PERIODTYPE=QTR_STD&amp;SCFT=3&amp;window=popup_no_bar&amp;width=385&amp;height=120&amp;START_MAXIMIZED=FALSE&amp;creator=factset&amp;display_string=Audit"}</definedName>
    <definedName name="_2450__FDSAUDITLINK__" hidden="1">{"fdsup://Directions/FactSet Auditing Viewer?action=AUDIT_VALUE&amp;DB=129&amp;ID1=03822210&amp;VALUEID=02001&amp;SDATE=200601&amp;PERIODTYPE=QTR_STD&amp;SCFT=3&amp;window=popup_no_bar&amp;width=385&amp;height=120&amp;START_MAXIMIZED=FALSE&amp;creator=factset&amp;display_string=Audit"}</definedName>
    <definedName name="_2451__FDSAUDITLINK__" hidden="1">{"fdsup://Directions/FactSet Auditing Viewer?action=AUDIT_VALUE&amp;DB=129&amp;ID1=03265410&amp;VALUEID=02001&amp;SDATE=200601&amp;PERIODTYPE=QTR_STD&amp;SCFT=3&amp;window=popup_no_bar&amp;width=385&amp;height=120&amp;START_MAXIMIZED=FALSE&amp;creator=factset&amp;display_string=Audit"}</definedName>
    <definedName name="_2452__FDSAUDITLINK__" hidden="1">{"fdsup://Directions/FactSet Auditing Viewer?action=AUDIT_VALUE&amp;DB=129&amp;ID1=03265410&amp;VALUEID=02001&amp;SDATE=200601&amp;PERIODTYPE=QTR_STD&amp;SCFT=3&amp;window=popup_no_bar&amp;width=385&amp;height=120&amp;START_MAXIMIZED=FALSE&amp;creator=factset&amp;display_string=Audit"}</definedName>
    <definedName name="_2453__FDSAUDITLINK__" hidden="1">{"fdsup://Directions/FactSet Auditing Viewer?action=AUDIT_VALUE&amp;DB=129&amp;ID1=98975F10&amp;VALUEID=02001&amp;SDATE=200503&amp;PERIODTYPE=QTR_STD&amp;SCFT=3&amp;window=popup_no_bar&amp;width=385&amp;height=120&amp;START_MAXIMIZED=FALSE&amp;creator=factset&amp;display_string=Audit"}</definedName>
    <definedName name="_2454__FDSAUDITLINK__" hidden="1">{"fdsup://Directions/FactSet Auditing Viewer?action=AUDIT_VALUE&amp;DB=129&amp;ID1=98975F10&amp;VALUEID=02001&amp;SDATE=200503&amp;PERIODTYPE=QTR_STD&amp;SCFT=3&amp;window=popup_no_bar&amp;width=385&amp;height=120&amp;START_MAXIMIZED=FALSE&amp;creator=factset&amp;display_string=Audit"}</definedName>
    <definedName name="_2455__FDSAUDITLINK__" hidden="1">{"fdsup://Directions/FactSet Auditing Viewer?action=AUDIT_VALUE&amp;DB=129&amp;ID1=98391910&amp;VALUEID=02001&amp;SDATE=200502&amp;PERIODTYPE=QTR_STD&amp;SCFT=3&amp;window=popup_no_bar&amp;width=385&amp;height=120&amp;START_MAXIMIZED=FALSE&amp;creator=factset&amp;display_string=Audit"}</definedName>
    <definedName name="_2456__FDSAUDITLINK__" hidden="1">{"fdsup://Directions/FactSet Auditing Viewer?action=AUDIT_VALUE&amp;DB=129&amp;ID1=98391910&amp;VALUEID=02001&amp;SDATE=200502&amp;PERIODTYPE=QTR_STD&amp;SCFT=3&amp;window=popup_no_bar&amp;width=385&amp;height=120&amp;START_MAXIMIZED=FALSE&amp;creator=factset&amp;display_string=Audit"}</definedName>
    <definedName name="_2457__FDSAUDITLINK__" hidden="1">{"fdsup://Directions/FactSet Auditing Viewer?action=AUDIT_VALUE&amp;DB=129&amp;ID1=95810210&amp;VALUEID=02001&amp;SDATE=200601&amp;PERIODTYPE=QTR_STD&amp;SCFT=3&amp;window=popup_no_bar&amp;width=385&amp;height=120&amp;START_MAXIMIZED=FALSE&amp;creator=factset&amp;display_string=Audit"}</definedName>
    <definedName name="_2458__FDSAUDITLINK__" hidden="1">{"fdsup://Directions/FactSet Auditing Viewer?action=AUDIT_VALUE&amp;DB=129&amp;ID1=95810210&amp;VALUEID=02001&amp;SDATE=200601&amp;PERIODTYPE=QTR_STD&amp;SCFT=3&amp;window=popup_no_bar&amp;width=385&amp;height=120&amp;START_MAXIMIZED=FALSE&amp;creator=factset&amp;display_string=Audit"}</definedName>
    <definedName name="_2459__FDSAUDITLINK__" hidden="1">{"fdsup://Directions/FactSet Auditing Viewer?action=AUDIT_VALUE&amp;DB=129&amp;ID1=88250810&amp;VALUEID=02001&amp;SDATE=200503&amp;PERIODTYPE=QTR_STD&amp;SCFT=3&amp;window=popup_no_bar&amp;width=385&amp;height=120&amp;START_MAXIMIZED=FALSE&amp;creator=factset&amp;display_string=Audit"}</definedName>
    <definedName name="_246__FDSAUDITLINK__" hidden="1">{"fdsup://Directions/FactSet Auditing Viewer?action=AUDIT_VALUE&amp;DB=129&amp;ID1=45814010&amp;VALUEID=02001&amp;SDATE=201004&amp;PERIODTYPE=QTR_STD&amp;SCFT=3&amp;window=popup_no_bar&amp;width=385&amp;height=120&amp;START_MAXIMIZED=FALSE&amp;creator=factset&amp;display_string=Audit"}</definedName>
    <definedName name="_2460__FDSAUDITLINK__" hidden="1">{"fdsup://Directions/FactSet Auditing Viewer?action=AUDIT_VALUE&amp;DB=129&amp;ID1=88250810&amp;VALUEID=02001&amp;SDATE=200503&amp;PERIODTYPE=QTR_STD&amp;SCFT=3&amp;window=popup_no_bar&amp;width=385&amp;height=120&amp;START_MAXIMIZED=FALSE&amp;creator=factset&amp;display_string=Audit"}</definedName>
    <definedName name="_2461__FDSAUDITLINK__" hidden="1">{"fdsup://Directions/FactSet Auditing Viewer?action=AUDIT_VALUE&amp;DB=129&amp;ID1=G7945M10&amp;VALUEID=02001&amp;SDATE=200601&amp;PERIODTYPE=QTR_STD&amp;SCFT=3&amp;window=popup_no_bar&amp;width=385&amp;height=120&amp;START_MAXIMIZED=FALSE&amp;creator=factset&amp;display_string=Audit"}</definedName>
    <definedName name="_2462__FDSAUDITLINK__" hidden="1">{"fdsup://Directions/FactSet Auditing Viewer?action=AUDIT_VALUE&amp;DB=129&amp;ID1=G7945M10&amp;VALUEID=02001&amp;SDATE=200601&amp;PERIODTYPE=QTR_STD&amp;SCFT=3&amp;window=popup_no_bar&amp;width=385&amp;height=120&amp;START_MAXIMIZED=FALSE&amp;creator=factset&amp;display_string=Audit"}</definedName>
    <definedName name="_2463__FDSAUDITLINK__" hidden="1">{"fdsup://Directions/FactSet Auditing Viewer?action=AUDIT_VALUE&amp;DB=129&amp;ID1=78477410&amp;VALUEID=02001&amp;SDATE=200503&amp;PERIODTYPE=QTR_STD&amp;SCFT=3&amp;window=popup_no_bar&amp;width=385&amp;height=120&amp;START_MAXIMIZED=FALSE&amp;creator=factset&amp;display_string=Audit"}</definedName>
    <definedName name="_2464__FDSAUDITLINK__" hidden="1">{"fdsup://Directions/FactSet Auditing Viewer?action=AUDIT_VALUE&amp;DB=129&amp;ID1=78477410&amp;VALUEID=02001&amp;SDATE=200503&amp;PERIODTYPE=QTR_STD&amp;SCFT=3&amp;window=popup_no_bar&amp;width=385&amp;height=120&amp;START_MAXIMIZED=FALSE&amp;creator=factset&amp;display_string=Audit"}</definedName>
    <definedName name="_2465__FDSAUDITLINK__" hidden="1">{"fdsup://Directions/FactSet Auditing Viewer?action=AUDIT_VALUE&amp;DB=129&amp;ID1=83547010&amp;VALUEID=02001&amp;SDATE=200503&amp;PERIODTYPE=QTR_STD&amp;SCFT=3&amp;window=popup_no_bar&amp;width=385&amp;height=120&amp;START_MAXIMIZED=FALSE&amp;creator=factset&amp;display_string=Audit"}</definedName>
    <definedName name="_2466__FDSAUDITLINK__" hidden="1">{"fdsup://Directions/FactSet Auditing Viewer?action=AUDIT_VALUE&amp;DB=129&amp;ID1=83547010&amp;VALUEID=02001&amp;SDATE=200503&amp;PERIODTYPE=QTR_STD&amp;SCFT=3&amp;window=popup_no_bar&amp;width=385&amp;height=120&amp;START_MAXIMIZED=FALSE&amp;creator=factset&amp;display_string=Audit"}</definedName>
    <definedName name="_2467__FDSAUDITLINK__" hidden="1">{"fdsup://Directions/FactSet Auditing Viewer?action=AUDIT_VALUE&amp;DB=129&amp;ID1=80004C10&amp;VALUEID=02001&amp;SDATE=200503&amp;PERIODTYPE=QTR_STD&amp;SCFT=3&amp;window=popup_no_bar&amp;width=385&amp;height=120&amp;START_MAXIMIZED=FALSE&amp;creator=factset&amp;display_string=Audit"}</definedName>
    <definedName name="_2468__FDSAUDITLINK__" hidden="1">{"fdsup://Directions/FactSet Auditing Viewer?action=AUDIT_VALUE&amp;DB=129&amp;ID1=80004C10&amp;VALUEID=02001&amp;SDATE=200503&amp;PERIODTYPE=QTR_STD&amp;SCFT=3&amp;window=popup_no_bar&amp;width=385&amp;height=120&amp;START_MAXIMIZED=FALSE&amp;creator=factset&amp;display_string=Audit"}</definedName>
    <definedName name="_2469__FDSAUDITLINK__" hidden="1">{"fdsup://Directions/FactSet Auditing Viewer?action=AUDIT_VALUE&amp;DB=129&amp;ID1=81685010&amp;VALUEID=02001&amp;SDATE=200503&amp;PERIODTYPE=QTR_STD&amp;SCFT=3&amp;window=popup_no_bar&amp;width=385&amp;height=120&amp;START_MAXIMIZED=FALSE&amp;creator=factset&amp;display_string=Audit"}</definedName>
    <definedName name="_247__FDSAUDITLINK__" hidden="1">{"fdsup://Directions/FactSet Auditing Viewer?action=AUDIT_VALUE&amp;DB=129&amp;ID1=45811810&amp;VALUEID=02001&amp;SDATE=201003&amp;PERIODTYPE=QTR_STD&amp;SCFT=3&amp;window=popup_no_bar&amp;width=385&amp;height=120&amp;START_MAXIMIZED=FALSE&amp;creator=factset&amp;display_string=Audit"}</definedName>
    <definedName name="_2470__FDSAUDITLINK__" hidden="1">{"fdsup://Directions/FactSet Auditing Viewer?action=AUDIT_VALUE&amp;DB=129&amp;ID1=81685010&amp;VALUEID=02001&amp;SDATE=200503&amp;PERIODTYPE=QTR_STD&amp;SCFT=3&amp;window=popup_no_bar&amp;width=385&amp;height=120&amp;START_MAXIMIZED=FALSE&amp;creator=factset&amp;display_string=Audit"}</definedName>
    <definedName name="_2471__FDSAUDITLINK__" hidden="1">{"fdsup://Directions/FactSet Auditing Viewer?action=AUDIT_VALUE&amp;DB=129&amp;ID1=82691910&amp;VALUEID=02001&amp;SDATE=200503&amp;PERIODTYPE=QTR_STD&amp;SCFT=3&amp;window=popup_no_bar&amp;width=385&amp;height=120&amp;START_MAXIMIZED=FALSE&amp;creator=factset&amp;display_string=Audit"}</definedName>
    <definedName name="_2472__FDSAUDITLINK__" hidden="1">{"fdsup://Directions/FactSet Auditing Viewer?action=AUDIT_VALUE&amp;DB=129&amp;ID1=82691910&amp;VALUEID=02001&amp;SDATE=200503&amp;PERIODTYPE=QTR_STD&amp;SCFT=3&amp;window=popup_no_bar&amp;width=385&amp;height=120&amp;START_MAXIMIZED=FALSE&amp;creator=factset&amp;display_string=Audit"}</definedName>
    <definedName name="_2473__FDSAUDITLINK__" hidden="1">{"fdsup://Directions/FactSet Auditing Viewer?action=AUDIT_VALUE&amp;DB=129&amp;ID1=82705T10&amp;VALUEID=02001&amp;SDATE=200503&amp;PERIODTYPE=QTR_STD&amp;SCFT=3&amp;window=popup_no_bar&amp;width=385&amp;height=120&amp;START_MAXIMIZED=FALSE&amp;creator=factset&amp;display_string=Audit"}</definedName>
    <definedName name="_2474__FDSAUDITLINK__" hidden="1">{"fdsup://Directions/FactSet Auditing Viewer?action=AUDIT_VALUE&amp;DB=129&amp;ID1=82705T10&amp;VALUEID=02001&amp;SDATE=200503&amp;PERIODTYPE=QTR_STD&amp;SCFT=3&amp;window=popup_no_bar&amp;width=385&amp;height=120&amp;START_MAXIMIZED=FALSE&amp;creator=factset&amp;display_string=Audit"}</definedName>
    <definedName name="_2475__FDSAUDITLINK__" hidden="1">{"fdsup://Directions/FactSet Auditing Viewer?action=AUDIT_VALUE&amp;DB=129&amp;ID1=75091710&amp;VALUEID=02001&amp;SDATE=200503&amp;PERIODTYPE=QTR_STD&amp;SCFT=3&amp;window=popup_no_bar&amp;width=385&amp;height=120&amp;START_MAXIMIZED=FALSE&amp;creator=factset&amp;display_string=Audit"}</definedName>
    <definedName name="_2476__FDSAUDITLINK__" hidden="1">{"fdsup://Directions/FactSet Auditing Viewer?action=AUDIT_VALUE&amp;DB=129&amp;ID1=75091710&amp;VALUEID=02001&amp;SDATE=200503&amp;PERIODTYPE=QTR_STD&amp;SCFT=3&amp;window=popup_no_bar&amp;width=385&amp;height=120&amp;START_MAXIMIZED=FALSE&amp;creator=factset&amp;display_string=Audit"}</definedName>
    <definedName name="_2477__FDSAUDITLINK__" hidden="1">{"fdsup://Directions/FactSet Auditing Viewer?action=AUDIT_VALUE&amp;DB=129&amp;ID1=74994110&amp;VALUEID=02001&amp;SDATE=200502&amp;PERIODTYPE=QTR_STD&amp;SCFT=3&amp;window=popup_no_bar&amp;width=385&amp;height=120&amp;START_MAXIMIZED=FALSE&amp;creator=factset&amp;display_string=Audit"}</definedName>
    <definedName name="_2478__FDSAUDITLINK__" hidden="1">{"fdsup://Directions/FactSet Auditing Viewer?action=AUDIT_VALUE&amp;DB=129&amp;ID1=74994110&amp;VALUEID=02001&amp;SDATE=200502&amp;PERIODTYPE=QTR_STD&amp;SCFT=3&amp;window=popup_no_bar&amp;width=385&amp;height=120&amp;START_MAXIMIZED=FALSE&amp;creator=factset&amp;display_string=Audit"}</definedName>
    <definedName name="_2479__FDSAUDITLINK__" hidden="1">{"fdsup://Directions/FactSet Auditing Viewer?action=AUDIT_VALUE&amp;DB=129&amp;ID1=74727710&amp;VALUEID=02001&amp;SDATE=200502&amp;PERIODTYPE=QTR_STD&amp;SCFT=3&amp;window=popup_no_bar&amp;width=385&amp;height=120&amp;START_MAXIMIZED=FALSE&amp;creator=factset&amp;display_string=Audit"}</definedName>
    <definedName name="_248__FDSAUDITLINK__" hidden="1">{"fdsup://Directions/FactSet Auditing Viewer?action=AUDIT_VALUE&amp;DB=129&amp;ID1=45811810&amp;VALUEID=02001&amp;SDATE=201003&amp;PERIODTYPE=QTR_STD&amp;SCFT=3&amp;window=popup_no_bar&amp;width=385&amp;height=120&amp;START_MAXIMIZED=FALSE&amp;creator=factset&amp;display_string=Audit"}</definedName>
    <definedName name="_2480__FDSAUDITLINK__" hidden="1">{"fdsup://Directions/FactSet Auditing Viewer?action=AUDIT_VALUE&amp;DB=129&amp;ID1=74727710&amp;VALUEID=02001&amp;SDATE=200502&amp;PERIODTYPE=QTR_STD&amp;SCFT=3&amp;window=popup_no_bar&amp;width=385&amp;height=120&amp;START_MAXIMIZED=FALSE&amp;creator=factset&amp;display_string=Audit"}</definedName>
    <definedName name="_2481__FDSAUDITLINK__" hidden="1">{"fdsup://Directions/FactSet Auditing Viewer?action=AUDIT_VALUE&amp;DB=129&amp;ID1=72581M30&amp;VALUEID=02001&amp;SDATE=200503&amp;PERIODTYPE=QTR_STD&amp;SCFT=3&amp;window=popup_no_bar&amp;width=385&amp;height=120&amp;START_MAXIMIZED=FALSE&amp;creator=factset&amp;display_string=Audit"}</definedName>
    <definedName name="_2482__FDSAUDITLINK__" hidden="1">{"fdsup://Directions/FactSet Auditing Viewer?action=AUDIT_VALUE&amp;DB=129&amp;ID1=72581M30&amp;VALUEID=02001&amp;SDATE=200503&amp;PERIODTYPE=QTR_STD&amp;SCFT=3&amp;window=popup_no_bar&amp;width=385&amp;height=120&amp;START_MAXIMIZED=FALSE&amp;creator=factset&amp;display_string=Audit"}</definedName>
    <definedName name="_2483__FDSAUDITLINK__" hidden="1">{"fdsup://Directions/FactSet Auditing Viewer?action=AUDIT_VALUE&amp;DB=129&amp;ID1=73927610&amp;VALUEID=02001&amp;SDATE=200503&amp;PERIODTYPE=QTR_STD&amp;SCFT=3&amp;window=popup_no_bar&amp;width=385&amp;height=120&amp;START_MAXIMIZED=FALSE&amp;creator=factset&amp;display_string=Audit"}</definedName>
    <definedName name="_2484__FDSAUDITLINK__" hidden="1">{"fdsup://Directions/FactSet Auditing Viewer?action=AUDIT_VALUE&amp;DB=129&amp;ID1=73927610&amp;VALUEID=02001&amp;SDATE=200503&amp;PERIODTYPE=QTR_STD&amp;SCFT=3&amp;window=popup_no_bar&amp;width=385&amp;height=120&amp;START_MAXIMIZED=FALSE&amp;creator=factset&amp;display_string=Audit"}</definedName>
    <definedName name="_2485__FDSAUDITLINK__" hidden="1">{"fdsup://Directions/FactSet Auditing Viewer?action=AUDIT_VALUE&amp;DB=129&amp;ID1=69344F10&amp;VALUEID=02001&amp;SDATE=200503&amp;PERIODTYPE=QTR_STD&amp;SCFT=3&amp;window=popup_no_bar&amp;width=385&amp;height=120&amp;START_MAXIMIZED=FALSE&amp;creator=factset&amp;display_string=Audit"}</definedName>
    <definedName name="_2486__FDSAUDITLINK__" hidden="1">{"fdsup://Directions/FactSet Auditing Viewer?action=AUDIT_VALUE&amp;DB=129&amp;ID1=69344F10&amp;VALUEID=02001&amp;SDATE=200503&amp;PERIODTYPE=QTR_STD&amp;SCFT=3&amp;window=popup_no_bar&amp;width=385&amp;height=120&amp;START_MAXIMIZED=FALSE&amp;creator=factset&amp;display_string=Audit"}</definedName>
    <definedName name="_2487__FDSAUDITLINK__" hidden="1">{"fdsup://Directions/FactSet Auditing Viewer?action=AUDIT_VALUE&amp;DB=129&amp;ID1=69341710&amp;VALUEID=02001&amp;SDATE=200503&amp;PERIODTYPE=QTR_STD&amp;SCFT=3&amp;window=popup_no_bar&amp;width=385&amp;height=120&amp;START_MAXIMIZED=FALSE&amp;creator=factset&amp;display_string=Audit"}</definedName>
    <definedName name="_2488__FDSAUDITLINK__" hidden="1">{"fdsup://Directions/FactSet Auditing Viewer?action=AUDIT_VALUE&amp;DB=129&amp;ID1=69341710&amp;VALUEID=02001&amp;SDATE=200503&amp;PERIODTYPE=QTR_STD&amp;SCFT=3&amp;window=popup_no_bar&amp;width=385&amp;height=120&amp;START_MAXIMIZED=FALSE&amp;creator=factset&amp;display_string=Audit"}</definedName>
    <definedName name="_2489__FDSAUDITLINK__" hidden="1">{"fdsup://Directions/FactSet Auditing Viewer?action=AUDIT_VALUE&amp;DB=129&amp;ID1=68218910&amp;VALUEID=02001&amp;SDATE=200503&amp;PERIODTYPE=QTR_STD&amp;SCFT=3&amp;window=popup_no_bar&amp;width=385&amp;height=120&amp;START_MAXIMIZED=FALSE&amp;creator=factset&amp;display_string=Audit"}</definedName>
    <definedName name="_249__FDSAUDITLINK__" hidden="1">{"fdsup://Directions/FactSet Auditing Viewer?action=AUDIT_VALUE&amp;DB=129&amp;ID1=42823610&amp;VALUEID=02001&amp;SDATE=201101&amp;PERIODTYPE=QTR_STD&amp;SCFT=3&amp;window=popup_no_bar&amp;width=385&amp;height=120&amp;START_MAXIMIZED=FALSE&amp;creator=factset&amp;display_string=Audit"}</definedName>
    <definedName name="_2490__FDSAUDITLINK__" hidden="1">{"fdsup://Directions/FactSet Auditing Viewer?action=AUDIT_VALUE&amp;DB=129&amp;ID1=68218910&amp;VALUEID=02001&amp;SDATE=200503&amp;PERIODTYPE=QTR_STD&amp;SCFT=3&amp;window=popup_no_bar&amp;width=385&amp;height=120&amp;START_MAXIMIZED=FALSE&amp;creator=factset&amp;display_string=Audit"}</definedName>
    <definedName name="_2491__FDSAUDITLINK__" hidden="1">{"fdsup://Directions/FactSet Auditing Viewer?action=AUDIT_VALUE&amp;DB=129&amp;ID1=67000810&amp;VALUEID=02001&amp;SDATE=200503&amp;PERIODTYPE=QTR_STD&amp;SCFT=3&amp;window=popup_no_bar&amp;width=385&amp;height=120&amp;START_MAXIMIZED=FALSE&amp;creator=factset&amp;display_string=Audit"}</definedName>
    <definedName name="_2492__FDSAUDITLINK__" hidden="1">{"fdsup://Directions/FactSet Auditing Viewer?action=AUDIT_VALUE&amp;DB=129&amp;ID1=67000810&amp;VALUEID=02001&amp;SDATE=200503&amp;PERIODTYPE=QTR_STD&amp;SCFT=3&amp;window=popup_no_bar&amp;width=385&amp;height=120&amp;START_MAXIMIZED=FALSE&amp;creator=factset&amp;display_string=Audit"}</definedName>
    <definedName name="_2493__FDSAUDITLINK__" hidden="1">{"fdsup://Directions/FactSet Auditing Viewer?action=AUDIT_VALUE&amp;DB=129&amp;ID1=67066G10&amp;VALUEID=02001&amp;SDATE=200503&amp;PERIODTYPE=QTR_STD&amp;SCFT=3&amp;window=popup_no_bar&amp;width=385&amp;height=120&amp;START_MAXIMIZED=FALSE&amp;creator=factset&amp;display_string=Audit"}</definedName>
    <definedName name="_2494__FDSAUDITLINK__" hidden="1">{"fdsup://Directions/FactSet Auditing Viewer?action=AUDIT_VALUE&amp;DB=129&amp;ID1=67066G10&amp;VALUEID=02001&amp;SDATE=200503&amp;PERIODTYPE=QTR_STD&amp;SCFT=3&amp;window=popup_no_bar&amp;width=385&amp;height=120&amp;START_MAXIMIZED=FALSE&amp;creator=factset&amp;display_string=Audit"}</definedName>
    <definedName name="_2495__FDSAUDITLINK__" hidden="1">{"fdsup://Directions/FactSet Auditing Viewer?action=AUDIT_VALUE&amp;DB=129&amp;ID1=63764010&amp;VALUEID=02001&amp;SDATE=200501&amp;PERIODTYPE=QTR_STD&amp;SCFT=3&amp;window=popup_no_bar&amp;width=385&amp;height=120&amp;START_MAXIMIZED=FALSE&amp;creator=factset&amp;display_string=Audit"}</definedName>
    <definedName name="_2496__FDSAUDITLINK__" hidden="1">{"fdsup://Directions/FactSet Auditing Viewer?action=AUDIT_VALUE&amp;DB=129&amp;ID1=63764010&amp;VALUEID=02001&amp;SDATE=200501&amp;PERIODTYPE=QTR_STD&amp;SCFT=3&amp;window=popup_no_bar&amp;width=385&amp;height=120&amp;START_MAXIMIZED=FALSE&amp;creator=factset&amp;display_string=Audit"}</definedName>
    <definedName name="_2497__FDSAUDITLINK__" hidden="1">{"fdsup://Directions/FactSet Auditing Viewer?action=AUDIT_VALUE&amp;DB=129&amp;ID1=64118B10&amp;VALUEID=02001&amp;SDATE=200503&amp;PERIODTYPE=QTR_STD&amp;SCFT=3&amp;window=popup_no_bar&amp;width=385&amp;height=120&amp;START_MAXIMIZED=FALSE&amp;creator=factset&amp;display_string=Audit"}</definedName>
    <definedName name="_2498__FDSAUDITLINK__" hidden="1">{"fdsup://Directions/FactSet Auditing Viewer?action=AUDIT_VALUE&amp;DB=129&amp;ID1=64118B10&amp;VALUEID=02001&amp;SDATE=200503&amp;PERIODTYPE=QTR_STD&amp;SCFT=3&amp;window=popup_no_bar&amp;width=385&amp;height=120&amp;START_MAXIMIZED=FALSE&amp;creator=factset&amp;display_string=Audit"}</definedName>
    <definedName name="_2499__FDSAUDITLINK__" hidden="1">{"fdsup://Directions/FactSet Auditing Viewer?action=AUDIT_VALUE&amp;DB=129&amp;ID1=57772K10&amp;VALUEID=02001&amp;SDATE=200601&amp;PERIODTYPE=QTR_STD&amp;SCFT=3&amp;window=popup_no_bar&amp;width=385&amp;height=120&amp;START_MAXIMIZED=FALSE&amp;creator=factset&amp;display_string=Audit"}</definedName>
    <definedName name="_25__FDSAUDITLINK__" hidden="1">{"fdsup://directions/FAT Viewer?action=UPDATE&amp;creator=factset&amp;DYN_ARGS=TRUE&amp;DOC_NAME=FAT:FQL_AUDITING_CLIENT_TEMPLATE.FAT&amp;display_string=Audit&amp;VAR:KEY=SDEVWHWPYZ&amp;VAR:QUERY=RkZfU0hTX0ZMT0FUKEFOTiw0MDg0Nyk=&amp;WINDOW=FIRST_POPUP&amp;HEIGHT=450&amp;WIDTH=450&amp;START_MAXIMI","ZED=FALSE&amp;VAR:CALENDAR=US&amp;VAR:SYMBOL=LAS VEGAS SANDS&amp;VAR:INDEX=0"}</definedName>
    <definedName name="_250__FDSAUDITLINK__" hidden="1">{"fdsup://Directions/FactSet Auditing Viewer?action=AUDIT_VALUE&amp;DB=129&amp;ID1=42823610&amp;VALUEID=02001&amp;SDATE=201101&amp;PERIODTYPE=QTR_STD&amp;SCFT=3&amp;window=popup_no_bar&amp;width=385&amp;height=120&amp;START_MAXIMIZED=FALSE&amp;creator=factset&amp;display_string=Audit"}</definedName>
    <definedName name="_2500__FDSAUDITLINK__" hidden="1">{"fdsup://Directions/FactSet Auditing Viewer?action=AUDIT_VALUE&amp;DB=129&amp;ID1=57772K10&amp;VALUEID=02001&amp;SDATE=200601&amp;PERIODTYPE=QTR_STD&amp;SCFT=3&amp;window=popup_no_bar&amp;width=385&amp;height=120&amp;START_MAXIMIZED=FALSE&amp;creator=factset&amp;display_string=Audit"}</definedName>
    <definedName name="_2501__FDSAUDITLINK__" hidden="1">{"fdsup://Directions/FactSet Auditing Viewer?action=AUDIT_VALUE&amp;DB=129&amp;ID1=G5876H10&amp;VALUEID=02001&amp;SDATE=200503&amp;PERIODTYPE=QTR_STD&amp;SCFT=3&amp;window=popup_no_bar&amp;width=385&amp;height=120&amp;START_MAXIMIZED=FALSE&amp;creator=factset&amp;display_string=Audit"}</definedName>
    <definedName name="_2502__FDSAUDITLINK__" hidden="1">{"fdsup://Directions/FactSet Auditing Viewer?action=AUDIT_VALUE&amp;DB=129&amp;ID1=G5876H10&amp;VALUEID=02001&amp;SDATE=200503&amp;PERIODTYPE=QTR_STD&amp;SCFT=3&amp;window=popup_no_bar&amp;width=385&amp;height=120&amp;START_MAXIMIZED=FALSE&amp;creator=factset&amp;display_string=Audit"}</definedName>
    <definedName name="_2503__FDSAUDITLINK__" hidden="1">{"fdsup://Directions/FactSet Auditing Viewer?action=AUDIT_VALUE&amp;DB=129&amp;ID1=62007630&amp;VALUEID=02001&amp;SDATE=200503&amp;PERIODTYPE=QTR_STD&amp;SCFT=3&amp;window=popup_no_bar&amp;width=385&amp;height=120&amp;START_MAXIMIZED=FALSE&amp;creator=factset&amp;display_string=Audit"}</definedName>
    <definedName name="_2504__FDSAUDITLINK__" hidden="1">{"fdsup://Directions/FactSet Auditing Viewer?action=AUDIT_VALUE&amp;DB=129&amp;ID1=62007630&amp;VALUEID=02001&amp;SDATE=200503&amp;PERIODTYPE=QTR_STD&amp;SCFT=3&amp;window=popup_no_bar&amp;width=385&amp;height=120&amp;START_MAXIMIZED=FALSE&amp;creator=factset&amp;display_string=Audit"}</definedName>
    <definedName name="_2505__FDSAUDITLINK__" hidden="1">{"fdsup://Directions/FactSet Auditing Viewer?action=AUDIT_VALUE&amp;DB=129&amp;ID1=60456710&amp;VALUEID=02001&amp;SDATE=200601&amp;PERIODTYPE=QTR_STD&amp;SCFT=3&amp;window=popup_no_bar&amp;width=385&amp;height=120&amp;START_MAXIMIZED=FALSE&amp;creator=factset&amp;display_string=Audit"}</definedName>
    <definedName name="_2506__FDSAUDITLINK__" hidden="1">{"fdsup://Directions/FactSet Auditing Viewer?action=AUDIT_VALUE&amp;DB=129&amp;ID1=60456710&amp;VALUEID=02001&amp;SDATE=200601&amp;PERIODTYPE=QTR_STD&amp;SCFT=3&amp;window=popup_no_bar&amp;width=385&amp;height=120&amp;START_MAXIMIZED=FALSE&amp;creator=factset&amp;display_string=Audit"}</definedName>
    <definedName name="_2507__FDSAUDITLINK__" hidden="1">{"fdsup://Directions/FactSet Auditing Viewer?action=AUDIT_VALUE&amp;DB=129&amp;ID1=59501710&amp;VALUEID=02001&amp;SDATE=200502&amp;PERIODTYPE=QTR_STD&amp;SCFT=3&amp;window=popup_no_bar&amp;width=385&amp;height=120&amp;START_MAXIMIZED=FALSE&amp;creator=factset&amp;display_string=Audit"}</definedName>
    <definedName name="_2508__FDSAUDITLINK__" hidden="1">{"fdsup://Directions/FactSet Auditing Viewer?action=AUDIT_VALUE&amp;DB=129&amp;ID1=59501710&amp;VALUEID=02001&amp;SDATE=200502&amp;PERIODTYPE=QTR_STD&amp;SCFT=3&amp;window=popup_no_bar&amp;width=385&amp;height=120&amp;START_MAXIMIZED=FALSE&amp;creator=factset&amp;display_string=Audit"}</definedName>
    <definedName name="_2509__FDSAUDITLINK__" hidden="1">{"fdsup://Directions/FactSet Auditing Viewer?action=AUDIT_VALUE&amp;DB=129&amp;ID1=50216110&amp;VALUEID=02001&amp;SDATE=200503&amp;PERIODTYPE=QTR_STD&amp;SCFT=3&amp;window=popup_no_bar&amp;width=385&amp;height=120&amp;START_MAXIMIZED=FALSE&amp;creator=factset&amp;display_string=Audit"}</definedName>
    <definedName name="_251__FDSAUDITLINK__" hidden="1">{"fdsup://Directions/FactSet Auditing Viewer?action=AUDIT_VALUE&amp;DB=129&amp;ID1=H2906T10&amp;VALUEID=02001&amp;SDATE=201004&amp;PERIODTYPE=QTR_STD&amp;SCFT=3&amp;window=popup_no_bar&amp;width=385&amp;height=120&amp;START_MAXIMIZED=FALSE&amp;creator=factset&amp;display_string=Audit"}</definedName>
    <definedName name="_2510__FDSAUDITLINK__" hidden="1">{"fdsup://Directions/FactSet Auditing Viewer?action=AUDIT_VALUE&amp;DB=129&amp;ID1=50216110&amp;VALUEID=02001&amp;SDATE=200503&amp;PERIODTYPE=QTR_STD&amp;SCFT=3&amp;window=popup_no_bar&amp;width=385&amp;height=120&amp;START_MAXIMIZED=FALSE&amp;creator=factset&amp;display_string=Audit"}</definedName>
    <definedName name="_2511__FDSAUDITLINK__" hidden="1">{"fdsup://Directions/FactSet Auditing Viewer?action=AUDIT_VALUE&amp;DB=129&amp;ID1=51841510&amp;VALUEID=02001&amp;SDATE=200503&amp;PERIODTYPE=QTR_STD&amp;SCFT=3&amp;window=popup_no_bar&amp;width=385&amp;height=120&amp;START_MAXIMIZED=FALSE&amp;creator=factset&amp;display_string=Audit"}</definedName>
    <definedName name="_2512__FDSAUDITLINK__" hidden="1">{"fdsup://Directions/FactSet Auditing Viewer?action=AUDIT_VALUE&amp;DB=129&amp;ID1=51841510&amp;VALUEID=02001&amp;SDATE=200503&amp;PERIODTYPE=QTR_STD&amp;SCFT=3&amp;window=popup_no_bar&amp;width=385&amp;height=120&amp;START_MAXIMIZED=FALSE&amp;creator=factset&amp;display_string=Audit"}</definedName>
    <definedName name="_2513__FDSAUDITLINK__" hidden="1">{"fdsup://Directions/FactSet Auditing Viewer?action=AUDIT_VALUE&amp;DB=129&amp;ID1=51280710&amp;VALUEID=02001&amp;SDATE=200601&amp;PERIODTYPE=QTR_STD&amp;SCFT=3&amp;window=popup_no_bar&amp;width=385&amp;height=120&amp;START_MAXIMIZED=FALSE&amp;creator=factset&amp;display_string=Audit"}</definedName>
    <definedName name="_2514__FDSAUDITLINK__" hidden="1">{"fdsup://Directions/FactSet Auditing Viewer?action=AUDIT_VALUE&amp;DB=129&amp;ID1=51280710&amp;VALUEID=02001&amp;SDATE=200601&amp;PERIODTYPE=QTR_STD&amp;SCFT=3&amp;window=popup_no_bar&amp;width=385&amp;height=120&amp;START_MAXIMIZED=FALSE&amp;creator=factset&amp;display_string=Audit"}</definedName>
    <definedName name="_2515__FDSAUDITLINK__" hidden="1">{"fdsup://Directions/FactSet Auditing Viewer?action=AUDIT_VALUE&amp;DB=129&amp;ID1=53567810&amp;VALUEID=02001&amp;SDATE=200601&amp;PERIODTYPE=QTR_STD&amp;SCFT=3&amp;window=popup_no_bar&amp;width=385&amp;height=120&amp;START_MAXIMIZED=FALSE&amp;creator=factset&amp;display_string=Audit"}</definedName>
    <definedName name="_2516__FDSAUDITLINK__" hidden="1">{"fdsup://Directions/FactSet Auditing Viewer?action=AUDIT_VALUE&amp;DB=129&amp;ID1=53567810&amp;VALUEID=02001&amp;SDATE=200601&amp;PERIODTYPE=QTR_STD&amp;SCFT=3&amp;window=popup_no_bar&amp;width=385&amp;height=120&amp;START_MAXIMIZED=FALSE&amp;creator=factset&amp;display_string=Audit"}</definedName>
    <definedName name="_2517__FDSAUDITLINK__" hidden="1">{"fdsup://Directions/FactSet Auditing Viewer?action=AUDIT_VALUE&amp;DB=129&amp;ID1=48248010&amp;VALUEID=02001&amp;SDATE=200601&amp;PERIODTYPE=QTR_STD&amp;SCFT=3&amp;window=popup_no_bar&amp;width=385&amp;height=120&amp;START_MAXIMIZED=FALSE&amp;creator=factset&amp;display_string=Audit"}</definedName>
    <definedName name="_2518__FDSAUDITLINK__" hidden="1">{"fdsup://Directions/FactSet Auditing Viewer?action=AUDIT_VALUE&amp;DB=129&amp;ID1=48248010&amp;VALUEID=02001&amp;SDATE=200601&amp;PERIODTYPE=QTR_STD&amp;SCFT=3&amp;window=popup_no_bar&amp;width=385&amp;height=120&amp;START_MAXIMIZED=FALSE&amp;creator=factset&amp;display_string=Audit"}</definedName>
    <definedName name="_2519__FDSAUDITLINK__" hidden="1">{"fdsup://Directions/FactSet Auditing Viewer?action=AUDIT_VALUE&amp;DB=129&amp;ID1=48203R10&amp;VALUEID=02001&amp;SDATE=200503&amp;PERIODTYPE=QTR_STD&amp;SCFT=3&amp;window=popup_no_bar&amp;width=385&amp;height=120&amp;START_MAXIMIZED=FALSE&amp;creator=factset&amp;display_string=Audit"}</definedName>
    <definedName name="_252__FDSAUDITLINK__" hidden="1">{"fdsup://Directions/FactSet Auditing Viewer?action=AUDIT_VALUE&amp;DB=129&amp;ID1=H2906T10&amp;VALUEID=02001&amp;SDATE=201004&amp;PERIODTYPE=QTR_STD&amp;SCFT=3&amp;window=popup_no_bar&amp;width=385&amp;height=120&amp;START_MAXIMIZED=FALSE&amp;creator=factset&amp;display_string=Audit"}</definedName>
    <definedName name="_2520__FDSAUDITLINK__" hidden="1">{"fdsup://Directions/FactSet Auditing Viewer?action=AUDIT_VALUE&amp;DB=129&amp;ID1=48203R10&amp;VALUEID=02001&amp;SDATE=200503&amp;PERIODTYPE=QTR_STD&amp;SCFT=3&amp;window=popup_no_bar&amp;width=385&amp;height=120&amp;START_MAXIMIZED=FALSE&amp;creator=factset&amp;display_string=Audit"}</definedName>
    <definedName name="_2521__FDSAUDITLINK__" hidden="1">{"fdsup://Directions/FactSet Auditing Viewer?action=AUDIT_VALUE&amp;DB=129&amp;ID1=86681020&amp;VALUEID=02001&amp;SDATE=200601&amp;PERIODTYPE=QTR_STD&amp;SCFT=3&amp;window=popup_no_bar&amp;width=385&amp;height=120&amp;START_MAXIMIZED=FALSE&amp;creator=factset&amp;display_string=Audit"}</definedName>
    <definedName name="_2522__FDSAUDITLINK__" hidden="1">{"fdsup://Directions/FactSet Auditing Viewer?action=AUDIT_VALUE&amp;DB=129&amp;ID1=86681020&amp;VALUEID=02001&amp;SDATE=200601&amp;PERIODTYPE=QTR_STD&amp;SCFT=3&amp;window=popup_no_bar&amp;width=385&amp;height=120&amp;START_MAXIMIZED=FALSE&amp;creator=factset&amp;display_string=Audit"}</definedName>
    <definedName name="_2523__FDSAUDITLINK__" hidden="1">{"fdsup://Directions/FactSet Auditing Viewer?action=AUDIT_VALUE&amp;DB=129&amp;ID1=46069S10&amp;VALUEID=02001&amp;SDATE=200503&amp;PERIODTYPE=QTR_STD&amp;SCFT=3&amp;window=popup_no_bar&amp;width=385&amp;height=120&amp;START_MAXIMIZED=FALSE&amp;creator=factset&amp;display_string=Audit"}</definedName>
    <definedName name="_2524__FDSAUDITLINK__" hidden="1">{"fdsup://Directions/FactSet Auditing Viewer?action=AUDIT_VALUE&amp;DB=129&amp;ID1=46069S10&amp;VALUEID=02001&amp;SDATE=200503&amp;PERIODTYPE=QTR_STD&amp;SCFT=3&amp;window=popup_no_bar&amp;width=385&amp;height=120&amp;START_MAXIMIZED=FALSE&amp;creator=factset&amp;display_string=Audit"}</definedName>
    <definedName name="_2525__FDSAUDITLINK__" hidden="1">{"fdsup://Directions/FactSet Auditing Viewer?action=AUDIT_VALUE&amp;DB=129&amp;ID1=46025410&amp;VALUEID=02001&amp;SDATE=200601&amp;PERIODTYPE=QTR_STD&amp;SCFT=3&amp;window=popup_no_bar&amp;width=385&amp;height=120&amp;START_MAXIMIZED=FALSE&amp;creator=factset&amp;display_string=Audit"}</definedName>
    <definedName name="_2526__FDSAUDITLINK__" hidden="1">{"fdsup://Directions/FactSet Auditing Viewer?action=AUDIT_VALUE&amp;DB=129&amp;ID1=46025410&amp;VALUEID=02001&amp;SDATE=200601&amp;PERIODTYPE=QTR_STD&amp;SCFT=3&amp;window=popup_no_bar&amp;width=385&amp;height=120&amp;START_MAXIMIZED=FALSE&amp;creator=factset&amp;display_string=Audit"}</definedName>
    <definedName name="_2527__FDSAUDITLINK__" hidden="1">{"fdsup://Directions/FactSet Auditing Viewer?action=AUDIT_VALUE&amp;DB=129&amp;ID1=45814010&amp;VALUEID=02001&amp;SDATE=200503&amp;PERIODTYPE=QTR_STD&amp;SCFT=3&amp;window=popup_no_bar&amp;width=385&amp;height=120&amp;START_MAXIMIZED=FALSE&amp;creator=factset&amp;display_string=Audit"}</definedName>
    <definedName name="_2528__FDSAUDITLINK__" hidden="1">{"fdsup://Directions/FactSet Auditing Viewer?action=AUDIT_VALUE&amp;DB=129&amp;ID1=45814010&amp;VALUEID=02001&amp;SDATE=200503&amp;PERIODTYPE=QTR_STD&amp;SCFT=3&amp;window=popup_no_bar&amp;width=385&amp;height=120&amp;START_MAXIMIZED=FALSE&amp;creator=factset&amp;display_string=Audit"}</definedName>
    <definedName name="_2529__FDSAUDITLINK__" hidden="1">{"fdsup://Directions/FactSet Auditing Viewer?action=AUDIT_VALUE&amp;DB=129&amp;ID1=45811810&amp;VALUEID=02001&amp;SDATE=200502&amp;PERIODTYPE=QTR_STD&amp;SCFT=3&amp;window=popup_no_bar&amp;width=385&amp;height=120&amp;START_MAXIMIZED=FALSE&amp;creator=factset&amp;display_string=Audit"}</definedName>
    <definedName name="_253__FDSAUDITLINK__" hidden="1">{"fdsup://Directions/FactSet Auditing Viewer?action=AUDIT_VALUE&amp;DB=129&amp;ID1=34637510&amp;VALUEID=02001&amp;SDATE=201004&amp;PERIODTYPE=QTR_STD&amp;SCFT=3&amp;window=popup_no_bar&amp;width=385&amp;height=120&amp;START_MAXIMIZED=FALSE&amp;creator=factset&amp;display_string=Audit"}</definedName>
    <definedName name="_2530__FDSAUDITLINK__" hidden="1">{"fdsup://Directions/FactSet Auditing Viewer?action=AUDIT_VALUE&amp;DB=129&amp;ID1=45811810&amp;VALUEID=02001&amp;SDATE=200502&amp;PERIODTYPE=QTR_STD&amp;SCFT=3&amp;window=popup_no_bar&amp;width=385&amp;height=120&amp;START_MAXIMIZED=FALSE&amp;creator=factset&amp;display_string=Audit"}</definedName>
    <definedName name="_2531__FDSAUDITLINK__" hidden="1">{"fdsup://Directions/FactSet Auditing Viewer?action=AUDIT_VALUE&amp;DB=129&amp;ID1=34637510&amp;VALUEID=02001&amp;SDATE=200503&amp;PERIODTYPE=QTR_STD&amp;SCFT=3&amp;window=popup_no_bar&amp;width=385&amp;height=120&amp;START_MAXIMIZED=FALSE&amp;creator=factset&amp;display_string=Audit"}</definedName>
    <definedName name="_2532__FDSAUDITLINK__" hidden="1">{"fdsup://Directions/FactSet Auditing Viewer?action=AUDIT_VALUE&amp;DB=129&amp;ID1=34637510&amp;VALUEID=02001&amp;SDATE=200503&amp;PERIODTYPE=QTR_STD&amp;SCFT=3&amp;window=popup_no_bar&amp;width=385&amp;height=120&amp;START_MAXIMIZED=FALSE&amp;creator=factset&amp;display_string=Audit"}</definedName>
    <definedName name="_2533__FDSAUDITLINK__" hidden="1">{"fdsup://Directions/FactSet Auditing Viewer?action=AUDIT_VALUE&amp;DB=129&amp;ID1=29247520&amp;VALUEID=02001&amp;SDATE=200601&amp;PERIODTYPE=QTR_STD&amp;SCFT=3&amp;window=popup_no_bar&amp;width=385&amp;height=120&amp;START_MAXIMIZED=FALSE&amp;creator=factset&amp;display_string=Audit"}</definedName>
    <definedName name="_2534__FDSAUDITLINK__" hidden="1">{"fdsup://Directions/FactSet Auditing Viewer?action=AUDIT_VALUE&amp;DB=129&amp;ID1=29247520&amp;VALUEID=02001&amp;SDATE=200601&amp;PERIODTYPE=QTR_STD&amp;SCFT=3&amp;window=popup_no_bar&amp;width=385&amp;height=120&amp;START_MAXIMIZED=FALSE&amp;creator=factset&amp;display_string=Audit"}</definedName>
    <definedName name="_2535__FDSAUDITLINK__" hidden="1">{"fdsup://Directions/FactSet Auditing Viewer?action=AUDIT_VALUE&amp;DB=129&amp;ID1=25454310&amp;VALUEID=02001&amp;SDATE=200503&amp;PERIODTYPE=QTR_STD&amp;SCFT=3&amp;window=popup_no_bar&amp;width=385&amp;height=120&amp;START_MAXIMIZED=FALSE&amp;creator=factset&amp;display_string=Audit"}</definedName>
    <definedName name="_2536__FDSAUDITLINK__" hidden="1">{"fdsup://Directions/FactSet Auditing Viewer?action=AUDIT_VALUE&amp;DB=129&amp;ID1=25454310&amp;VALUEID=02001&amp;SDATE=200503&amp;PERIODTYPE=QTR_STD&amp;SCFT=3&amp;window=popup_no_bar&amp;width=385&amp;height=120&amp;START_MAXIMIZED=FALSE&amp;creator=factset&amp;display_string=Audit"}</definedName>
    <definedName name="_2537__FDSAUDITLINK__" hidden="1">{"fdsup://Directions/FactSet Auditing Viewer?action=AUDIT_VALUE&amp;DB=129&amp;ID1=23257210&amp;VALUEID=02001&amp;SDATE=200503&amp;PERIODTYPE=QTR_STD&amp;SCFT=3&amp;window=popup_no_bar&amp;width=385&amp;height=120&amp;START_MAXIMIZED=FALSE&amp;creator=factset&amp;display_string=Audit"}</definedName>
    <definedName name="_2538__FDSAUDITLINK__" hidden="1">{"fdsup://Directions/FactSet Auditing Viewer?action=AUDIT_VALUE&amp;DB=129&amp;ID1=23257210&amp;VALUEID=02001&amp;SDATE=200503&amp;PERIODTYPE=QTR_STD&amp;SCFT=3&amp;window=popup_no_bar&amp;width=385&amp;height=120&amp;START_MAXIMIZED=FALSE&amp;creator=factset&amp;display_string=Audit"}</definedName>
    <definedName name="_2539__FDSAUDITLINK__" hidden="1">{"fdsup://Directions/FactSet Auditing Viewer?action=AUDIT_VALUE&amp;DB=129&amp;ID1=23280610&amp;VALUEID=02001&amp;SDATE=200503&amp;PERIODTYPE=QTR_STD&amp;SCFT=3&amp;window=popup_no_bar&amp;width=385&amp;height=120&amp;START_MAXIMIZED=FALSE&amp;creator=factset&amp;display_string=Audit"}</definedName>
    <definedName name="_254__FDSAUDITLINK__" hidden="1">{"fdsup://Directions/FactSet Auditing Viewer?action=AUDIT_VALUE&amp;DB=129&amp;ID1=34637510&amp;VALUEID=02001&amp;SDATE=201004&amp;PERIODTYPE=QTR_STD&amp;SCFT=3&amp;window=popup_no_bar&amp;width=385&amp;height=120&amp;START_MAXIMIZED=FALSE&amp;creator=factset&amp;display_string=Audit"}</definedName>
    <definedName name="_2540__FDSAUDITLINK__" hidden="1">{"fdsup://Directions/FactSet Auditing Viewer?action=AUDIT_VALUE&amp;DB=129&amp;ID1=23280610&amp;VALUEID=02001&amp;SDATE=200503&amp;PERIODTYPE=QTR_STD&amp;SCFT=3&amp;window=popup_no_bar&amp;width=385&amp;height=120&amp;START_MAXIMIZED=FALSE&amp;creator=factset&amp;display_string=Audit"}</definedName>
    <definedName name="_2541__FDSAUDITLINK__" hidden="1">{"fdsup://Directions/FactSet Auditing Viewer?action=AUDIT_VALUE&amp;DB=129&amp;ID1=17275R10&amp;VALUEID=02001&amp;SDATE=200601&amp;PERIODTYPE=QTR_STD&amp;SCFT=3&amp;window=popup_no_bar&amp;width=385&amp;height=120&amp;START_MAXIMIZED=FALSE&amp;creator=factset&amp;display_string=Audit"}</definedName>
    <definedName name="_2542__FDSAUDITLINK__" hidden="1">{"fdsup://Directions/FactSet Auditing Viewer?action=AUDIT_VALUE&amp;DB=129&amp;ID1=17275R10&amp;VALUEID=02001&amp;SDATE=200601&amp;PERIODTYPE=QTR_STD&amp;SCFT=3&amp;window=popup_no_bar&amp;width=385&amp;height=120&amp;START_MAXIMIZED=FALSE&amp;creator=factset&amp;display_string=Audit"}</definedName>
    <definedName name="_2543__FDSAUDITLINK__" hidden="1">{"fdsup://Directions/FactSet Auditing Viewer?action=AUDIT_VALUE&amp;DB=129&amp;ID1=22544710&amp;VALUEID=02001&amp;SDATE=200601&amp;PERIODTYPE=QTR_STD&amp;SCFT=3&amp;window=popup_no_bar&amp;width=385&amp;height=120&amp;START_MAXIMIZED=FALSE&amp;creator=factset&amp;display_string=Audit"}</definedName>
    <definedName name="_2544__FDSAUDITLINK__" hidden="1">{"fdsup://Directions/FactSet Auditing Viewer?action=AUDIT_VALUE&amp;DB=129&amp;ID1=22544710&amp;VALUEID=02001&amp;SDATE=200601&amp;PERIODTYPE=QTR_STD&amp;SCFT=3&amp;window=popup_no_bar&amp;width=385&amp;height=120&amp;START_MAXIMIZED=FALSE&amp;creator=factset&amp;display_string=Audit"}</definedName>
    <definedName name="_2545__FDSAUDITLINK__" hidden="1">{"fdsup://Directions/FactSet Auditing Viewer?action=AUDIT_VALUE&amp;DB=129&amp;ID1=12738710&amp;VALUEID=02001&amp;SDATE=200503&amp;PERIODTYPE=QTR_STD&amp;SCFT=3&amp;window=popup_no_bar&amp;width=385&amp;height=120&amp;START_MAXIMIZED=FALSE&amp;creator=factset&amp;display_string=Audit"}</definedName>
    <definedName name="_2546__FDSAUDITLINK__" hidden="1">{"fdsup://Directions/FactSet Auditing Viewer?action=AUDIT_VALUE&amp;DB=129&amp;ID1=12738710&amp;VALUEID=02001&amp;SDATE=200503&amp;PERIODTYPE=QTR_STD&amp;SCFT=3&amp;window=popup_no_bar&amp;width=385&amp;height=120&amp;START_MAXIMIZED=FALSE&amp;creator=factset&amp;display_string=Audit"}</definedName>
    <definedName name="_2547__FDSAUDITLINK__" hidden="1">{"fdsup://Directions/FactSet Auditing Viewer?action=AUDIT_VALUE&amp;DB=129&amp;ID1=04743P10&amp;VALUEID=02001&amp;SDATE=200503&amp;PERIODTYPE=QTR_STD&amp;SCFT=3&amp;window=popup_no_bar&amp;width=385&amp;height=120&amp;START_MAXIMIZED=FALSE&amp;creator=factset&amp;display_string=Audit"}</definedName>
    <definedName name="_2548__FDSAUDITLINK__" hidden="1">{"fdsup://Directions/FactSet Auditing Viewer?action=AUDIT_VALUE&amp;DB=129&amp;ID1=04743P10&amp;VALUEID=02001&amp;SDATE=200503&amp;PERIODTYPE=QTR_STD&amp;SCFT=3&amp;window=popup_no_bar&amp;width=385&amp;height=120&amp;START_MAXIMIZED=FALSE&amp;creator=factset&amp;display_string=Audit"}</definedName>
    <definedName name="_2549__FDSAUDITLINK__" hidden="1">{"fdsup://Directions/FactSet Auditing Viewer?action=AUDIT_VALUE&amp;DB=129&amp;ID1=00790310&amp;VALUEID=02001&amp;SDATE=200503&amp;PERIODTYPE=QTR_STD&amp;SCFT=3&amp;window=popup_no_bar&amp;width=385&amp;height=120&amp;START_MAXIMIZED=FALSE&amp;creator=factset&amp;display_string=Audit"}</definedName>
    <definedName name="_255__FDSAUDITLINK__" hidden="1">{"fdsup://Directions/FactSet Auditing Viewer?action=AUDIT_VALUE&amp;DB=129&amp;ID1=31561610&amp;VALUEID=02001&amp;SDATE=201101&amp;PERIODTYPE=QTR_STD&amp;SCFT=3&amp;window=popup_no_bar&amp;width=385&amp;height=120&amp;START_MAXIMIZED=FALSE&amp;creator=factset&amp;display_string=Audit"}</definedName>
    <definedName name="_2550__FDSAUDITLINK__" hidden="1">{"fdsup://Directions/FactSet Auditing Viewer?action=AUDIT_VALUE&amp;DB=129&amp;ID1=00790310&amp;VALUEID=02001&amp;SDATE=200503&amp;PERIODTYPE=QTR_STD&amp;SCFT=3&amp;window=popup_no_bar&amp;width=385&amp;height=120&amp;START_MAXIMIZED=FALSE&amp;creator=factset&amp;display_string=Audit"}</definedName>
    <definedName name="_2551__FDSAUDITLINK__" hidden="1">{"fdsup://Directions/FactSet Auditing Viewer?action=AUDIT_VALUE&amp;DB=129&amp;ID1=03822W40&amp;VALUEID=02001&amp;SDATE=200502&amp;PERIODTYPE=QTR_STD&amp;SCFT=3&amp;window=popup_no_bar&amp;width=385&amp;height=120&amp;START_MAXIMIZED=FALSE&amp;creator=factset&amp;display_string=Audit"}</definedName>
    <definedName name="_2552__FDSAUDITLINK__" hidden="1">{"fdsup://Directions/FactSet Auditing Viewer?action=AUDIT_VALUE&amp;DB=129&amp;ID1=03822W40&amp;VALUEID=02001&amp;SDATE=200502&amp;PERIODTYPE=QTR_STD&amp;SCFT=3&amp;window=popup_no_bar&amp;width=385&amp;height=120&amp;START_MAXIMIZED=FALSE&amp;creator=factset&amp;display_string=Audit"}</definedName>
    <definedName name="_2553__FDSAUDITLINK__" hidden="1">{"fdsup://Directions/FactSet Auditing Viewer?action=AUDIT_VALUE&amp;DB=129&amp;ID1=02144110&amp;VALUEID=02001&amp;SDATE=200503&amp;PERIODTYPE=QTR_STD&amp;SCFT=3&amp;window=popup_no_bar&amp;width=385&amp;height=120&amp;START_MAXIMIZED=FALSE&amp;creator=factset&amp;display_string=Audit"}</definedName>
    <definedName name="_2554__FDSAUDITLINK__" hidden="1">{"fdsup://Directions/FactSet Auditing Viewer?action=AUDIT_VALUE&amp;DB=129&amp;ID1=02144110&amp;VALUEID=02001&amp;SDATE=200503&amp;PERIODTYPE=QTR_STD&amp;SCFT=3&amp;window=popup_no_bar&amp;width=385&amp;height=120&amp;START_MAXIMIZED=FALSE&amp;creator=factset&amp;display_string=Audit"}</definedName>
    <definedName name="_2555__FDSAUDITLINK__" hidden="1">{"fdsup://Directions/FactSet Auditing Viewer?action=AUDIT_VALUE&amp;DB=129&amp;ID1=00752J10&amp;VALUEID=02001&amp;SDATE=200503&amp;PERIODTYPE=QTR_STD&amp;SCFT=3&amp;window=popup_no_bar&amp;width=385&amp;height=120&amp;START_MAXIMIZED=FALSE&amp;creator=factset&amp;display_string=Audit"}</definedName>
    <definedName name="_2556__FDSAUDITLINK__" hidden="1">{"fdsup://Directions/FactSet Auditing Viewer?action=AUDIT_VALUE&amp;DB=129&amp;ID1=00752J10&amp;VALUEID=02001&amp;SDATE=200503&amp;PERIODTYPE=QTR_STD&amp;SCFT=3&amp;window=popup_no_bar&amp;width=385&amp;height=120&amp;START_MAXIMIZED=FALSE&amp;creator=factset&amp;display_string=Audit"}</definedName>
    <definedName name="_2557__FDSAUDITLINK__" hidden="1">{"fdsup://Directions/FactSet Auditing Viewer?action=AUDIT_VALUE&amp;DB=129&amp;ID1=98975F10&amp;VALUEID=02001&amp;SDATE=200502&amp;PERIODTYPE=QTR_STD&amp;SCFT=3&amp;window=popup_no_bar&amp;width=385&amp;height=120&amp;START_MAXIMIZED=FALSE&amp;creator=factset&amp;display_string=Audit"}</definedName>
    <definedName name="_2558__FDSAUDITLINK__" hidden="1">{"fdsup://Directions/FactSet Auditing Viewer?action=AUDIT_VALUE&amp;DB=129&amp;ID1=98975F10&amp;VALUEID=02001&amp;SDATE=200502&amp;PERIODTYPE=QTR_STD&amp;SCFT=3&amp;window=popup_no_bar&amp;width=385&amp;height=120&amp;START_MAXIMIZED=FALSE&amp;creator=factset&amp;display_string=Audit"}</definedName>
    <definedName name="_2559__FDSAUDITLINK__" hidden="1">{"fdsup://Directions/FactSet Auditing Viewer?action=AUDIT_VALUE&amp;DB=129&amp;ID1=98391910&amp;VALUEID=02001&amp;SDATE=200501&amp;PERIODTYPE=QTR_STD&amp;SCFT=3&amp;window=popup_no_bar&amp;width=385&amp;height=120&amp;START_MAXIMIZED=FALSE&amp;creator=factset&amp;display_string=Audit"}</definedName>
    <definedName name="_256__FDSAUDITLINK__" hidden="1">{"fdsup://Directions/FactSet Auditing Viewer?action=AUDIT_VALUE&amp;DB=129&amp;ID1=31561610&amp;VALUEID=02001&amp;SDATE=201101&amp;PERIODTYPE=QTR_STD&amp;SCFT=3&amp;window=popup_no_bar&amp;width=385&amp;height=120&amp;START_MAXIMIZED=FALSE&amp;creator=factset&amp;display_string=Audit"}</definedName>
    <definedName name="_2560__FDSAUDITLINK__" hidden="1">{"fdsup://Directions/FactSet Auditing Viewer?action=AUDIT_VALUE&amp;DB=129&amp;ID1=98391910&amp;VALUEID=02001&amp;SDATE=200501&amp;PERIODTYPE=QTR_STD&amp;SCFT=3&amp;window=popup_no_bar&amp;width=385&amp;height=120&amp;START_MAXIMIZED=FALSE&amp;creator=factset&amp;display_string=Audit"}</definedName>
    <definedName name="_2561__FDSAUDITLINK__" hidden="1">{"fdsup://Directions/FactSet Auditing Viewer?action=AUDIT_VALUE&amp;DB=129&amp;ID1=92849730&amp;VALUEID=02001&amp;SDATE=200503&amp;PERIODTYPE=QTR_STD&amp;SCFT=3&amp;window=popup_no_bar&amp;width=385&amp;height=120&amp;START_MAXIMIZED=FALSE&amp;creator=factset&amp;display_string=Audit"}</definedName>
    <definedName name="_2562__FDSAUDITLINK__" hidden="1">{"fdsup://Directions/FactSet Auditing Viewer?action=AUDIT_VALUE&amp;DB=129&amp;ID1=92849730&amp;VALUEID=02001&amp;SDATE=200503&amp;PERIODTYPE=QTR_STD&amp;SCFT=3&amp;window=popup_no_bar&amp;width=385&amp;height=120&amp;START_MAXIMIZED=FALSE&amp;creator=factset&amp;display_string=Audit"}</definedName>
    <definedName name="_2563__FDSAUDITLINK__" hidden="1">{"fdsup://Directions/FactSet Auditing Viewer?action=AUDIT_VALUE&amp;DB=129&amp;ID1=88250810&amp;VALUEID=02001&amp;SDATE=200502&amp;PERIODTYPE=QTR_STD&amp;SCFT=3&amp;window=popup_no_bar&amp;width=385&amp;height=120&amp;START_MAXIMIZED=FALSE&amp;creator=factset&amp;display_string=Audit"}</definedName>
    <definedName name="_2564__FDSAUDITLINK__" hidden="1">{"fdsup://Directions/FactSet Auditing Viewer?action=AUDIT_VALUE&amp;DB=129&amp;ID1=88250810&amp;VALUEID=02001&amp;SDATE=200502&amp;PERIODTYPE=QTR_STD&amp;SCFT=3&amp;window=popup_no_bar&amp;width=385&amp;height=120&amp;START_MAXIMIZED=FALSE&amp;creator=factset&amp;display_string=Audit"}</definedName>
    <definedName name="_2565__FDSAUDITLINK__" hidden="1">{"fdsup://Directions/FactSet Auditing Viewer?action=AUDIT_VALUE&amp;DB=129&amp;ID1=89674K10&amp;VALUEID=02001&amp;SDATE=200502&amp;PERIODTYPE=QTR_STD&amp;SCFT=3&amp;window=popup_no_bar&amp;width=385&amp;height=120&amp;START_MAXIMIZED=FALSE&amp;creator=factset&amp;display_string=Audit"}</definedName>
    <definedName name="_2566__FDSAUDITLINK__" hidden="1">{"fdsup://Directions/FactSet Auditing Viewer?action=AUDIT_VALUE&amp;DB=129&amp;ID1=89674K10&amp;VALUEID=02001&amp;SDATE=200502&amp;PERIODTYPE=QTR_STD&amp;SCFT=3&amp;window=popup_no_bar&amp;width=385&amp;height=120&amp;START_MAXIMIZED=FALSE&amp;creator=factset&amp;display_string=Audit"}</definedName>
    <definedName name="_2567__FDSAUDITLINK__" hidden="1">{"fdsup://Directions/FactSet Auditing Viewer?action=AUDIT_VALUE&amp;DB=129&amp;ID1=83088M10&amp;VALUEID=02001&amp;SDATE=200503&amp;PERIODTYPE=QTR_STD&amp;SCFT=3&amp;window=popup_no_bar&amp;width=385&amp;height=120&amp;START_MAXIMIZED=FALSE&amp;creator=factset&amp;display_string=Audit"}</definedName>
    <definedName name="_2568__FDSAUDITLINK__" hidden="1">{"fdsup://Directions/FactSet Auditing Viewer?action=AUDIT_VALUE&amp;DB=129&amp;ID1=83088M10&amp;VALUEID=02001&amp;SDATE=200503&amp;PERIODTYPE=QTR_STD&amp;SCFT=3&amp;window=popup_no_bar&amp;width=385&amp;height=120&amp;START_MAXIMIZED=FALSE&amp;creator=factset&amp;display_string=Audit"}</definedName>
    <definedName name="_2569__FDSAUDITLINK__" hidden="1">{"fdsup://Directions/FactSet Auditing Viewer?action=AUDIT_VALUE&amp;DB=129&amp;ID1=78477410&amp;VALUEID=02001&amp;SDATE=200502&amp;PERIODTYPE=QTR_STD&amp;SCFT=3&amp;window=popup_no_bar&amp;width=385&amp;height=120&amp;START_MAXIMIZED=FALSE&amp;creator=factset&amp;display_string=Audit"}</definedName>
    <definedName name="_257__FDSAUDITLINK__" hidden="1">{"fdsup://Directions/FactSet Auditing Viewer?action=AUDIT_VALUE&amp;DB=129&amp;ID1=29247520&amp;VALUEID=02001&amp;SDATE=201102&amp;PERIODTYPE=QTR_STD&amp;SCFT=3&amp;window=popup_no_bar&amp;width=385&amp;height=120&amp;START_MAXIMIZED=FALSE&amp;creator=factset&amp;display_string=Audit"}</definedName>
    <definedName name="_2570__FDSAUDITLINK__" hidden="1">{"fdsup://Directions/FactSet Auditing Viewer?action=AUDIT_VALUE&amp;DB=129&amp;ID1=78477410&amp;VALUEID=02001&amp;SDATE=200502&amp;PERIODTYPE=QTR_STD&amp;SCFT=3&amp;window=popup_no_bar&amp;width=385&amp;height=120&amp;START_MAXIMIZED=FALSE&amp;creator=factset&amp;display_string=Audit"}</definedName>
    <definedName name="_2571__FDSAUDITLINK__" hidden="1">{"fdsup://Directions/FactSet Auditing Viewer?action=AUDIT_VALUE&amp;DB=129&amp;ID1=83547010&amp;VALUEID=02001&amp;SDATE=200502&amp;PERIODTYPE=QTR_STD&amp;SCFT=3&amp;window=popup_no_bar&amp;width=385&amp;height=120&amp;START_MAXIMIZED=FALSE&amp;creator=factset&amp;display_string=Audit"}</definedName>
    <definedName name="_2572__FDSAUDITLINK__" hidden="1">{"fdsup://Directions/FactSet Auditing Viewer?action=AUDIT_VALUE&amp;DB=129&amp;ID1=83547010&amp;VALUEID=02001&amp;SDATE=200502&amp;PERIODTYPE=QTR_STD&amp;SCFT=3&amp;window=popup_no_bar&amp;width=385&amp;height=120&amp;START_MAXIMIZED=FALSE&amp;creator=factset&amp;display_string=Audit"}</definedName>
    <definedName name="_2573__FDSAUDITLINK__" hidden="1">{"fdsup://Directions/FactSet Auditing Viewer?action=AUDIT_VALUE&amp;DB=129&amp;ID1=87160710&amp;VALUEID=02001&amp;SDATE=200503&amp;PERIODTYPE=QTR_STD&amp;SCFT=3&amp;window=popup_no_bar&amp;width=385&amp;height=120&amp;START_MAXIMIZED=FALSE&amp;creator=factset&amp;display_string=Audit"}</definedName>
    <definedName name="_2574__FDSAUDITLINK__" hidden="1">{"fdsup://Directions/FactSet Auditing Viewer?action=AUDIT_VALUE&amp;DB=129&amp;ID1=87160710&amp;VALUEID=02001&amp;SDATE=200503&amp;PERIODTYPE=QTR_STD&amp;SCFT=3&amp;window=popup_no_bar&amp;width=385&amp;height=120&amp;START_MAXIMIZED=FALSE&amp;creator=factset&amp;display_string=Audit"}</definedName>
    <definedName name="_2575__FDSAUDITLINK__" hidden="1">{"fdsup://Directions/FactSet Auditing Viewer?action=AUDIT_VALUE&amp;DB=129&amp;ID1=80004C10&amp;VALUEID=02001&amp;SDATE=200502&amp;PERIODTYPE=QTR_STD&amp;SCFT=3&amp;window=popup_no_bar&amp;width=385&amp;height=120&amp;START_MAXIMIZED=FALSE&amp;creator=factset&amp;display_string=Audit"}</definedName>
    <definedName name="_2576__FDSAUDITLINK__" hidden="1">{"fdsup://Directions/FactSet Auditing Viewer?action=AUDIT_VALUE&amp;DB=129&amp;ID1=80004C10&amp;VALUEID=02001&amp;SDATE=200502&amp;PERIODTYPE=QTR_STD&amp;SCFT=3&amp;window=popup_no_bar&amp;width=385&amp;height=120&amp;START_MAXIMIZED=FALSE&amp;creator=factset&amp;display_string=Audit"}</definedName>
    <definedName name="_2577__FDSAUDITLINK__" hidden="1">{"fdsup://Directions/FactSet Auditing Viewer?action=AUDIT_VALUE&amp;DB=129&amp;ID1=81685010&amp;VALUEID=02001&amp;SDATE=200502&amp;PERIODTYPE=QTR_STD&amp;SCFT=3&amp;window=popup_no_bar&amp;width=385&amp;height=120&amp;START_MAXIMIZED=FALSE&amp;creator=factset&amp;display_string=Audit"}</definedName>
    <definedName name="_2578__FDSAUDITLINK__" hidden="1">{"fdsup://Directions/FactSet Auditing Viewer?action=AUDIT_VALUE&amp;DB=129&amp;ID1=81685010&amp;VALUEID=02001&amp;SDATE=200502&amp;PERIODTYPE=QTR_STD&amp;SCFT=3&amp;window=popup_no_bar&amp;width=385&amp;height=120&amp;START_MAXIMIZED=FALSE&amp;creator=factset&amp;display_string=Audit"}</definedName>
    <definedName name="_2579__FDSAUDITLINK__" hidden="1">{"fdsup://Directions/FactSet Auditing Viewer?action=AUDIT_VALUE&amp;DB=129&amp;ID1=82691910&amp;VALUEID=02001&amp;SDATE=200502&amp;PERIODTYPE=QTR_STD&amp;SCFT=3&amp;window=popup_no_bar&amp;width=385&amp;height=120&amp;START_MAXIMIZED=FALSE&amp;creator=factset&amp;display_string=Audit"}</definedName>
    <definedName name="_258__FDSAUDITLINK__" hidden="1">{"fdsup://Directions/FactSet Auditing Viewer?action=AUDIT_VALUE&amp;DB=129&amp;ID1=29247520&amp;VALUEID=02001&amp;SDATE=201102&amp;PERIODTYPE=QTR_STD&amp;SCFT=3&amp;window=popup_no_bar&amp;width=385&amp;height=120&amp;START_MAXIMIZED=FALSE&amp;creator=factset&amp;display_string=Audit"}</definedName>
    <definedName name="_2580__FDSAUDITLINK__" hidden="1">{"fdsup://Directions/FactSet Auditing Viewer?action=AUDIT_VALUE&amp;DB=129&amp;ID1=82691910&amp;VALUEID=02001&amp;SDATE=200502&amp;PERIODTYPE=QTR_STD&amp;SCFT=3&amp;window=popup_no_bar&amp;width=385&amp;height=120&amp;START_MAXIMIZED=FALSE&amp;creator=factset&amp;display_string=Audit"}</definedName>
    <definedName name="_2581__FDSAUDITLINK__" hidden="1">{"fdsup://Directions/FactSet Auditing Viewer?action=AUDIT_VALUE&amp;DB=129&amp;ID1=82705T10&amp;VALUEID=02001&amp;SDATE=200502&amp;PERIODTYPE=QTR_STD&amp;SCFT=3&amp;window=popup_no_bar&amp;width=385&amp;height=120&amp;START_MAXIMIZED=FALSE&amp;creator=factset&amp;display_string=Audit"}</definedName>
    <definedName name="_2582__FDSAUDITLINK__" hidden="1">{"fdsup://Directions/FactSet Auditing Viewer?action=AUDIT_VALUE&amp;DB=129&amp;ID1=82705T10&amp;VALUEID=02001&amp;SDATE=200502&amp;PERIODTYPE=QTR_STD&amp;SCFT=3&amp;window=popup_no_bar&amp;width=385&amp;height=120&amp;START_MAXIMIZED=FALSE&amp;creator=factset&amp;display_string=Audit"}</definedName>
    <definedName name="_2583__FDSAUDITLINK__" hidden="1">{"fdsup://Directions/FactSet Auditing Viewer?action=AUDIT_VALUE&amp;DB=129&amp;ID1=75091710&amp;VALUEID=02001&amp;SDATE=200502&amp;PERIODTYPE=QTR_STD&amp;SCFT=3&amp;window=popup_no_bar&amp;width=385&amp;height=120&amp;START_MAXIMIZED=FALSE&amp;creator=factset&amp;display_string=Audit"}</definedName>
    <definedName name="_2584__FDSAUDITLINK__" hidden="1">{"fdsup://Directions/FactSet Auditing Viewer?action=AUDIT_VALUE&amp;DB=129&amp;ID1=75091710&amp;VALUEID=02001&amp;SDATE=200502&amp;PERIODTYPE=QTR_STD&amp;SCFT=3&amp;window=popup_no_bar&amp;width=385&amp;height=120&amp;START_MAXIMIZED=FALSE&amp;creator=factset&amp;display_string=Audit"}</definedName>
    <definedName name="_2585__FDSAUDITLINK__" hidden="1">{"fdsup://Directions/FactSet Auditing Viewer?action=AUDIT_VALUE&amp;DB=129&amp;ID1=74994110&amp;VALUEID=02001&amp;SDATE=200501&amp;PERIODTYPE=QTR_STD&amp;SCFT=3&amp;window=popup_no_bar&amp;width=385&amp;height=120&amp;START_MAXIMIZED=FALSE&amp;creator=factset&amp;display_string=Audit"}</definedName>
    <definedName name="_2586__FDSAUDITLINK__" hidden="1">{"fdsup://Directions/FactSet Auditing Viewer?action=AUDIT_VALUE&amp;DB=129&amp;ID1=74994110&amp;VALUEID=02001&amp;SDATE=200501&amp;PERIODTYPE=QTR_STD&amp;SCFT=3&amp;window=popup_no_bar&amp;width=385&amp;height=120&amp;START_MAXIMIZED=FALSE&amp;creator=factset&amp;display_string=Audit"}</definedName>
    <definedName name="_2587__FDSAUDITLINK__" hidden="1">{"fdsup://Directions/FactSet Auditing Viewer?action=AUDIT_VALUE&amp;DB=129&amp;ID1=74727710&amp;VALUEID=02001&amp;SDATE=200501&amp;PERIODTYPE=QTR_STD&amp;SCFT=3&amp;window=popup_no_bar&amp;width=385&amp;height=120&amp;START_MAXIMIZED=FALSE&amp;creator=factset&amp;display_string=Audit"}</definedName>
    <definedName name="_2588__FDSAUDITLINK__" hidden="1">{"fdsup://Directions/FactSet Auditing Viewer?action=AUDIT_VALUE&amp;DB=129&amp;ID1=74727710&amp;VALUEID=02001&amp;SDATE=200501&amp;PERIODTYPE=QTR_STD&amp;SCFT=3&amp;window=popup_no_bar&amp;width=385&amp;height=120&amp;START_MAXIMIZED=FALSE&amp;creator=factset&amp;display_string=Audit"}</definedName>
    <definedName name="_2589__FDSAUDITLINK__" hidden="1">{"fdsup://Directions/FactSet Auditing Viewer?action=AUDIT_VALUE&amp;DB=129&amp;ID1=74752510&amp;VALUEID=02001&amp;SDATE=200503&amp;PERIODTYPE=QTR_STD&amp;SCFT=3&amp;window=popup_no_bar&amp;width=385&amp;height=120&amp;START_MAXIMIZED=FALSE&amp;creator=factset&amp;display_string=Audit"}</definedName>
    <definedName name="_259__FDSAUDITLINK__" hidden="1">{"fdsup://Directions/FactSet Auditing Viewer?action=AUDIT_VALUE&amp;DB=129&amp;ID1=25454310&amp;VALUEID=02001&amp;SDATE=201004&amp;PERIODTYPE=QTR_STD&amp;SCFT=3&amp;window=popup_no_bar&amp;width=385&amp;height=120&amp;START_MAXIMIZED=FALSE&amp;creator=factset&amp;display_string=Audit"}</definedName>
    <definedName name="_2590__FDSAUDITLINK__" hidden="1">{"fdsup://Directions/FactSet Auditing Viewer?action=AUDIT_VALUE&amp;DB=129&amp;ID1=74752510&amp;VALUEID=02001&amp;SDATE=200503&amp;PERIODTYPE=QTR_STD&amp;SCFT=3&amp;window=popup_no_bar&amp;width=385&amp;height=120&amp;START_MAXIMIZED=FALSE&amp;creator=factset&amp;display_string=Audit"}</definedName>
    <definedName name="_2591__FDSAUDITLINK__" hidden="1">{"fdsup://Directions/FactSet Auditing Viewer?action=AUDIT_VALUE&amp;DB=129&amp;ID1=72581M30&amp;VALUEID=02001&amp;SDATE=200502&amp;PERIODTYPE=QTR_STD&amp;SCFT=3&amp;window=popup_no_bar&amp;width=385&amp;height=120&amp;START_MAXIMIZED=FALSE&amp;creator=factset&amp;display_string=Audit"}</definedName>
    <definedName name="_2592__FDSAUDITLINK__" hidden="1">{"fdsup://Directions/FactSet Auditing Viewer?action=AUDIT_VALUE&amp;DB=129&amp;ID1=72581M30&amp;VALUEID=02001&amp;SDATE=200502&amp;PERIODTYPE=QTR_STD&amp;SCFT=3&amp;window=popup_no_bar&amp;width=385&amp;height=120&amp;START_MAXIMIZED=FALSE&amp;creator=factset&amp;display_string=Audit"}</definedName>
    <definedName name="_2593__FDSAUDITLINK__" hidden="1">{"fdsup://Directions/FactSet Auditing Viewer?action=AUDIT_VALUE&amp;DB=129&amp;ID1=73927610&amp;VALUEID=02001&amp;SDATE=200502&amp;PERIODTYPE=QTR_STD&amp;SCFT=3&amp;window=popup_no_bar&amp;width=385&amp;height=120&amp;START_MAXIMIZED=FALSE&amp;creator=factset&amp;display_string=Audit"}</definedName>
    <definedName name="_2594__FDSAUDITLINK__" hidden="1">{"fdsup://Directions/FactSet Auditing Viewer?action=AUDIT_VALUE&amp;DB=129&amp;ID1=73927610&amp;VALUEID=02001&amp;SDATE=200502&amp;PERIODTYPE=QTR_STD&amp;SCFT=3&amp;window=popup_no_bar&amp;width=385&amp;height=120&amp;START_MAXIMIZED=FALSE&amp;creator=factset&amp;display_string=Audit"}</definedName>
    <definedName name="_2595__FDSAUDITLINK__" hidden="1">{"fdsup://Directions/FactSet Auditing Viewer?action=AUDIT_VALUE&amp;DB=129&amp;ID1=69344F10&amp;VALUEID=02001&amp;SDATE=200502&amp;PERIODTYPE=QTR_STD&amp;SCFT=3&amp;window=popup_no_bar&amp;width=385&amp;height=120&amp;START_MAXIMIZED=FALSE&amp;creator=factset&amp;display_string=Audit"}</definedName>
    <definedName name="_2596__FDSAUDITLINK__" hidden="1">{"fdsup://Directions/FactSet Auditing Viewer?action=AUDIT_VALUE&amp;DB=129&amp;ID1=69344F10&amp;VALUEID=02001&amp;SDATE=200502&amp;PERIODTYPE=QTR_STD&amp;SCFT=3&amp;window=popup_no_bar&amp;width=385&amp;height=120&amp;START_MAXIMIZED=FALSE&amp;creator=factset&amp;display_string=Audit"}</definedName>
    <definedName name="_2597__FDSAUDITLINK__" hidden="1">{"fdsup://Directions/FactSet Auditing Viewer?action=AUDIT_VALUE&amp;DB=129&amp;ID1=69341710&amp;VALUEID=02001&amp;SDATE=200502&amp;PERIODTYPE=QTR_STD&amp;SCFT=3&amp;window=popup_no_bar&amp;width=385&amp;height=120&amp;START_MAXIMIZED=FALSE&amp;creator=factset&amp;display_string=Audit"}</definedName>
    <definedName name="_2598__FDSAUDITLINK__" hidden="1">{"fdsup://Directions/FactSet Auditing Viewer?action=AUDIT_VALUE&amp;DB=129&amp;ID1=69341710&amp;VALUEID=02001&amp;SDATE=200502&amp;PERIODTYPE=QTR_STD&amp;SCFT=3&amp;window=popup_no_bar&amp;width=385&amp;height=120&amp;START_MAXIMIZED=FALSE&amp;creator=factset&amp;display_string=Audit"}</definedName>
    <definedName name="_2599__FDSAUDITLINK__" hidden="1">{"fdsup://Directions/FactSet Auditing Viewer?action=AUDIT_VALUE&amp;DB=129&amp;ID1=68218910&amp;VALUEID=02001&amp;SDATE=200502&amp;PERIODTYPE=QTR_STD&amp;SCFT=3&amp;window=popup_no_bar&amp;width=385&amp;height=120&amp;START_MAXIMIZED=FALSE&amp;creator=factset&amp;display_string=Audit"}</definedName>
    <definedName name="_26__FDSAUDITLINK__" hidden="1">{"fdsup://directions/FAT Viewer?action=UPDATE&amp;creator=factset&amp;DYN_ARGS=TRUE&amp;DOC_NAME=FAT:FQL_AUDITING_CLIENT_TEMPLATE.FAT&amp;display_string=Audit&amp;VAR:KEY=WZWXCBKJKR&amp;VAR:QUERY=RkZfU0hTX0ZMT0FUKEFOTiw0MDgxNik=&amp;WINDOW=FIRST_POPUP&amp;HEIGHT=450&amp;WIDTH=450&amp;START_MAXIMI","ZED=FALSE&amp;VAR:CALENDAR=US&amp;VAR:SYMBOL=LAS VEGAS SANDS&amp;VAR:INDEX=0"}</definedName>
    <definedName name="_260__FDSAUDITLINK__" hidden="1">{"fdsup://Directions/FactSet Auditing Viewer?action=AUDIT_VALUE&amp;DB=129&amp;ID1=25454310&amp;VALUEID=02001&amp;SDATE=201004&amp;PERIODTYPE=QTR_STD&amp;SCFT=3&amp;window=popup_no_bar&amp;width=385&amp;height=120&amp;START_MAXIMIZED=FALSE&amp;creator=factset&amp;display_string=Audit"}</definedName>
    <definedName name="_2600__FDSAUDITLINK__" hidden="1">{"fdsup://Directions/FactSet Auditing Viewer?action=AUDIT_VALUE&amp;DB=129&amp;ID1=68218910&amp;VALUEID=02001&amp;SDATE=200502&amp;PERIODTYPE=QTR_STD&amp;SCFT=3&amp;window=popup_no_bar&amp;width=385&amp;height=120&amp;START_MAXIMIZED=FALSE&amp;creator=factset&amp;display_string=Audit"}</definedName>
    <definedName name="_2601__FDSAUDITLINK__" hidden="1">{"fdsup://Directions/FactSet Auditing Viewer?action=AUDIT_VALUE&amp;DB=129&amp;ID1=67000810&amp;VALUEID=02001&amp;SDATE=200502&amp;PERIODTYPE=QTR_STD&amp;SCFT=3&amp;window=popup_no_bar&amp;width=385&amp;height=120&amp;START_MAXIMIZED=FALSE&amp;creator=factset&amp;display_string=Audit"}</definedName>
    <definedName name="_2602__FDSAUDITLINK__" hidden="1">{"fdsup://Directions/FactSet Auditing Viewer?action=AUDIT_VALUE&amp;DB=129&amp;ID1=67000810&amp;VALUEID=02001&amp;SDATE=200502&amp;PERIODTYPE=QTR_STD&amp;SCFT=3&amp;window=popup_no_bar&amp;width=385&amp;height=120&amp;START_MAXIMIZED=FALSE&amp;creator=factset&amp;display_string=Audit"}</definedName>
    <definedName name="_2603__FDSAUDITLINK__" hidden="1">{"fdsup://Directions/FactSet Auditing Viewer?action=AUDIT_VALUE&amp;DB=129&amp;ID1=67066G10&amp;VALUEID=02001&amp;SDATE=200502&amp;PERIODTYPE=QTR_STD&amp;SCFT=3&amp;window=popup_no_bar&amp;width=385&amp;height=120&amp;START_MAXIMIZED=FALSE&amp;creator=factset&amp;display_string=Audit"}</definedName>
    <definedName name="_2604__FDSAUDITLINK__" hidden="1">{"fdsup://Directions/FactSet Auditing Viewer?action=AUDIT_VALUE&amp;DB=129&amp;ID1=67066G10&amp;VALUEID=02001&amp;SDATE=200502&amp;PERIODTYPE=QTR_STD&amp;SCFT=3&amp;window=popup_no_bar&amp;width=385&amp;height=120&amp;START_MAXIMIZED=FALSE&amp;creator=factset&amp;display_string=Audit"}</definedName>
    <definedName name="_2605__FDSAUDITLINK__" hidden="1">{"fdsup://Directions/FactSet Auditing Viewer?action=AUDIT_VALUE&amp;DB=129&amp;ID1=64118B10&amp;VALUEID=02001&amp;SDATE=200502&amp;PERIODTYPE=QTR_STD&amp;SCFT=3&amp;window=popup_no_bar&amp;width=385&amp;height=120&amp;START_MAXIMIZED=FALSE&amp;creator=factset&amp;display_string=Audit"}</definedName>
    <definedName name="_2606__FDSAUDITLINK__" hidden="1">{"fdsup://Directions/FactSet Auditing Viewer?action=AUDIT_VALUE&amp;DB=129&amp;ID1=64118B10&amp;VALUEID=02001&amp;SDATE=200502&amp;PERIODTYPE=QTR_STD&amp;SCFT=3&amp;window=popup_no_bar&amp;width=385&amp;height=120&amp;START_MAXIMIZED=FALSE&amp;creator=factset&amp;display_string=Audit"}</definedName>
    <definedName name="_2607__FDSAUDITLINK__" hidden="1">{"fdsup://Directions/FactSet Auditing Viewer?action=AUDIT_VALUE&amp;DB=129&amp;ID1=59511210&amp;VALUEID=02001&amp;SDATE=200503&amp;PERIODTYPE=QTR_STD&amp;SCFT=3&amp;window=popup_no_bar&amp;width=385&amp;height=120&amp;START_MAXIMIZED=FALSE&amp;creator=factset&amp;display_string=Audit"}</definedName>
    <definedName name="_2608__FDSAUDITLINK__" hidden="1">{"fdsup://Directions/FactSet Auditing Viewer?action=AUDIT_VALUE&amp;DB=129&amp;ID1=59511210&amp;VALUEID=02001&amp;SDATE=200503&amp;PERIODTYPE=QTR_STD&amp;SCFT=3&amp;window=popup_no_bar&amp;width=385&amp;height=120&amp;START_MAXIMIZED=FALSE&amp;creator=factset&amp;display_string=Audit"}</definedName>
    <definedName name="_2609__FDSAUDITLINK__" hidden="1">{"fdsup://Directions/FactSet Auditing Viewer?action=AUDIT_VALUE&amp;DB=129&amp;ID1=59513710&amp;VALUEID=02001&amp;SDATE=200503&amp;PERIODTYPE=QTR_STD&amp;SCFT=3&amp;window=popup_no_bar&amp;width=385&amp;height=120&amp;START_MAXIMIZED=FALSE&amp;creator=factset&amp;display_string=Audit"}</definedName>
    <definedName name="_261__FDSAUDITLINK__" hidden="1">{"fdsup://Directions/FactSet Auditing Viewer?action=AUDIT_VALUE&amp;DB=129&amp;ID1=24702R10&amp;VALUEID=02001&amp;SDATE=201004&amp;PERIODTYPE=QTR_STD&amp;SCFT=3&amp;window=popup_no_bar&amp;width=385&amp;height=120&amp;START_MAXIMIZED=FALSE&amp;creator=factset&amp;display_string=Audit"}</definedName>
    <definedName name="_2610__FDSAUDITLINK__" hidden="1">{"fdsup://Directions/FactSet Auditing Viewer?action=AUDIT_VALUE&amp;DB=129&amp;ID1=59513710&amp;VALUEID=02001&amp;SDATE=200503&amp;PERIODTYPE=QTR_STD&amp;SCFT=3&amp;window=popup_no_bar&amp;width=385&amp;height=120&amp;START_MAXIMIZED=FALSE&amp;creator=factset&amp;display_string=Audit"}</definedName>
    <definedName name="_2611__FDSAUDITLINK__" hidden="1">{"fdsup://Directions/FactSet Auditing Viewer?action=AUDIT_VALUE&amp;DB=129&amp;ID1=G5876H10&amp;VALUEID=02001&amp;SDATE=200502&amp;PERIODTYPE=QTR_STD&amp;SCFT=3&amp;window=popup_no_bar&amp;width=385&amp;height=120&amp;START_MAXIMIZED=FALSE&amp;creator=factset&amp;display_string=Audit"}</definedName>
    <definedName name="_2612__FDSAUDITLINK__" hidden="1">{"fdsup://Directions/FactSet Auditing Viewer?action=AUDIT_VALUE&amp;DB=129&amp;ID1=G5876H10&amp;VALUEID=02001&amp;SDATE=200502&amp;PERIODTYPE=QTR_STD&amp;SCFT=3&amp;window=popup_no_bar&amp;width=385&amp;height=120&amp;START_MAXIMIZED=FALSE&amp;creator=factset&amp;display_string=Audit"}</definedName>
    <definedName name="_2613__FDSAUDITLINK__" hidden="1">{"fdsup://Directions/FactSet Auditing Viewer?action=AUDIT_VALUE&amp;DB=129&amp;ID1=62007630&amp;VALUEID=02001&amp;SDATE=200502&amp;PERIODTYPE=QTR_STD&amp;SCFT=3&amp;window=popup_no_bar&amp;width=385&amp;height=120&amp;START_MAXIMIZED=FALSE&amp;creator=factset&amp;display_string=Audit"}</definedName>
    <definedName name="_2614__FDSAUDITLINK__" hidden="1">{"fdsup://Directions/FactSet Auditing Viewer?action=AUDIT_VALUE&amp;DB=129&amp;ID1=62007630&amp;VALUEID=02001&amp;SDATE=200502&amp;PERIODTYPE=QTR_STD&amp;SCFT=3&amp;window=popup_no_bar&amp;width=385&amp;height=120&amp;START_MAXIMIZED=FALSE&amp;creator=factset&amp;display_string=Audit"}</definedName>
    <definedName name="_2615__FDSAUDITLINK__" hidden="1">{"fdsup://Directions/FactSet Auditing Viewer?action=AUDIT_VALUE&amp;DB=129&amp;ID1=59479310&amp;VALUEID=02001&amp;SDATE=200502&amp;PERIODTYPE=QTR_STD&amp;SCFT=3&amp;window=popup_no_bar&amp;width=385&amp;height=120&amp;START_MAXIMIZED=FALSE&amp;creator=factset&amp;display_string=Audit"}</definedName>
    <definedName name="_2616__FDSAUDITLINK__" hidden="1">{"fdsup://Directions/FactSet Auditing Viewer?action=AUDIT_VALUE&amp;DB=129&amp;ID1=59479310&amp;VALUEID=02001&amp;SDATE=200502&amp;PERIODTYPE=QTR_STD&amp;SCFT=3&amp;window=popup_no_bar&amp;width=385&amp;height=120&amp;START_MAXIMIZED=FALSE&amp;creator=factset&amp;display_string=Audit"}</definedName>
    <definedName name="_2617__FDSAUDITLINK__" hidden="1">{"fdsup://Directions/FactSet Auditing Viewer?action=AUDIT_VALUE&amp;DB=129&amp;ID1=59501710&amp;VALUEID=02001&amp;SDATE=200501&amp;PERIODTYPE=QTR_STD&amp;SCFT=3&amp;window=popup_no_bar&amp;width=385&amp;height=120&amp;START_MAXIMIZED=FALSE&amp;creator=factset&amp;display_string=Audit"}</definedName>
    <definedName name="_2618__FDSAUDITLINK__" hidden="1">{"fdsup://Directions/FactSet Auditing Viewer?action=AUDIT_VALUE&amp;DB=129&amp;ID1=59501710&amp;VALUEID=02001&amp;SDATE=200501&amp;PERIODTYPE=QTR_STD&amp;SCFT=3&amp;window=popup_no_bar&amp;width=385&amp;height=120&amp;START_MAXIMIZED=FALSE&amp;creator=factset&amp;display_string=Audit"}</definedName>
    <definedName name="_2619__FDSAUDITLINK__" hidden="1">{"fdsup://Directions/FactSet Auditing Viewer?action=AUDIT_VALUE&amp;DB=129&amp;ID1=50216110&amp;VALUEID=02001&amp;SDATE=200502&amp;PERIODTYPE=QTR_STD&amp;SCFT=3&amp;window=popup_no_bar&amp;width=385&amp;height=120&amp;START_MAXIMIZED=FALSE&amp;creator=factset&amp;display_string=Audit"}</definedName>
    <definedName name="_262__FDSAUDITLINK__" hidden="1">{"fdsup://Directions/FactSet Auditing Viewer?action=AUDIT_VALUE&amp;DB=129&amp;ID1=24702R10&amp;VALUEID=02001&amp;SDATE=201004&amp;PERIODTYPE=QTR_STD&amp;SCFT=3&amp;window=popup_no_bar&amp;width=385&amp;height=120&amp;START_MAXIMIZED=FALSE&amp;creator=factset&amp;display_string=Audit"}</definedName>
    <definedName name="_2620__FDSAUDITLINK__" hidden="1">{"fdsup://Directions/FactSet Auditing Viewer?action=AUDIT_VALUE&amp;DB=129&amp;ID1=50216110&amp;VALUEID=02001&amp;SDATE=200502&amp;PERIODTYPE=QTR_STD&amp;SCFT=3&amp;window=popup_no_bar&amp;width=385&amp;height=120&amp;START_MAXIMIZED=FALSE&amp;creator=factset&amp;display_string=Audit"}</definedName>
    <definedName name="_2621__FDSAUDITLINK__" hidden="1">{"fdsup://Directions/FactSet Auditing Viewer?action=AUDIT_VALUE&amp;DB=129&amp;ID1=51841510&amp;VALUEID=02001&amp;SDATE=200502&amp;PERIODTYPE=QTR_STD&amp;SCFT=3&amp;window=popup_no_bar&amp;width=385&amp;height=120&amp;START_MAXIMIZED=FALSE&amp;creator=factset&amp;display_string=Audit"}</definedName>
    <definedName name="_2622__FDSAUDITLINK__" hidden="1">{"fdsup://Directions/FactSet Auditing Viewer?action=AUDIT_VALUE&amp;DB=129&amp;ID1=51841510&amp;VALUEID=02001&amp;SDATE=200502&amp;PERIODTYPE=QTR_STD&amp;SCFT=3&amp;window=popup_no_bar&amp;width=385&amp;height=120&amp;START_MAXIMIZED=FALSE&amp;creator=factset&amp;display_string=Audit"}</definedName>
    <definedName name="_2623__FDSAUDITLINK__" hidden="1">{"fdsup://Directions/FactSet Auditing Viewer?action=AUDIT_VALUE&amp;DB=129&amp;ID1=48203R10&amp;VALUEID=02001&amp;SDATE=200502&amp;PERIODTYPE=QTR_STD&amp;SCFT=3&amp;window=popup_no_bar&amp;width=385&amp;height=120&amp;START_MAXIMIZED=FALSE&amp;creator=factset&amp;display_string=Audit"}</definedName>
    <definedName name="_2624__FDSAUDITLINK__" hidden="1">{"fdsup://Directions/FactSet Auditing Viewer?action=AUDIT_VALUE&amp;DB=129&amp;ID1=48203R10&amp;VALUEID=02001&amp;SDATE=200502&amp;PERIODTYPE=QTR_STD&amp;SCFT=3&amp;window=popup_no_bar&amp;width=385&amp;height=120&amp;START_MAXIMIZED=FALSE&amp;creator=factset&amp;display_string=Audit"}</definedName>
    <definedName name="_2625__FDSAUDITLINK__" hidden="1">{"fdsup://Directions/FactSet Auditing Viewer?action=AUDIT_VALUE&amp;DB=129&amp;ID1=46069S10&amp;VALUEID=02001&amp;SDATE=200502&amp;PERIODTYPE=QTR_STD&amp;SCFT=3&amp;window=popup_no_bar&amp;width=385&amp;height=120&amp;START_MAXIMIZED=FALSE&amp;creator=factset&amp;display_string=Audit"}</definedName>
    <definedName name="_2626__FDSAUDITLINK__" hidden="1">{"fdsup://Directions/FactSet Auditing Viewer?action=AUDIT_VALUE&amp;DB=129&amp;ID1=46069S10&amp;VALUEID=02001&amp;SDATE=200502&amp;PERIODTYPE=QTR_STD&amp;SCFT=3&amp;window=popup_no_bar&amp;width=385&amp;height=120&amp;START_MAXIMIZED=FALSE&amp;creator=factset&amp;display_string=Audit"}</definedName>
    <definedName name="_2627__FDSAUDITLINK__" hidden="1">{"fdsup://Directions/FactSet Auditing Viewer?action=AUDIT_VALUE&amp;DB=129&amp;ID1=46025410&amp;VALUEID=02001&amp;SDATE=200504&amp;PERIODTYPE=QTR_STD&amp;SCFT=3&amp;window=popup_no_bar&amp;width=385&amp;height=120&amp;START_MAXIMIZED=FALSE&amp;creator=factset&amp;display_string=Audit"}</definedName>
    <definedName name="_2628__FDSAUDITLINK__" hidden="1">{"fdsup://Directions/FactSet Auditing Viewer?action=AUDIT_VALUE&amp;DB=129&amp;ID1=46025410&amp;VALUEID=02001&amp;SDATE=200504&amp;PERIODTYPE=QTR_STD&amp;SCFT=3&amp;window=popup_no_bar&amp;width=385&amp;height=120&amp;START_MAXIMIZED=FALSE&amp;creator=factset&amp;display_string=Audit"}</definedName>
    <definedName name="_2629__FDSAUDITLINK__" hidden="1">{"fdsup://Directions/FactSet Auditing Viewer?action=AUDIT_VALUE&amp;DB=129&amp;ID1=45814010&amp;VALUEID=02001&amp;SDATE=200502&amp;PERIODTYPE=QTR_STD&amp;SCFT=3&amp;window=popup_no_bar&amp;width=385&amp;height=120&amp;START_MAXIMIZED=FALSE&amp;creator=factset&amp;display_string=Audit"}</definedName>
    <definedName name="_263__FDSAUDITLINK__" hidden="1">{"fdsup://Directions/FactSet Auditing Viewer?action=AUDIT_VALUE&amp;DB=129&amp;ID1=23257210&amp;VALUEID=02001&amp;SDATE=201004&amp;PERIODTYPE=QTR_STD&amp;SCFT=3&amp;window=popup_no_bar&amp;width=385&amp;height=120&amp;START_MAXIMIZED=FALSE&amp;creator=factset&amp;display_string=Audit"}</definedName>
    <definedName name="_2630__FDSAUDITLINK__" hidden="1">{"fdsup://Directions/FactSet Auditing Viewer?action=AUDIT_VALUE&amp;DB=129&amp;ID1=45814010&amp;VALUEID=02001&amp;SDATE=200502&amp;PERIODTYPE=QTR_STD&amp;SCFT=3&amp;window=popup_no_bar&amp;width=385&amp;height=120&amp;START_MAXIMIZED=FALSE&amp;creator=factset&amp;display_string=Audit"}</definedName>
    <definedName name="_2631__FDSAUDITLINK__" hidden="1">{"fdsup://Directions/FactSet Auditing Viewer?action=AUDIT_VALUE&amp;DB=129&amp;ID1=45811810&amp;VALUEID=02001&amp;SDATE=200501&amp;PERIODTYPE=QTR_STD&amp;SCFT=3&amp;window=popup_no_bar&amp;width=385&amp;height=120&amp;START_MAXIMIZED=FALSE&amp;creator=factset&amp;display_string=Audit"}</definedName>
    <definedName name="_2632__FDSAUDITLINK__" hidden="1">{"fdsup://Directions/FactSet Auditing Viewer?action=AUDIT_VALUE&amp;DB=129&amp;ID1=45811810&amp;VALUEID=02001&amp;SDATE=200501&amp;PERIODTYPE=QTR_STD&amp;SCFT=3&amp;window=popup_no_bar&amp;width=385&amp;height=120&amp;START_MAXIMIZED=FALSE&amp;creator=factset&amp;display_string=Audit"}</definedName>
    <definedName name="_2633__FDSAUDITLINK__" hidden="1">{"fdsup://Directions/FactSet Auditing Viewer?action=AUDIT_VALUE&amp;DB=129&amp;ID1=42823610&amp;VALUEID=02001&amp;SDATE=200503&amp;PERIODTYPE=QTR_STD&amp;SCFT=3&amp;window=popup_no_bar&amp;width=385&amp;height=120&amp;START_MAXIMIZED=FALSE&amp;creator=factset&amp;display_string=Audit"}</definedName>
    <definedName name="_2634__FDSAUDITLINK__" hidden="1">{"fdsup://Directions/FactSet Auditing Viewer?action=AUDIT_VALUE&amp;DB=129&amp;ID1=42823610&amp;VALUEID=02001&amp;SDATE=200503&amp;PERIODTYPE=QTR_STD&amp;SCFT=3&amp;window=popup_no_bar&amp;width=385&amp;height=120&amp;START_MAXIMIZED=FALSE&amp;creator=factset&amp;display_string=Audit"}</definedName>
    <definedName name="_2635__FDSAUDITLINK__" hidden="1">{"fdsup://Directions/FactSet Auditing Viewer?action=AUDIT_VALUE&amp;DB=129&amp;ID1=34637510&amp;VALUEID=02001&amp;SDATE=200502&amp;PERIODTYPE=QTR_STD&amp;SCFT=3&amp;window=popup_no_bar&amp;width=385&amp;height=120&amp;START_MAXIMIZED=FALSE&amp;creator=factset&amp;display_string=Audit"}</definedName>
    <definedName name="_2636__FDSAUDITLINK__" hidden="1">{"fdsup://Directions/FactSet Auditing Viewer?action=AUDIT_VALUE&amp;DB=129&amp;ID1=34637510&amp;VALUEID=02001&amp;SDATE=200502&amp;PERIODTYPE=QTR_STD&amp;SCFT=3&amp;window=popup_no_bar&amp;width=385&amp;height=120&amp;START_MAXIMIZED=FALSE&amp;creator=factset&amp;display_string=Audit"}</definedName>
    <definedName name="_2637__FDSAUDITLINK__" hidden="1">{"fdsup://Directions/FactSet Auditing Viewer?action=AUDIT_VALUE&amp;DB=129&amp;ID1=31561610&amp;VALUEID=02001&amp;SDATE=200503&amp;PERIODTYPE=QTR_STD&amp;SCFT=3&amp;window=popup_no_bar&amp;width=385&amp;height=120&amp;START_MAXIMIZED=FALSE&amp;creator=factset&amp;display_string=Audit"}</definedName>
    <definedName name="_2638__FDSAUDITLINK__" hidden="1">{"fdsup://Directions/FactSet Auditing Viewer?action=AUDIT_VALUE&amp;DB=129&amp;ID1=31561610&amp;VALUEID=02001&amp;SDATE=200503&amp;PERIODTYPE=QTR_STD&amp;SCFT=3&amp;window=popup_no_bar&amp;width=385&amp;height=120&amp;START_MAXIMIZED=FALSE&amp;creator=factset&amp;display_string=Audit"}</definedName>
    <definedName name="_2639__FDSAUDITLINK__" hidden="1">{"fdsup://Directions/FactSet Auditing Viewer?action=AUDIT_VALUE&amp;DB=129&amp;ID1=25454310&amp;VALUEID=02001&amp;SDATE=200502&amp;PERIODTYPE=QTR_STD&amp;SCFT=3&amp;window=popup_no_bar&amp;width=385&amp;height=120&amp;START_MAXIMIZED=FALSE&amp;creator=factset&amp;display_string=Audit"}</definedName>
    <definedName name="_264__FDSAUDITLINK__" hidden="1">{"fdsup://Directions/FactSet Auditing Viewer?action=AUDIT_VALUE&amp;DB=129&amp;ID1=23257210&amp;VALUEID=02001&amp;SDATE=201004&amp;PERIODTYPE=QTR_STD&amp;SCFT=3&amp;window=popup_no_bar&amp;width=385&amp;height=120&amp;START_MAXIMIZED=FALSE&amp;creator=factset&amp;display_string=Audit"}</definedName>
    <definedName name="_2640__FDSAUDITLINK__" hidden="1">{"fdsup://Directions/FactSet Auditing Viewer?action=AUDIT_VALUE&amp;DB=129&amp;ID1=25454310&amp;VALUEID=02001&amp;SDATE=200502&amp;PERIODTYPE=QTR_STD&amp;SCFT=3&amp;window=popup_no_bar&amp;width=385&amp;height=120&amp;START_MAXIMIZED=FALSE&amp;creator=factset&amp;display_string=Audit"}</definedName>
    <definedName name="_2641__FDSAUDITLINK__" hidden="1">{"fdsup://Directions/FactSet Auditing Viewer?action=AUDIT_VALUE&amp;DB=129&amp;ID1=24702R10&amp;VALUEID=02001&amp;SDATE=200502&amp;PERIODTYPE=QTR_STD&amp;SCFT=3&amp;window=popup_no_bar&amp;width=385&amp;height=120&amp;START_MAXIMIZED=FALSE&amp;creator=factset&amp;display_string=Audit"}</definedName>
    <definedName name="_2642__FDSAUDITLINK__" hidden="1">{"fdsup://Directions/FactSet Auditing Viewer?action=AUDIT_VALUE&amp;DB=129&amp;ID1=24702R10&amp;VALUEID=02001&amp;SDATE=200502&amp;PERIODTYPE=QTR_STD&amp;SCFT=3&amp;window=popup_no_bar&amp;width=385&amp;height=120&amp;START_MAXIMIZED=FALSE&amp;creator=factset&amp;display_string=Audit"}</definedName>
    <definedName name="_2643__FDSAUDITLINK__" hidden="1">{"fdsup://Directions/FactSet Auditing Viewer?action=AUDIT_VALUE&amp;DB=129&amp;ID1=23257210&amp;VALUEID=02001&amp;SDATE=200502&amp;PERIODTYPE=QTR_STD&amp;SCFT=3&amp;window=popup_no_bar&amp;width=385&amp;height=120&amp;START_MAXIMIZED=FALSE&amp;creator=factset&amp;display_string=Audit"}</definedName>
    <definedName name="_2644__FDSAUDITLINK__" hidden="1">{"fdsup://Directions/FactSet Auditing Viewer?action=AUDIT_VALUE&amp;DB=129&amp;ID1=23257210&amp;VALUEID=02001&amp;SDATE=200502&amp;PERIODTYPE=QTR_STD&amp;SCFT=3&amp;window=popup_no_bar&amp;width=385&amp;height=120&amp;START_MAXIMIZED=FALSE&amp;creator=factset&amp;display_string=Audit"}</definedName>
    <definedName name="_2645__FDSAUDITLINK__" hidden="1">{"fdsup://Directions/FactSet Auditing Viewer?action=AUDIT_VALUE&amp;DB=129&amp;ID1=23280610&amp;VALUEID=02001&amp;SDATE=200502&amp;PERIODTYPE=QTR_STD&amp;SCFT=3&amp;window=popup_no_bar&amp;width=385&amp;height=120&amp;START_MAXIMIZED=FALSE&amp;creator=factset&amp;display_string=Audit"}</definedName>
    <definedName name="_2646__FDSAUDITLINK__" hidden="1">{"fdsup://Directions/FactSet Auditing Viewer?action=AUDIT_VALUE&amp;DB=129&amp;ID1=23280610&amp;VALUEID=02001&amp;SDATE=200502&amp;PERIODTYPE=QTR_STD&amp;SCFT=3&amp;window=popup_no_bar&amp;width=385&amp;height=120&amp;START_MAXIMIZED=FALSE&amp;creator=factset&amp;display_string=Audit"}</definedName>
    <definedName name="_2647__FDSAUDITLINK__" hidden="1">{"fdsup://Directions/FactSet Auditing Viewer?action=AUDIT_VALUE&amp;DB=129&amp;ID1=20714230&amp;VALUEID=02001&amp;SDATE=200503&amp;PERIODTYPE=QTR_STD&amp;SCFT=3&amp;window=popup_no_bar&amp;width=385&amp;height=120&amp;START_MAXIMIZED=FALSE&amp;creator=factset&amp;display_string=Audit"}</definedName>
    <definedName name="_2648__FDSAUDITLINK__" hidden="1">{"fdsup://Directions/FactSet Auditing Viewer?action=AUDIT_VALUE&amp;DB=129&amp;ID1=20714230&amp;VALUEID=02001&amp;SDATE=200503&amp;PERIODTYPE=QTR_STD&amp;SCFT=3&amp;window=popup_no_bar&amp;width=385&amp;height=120&amp;START_MAXIMIZED=FALSE&amp;creator=factset&amp;display_string=Audit"}</definedName>
    <definedName name="_2649__FDSAUDITLINK__" hidden="1">{"fdsup://Directions/FactSet Auditing Viewer?action=AUDIT_VALUE&amp;DB=129&amp;ID1=12738710&amp;VALUEID=02001&amp;SDATE=200502&amp;PERIODTYPE=QTR_STD&amp;SCFT=3&amp;window=popup_no_bar&amp;width=385&amp;height=120&amp;START_MAXIMIZED=FALSE&amp;creator=factset&amp;display_string=Audit"}</definedName>
    <definedName name="_265__FDSAUDITLINK__" hidden="1">{"fdsup://Directions/FactSet Auditing Viewer?action=AUDIT_VALUE&amp;DB=129&amp;ID1=23280610&amp;VALUEID=02001&amp;SDATE=201004&amp;PERIODTYPE=QTR_STD&amp;SCFT=3&amp;window=popup_no_bar&amp;width=385&amp;height=120&amp;START_MAXIMIZED=FALSE&amp;creator=factset&amp;display_string=Audit"}</definedName>
    <definedName name="_2650__FDSAUDITLINK__" hidden="1">{"fdsup://Directions/FactSet Auditing Viewer?action=AUDIT_VALUE&amp;DB=129&amp;ID1=12738710&amp;VALUEID=02001&amp;SDATE=200502&amp;PERIODTYPE=QTR_STD&amp;SCFT=3&amp;window=popup_no_bar&amp;width=385&amp;height=120&amp;START_MAXIMIZED=FALSE&amp;creator=factset&amp;display_string=Audit"}</definedName>
    <definedName name="_2651__FDSAUDITLINK__" hidden="1">{"fdsup://Directions/FactSet Auditing Viewer?action=AUDIT_VALUE&amp;DB=129&amp;ID1=11162130&amp;VALUEID=02001&amp;SDATE=200503&amp;PERIODTYPE=QTR_STD&amp;SCFT=3&amp;window=popup_no_bar&amp;width=385&amp;height=120&amp;START_MAXIMIZED=FALSE&amp;creator=factset&amp;display_string=Audit"}</definedName>
    <definedName name="_2652__FDSAUDITLINK__" hidden="1">{"fdsup://Directions/FactSet Auditing Viewer?action=AUDIT_VALUE&amp;DB=129&amp;ID1=11162130&amp;VALUEID=02001&amp;SDATE=200503&amp;PERIODTYPE=QTR_STD&amp;SCFT=3&amp;window=popup_no_bar&amp;width=385&amp;height=120&amp;START_MAXIMIZED=FALSE&amp;creator=factset&amp;display_string=Audit"}</definedName>
    <definedName name="_2653__FDSAUDITLINK__" hidden="1">{"fdsup://Directions/FactSet Auditing Viewer?action=AUDIT_VALUE&amp;DB=129&amp;ID1=04743P10&amp;VALUEID=02001&amp;SDATE=200502&amp;PERIODTYPE=QTR_STD&amp;SCFT=3&amp;window=popup_no_bar&amp;width=385&amp;height=120&amp;START_MAXIMIZED=FALSE&amp;creator=factset&amp;display_string=Audit"}</definedName>
    <definedName name="_2654__FDSAUDITLINK__" hidden="1">{"fdsup://Directions/FactSet Auditing Viewer?action=AUDIT_VALUE&amp;DB=129&amp;ID1=04743P10&amp;VALUEID=02001&amp;SDATE=200502&amp;PERIODTYPE=QTR_STD&amp;SCFT=3&amp;window=popup_no_bar&amp;width=385&amp;height=120&amp;START_MAXIMIZED=FALSE&amp;creator=factset&amp;display_string=Audit"}</definedName>
    <definedName name="_2655__FDSAUDITLINK__" hidden="1">{"fdsup://Directions/FactSet Auditing Viewer?action=AUDIT_VALUE&amp;DB=129&amp;ID1=00790310&amp;VALUEID=02001&amp;SDATE=200502&amp;PERIODTYPE=QTR_STD&amp;SCFT=3&amp;window=popup_no_bar&amp;width=385&amp;height=120&amp;START_MAXIMIZED=FALSE&amp;creator=factset&amp;display_string=Audit"}</definedName>
    <definedName name="_2656__FDSAUDITLINK__" hidden="1">{"fdsup://Directions/FactSet Auditing Viewer?action=AUDIT_VALUE&amp;DB=129&amp;ID1=00790310&amp;VALUEID=02001&amp;SDATE=200502&amp;PERIODTYPE=QTR_STD&amp;SCFT=3&amp;window=popup_no_bar&amp;width=385&amp;height=120&amp;START_MAXIMIZED=FALSE&amp;creator=factset&amp;display_string=Audit"}</definedName>
    <definedName name="_2657__FDSAUDITLINK__" hidden="1">{"fdsup://Directions/FactSet Auditing Viewer?action=AUDIT_VALUE&amp;DB=129&amp;ID1=03822W40&amp;VALUEID=02001&amp;SDATE=200501&amp;PERIODTYPE=QTR_STD&amp;SCFT=3&amp;window=popup_no_bar&amp;width=385&amp;height=120&amp;START_MAXIMIZED=FALSE&amp;creator=factset&amp;display_string=Audit"}</definedName>
    <definedName name="_2658__FDSAUDITLINK__" hidden="1">{"fdsup://Directions/FactSet Auditing Viewer?action=AUDIT_VALUE&amp;DB=129&amp;ID1=03822W40&amp;VALUEID=02001&amp;SDATE=200501&amp;PERIODTYPE=QTR_STD&amp;SCFT=3&amp;window=popup_no_bar&amp;width=385&amp;height=120&amp;START_MAXIMIZED=FALSE&amp;creator=factset&amp;display_string=Audit"}</definedName>
    <definedName name="_2659__FDSAUDITLINK__" hidden="1">{"fdsup://Directions/FactSet Auditing Viewer?action=AUDIT_VALUE&amp;DB=129&amp;ID1=03822210&amp;VALUEID=02001&amp;SDATE=200503&amp;PERIODTYPE=QTR_STD&amp;SCFT=3&amp;window=popup_no_bar&amp;width=385&amp;height=120&amp;START_MAXIMIZED=FALSE&amp;creator=factset&amp;display_string=Audit"}</definedName>
    <definedName name="_266__FDSAUDITLINK__" hidden="1">{"fdsup://Directions/FactSet Auditing Viewer?action=AUDIT_VALUE&amp;DB=129&amp;ID1=23280610&amp;VALUEID=02001&amp;SDATE=201004&amp;PERIODTYPE=QTR_STD&amp;SCFT=3&amp;window=popup_no_bar&amp;width=385&amp;height=120&amp;START_MAXIMIZED=FALSE&amp;creator=factset&amp;display_string=Audit"}</definedName>
    <definedName name="_2660__FDSAUDITLINK__" hidden="1">{"fdsup://Directions/FactSet Auditing Viewer?action=AUDIT_VALUE&amp;DB=129&amp;ID1=03822210&amp;VALUEID=02001&amp;SDATE=200503&amp;PERIODTYPE=QTR_STD&amp;SCFT=3&amp;window=popup_no_bar&amp;width=385&amp;height=120&amp;START_MAXIMIZED=FALSE&amp;creator=factset&amp;display_string=Audit"}</definedName>
    <definedName name="_2661__FDSAUDITLINK__" hidden="1">{"fdsup://Directions/FactSet Auditing Viewer?action=AUDIT_VALUE&amp;DB=129&amp;ID1=02144110&amp;VALUEID=02001&amp;SDATE=200502&amp;PERIODTYPE=QTR_STD&amp;SCFT=3&amp;window=popup_no_bar&amp;width=385&amp;height=120&amp;START_MAXIMIZED=FALSE&amp;creator=factset&amp;display_string=Audit"}</definedName>
    <definedName name="_2662__FDSAUDITLINK__" hidden="1">{"fdsup://Directions/FactSet Auditing Viewer?action=AUDIT_VALUE&amp;DB=129&amp;ID1=02144110&amp;VALUEID=02001&amp;SDATE=200502&amp;PERIODTYPE=QTR_STD&amp;SCFT=3&amp;window=popup_no_bar&amp;width=385&amp;height=120&amp;START_MAXIMIZED=FALSE&amp;creator=factset&amp;display_string=Audit"}</definedName>
    <definedName name="_2663__FDSAUDITLINK__" hidden="1">{"fdsup://Directions/FactSet Auditing Viewer?action=AUDIT_VALUE&amp;DB=129&amp;ID1=03265410&amp;VALUEID=02001&amp;SDATE=200503&amp;PERIODTYPE=QTR_STD&amp;SCFT=3&amp;window=popup_no_bar&amp;width=385&amp;height=120&amp;START_MAXIMIZED=FALSE&amp;creator=factset&amp;display_string=Audit"}</definedName>
    <definedName name="_2664__FDSAUDITLINK__" hidden="1">{"fdsup://Directions/FactSet Auditing Viewer?action=AUDIT_VALUE&amp;DB=129&amp;ID1=03265410&amp;VALUEID=02001&amp;SDATE=200503&amp;PERIODTYPE=QTR_STD&amp;SCFT=3&amp;window=popup_no_bar&amp;width=385&amp;height=120&amp;START_MAXIMIZED=FALSE&amp;creator=factset&amp;display_string=Audit"}</definedName>
    <definedName name="_2665__FDSAUDITLINK__" hidden="1">{"fdsup://Directions/FactSet Auditing Viewer?action=AUDIT_VALUE&amp;DB=129&amp;ID1=00752J10&amp;VALUEID=02001&amp;SDATE=200502&amp;PERIODTYPE=QTR_STD&amp;SCFT=3&amp;window=popup_no_bar&amp;width=385&amp;height=120&amp;START_MAXIMIZED=FALSE&amp;creator=factset&amp;display_string=Audit"}</definedName>
    <definedName name="_2666__FDSAUDITLINK__" hidden="1">{"fdsup://Directions/FactSet Auditing Viewer?action=AUDIT_VALUE&amp;DB=129&amp;ID1=00752J10&amp;VALUEID=02001&amp;SDATE=200502&amp;PERIODTYPE=QTR_STD&amp;SCFT=3&amp;window=popup_no_bar&amp;width=385&amp;height=120&amp;START_MAXIMIZED=FALSE&amp;creator=factset&amp;display_string=Audit"}</definedName>
    <definedName name="_2667__FDSAUDITLINK__" hidden="1">{"fdsup://Directions/FactSet Auditing Viewer?action=AUDIT_VALUE&amp;DB=129&amp;ID1=98975F10&amp;VALUEID=02001&amp;SDATE=200501&amp;PERIODTYPE=QTR_STD&amp;SCFT=3&amp;window=popup_no_bar&amp;width=385&amp;height=120&amp;START_MAXIMIZED=FALSE&amp;creator=factset&amp;display_string=Audit"}</definedName>
    <definedName name="_2668__FDSAUDITLINK__" hidden="1">{"fdsup://Directions/FactSet Auditing Viewer?action=AUDIT_VALUE&amp;DB=129&amp;ID1=98975F10&amp;VALUEID=02001&amp;SDATE=200501&amp;PERIODTYPE=QTR_STD&amp;SCFT=3&amp;window=popup_no_bar&amp;width=385&amp;height=120&amp;START_MAXIMIZED=FALSE&amp;creator=factset&amp;display_string=Audit"}</definedName>
    <definedName name="_2669__FDSAUDITLINK__" hidden="1">{"fdsup://Directions/FactSet Auditing Viewer?action=AUDIT_VALUE&amp;DB=129&amp;ID1=95810210&amp;VALUEID=02001&amp;SDATE=200503&amp;PERIODTYPE=QTR_STD&amp;SCFT=3&amp;window=popup_no_bar&amp;width=385&amp;height=120&amp;START_MAXIMIZED=FALSE&amp;creator=factset&amp;display_string=Audit"}</definedName>
    <definedName name="_267__FDSAUDITLINK__" hidden="1">{"fdsup://Directions/FactSet Auditing Viewer?action=AUDIT_VALUE&amp;DB=129&amp;ID1=17275R10&amp;VALUEID=02001&amp;SDATE=201102&amp;PERIODTYPE=QTR_STD&amp;SCFT=3&amp;window=popup_no_bar&amp;width=385&amp;height=120&amp;START_MAXIMIZED=FALSE&amp;creator=factset&amp;display_string=Audit"}</definedName>
    <definedName name="_2670__FDSAUDITLINK__" hidden="1">{"fdsup://Directions/FactSet Auditing Viewer?action=AUDIT_VALUE&amp;DB=129&amp;ID1=95810210&amp;VALUEID=02001&amp;SDATE=200503&amp;PERIODTYPE=QTR_STD&amp;SCFT=3&amp;window=popup_no_bar&amp;width=385&amp;height=120&amp;START_MAXIMIZED=FALSE&amp;creator=factset&amp;display_string=Audit"}</definedName>
    <definedName name="_2671__FDSAUDITLINK__" hidden="1">{"fdsup://Directions/FactSet Auditing Viewer?action=AUDIT_VALUE&amp;DB=129&amp;ID1=88250810&amp;VALUEID=02001&amp;SDATE=200501&amp;PERIODTYPE=QTR_STD&amp;SCFT=3&amp;window=popup_no_bar&amp;width=385&amp;height=120&amp;START_MAXIMIZED=FALSE&amp;creator=factset&amp;display_string=Audit"}</definedName>
    <definedName name="_2672__FDSAUDITLINK__" hidden="1">{"fdsup://Directions/FactSet Auditing Viewer?action=AUDIT_VALUE&amp;DB=129&amp;ID1=88250810&amp;VALUEID=02001&amp;SDATE=200501&amp;PERIODTYPE=QTR_STD&amp;SCFT=3&amp;window=popup_no_bar&amp;width=385&amp;height=120&amp;START_MAXIMIZED=FALSE&amp;creator=factset&amp;display_string=Audit"}</definedName>
    <definedName name="_2673__FDSAUDITLINK__" hidden="1">{"fdsup://Directions/FactSet Auditing Viewer?action=AUDIT_VALUE&amp;DB=129&amp;ID1=89674K10&amp;VALUEID=02001&amp;SDATE=200501&amp;PERIODTYPE=QTR_STD&amp;SCFT=3&amp;window=popup_no_bar&amp;width=385&amp;height=120&amp;START_MAXIMIZED=FALSE&amp;creator=factset&amp;display_string=Audit"}</definedName>
    <definedName name="_2674__FDSAUDITLINK__" hidden="1">{"fdsup://Directions/FactSet Auditing Viewer?action=AUDIT_VALUE&amp;DB=129&amp;ID1=89674K10&amp;VALUEID=02001&amp;SDATE=200501&amp;PERIODTYPE=QTR_STD&amp;SCFT=3&amp;window=popup_no_bar&amp;width=385&amp;height=120&amp;START_MAXIMIZED=FALSE&amp;creator=factset&amp;display_string=Audit"}</definedName>
    <definedName name="_2675__FDSAUDITLINK__" hidden="1">{"fdsup://Directions/FactSet Auditing Viewer?action=AUDIT_VALUE&amp;DB=129&amp;ID1=83088M10&amp;VALUEID=02001&amp;SDATE=200502&amp;PERIODTYPE=QTR_STD&amp;SCFT=3&amp;window=popup_no_bar&amp;width=385&amp;height=120&amp;START_MAXIMIZED=FALSE&amp;creator=factset&amp;display_string=Audit"}</definedName>
    <definedName name="_2676__FDSAUDITLINK__" hidden="1">{"fdsup://Directions/FactSet Auditing Viewer?action=AUDIT_VALUE&amp;DB=129&amp;ID1=83088M10&amp;VALUEID=02001&amp;SDATE=200502&amp;PERIODTYPE=QTR_STD&amp;SCFT=3&amp;window=popup_no_bar&amp;width=385&amp;height=120&amp;START_MAXIMIZED=FALSE&amp;creator=factset&amp;display_string=Audit"}</definedName>
    <definedName name="_2677__FDSAUDITLINK__" hidden="1">{"fdsup://Directions/FactSet Auditing Viewer?action=AUDIT_VALUE&amp;DB=129&amp;ID1=G7945M10&amp;VALUEID=02001&amp;SDATE=200503&amp;PERIODTYPE=QTR_STD&amp;SCFT=3&amp;window=popup_no_bar&amp;width=385&amp;height=120&amp;START_MAXIMIZED=FALSE&amp;creator=factset&amp;display_string=Audit"}</definedName>
    <definedName name="_2678__FDSAUDITLINK__" hidden="1">{"fdsup://Directions/FactSet Auditing Viewer?action=AUDIT_VALUE&amp;DB=129&amp;ID1=G7945M10&amp;VALUEID=02001&amp;SDATE=200503&amp;PERIODTYPE=QTR_STD&amp;SCFT=3&amp;window=popup_no_bar&amp;width=385&amp;height=120&amp;START_MAXIMIZED=FALSE&amp;creator=factset&amp;display_string=Audit"}</definedName>
    <definedName name="_2679__FDSAUDITLINK__" hidden="1">{"fdsup://Directions/FactSet Auditing Viewer?action=AUDIT_VALUE&amp;DB=129&amp;ID1=78477410&amp;VALUEID=02001&amp;SDATE=200501&amp;PERIODTYPE=QTR_STD&amp;SCFT=3&amp;window=popup_no_bar&amp;width=385&amp;height=120&amp;START_MAXIMIZED=FALSE&amp;creator=factset&amp;display_string=Audit"}</definedName>
    <definedName name="_268__FDSAUDITLINK__" hidden="1">{"fdsup://Directions/FactSet Auditing Viewer?action=AUDIT_VALUE&amp;DB=129&amp;ID1=17275R10&amp;VALUEID=02001&amp;SDATE=201102&amp;PERIODTYPE=QTR_STD&amp;SCFT=3&amp;window=popup_no_bar&amp;width=385&amp;height=120&amp;START_MAXIMIZED=FALSE&amp;creator=factset&amp;display_string=Audit"}</definedName>
    <definedName name="_2680__FDSAUDITLINK__" hidden="1">{"fdsup://Directions/FactSet Auditing Viewer?action=AUDIT_VALUE&amp;DB=129&amp;ID1=78477410&amp;VALUEID=02001&amp;SDATE=200501&amp;PERIODTYPE=QTR_STD&amp;SCFT=3&amp;window=popup_no_bar&amp;width=385&amp;height=120&amp;START_MAXIMIZED=FALSE&amp;creator=factset&amp;display_string=Audit"}</definedName>
    <definedName name="_2681__FDSAUDITLINK__" hidden="1">{"fdsup://Directions/FactSet Auditing Viewer?action=AUDIT_VALUE&amp;DB=129&amp;ID1=83547010&amp;VALUEID=02001&amp;SDATE=200501&amp;PERIODTYPE=QTR_STD&amp;SCFT=3&amp;window=popup_no_bar&amp;width=385&amp;height=120&amp;START_MAXIMIZED=FALSE&amp;creator=factset&amp;display_string=Audit"}</definedName>
    <definedName name="_2682__FDSAUDITLINK__" hidden="1">{"fdsup://Directions/FactSet Auditing Viewer?action=AUDIT_VALUE&amp;DB=129&amp;ID1=83547010&amp;VALUEID=02001&amp;SDATE=200501&amp;PERIODTYPE=QTR_STD&amp;SCFT=3&amp;window=popup_no_bar&amp;width=385&amp;height=120&amp;START_MAXIMIZED=FALSE&amp;creator=factset&amp;display_string=Audit"}</definedName>
    <definedName name="_2683__FDSAUDITLINK__" hidden="1">{"fdsup://Directions/FactSet Auditing Viewer?action=AUDIT_VALUE&amp;DB=129&amp;ID1=87160710&amp;VALUEID=02001&amp;SDATE=200502&amp;PERIODTYPE=QTR_STD&amp;SCFT=3&amp;window=popup_no_bar&amp;width=385&amp;height=120&amp;START_MAXIMIZED=FALSE&amp;creator=factset&amp;display_string=Audit"}</definedName>
    <definedName name="_2684__FDSAUDITLINK__" hidden="1">{"fdsup://Directions/FactSet Auditing Viewer?action=AUDIT_VALUE&amp;DB=129&amp;ID1=87160710&amp;VALUEID=02001&amp;SDATE=200502&amp;PERIODTYPE=QTR_STD&amp;SCFT=3&amp;window=popup_no_bar&amp;width=385&amp;height=120&amp;START_MAXIMIZED=FALSE&amp;creator=factset&amp;display_string=Audit"}</definedName>
    <definedName name="_2685__FDSAUDITLINK__" hidden="1">{"fdsup://Directions/FactSet Auditing Viewer?action=AUDIT_VALUE&amp;DB=129&amp;ID1=80004C10&amp;VALUEID=02001&amp;SDATE=200501&amp;PERIODTYPE=QTR_STD&amp;SCFT=3&amp;window=popup_no_bar&amp;width=385&amp;height=120&amp;START_MAXIMIZED=FALSE&amp;creator=factset&amp;display_string=Audit"}</definedName>
    <definedName name="_2686__FDSAUDITLINK__" hidden="1">{"fdsup://Directions/FactSet Auditing Viewer?action=AUDIT_VALUE&amp;DB=129&amp;ID1=80004C10&amp;VALUEID=02001&amp;SDATE=200501&amp;PERIODTYPE=QTR_STD&amp;SCFT=3&amp;window=popup_no_bar&amp;width=385&amp;height=120&amp;START_MAXIMIZED=FALSE&amp;creator=factset&amp;display_string=Audit"}</definedName>
    <definedName name="_2687__FDSAUDITLINK__" hidden="1">{"fdsup://Directions/FactSet Auditing Viewer?action=AUDIT_VALUE&amp;DB=129&amp;ID1=81685010&amp;VALUEID=02001&amp;SDATE=200501&amp;PERIODTYPE=QTR_STD&amp;SCFT=3&amp;window=popup_no_bar&amp;width=385&amp;height=120&amp;START_MAXIMIZED=FALSE&amp;creator=factset&amp;display_string=Audit"}</definedName>
    <definedName name="_2688__FDSAUDITLINK__" hidden="1">{"fdsup://Directions/FactSet Auditing Viewer?action=AUDIT_VALUE&amp;DB=129&amp;ID1=81685010&amp;VALUEID=02001&amp;SDATE=200501&amp;PERIODTYPE=QTR_STD&amp;SCFT=3&amp;window=popup_no_bar&amp;width=385&amp;height=120&amp;START_MAXIMIZED=FALSE&amp;creator=factset&amp;display_string=Audit"}</definedName>
    <definedName name="_2689__FDSAUDITLINK__" hidden="1">{"fdsup://Directions/FactSet Auditing Viewer?action=AUDIT_VALUE&amp;DB=129&amp;ID1=82691910&amp;VALUEID=02001&amp;SDATE=200501&amp;PERIODTYPE=QTR_STD&amp;SCFT=3&amp;window=popup_no_bar&amp;width=385&amp;height=120&amp;START_MAXIMIZED=FALSE&amp;creator=factset&amp;display_string=Audit"}</definedName>
    <definedName name="_269__FDSAUDITLINK__" hidden="1">{"fdsup://Directions/FactSet Auditing Viewer?action=AUDIT_VALUE&amp;DB=129&amp;ID1=22544710&amp;VALUEID=02001&amp;SDATE=201102&amp;PERIODTYPE=QTR_STD&amp;SCFT=3&amp;window=popup_no_bar&amp;width=385&amp;height=120&amp;START_MAXIMIZED=FALSE&amp;creator=factset&amp;display_string=Audit"}</definedName>
    <definedName name="_2690__FDSAUDITLINK__" hidden="1">{"fdsup://Directions/FactSet Auditing Viewer?action=AUDIT_VALUE&amp;DB=129&amp;ID1=82691910&amp;VALUEID=02001&amp;SDATE=200501&amp;PERIODTYPE=QTR_STD&amp;SCFT=3&amp;window=popup_no_bar&amp;width=385&amp;height=120&amp;START_MAXIMIZED=FALSE&amp;creator=factset&amp;display_string=Audit"}</definedName>
    <definedName name="_2691__FDSAUDITLINK__" hidden="1">{"fdsup://Directions/FactSet Auditing Viewer?action=AUDIT_VALUE&amp;DB=129&amp;ID1=82705T10&amp;VALUEID=02001&amp;SDATE=200501&amp;PERIODTYPE=QTR_STD&amp;SCFT=3&amp;window=popup_no_bar&amp;width=385&amp;height=120&amp;START_MAXIMIZED=FALSE&amp;creator=factset&amp;display_string=Audit"}</definedName>
    <definedName name="_2692__FDSAUDITLINK__" hidden="1">{"fdsup://Directions/FactSet Auditing Viewer?action=AUDIT_VALUE&amp;DB=129&amp;ID1=82705T10&amp;VALUEID=02001&amp;SDATE=200501&amp;PERIODTYPE=QTR_STD&amp;SCFT=3&amp;window=popup_no_bar&amp;width=385&amp;height=120&amp;START_MAXIMIZED=FALSE&amp;creator=factset&amp;display_string=Audit"}</definedName>
    <definedName name="_2693__FDSAUDITLINK__" hidden="1">{"fdsup://Directions/FactSet Auditing Viewer?action=AUDIT_VALUE&amp;DB=129&amp;ID1=75091710&amp;VALUEID=02001&amp;SDATE=200501&amp;PERIODTYPE=QTR_STD&amp;SCFT=3&amp;window=popup_no_bar&amp;width=385&amp;height=120&amp;START_MAXIMIZED=FALSE&amp;creator=factset&amp;display_string=Audit"}</definedName>
    <definedName name="_2694__FDSAUDITLINK__" hidden="1">{"fdsup://Directions/FactSet Auditing Viewer?action=AUDIT_VALUE&amp;DB=129&amp;ID1=75091710&amp;VALUEID=02001&amp;SDATE=200501&amp;PERIODTYPE=QTR_STD&amp;SCFT=3&amp;window=popup_no_bar&amp;width=385&amp;height=120&amp;START_MAXIMIZED=FALSE&amp;creator=factset&amp;display_string=Audit"}</definedName>
    <definedName name="_2695__FDSAUDITLINK__" hidden="1">{"fdsup://Directions/FactSet Auditing Viewer?action=AUDIT_VALUE&amp;DB=129&amp;ID1=74752510&amp;VALUEID=02001&amp;SDATE=200502&amp;PERIODTYPE=QTR_STD&amp;SCFT=3&amp;window=popup_no_bar&amp;width=385&amp;height=120&amp;START_MAXIMIZED=FALSE&amp;creator=factset&amp;display_string=Audit"}</definedName>
    <definedName name="_2696__FDSAUDITLINK__" hidden="1">{"fdsup://Directions/FactSet Auditing Viewer?action=AUDIT_VALUE&amp;DB=129&amp;ID1=74752510&amp;VALUEID=02001&amp;SDATE=200502&amp;PERIODTYPE=QTR_STD&amp;SCFT=3&amp;window=popup_no_bar&amp;width=385&amp;height=120&amp;START_MAXIMIZED=FALSE&amp;creator=factset&amp;display_string=Audit"}</definedName>
    <definedName name="_2697__FDSAUDITLINK__" hidden="1">{"fdsup://Directions/FactSet Auditing Viewer?action=AUDIT_VALUE&amp;DB=129&amp;ID1=72581M30&amp;VALUEID=02001&amp;SDATE=200501&amp;PERIODTYPE=QTR_STD&amp;SCFT=3&amp;window=popup_no_bar&amp;width=385&amp;height=120&amp;START_MAXIMIZED=FALSE&amp;creator=factset&amp;display_string=Audit"}</definedName>
    <definedName name="_2698__FDSAUDITLINK__" hidden="1">{"fdsup://Directions/FactSet Auditing Viewer?action=AUDIT_VALUE&amp;DB=129&amp;ID1=72581M30&amp;VALUEID=02001&amp;SDATE=200501&amp;PERIODTYPE=QTR_STD&amp;SCFT=3&amp;window=popup_no_bar&amp;width=385&amp;height=120&amp;START_MAXIMIZED=FALSE&amp;creator=factset&amp;display_string=Audit"}</definedName>
    <definedName name="_2699__FDSAUDITLINK__" hidden="1">{"fdsup://Directions/FactSet Auditing Viewer?action=AUDIT_VALUE&amp;DB=129&amp;ID1=73927610&amp;VALUEID=02001&amp;SDATE=200501&amp;PERIODTYPE=QTR_STD&amp;SCFT=3&amp;window=popup_no_bar&amp;width=385&amp;height=120&amp;START_MAXIMIZED=FALSE&amp;creator=factset&amp;display_string=Audit"}</definedName>
    <definedName name="_27__FDSAUDITLINK__" hidden="1">{"fdsup://directions/FAT Viewer?action=UPDATE&amp;creator=factset&amp;DYN_ARGS=TRUE&amp;DOC_NAME=FAT:FQL_AUDITING_CLIENT_TEMPLATE.FAT&amp;display_string=Audit&amp;VAR:KEY=SXCZMREBCN&amp;VAR:QUERY=RkZfU0hTX0ZMT0FUKEFOTiw0MDc4Nik=&amp;WINDOW=FIRST_POPUP&amp;HEIGHT=450&amp;WIDTH=450&amp;START_MAXIMI","ZED=FALSE&amp;VAR:CALENDAR=US&amp;VAR:SYMBOL=LAS VEGAS SANDS&amp;VAR:INDEX=0"}</definedName>
    <definedName name="_270__FDSAUDITLINK__" hidden="1">{"fdsup://Directions/FactSet Auditing Viewer?action=AUDIT_VALUE&amp;DB=129&amp;ID1=22544710&amp;VALUEID=02001&amp;SDATE=201102&amp;PERIODTYPE=QTR_STD&amp;SCFT=3&amp;window=popup_no_bar&amp;width=385&amp;height=120&amp;START_MAXIMIZED=FALSE&amp;creator=factset&amp;display_string=Audit"}</definedName>
    <definedName name="_2700__FDSAUDITLINK__" hidden="1">{"fdsup://Directions/FactSet Auditing Viewer?action=AUDIT_VALUE&amp;DB=129&amp;ID1=73927610&amp;VALUEID=02001&amp;SDATE=200501&amp;PERIODTYPE=QTR_STD&amp;SCFT=3&amp;window=popup_no_bar&amp;width=385&amp;height=120&amp;START_MAXIMIZED=FALSE&amp;creator=factset&amp;display_string=Audit"}</definedName>
    <definedName name="_2701__FDSAUDITLINK__" hidden="1">{"fdsup://Directions/FactSet Auditing Viewer?action=AUDIT_VALUE&amp;DB=129&amp;ID1=69344F10&amp;VALUEID=02001&amp;SDATE=200501&amp;PERIODTYPE=QTR_STD&amp;SCFT=3&amp;window=popup_no_bar&amp;width=385&amp;height=120&amp;START_MAXIMIZED=FALSE&amp;creator=factset&amp;display_string=Audit"}</definedName>
    <definedName name="_2702__FDSAUDITLINK__" hidden="1">{"fdsup://Directions/FactSet Auditing Viewer?action=AUDIT_VALUE&amp;DB=129&amp;ID1=69344F10&amp;VALUEID=02001&amp;SDATE=200501&amp;PERIODTYPE=QTR_STD&amp;SCFT=3&amp;window=popup_no_bar&amp;width=385&amp;height=120&amp;START_MAXIMIZED=FALSE&amp;creator=factset&amp;display_string=Audit"}</definedName>
    <definedName name="_2703__FDSAUDITLINK__" hidden="1">{"fdsup://Directions/FactSet Auditing Viewer?action=AUDIT_VALUE&amp;DB=129&amp;ID1=69341710&amp;VALUEID=02001&amp;SDATE=200501&amp;PERIODTYPE=QTR_STD&amp;SCFT=3&amp;window=popup_no_bar&amp;width=385&amp;height=120&amp;START_MAXIMIZED=FALSE&amp;creator=factset&amp;display_string=Audit"}</definedName>
    <definedName name="_2704__FDSAUDITLINK__" hidden="1">{"fdsup://Directions/FactSet Auditing Viewer?action=AUDIT_VALUE&amp;DB=129&amp;ID1=69341710&amp;VALUEID=02001&amp;SDATE=200501&amp;PERIODTYPE=QTR_STD&amp;SCFT=3&amp;window=popup_no_bar&amp;width=385&amp;height=120&amp;START_MAXIMIZED=FALSE&amp;creator=factset&amp;display_string=Audit"}</definedName>
    <definedName name="_2705__FDSAUDITLINK__" hidden="1">{"fdsup://Directions/FactSet Auditing Viewer?action=AUDIT_VALUE&amp;DB=129&amp;ID1=67000810&amp;VALUEID=02001&amp;SDATE=200501&amp;PERIODTYPE=QTR_STD&amp;SCFT=3&amp;window=popup_no_bar&amp;width=385&amp;height=120&amp;START_MAXIMIZED=FALSE&amp;creator=factset&amp;display_string=Audit"}</definedName>
    <definedName name="_2706__FDSAUDITLINK__" hidden="1">{"fdsup://Directions/FactSet Auditing Viewer?action=AUDIT_VALUE&amp;DB=129&amp;ID1=67000810&amp;VALUEID=02001&amp;SDATE=200501&amp;PERIODTYPE=QTR_STD&amp;SCFT=3&amp;window=popup_no_bar&amp;width=385&amp;height=120&amp;START_MAXIMIZED=FALSE&amp;creator=factset&amp;display_string=Audit"}</definedName>
    <definedName name="_2707__FDSAUDITLINK__" hidden="1">{"fdsup://Directions/FactSet Auditing Viewer?action=AUDIT_VALUE&amp;DB=129&amp;ID1=67066G10&amp;VALUEID=02001&amp;SDATE=200501&amp;PERIODTYPE=QTR_STD&amp;SCFT=3&amp;window=popup_no_bar&amp;width=385&amp;height=120&amp;START_MAXIMIZED=FALSE&amp;creator=factset&amp;display_string=Audit"}</definedName>
    <definedName name="_2708__FDSAUDITLINK__" hidden="1">{"fdsup://Directions/FactSet Auditing Viewer?action=AUDIT_VALUE&amp;DB=129&amp;ID1=67066G10&amp;VALUEID=02001&amp;SDATE=200501&amp;PERIODTYPE=QTR_STD&amp;SCFT=3&amp;window=popup_no_bar&amp;width=385&amp;height=120&amp;START_MAXIMIZED=FALSE&amp;creator=factset&amp;display_string=Audit"}</definedName>
    <definedName name="_2709__FDSAUDITLINK__" hidden="1">{"fdsup://Directions/FactSet Auditing Viewer?action=AUDIT_VALUE&amp;DB=129&amp;ID1=63764010&amp;VALUEID=02001&amp;SDATE=200403&amp;PERIODTYPE=QTR_STD&amp;SCFT=3&amp;window=popup_no_bar&amp;width=385&amp;height=120&amp;START_MAXIMIZED=FALSE&amp;creator=factset&amp;display_string=Audit"}</definedName>
    <definedName name="_271__FDSAUDITLINK__" hidden="1">{"fdsup://Directions/FactSet Auditing Viewer?action=AUDIT_VALUE&amp;DB=129&amp;ID1=20714230&amp;VALUEID=02001&amp;SDATE=201101&amp;PERIODTYPE=QTR_STD&amp;SCFT=3&amp;window=popup_no_bar&amp;width=385&amp;height=120&amp;START_MAXIMIZED=FALSE&amp;creator=factset&amp;display_string=Audit"}</definedName>
    <definedName name="_2710__FDSAUDITLINK__" hidden="1">{"fdsup://Directions/FactSet Auditing Viewer?action=AUDIT_VALUE&amp;DB=129&amp;ID1=63764010&amp;VALUEID=02001&amp;SDATE=200403&amp;PERIODTYPE=QTR_STD&amp;SCFT=3&amp;window=popup_no_bar&amp;width=385&amp;height=120&amp;START_MAXIMIZED=FALSE&amp;creator=factset&amp;display_string=Audit"}</definedName>
    <definedName name="_2711__FDSAUDITLINK__" hidden="1">{"fdsup://Directions/FactSet Auditing Viewer?action=AUDIT_VALUE&amp;DB=129&amp;ID1=64118B10&amp;VALUEID=02001&amp;SDATE=200501&amp;PERIODTYPE=QTR_STD&amp;SCFT=3&amp;window=popup_no_bar&amp;width=385&amp;height=120&amp;START_MAXIMIZED=FALSE&amp;creator=factset&amp;display_string=Audit"}</definedName>
    <definedName name="_2712__FDSAUDITLINK__" hidden="1">{"fdsup://Directions/FactSet Auditing Viewer?action=AUDIT_VALUE&amp;DB=129&amp;ID1=64118B10&amp;VALUEID=02001&amp;SDATE=200501&amp;PERIODTYPE=QTR_STD&amp;SCFT=3&amp;window=popup_no_bar&amp;width=385&amp;height=120&amp;START_MAXIMIZED=FALSE&amp;creator=factset&amp;display_string=Audit"}</definedName>
    <definedName name="_2713__FDSAUDITLINK__" hidden="1">{"fdsup://Directions/FactSet Auditing Viewer?action=AUDIT_VALUE&amp;DB=129&amp;ID1=57772K10&amp;VALUEID=02001&amp;SDATE=200503&amp;PERIODTYPE=QTR_STD&amp;SCFT=3&amp;window=popup_no_bar&amp;width=385&amp;height=120&amp;START_MAXIMIZED=FALSE&amp;creator=factset&amp;display_string=Audit"}</definedName>
    <definedName name="_2714__FDSAUDITLINK__" hidden="1">{"fdsup://Directions/FactSet Auditing Viewer?action=AUDIT_VALUE&amp;DB=129&amp;ID1=57772K10&amp;VALUEID=02001&amp;SDATE=200503&amp;PERIODTYPE=QTR_STD&amp;SCFT=3&amp;window=popup_no_bar&amp;width=385&amp;height=120&amp;START_MAXIMIZED=FALSE&amp;creator=factset&amp;display_string=Audit"}</definedName>
    <definedName name="_2715__FDSAUDITLINK__" hidden="1">{"fdsup://Directions/FactSet Auditing Viewer?action=AUDIT_VALUE&amp;DB=129&amp;ID1=59511210&amp;VALUEID=02001&amp;SDATE=200502&amp;PERIODTYPE=QTR_STD&amp;SCFT=3&amp;window=popup_no_bar&amp;width=385&amp;height=120&amp;START_MAXIMIZED=FALSE&amp;creator=factset&amp;display_string=Audit"}</definedName>
    <definedName name="_2716__FDSAUDITLINK__" hidden="1">{"fdsup://Directions/FactSet Auditing Viewer?action=AUDIT_VALUE&amp;DB=129&amp;ID1=59511210&amp;VALUEID=02001&amp;SDATE=200502&amp;PERIODTYPE=QTR_STD&amp;SCFT=3&amp;window=popup_no_bar&amp;width=385&amp;height=120&amp;START_MAXIMIZED=FALSE&amp;creator=factset&amp;display_string=Audit"}</definedName>
    <definedName name="_2717__FDSAUDITLINK__" hidden="1">{"fdsup://Directions/FactSet Auditing Viewer?action=AUDIT_VALUE&amp;DB=129&amp;ID1=59513710&amp;VALUEID=02001&amp;SDATE=200502&amp;PERIODTYPE=QTR_STD&amp;SCFT=3&amp;window=popup_no_bar&amp;width=385&amp;height=120&amp;START_MAXIMIZED=FALSE&amp;creator=factset&amp;display_string=Audit"}</definedName>
    <definedName name="_2718__FDSAUDITLINK__" hidden="1">{"fdsup://Directions/FactSet Auditing Viewer?action=AUDIT_VALUE&amp;DB=129&amp;ID1=59513710&amp;VALUEID=02001&amp;SDATE=200502&amp;PERIODTYPE=QTR_STD&amp;SCFT=3&amp;window=popup_no_bar&amp;width=385&amp;height=120&amp;START_MAXIMIZED=FALSE&amp;creator=factset&amp;display_string=Audit"}</definedName>
    <definedName name="_2719__FDSAUDITLINK__" hidden="1">{"fdsup://Directions/FactSet Auditing Viewer?action=AUDIT_VALUE&amp;DB=129&amp;ID1=G5876H10&amp;VALUEID=02001&amp;SDATE=200501&amp;PERIODTYPE=QTR_STD&amp;SCFT=3&amp;window=popup_no_bar&amp;width=385&amp;height=120&amp;START_MAXIMIZED=FALSE&amp;creator=factset&amp;display_string=Audit"}</definedName>
    <definedName name="_272__FDSAUDITLINK__" hidden="1">{"fdsup://Directions/FactSet Auditing Viewer?action=AUDIT_VALUE&amp;DB=129&amp;ID1=20714230&amp;VALUEID=02001&amp;SDATE=201101&amp;PERIODTYPE=QTR_STD&amp;SCFT=3&amp;window=popup_no_bar&amp;width=385&amp;height=120&amp;START_MAXIMIZED=FALSE&amp;creator=factset&amp;display_string=Audit"}</definedName>
    <definedName name="_2720__FDSAUDITLINK__" hidden="1">{"fdsup://Directions/FactSet Auditing Viewer?action=AUDIT_VALUE&amp;DB=129&amp;ID1=G5876H10&amp;VALUEID=02001&amp;SDATE=200501&amp;PERIODTYPE=QTR_STD&amp;SCFT=3&amp;window=popup_no_bar&amp;width=385&amp;height=120&amp;START_MAXIMIZED=FALSE&amp;creator=factset&amp;display_string=Audit"}</definedName>
    <definedName name="_2721__FDSAUDITLINK__" hidden="1">{"fdsup://Directions/FactSet Auditing Viewer?action=AUDIT_VALUE&amp;DB=129&amp;ID1=60456710&amp;VALUEID=02001&amp;SDATE=200503&amp;PERIODTYPE=QTR_STD&amp;SCFT=3&amp;window=popup_no_bar&amp;width=385&amp;height=120&amp;START_MAXIMIZED=FALSE&amp;creator=factset&amp;display_string=Audit"}</definedName>
    <definedName name="_2722__FDSAUDITLINK__" hidden="1">{"fdsup://Directions/FactSet Auditing Viewer?action=AUDIT_VALUE&amp;DB=129&amp;ID1=60456710&amp;VALUEID=02001&amp;SDATE=200503&amp;PERIODTYPE=QTR_STD&amp;SCFT=3&amp;window=popup_no_bar&amp;width=385&amp;height=120&amp;START_MAXIMIZED=FALSE&amp;creator=factset&amp;display_string=Audit"}</definedName>
    <definedName name="_2723__FDSAUDITLINK__" hidden="1">{"fdsup://Directions/FactSet Auditing Viewer?action=AUDIT_VALUE&amp;DB=129&amp;ID1=59479310&amp;VALUEID=02001&amp;SDATE=200501&amp;PERIODTYPE=QTR_STD&amp;SCFT=3&amp;window=popup_no_bar&amp;width=385&amp;height=120&amp;START_MAXIMIZED=FALSE&amp;creator=factset&amp;display_string=Audit"}</definedName>
    <definedName name="_2724__FDSAUDITLINK__" hidden="1">{"fdsup://Directions/FactSet Auditing Viewer?action=AUDIT_VALUE&amp;DB=129&amp;ID1=59479310&amp;VALUEID=02001&amp;SDATE=200501&amp;PERIODTYPE=QTR_STD&amp;SCFT=3&amp;window=popup_no_bar&amp;width=385&amp;height=120&amp;START_MAXIMIZED=FALSE&amp;creator=factset&amp;display_string=Audit"}</definedName>
    <definedName name="_2725__FDSAUDITLINK__" hidden="1">{"fdsup://Directions/FactSet Auditing Viewer?action=AUDIT_VALUE&amp;DB=129&amp;ID1=50216110&amp;VALUEID=02001&amp;SDATE=200501&amp;PERIODTYPE=QTR_STD&amp;SCFT=3&amp;window=popup_no_bar&amp;width=385&amp;height=120&amp;START_MAXIMIZED=FALSE&amp;creator=factset&amp;display_string=Audit"}</definedName>
    <definedName name="_2726__FDSAUDITLINK__" hidden="1">{"fdsup://Directions/FactSet Auditing Viewer?action=AUDIT_VALUE&amp;DB=129&amp;ID1=50216110&amp;VALUEID=02001&amp;SDATE=200501&amp;PERIODTYPE=QTR_STD&amp;SCFT=3&amp;window=popup_no_bar&amp;width=385&amp;height=120&amp;START_MAXIMIZED=FALSE&amp;creator=factset&amp;display_string=Audit"}</definedName>
    <definedName name="_2727__FDSAUDITLINK__" hidden="1">{"fdsup://Directions/FactSet Auditing Viewer?action=AUDIT_VALUE&amp;DB=129&amp;ID1=53567810&amp;VALUEID=02001&amp;SDATE=200503&amp;PERIODTYPE=QTR_STD&amp;SCFT=3&amp;window=popup_no_bar&amp;width=385&amp;height=120&amp;START_MAXIMIZED=FALSE&amp;creator=factset&amp;display_string=Audit"}</definedName>
    <definedName name="_2728__FDSAUDITLINK__" hidden="1">{"fdsup://Directions/FactSet Auditing Viewer?action=AUDIT_VALUE&amp;DB=129&amp;ID1=53567810&amp;VALUEID=02001&amp;SDATE=200503&amp;PERIODTYPE=QTR_STD&amp;SCFT=3&amp;window=popup_no_bar&amp;width=385&amp;height=120&amp;START_MAXIMIZED=FALSE&amp;creator=factset&amp;display_string=Audit"}</definedName>
    <definedName name="_2729__FDSAUDITLINK__" hidden="1">{"fdsup://Directions/FactSet Auditing Viewer?action=AUDIT_VALUE&amp;DB=129&amp;ID1=48248010&amp;VALUEID=02001&amp;SDATE=200503&amp;PERIODTYPE=QTR_STD&amp;SCFT=3&amp;window=popup_no_bar&amp;width=385&amp;height=120&amp;START_MAXIMIZED=FALSE&amp;creator=factset&amp;display_string=Audit"}</definedName>
    <definedName name="_273__FDSAUDITLINK__" hidden="1">{"fdsup://Directions/FactSet Auditing Viewer?action=AUDIT_VALUE&amp;DB=129&amp;ID1=12738710&amp;VALUEID=02001&amp;SDATE=201004&amp;PERIODTYPE=QTR_STD&amp;SCFT=3&amp;window=popup_no_bar&amp;width=385&amp;height=120&amp;START_MAXIMIZED=FALSE&amp;creator=factset&amp;display_string=Audit"}</definedName>
    <definedName name="_2730__FDSAUDITLINK__" hidden="1">{"fdsup://Directions/FactSet Auditing Viewer?action=AUDIT_VALUE&amp;DB=129&amp;ID1=48248010&amp;VALUEID=02001&amp;SDATE=200503&amp;PERIODTYPE=QTR_STD&amp;SCFT=3&amp;window=popup_no_bar&amp;width=385&amp;height=120&amp;START_MAXIMIZED=FALSE&amp;creator=factset&amp;display_string=Audit"}</definedName>
    <definedName name="_2731__FDSAUDITLINK__" hidden="1">{"fdsup://Directions/FactSet Auditing Viewer?action=AUDIT_VALUE&amp;DB=129&amp;ID1=48203R10&amp;VALUEID=02001&amp;SDATE=200501&amp;PERIODTYPE=QTR_STD&amp;SCFT=3&amp;window=popup_no_bar&amp;width=385&amp;height=120&amp;START_MAXIMIZED=FALSE&amp;creator=factset&amp;display_string=Audit"}</definedName>
    <definedName name="_2732__FDSAUDITLINK__" hidden="1">{"fdsup://Directions/FactSet Auditing Viewer?action=AUDIT_VALUE&amp;DB=129&amp;ID1=48203R10&amp;VALUEID=02001&amp;SDATE=200501&amp;PERIODTYPE=QTR_STD&amp;SCFT=3&amp;window=popup_no_bar&amp;width=385&amp;height=120&amp;START_MAXIMIZED=FALSE&amp;creator=factset&amp;display_string=Audit"}</definedName>
    <definedName name="_2733__FDSAUDITLINK__" hidden="1">{"fdsup://Directions/FactSet Auditing Viewer?action=AUDIT_VALUE&amp;DB=129&amp;ID1=86681020&amp;VALUEID=02001&amp;SDATE=200503&amp;PERIODTYPE=QTR_STD&amp;SCFT=3&amp;window=popup_no_bar&amp;width=385&amp;height=120&amp;START_MAXIMIZED=FALSE&amp;creator=factset&amp;display_string=Audit"}</definedName>
    <definedName name="_2734__FDSAUDITLINK__" hidden="1">{"fdsup://Directions/FactSet Auditing Viewer?action=AUDIT_VALUE&amp;DB=129&amp;ID1=86681020&amp;VALUEID=02001&amp;SDATE=200503&amp;PERIODTYPE=QTR_STD&amp;SCFT=3&amp;window=popup_no_bar&amp;width=385&amp;height=120&amp;START_MAXIMIZED=FALSE&amp;creator=factset&amp;display_string=Audit"}</definedName>
    <definedName name="_2735__FDSAUDITLINK__" hidden="1">{"fdsup://Directions/FactSet Auditing Viewer?action=AUDIT_VALUE&amp;DB=129&amp;ID1=46069S10&amp;VALUEID=02001&amp;SDATE=200501&amp;PERIODTYPE=QTR_STD&amp;SCFT=3&amp;window=popup_no_bar&amp;width=385&amp;height=120&amp;START_MAXIMIZED=FALSE&amp;creator=factset&amp;display_string=Audit"}</definedName>
    <definedName name="_2736__FDSAUDITLINK__" hidden="1">{"fdsup://Directions/FactSet Auditing Viewer?action=AUDIT_VALUE&amp;DB=129&amp;ID1=46069S10&amp;VALUEID=02001&amp;SDATE=200501&amp;PERIODTYPE=QTR_STD&amp;SCFT=3&amp;window=popup_no_bar&amp;width=385&amp;height=120&amp;START_MAXIMIZED=FALSE&amp;creator=factset&amp;display_string=Audit"}</definedName>
    <definedName name="_2737__FDSAUDITLINK__" hidden="1">{"fdsup://Directions/FactSet Auditing Viewer?action=AUDIT_VALUE&amp;DB=129&amp;ID1=46025410&amp;VALUEID=02001&amp;SDATE=200503&amp;PERIODTYPE=QTR_STD&amp;SCFT=3&amp;window=popup_no_bar&amp;width=385&amp;height=120&amp;START_MAXIMIZED=FALSE&amp;creator=factset&amp;display_string=Audit"}</definedName>
    <definedName name="_2738__FDSAUDITLINK__" hidden="1">{"fdsup://Directions/FactSet Auditing Viewer?action=AUDIT_VALUE&amp;DB=129&amp;ID1=46025410&amp;VALUEID=02001&amp;SDATE=200503&amp;PERIODTYPE=QTR_STD&amp;SCFT=3&amp;window=popup_no_bar&amp;width=385&amp;height=120&amp;START_MAXIMIZED=FALSE&amp;creator=factset&amp;display_string=Audit"}</definedName>
    <definedName name="_2739__FDSAUDITLINK__" hidden="1">{"fdsup://Directions/FactSet Auditing Viewer?action=AUDIT_VALUE&amp;DB=129&amp;ID1=45814010&amp;VALUEID=02001&amp;SDATE=200501&amp;PERIODTYPE=QTR_STD&amp;SCFT=3&amp;window=popup_no_bar&amp;width=385&amp;height=120&amp;START_MAXIMIZED=FALSE&amp;creator=factset&amp;display_string=Audit"}</definedName>
    <definedName name="_274__FDSAUDITLINK__" hidden="1">{"fdsup://Directions/FactSet Auditing Viewer?action=AUDIT_VALUE&amp;DB=129&amp;ID1=12738710&amp;VALUEID=02001&amp;SDATE=201004&amp;PERIODTYPE=QTR_STD&amp;SCFT=3&amp;window=popup_no_bar&amp;width=385&amp;height=120&amp;START_MAXIMIZED=FALSE&amp;creator=factset&amp;display_string=Audit"}</definedName>
    <definedName name="_2740__FDSAUDITLINK__" hidden="1">{"fdsup://Directions/FactSet Auditing Viewer?action=AUDIT_VALUE&amp;DB=129&amp;ID1=45814010&amp;VALUEID=02001&amp;SDATE=200501&amp;PERIODTYPE=QTR_STD&amp;SCFT=3&amp;window=popup_no_bar&amp;width=385&amp;height=120&amp;START_MAXIMIZED=FALSE&amp;creator=factset&amp;display_string=Audit"}</definedName>
    <definedName name="_2741__FDSAUDITLINK__" hidden="1">{"fdsup://Directions/FactSet Auditing Viewer?action=AUDIT_VALUE&amp;DB=129&amp;ID1=42823610&amp;VALUEID=02001&amp;SDATE=200502&amp;PERIODTYPE=QTR_STD&amp;SCFT=3&amp;window=popup_no_bar&amp;width=385&amp;height=120&amp;START_MAXIMIZED=FALSE&amp;creator=factset&amp;display_string=Audit"}</definedName>
    <definedName name="_2742__FDSAUDITLINK__" hidden="1">{"fdsup://Directions/FactSet Auditing Viewer?action=AUDIT_VALUE&amp;DB=129&amp;ID1=42823610&amp;VALUEID=02001&amp;SDATE=200502&amp;PERIODTYPE=QTR_STD&amp;SCFT=3&amp;window=popup_no_bar&amp;width=385&amp;height=120&amp;START_MAXIMIZED=FALSE&amp;creator=factset&amp;display_string=Audit"}</definedName>
    <definedName name="_2743__FDSAUDITLINK__" hidden="1">{"fdsup://Directions/FactSet Auditing Viewer?action=AUDIT_VALUE&amp;DB=129&amp;ID1=34637510&amp;VALUEID=02001&amp;SDATE=200501&amp;PERIODTYPE=QTR_STD&amp;SCFT=3&amp;window=popup_no_bar&amp;width=385&amp;height=120&amp;START_MAXIMIZED=FALSE&amp;creator=factset&amp;display_string=Audit"}</definedName>
    <definedName name="_2744__FDSAUDITLINK__" hidden="1">{"fdsup://Directions/FactSet Auditing Viewer?action=AUDIT_VALUE&amp;DB=129&amp;ID1=34637510&amp;VALUEID=02001&amp;SDATE=200501&amp;PERIODTYPE=QTR_STD&amp;SCFT=3&amp;window=popup_no_bar&amp;width=385&amp;height=120&amp;START_MAXIMIZED=FALSE&amp;creator=factset&amp;display_string=Audit"}</definedName>
    <definedName name="_2745__FDSAUDITLINK__" hidden="1">{"fdsup://Directions/FactSet Auditing Viewer?action=AUDIT_VALUE&amp;DB=129&amp;ID1=31561610&amp;VALUEID=02001&amp;SDATE=200502&amp;PERIODTYPE=QTR_STD&amp;SCFT=3&amp;window=popup_no_bar&amp;width=385&amp;height=120&amp;START_MAXIMIZED=FALSE&amp;creator=factset&amp;display_string=Audit"}</definedName>
    <definedName name="_2746__FDSAUDITLINK__" hidden="1">{"fdsup://Directions/FactSet Auditing Viewer?action=AUDIT_VALUE&amp;DB=129&amp;ID1=31561610&amp;VALUEID=02001&amp;SDATE=200502&amp;PERIODTYPE=QTR_STD&amp;SCFT=3&amp;window=popup_no_bar&amp;width=385&amp;height=120&amp;START_MAXIMIZED=FALSE&amp;creator=factset&amp;display_string=Audit"}</definedName>
    <definedName name="_2747__FDSAUDITLINK__" hidden="1">{"fdsup://Directions/FactSet Auditing Viewer?action=AUDIT_VALUE&amp;DB=129&amp;ID1=29247520&amp;VALUEID=02001&amp;SDATE=200503&amp;PERIODTYPE=QTR_STD&amp;SCFT=3&amp;window=popup_no_bar&amp;width=385&amp;height=120&amp;START_MAXIMIZED=FALSE&amp;creator=factset&amp;display_string=Audit"}</definedName>
    <definedName name="_2748__FDSAUDITLINK__" hidden="1">{"fdsup://Directions/FactSet Auditing Viewer?action=AUDIT_VALUE&amp;DB=129&amp;ID1=29247520&amp;VALUEID=02001&amp;SDATE=200503&amp;PERIODTYPE=QTR_STD&amp;SCFT=3&amp;window=popup_no_bar&amp;width=385&amp;height=120&amp;START_MAXIMIZED=FALSE&amp;creator=factset&amp;display_string=Audit"}</definedName>
    <definedName name="_2749__FDSAUDITLINK__" hidden="1">{"fdsup://Directions/FactSet Auditing Viewer?action=AUDIT_VALUE&amp;DB=129&amp;ID1=25454310&amp;VALUEID=02001&amp;SDATE=200501&amp;PERIODTYPE=QTR_STD&amp;SCFT=3&amp;window=popup_no_bar&amp;width=385&amp;height=120&amp;START_MAXIMIZED=FALSE&amp;creator=factset&amp;display_string=Audit"}</definedName>
    <definedName name="_275__FDSAUDITLINK__" hidden="1">{"fdsup://Directions/FactSet Auditing Viewer?action=AUDIT_VALUE&amp;DB=129&amp;ID1=14964U10&amp;VALUEID=02001&amp;SDATE=201004&amp;PERIODTYPE=QTR_STD&amp;SCFT=3&amp;window=popup_no_bar&amp;width=385&amp;height=120&amp;START_MAXIMIZED=FALSE&amp;creator=factset&amp;display_string=Audit"}</definedName>
    <definedName name="_2750__FDSAUDITLINK__" hidden="1">{"fdsup://Directions/FactSet Auditing Viewer?action=AUDIT_VALUE&amp;DB=129&amp;ID1=25454310&amp;VALUEID=02001&amp;SDATE=200501&amp;PERIODTYPE=QTR_STD&amp;SCFT=3&amp;window=popup_no_bar&amp;width=385&amp;height=120&amp;START_MAXIMIZED=FALSE&amp;creator=factset&amp;display_string=Audit"}</definedName>
    <definedName name="_2751__FDSAUDITLINK__" hidden="1">{"fdsup://Directions/FactSet Auditing Viewer?action=AUDIT_VALUE&amp;DB=129&amp;ID1=24702R10&amp;VALUEID=02001&amp;SDATE=200501&amp;PERIODTYPE=QTR_STD&amp;SCFT=3&amp;window=popup_no_bar&amp;width=385&amp;height=120&amp;START_MAXIMIZED=FALSE&amp;creator=factset&amp;display_string=Audit"}</definedName>
    <definedName name="_2752__FDSAUDITLINK__" hidden="1">{"fdsup://Directions/FactSet Auditing Viewer?action=AUDIT_VALUE&amp;DB=129&amp;ID1=24702R10&amp;VALUEID=02001&amp;SDATE=200501&amp;PERIODTYPE=QTR_STD&amp;SCFT=3&amp;window=popup_no_bar&amp;width=385&amp;height=120&amp;START_MAXIMIZED=FALSE&amp;creator=factset&amp;display_string=Audit"}</definedName>
    <definedName name="_2753__FDSAUDITLINK__" hidden="1">{"fdsup://Directions/FactSet Auditing Viewer?action=AUDIT_VALUE&amp;DB=129&amp;ID1=23257210&amp;VALUEID=02001&amp;SDATE=200501&amp;PERIODTYPE=QTR_STD&amp;SCFT=3&amp;window=popup_no_bar&amp;width=385&amp;height=120&amp;START_MAXIMIZED=FALSE&amp;creator=factset&amp;display_string=Audit"}</definedName>
    <definedName name="_2754__FDSAUDITLINK__" hidden="1">{"fdsup://Directions/FactSet Auditing Viewer?action=AUDIT_VALUE&amp;DB=129&amp;ID1=23257210&amp;VALUEID=02001&amp;SDATE=200501&amp;PERIODTYPE=QTR_STD&amp;SCFT=3&amp;window=popup_no_bar&amp;width=385&amp;height=120&amp;START_MAXIMIZED=FALSE&amp;creator=factset&amp;display_string=Audit"}</definedName>
    <definedName name="_2755__FDSAUDITLINK__" hidden="1">{"fdsup://Directions/FactSet Auditing Viewer?action=AUDIT_VALUE&amp;DB=129&amp;ID1=23280610&amp;VALUEID=02001&amp;SDATE=200501&amp;PERIODTYPE=QTR_STD&amp;SCFT=3&amp;window=popup_no_bar&amp;width=385&amp;height=120&amp;START_MAXIMIZED=FALSE&amp;creator=factset&amp;display_string=Audit"}</definedName>
    <definedName name="_2756__FDSAUDITLINK__" hidden="1">{"fdsup://Directions/FactSet Auditing Viewer?action=AUDIT_VALUE&amp;DB=129&amp;ID1=23280610&amp;VALUEID=02001&amp;SDATE=200501&amp;PERIODTYPE=QTR_STD&amp;SCFT=3&amp;window=popup_no_bar&amp;width=385&amp;height=120&amp;START_MAXIMIZED=FALSE&amp;creator=factset&amp;display_string=Audit"}</definedName>
    <definedName name="_2757__FDSAUDITLINK__" hidden="1">{"fdsup://Directions/FactSet Auditing Viewer?action=AUDIT_VALUE&amp;DB=129&amp;ID1=17275R10&amp;VALUEID=02001&amp;SDATE=200503&amp;PERIODTYPE=QTR_STD&amp;SCFT=3&amp;window=popup_no_bar&amp;width=385&amp;height=120&amp;START_MAXIMIZED=FALSE&amp;creator=factset&amp;display_string=Audit"}</definedName>
    <definedName name="_2758__FDSAUDITLINK__" hidden="1">{"fdsup://Directions/FactSet Auditing Viewer?action=AUDIT_VALUE&amp;DB=129&amp;ID1=17275R10&amp;VALUEID=02001&amp;SDATE=200503&amp;PERIODTYPE=QTR_STD&amp;SCFT=3&amp;window=popup_no_bar&amp;width=385&amp;height=120&amp;START_MAXIMIZED=FALSE&amp;creator=factset&amp;display_string=Audit"}</definedName>
    <definedName name="_2759__FDSAUDITLINK__" hidden="1">{"fdsup://Directions/FactSet Auditing Viewer?action=AUDIT_VALUE&amp;DB=129&amp;ID1=20714230&amp;VALUEID=02001&amp;SDATE=200502&amp;PERIODTYPE=QTR_STD&amp;SCFT=3&amp;window=popup_no_bar&amp;width=385&amp;height=120&amp;START_MAXIMIZED=FALSE&amp;creator=factset&amp;display_string=Audit"}</definedName>
    <definedName name="_276__FDSAUDITLINK__" hidden="1">{"fdsup://Directions/FactSet Auditing Viewer?action=AUDIT_VALUE&amp;DB=129&amp;ID1=14964U10&amp;VALUEID=02001&amp;SDATE=201004&amp;PERIODTYPE=QTR_STD&amp;SCFT=3&amp;window=popup_no_bar&amp;width=385&amp;height=120&amp;START_MAXIMIZED=FALSE&amp;creator=factset&amp;display_string=Audit"}</definedName>
    <definedName name="_2760__FDSAUDITLINK__" hidden="1">{"fdsup://Directions/FactSet Auditing Viewer?action=AUDIT_VALUE&amp;DB=129&amp;ID1=20714230&amp;VALUEID=02001&amp;SDATE=200502&amp;PERIODTYPE=QTR_STD&amp;SCFT=3&amp;window=popup_no_bar&amp;width=385&amp;height=120&amp;START_MAXIMIZED=FALSE&amp;creator=factset&amp;display_string=Audit"}</definedName>
    <definedName name="_2761__FDSAUDITLINK__" hidden="1">{"fdsup://Directions/FactSet Auditing Viewer?action=AUDIT_VALUE&amp;DB=129&amp;ID1=12738710&amp;VALUEID=02001&amp;SDATE=200501&amp;PERIODTYPE=QTR_STD&amp;SCFT=3&amp;window=popup_no_bar&amp;width=385&amp;height=120&amp;START_MAXIMIZED=FALSE&amp;creator=factset&amp;display_string=Audit"}</definedName>
    <definedName name="_2762__FDSAUDITLINK__" hidden="1">{"fdsup://Directions/FactSet Auditing Viewer?action=AUDIT_VALUE&amp;DB=129&amp;ID1=12738710&amp;VALUEID=02001&amp;SDATE=200501&amp;PERIODTYPE=QTR_STD&amp;SCFT=3&amp;window=popup_no_bar&amp;width=385&amp;height=120&amp;START_MAXIMIZED=FALSE&amp;creator=factset&amp;display_string=Audit"}</definedName>
    <definedName name="_2763__FDSAUDITLINK__" hidden="1">{"fdsup://Directions/FactSet Auditing Viewer?action=AUDIT_VALUE&amp;DB=129&amp;ID1=11162130&amp;VALUEID=02001&amp;SDATE=200502&amp;PERIODTYPE=QTR_STD&amp;SCFT=3&amp;window=popup_no_bar&amp;width=385&amp;height=120&amp;START_MAXIMIZED=FALSE&amp;creator=factset&amp;display_string=Audit"}</definedName>
    <definedName name="_2764__FDSAUDITLINK__" hidden="1">{"fdsup://Directions/FactSet Auditing Viewer?action=AUDIT_VALUE&amp;DB=129&amp;ID1=11162130&amp;VALUEID=02001&amp;SDATE=200502&amp;PERIODTYPE=QTR_STD&amp;SCFT=3&amp;window=popup_no_bar&amp;width=385&amp;height=120&amp;START_MAXIMIZED=FALSE&amp;creator=factset&amp;display_string=Audit"}</definedName>
    <definedName name="_2765__FDSAUDITLINK__" hidden="1">{"fdsup://Directions/FactSet Auditing Viewer?action=AUDIT_VALUE&amp;DB=129&amp;ID1=04743P10&amp;VALUEID=02001&amp;SDATE=200501&amp;PERIODTYPE=QTR_STD&amp;SCFT=3&amp;window=popup_no_bar&amp;width=385&amp;height=120&amp;START_MAXIMIZED=FALSE&amp;creator=factset&amp;display_string=Audit"}</definedName>
    <definedName name="_2766__FDSAUDITLINK__" hidden="1">{"fdsup://Directions/FactSet Auditing Viewer?action=AUDIT_VALUE&amp;DB=129&amp;ID1=04743P10&amp;VALUEID=02001&amp;SDATE=200501&amp;PERIODTYPE=QTR_STD&amp;SCFT=3&amp;window=popup_no_bar&amp;width=385&amp;height=120&amp;START_MAXIMIZED=FALSE&amp;creator=factset&amp;display_string=Audit"}</definedName>
    <definedName name="_2767__FDSAUDITLINK__" hidden="1">{"fdsup://Directions/FactSet Auditing Viewer?action=AUDIT_VALUE&amp;DB=129&amp;ID1=03822210&amp;VALUEID=02001&amp;SDATE=200502&amp;PERIODTYPE=QTR_STD&amp;SCFT=3&amp;window=popup_no_bar&amp;width=385&amp;height=120&amp;START_MAXIMIZED=FALSE&amp;creator=factset&amp;display_string=Audit"}</definedName>
    <definedName name="_2768__FDSAUDITLINK__" hidden="1">{"fdsup://Directions/FactSet Auditing Viewer?action=AUDIT_VALUE&amp;DB=129&amp;ID1=03822210&amp;VALUEID=02001&amp;SDATE=200502&amp;PERIODTYPE=QTR_STD&amp;SCFT=3&amp;window=popup_no_bar&amp;width=385&amp;height=120&amp;START_MAXIMIZED=FALSE&amp;creator=factset&amp;display_string=Audit"}</definedName>
    <definedName name="_2769__FDSAUDITLINK__" hidden="1">{"fdsup://Directions/FactSet Auditing Viewer?action=AUDIT_VALUE&amp;DB=129&amp;ID1=02144110&amp;VALUEID=02001&amp;SDATE=200501&amp;PERIODTYPE=QTR_STD&amp;SCFT=3&amp;window=popup_no_bar&amp;width=385&amp;height=120&amp;START_MAXIMIZED=FALSE&amp;creator=factset&amp;display_string=Audit"}</definedName>
    <definedName name="_277__FDSAUDITLINK__" hidden="1">{"fdsup://Directions/FactSet Auditing Viewer?action=AUDIT_VALUE&amp;DB=129&amp;ID1=11162130&amp;VALUEID=02001&amp;SDATE=201101&amp;PERIODTYPE=QTR_STD&amp;SCFT=3&amp;window=popup_no_bar&amp;width=385&amp;height=120&amp;START_MAXIMIZED=FALSE&amp;creator=factset&amp;display_string=Audit"}</definedName>
    <definedName name="_2770__FDSAUDITLINK__" hidden="1">{"fdsup://Directions/FactSet Auditing Viewer?action=AUDIT_VALUE&amp;DB=129&amp;ID1=02144110&amp;VALUEID=02001&amp;SDATE=200501&amp;PERIODTYPE=QTR_STD&amp;SCFT=3&amp;window=popup_no_bar&amp;width=385&amp;height=120&amp;START_MAXIMIZED=FALSE&amp;creator=factset&amp;display_string=Audit"}</definedName>
    <definedName name="_2771__FDSAUDITLINK__" hidden="1">{"fdsup://Directions/FactSet Auditing Viewer?action=AUDIT_VALUE&amp;DB=129&amp;ID1=03265410&amp;VALUEID=02001&amp;SDATE=200502&amp;PERIODTYPE=QTR_STD&amp;SCFT=3&amp;window=popup_no_bar&amp;width=385&amp;height=120&amp;START_MAXIMIZED=FALSE&amp;creator=factset&amp;display_string=Audit"}</definedName>
    <definedName name="_2772__FDSAUDITLINK__" hidden="1">{"fdsup://Directions/FactSet Auditing Viewer?action=AUDIT_VALUE&amp;DB=129&amp;ID1=03265410&amp;VALUEID=02001&amp;SDATE=200502&amp;PERIODTYPE=QTR_STD&amp;SCFT=3&amp;window=popup_no_bar&amp;width=385&amp;height=120&amp;START_MAXIMIZED=FALSE&amp;creator=factset&amp;display_string=Audit"}</definedName>
    <definedName name="_2773__FDSAUDITLINK__" hidden="1">{"fdsup://Directions/FactSet Auditing Viewer?action=AUDIT_VALUE&amp;DB=129&amp;ID1=95810210&amp;VALUEID=02001&amp;SDATE=200502&amp;PERIODTYPE=QTR_STD&amp;SCFT=3&amp;window=popup_no_bar&amp;width=385&amp;height=120&amp;START_MAXIMIZED=FALSE&amp;creator=factset&amp;display_string=Audit"}</definedName>
    <definedName name="_2774__FDSAUDITLINK__" hidden="1">{"fdsup://Directions/FactSet Auditing Viewer?action=AUDIT_VALUE&amp;DB=129&amp;ID1=95810210&amp;VALUEID=02001&amp;SDATE=200502&amp;PERIODTYPE=QTR_STD&amp;SCFT=3&amp;window=popup_no_bar&amp;width=385&amp;height=120&amp;START_MAXIMIZED=FALSE&amp;creator=factset&amp;display_string=Audit"}</definedName>
    <definedName name="_2775__FDSAUDITLINK__" hidden="1">{"fdsup://Directions/FactSet Auditing Viewer?action=AUDIT_VALUE&amp;DB=129&amp;ID1=92849730&amp;VALUEID=02001&amp;SDATE=200501&amp;PERIODTYPE=QTR_STD&amp;SCFT=3&amp;window=popup_no_bar&amp;width=385&amp;height=120&amp;START_MAXIMIZED=FALSE&amp;creator=factset&amp;display_string=Audit"}</definedName>
    <definedName name="_2776__FDSAUDITLINK__" hidden="1">{"fdsup://Directions/FactSet Auditing Viewer?action=AUDIT_VALUE&amp;DB=129&amp;ID1=92849730&amp;VALUEID=02001&amp;SDATE=200501&amp;PERIODTYPE=QTR_STD&amp;SCFT=3&amp;window=popup_no_bar&amp;width=385&amp;height=120&amp;START_MAXIMIZED=FALSE&amp;creator=factset&amp;display_string=Audit"}</definedName>
    <definedName name="_2777__FDSAUDITLINK__" hidden="1">{"fdsup://Directions/FactSet Auditing Viewer?action=AUDIT_VALUE&amp;DB=129&amp;ID1=83088M10&amp;VALUEID=02001&amp;SDATE=200501&amp;PERIODTYPE=QTR_STD&amp;SCFT=3&amp;window=popup_no_bar&amp;width=385&amp;height=120&amp;START_MAXIMIZED=FALSE&amp;creator=factset&amp;display_string=Audit"}</definedName>
    <definedName name="_2778__FDSAUDITLINK__" hidden="1">{"fdsup://Directions/FactSet Auditing Viewer?action=AUDIT_VALUE&amp;DB=129&amp;ID1=83088M10&amp;VALUEID=02001&amp;SDATE=200501&amp;PERIODTYPE=QTR_STD&amp;SCFT=3&amp;window=popup_no_bar&amp;width=385&amp;height=120&amp;START_MAXIMIZED=FALSE&amp;creator=factset&amp;display_string=Audit"}</definedName>
    <definedName name="_2779__FDSAUDITLINK__" hidden="1">{"fdsup://Directions/FactSet Auditing Viewer?action=AUDIT_VALUE&amp;DB=129&amp;ID1=G7945M10&amp;VALUEID=02001&amp;SDATE=200502&amp;PERIODTYPE=QTR_STD&amp;SCFT=3&amp;window=popup_no_bar&amp;width=385&amp;height=120&amp;START_MAXIMIZED=FALSE&amp;creator=factset&amp;display_string=Audit"}</definedName>
    <definedName name="_278__FDSAUDITLINK__" hidden="1">{"fdsup://Directions/FactSet Auditing Viewer?action=AUDIT_VALUE&amp;DB=129&amp;ID1=11162130&amp;VALUEID=02001&amp;SDATE=201101&amp;PERIODTYPE=QTR_STD&amp;SCFT=3&amp;window=popup_no_bar&amp;width=385&amp;height=120&amp;START_MAXIMIZED=FALSE&amp;creator=factset&amp;display_string=Audit"}</definedName>
    <definedName name="_2780__FDSAUDITLINK__" hidden="1">{"fdsup://Directions/FactSet Auditing Viewer?action=AUDIT_VALUE&amp;DB=129&amp;ID1=G7945M10&amp;VALUEID=02001&amp;SDATE=200502&amp;PERIODTYPE=QTR_STD&amp;SCFT=3&amp;window=popup_no_bar&amp;width=385&amp;height=120&amp;START_MAXIMIZED=FALSE&amp;creator=factset&amp;display_string=Audit"}</definedName>
    <definedName name="_2781__FDSAUDITLINK__" hidden="1">{"fdsup://Directions/FactSet Auditing Viewer?action=AUDIT_VALUE&amp;DB=129&amp;ID1=87160710&amp;VALUEID=02001&amp;SDATE=200501&amp;PERIODTYPE=QTR_STD&amp;SCFT=3&amp;window=popup_no_bar&amp;width=385&amp;height=120&amp;START_MAXIMIZED=FALSE&amp;creator=factset&amp;display_string=Audit"}</definedName>
    <definedName name="_2782__FDSAUDITLINK__" hidden="1">{"fdsup://Directions/FactSet Auditing Viewer?action=AUDIT_VALUE&amp;DB=129&amp;ID1=87160710&amp;VALUEID=02001&amp;SDATE=200501&amp;PERIODTYPE=QTR_STD&amp;SCFT=3&amp;window=popup_no_bar&amp;width=385&amp;height=120&amp;START_MAXIMIZED=FALSE&amp;creator=factset&amp;display_string=Audit"}</definedName>
    <definedName name="_2783__FDSAUDITLINK__" hidden="1">{"fdsup://Directions/FactSet Auditing Viewer?action=AUDIT_VALUE&amp;DB=129&amp;ID1=74994110&amp;VALUEID=02001&amp;SDATE=200403&amp;PERIODTYPE=QTR_STD&amp;SCFT=3&amp;window=popup_no_bar&amp;width=385&amp;height=120&amp;START_MAXIMIZED=FALSE&amp;creator=factset&amp;display_string=Audit"}</definedName>
    <definedName name="_2784__FDSAUDITLINK__" hidden="1">{"fdsup://Directions/FactSet Auditing Viewer?action=AUDIT_VALUE&amp;DB=129&amp;ID1=74994110&amp;VALUEID=02001&amp;SDATE=200403&amp;PERIODTYPE=QTR_STD&amp;SCFT=3&amp;window=popup_no_bar&amp;width=385&amp;height=120&amp;START_MAXIMIZED=FALSE&amp;creator=factset&amp;display_string=Audit"}</definedName>
    <definedName name="_2785__FDSAUDITLINK__" hidden="1">{"fdsup://Directions/FactSet Auditing Viewer?action=AUDIT_VALUE&amp;DB=129&amp;ID1=74727710&amp;VALUEID=02001&amp;SDATE=200403&amp;PERIODTYPE=QTR_STD&amp;SCFT=3&amp;window=popup_no_bar&amp;width=385&amp;height=120&amp;START_MAXIMIZED=FALSE&amp;creator=factset&amp;display_string=Audit"}</definedName>
    <definedName name="_2786__FDSAUDITLINK__" hidden="1">{"fdsup://Directions/FactSet Auditing Viewer?action=AUDIT_VALUE&amp;DB=129&amp;ID1=74727710&amp;VALUEID=02001&amp;SDATE=200403&amp;PERIODTYPE=QTR_STD&amp;SCFT=3&amp;window=popup_no_bar&amp;width=385&amp;height=120&amp;START_MAXIMIZED=FALSE&amp;creator=factset&amp;display_string=Audit"}</definedName>
    <definedName name="_2787__FDSAUDITLINK__" hidden="1">{"fdsup://Directions/FactSet Auditing Viewer?action=AUDIT_VALUE&amp;DB=129&amp;ID1=74752510&amp;VALUEID=02001&amp;SDATE=200501&amp;PERIODTYPE=QTR_STD&amp;SCFT=3&amp;window=popup_no_bar&amp;width=385&amp;height=120&amp;START_MAXIMIZED=FALSE&amp;creator=factset&amp;display_string=Audit"}</definedName>
    <definedName name="_2788__FDSAUDITLINK__" hidden="1">{"fdsup://Directions/FactSet Auditing Viewer?action=AUDIT_VALUE&amp;DB=129&amp;ID1=74752510&amp;VALUEID=02001&amp;SDATE=200501&amp;PERIODTYPE=QTR_STD&amp;SCFT=3&amp;window=popup_no_bar&amp;width=385&amp;height=120&amp;START_MAXIMIZED=FALSE&amp;creator=factset&amp;display_string=Audit"}</definedName>
    <definedName name="_2789__FDSAUDITLINK__" hidden="1">{"fdsup://Directions/FactSet Auditing Viewer?action=AUDIT_VALUE&amp;DB=129&amp;ID1=63764010&amp;VALUEID=02001&amp;SDATE=200402&amp;PERIODTYPE=QTR_STD&amp;SCFT=3&amp;window=popup_no_bar&amp;width=385&amp;height=120&amp;START_MAXIMIZED=FALSE&amp;creator=factset&amp;display_string=Audit"}</definedName>
    <definedName name="_279__FDSAUDITLINK__" hidden="1">{"fdsup://Directions/FactSet Auditing Viewer?action=AUDIT_VALUE&amp;DB=129&amp;ID1=Y0486S10&amp;VALUEID=02001&amp;SDATE=201101&amp;PERIODTYPE=QTR_STD&amp;SCFT=3&amp;window=popup_no_bar&amp;width=385&amp;height=120&amp;START_MAXIMIZED=FALSE&amp;creator=factset&amp;display_string=Audit"}</definedName>
    <definedName name="_2790__FDSAUDITLINK__" hidden="1">{"fdsup://Directions/FactSet Auditing Viewer?action=AUDIT_VALUE&amp;DB=129&amp;ID1=63764010&amp;VALUEID=02001&amp;SDATE=200402&amp;PERIODTYPE=QTR_STD&amp;SCFT=3&amp;window=popup_no_bar&amp;width=385&amp;height=120&amp;START_MAXIMIZED=FALSE&amp;creator=factset&amp;display_string=Audit"}</definedName>
    <definedName name="_2791__FDSAUDITLINK__" hidden="1">{"fdsup://Directions/FactSet Auditing Viewer?action=AUDIT_VALUE&amp;DB=129&amp;ID1=57772K10&amp;VALUEID=02001&amp;SDATE=200502&amp;PERIODTYPE=QTR_STD&amp;SCFT=3&amp;window=popup_no_bar&amp;width=385&amp;height=120&amp;START_MAXIMIZED=FALSE&amp;creator=factset&amp;display_string=Audit"}</definedName>
    <definedName name="_2792__FDSAUDITLINK__" hidden="1">{"fdsup://Directions/FactSet Auditing Viewer?action=AUDIT_VALUE&amp;DB=129&amp;ID1=57772K10&amp;VALUEID=02001&amp;SDATE=200502&amp;PERIODTYPE=QTR_STD&amp;SCFT=3&amp;window=popup_no_bar&amp;width=385&amp;height=120&amp;START_MAXIMIZED=FALSE&amp;creator=factset&amp;display_string=Audit"}</definedName>
    <definedName name="_2793__FDSAUDITLINK__" hidden="1">{"fdsup://Directions/FactSet Auditing Viewer?action=AUDIT_VALUE&amp;DB=129&amp;ID1=59511210&amp;VALUEID=02001&amp;SDATE=200501&amp;PERIODTYPE=QTR_STD&amp;SCFT=3&amp;window=popup_no_bar&amp;width=385&amp;height=120&amp;START_MAXIMIZED=FALSE&amp;creator=factset&amp;display_string=Audit"}</definedName>
    <definedName name="_2794__FDSAUDITLINK__" hidden="1">{"fdsup://Directions/FactSet Auditing Viewer?action=AUDIT_VALUE&amp;DB=129&amp;ID1=59511210&amp;VALUEID=02001&amp;SDATE=200501&amp;PERIODTYPE=QTR_STD&amp;SCFT=3&amp;window=popup_no_bar&amp;width=385&amp;height=120&amp;START_MAXIMIZED=FALSE&amp;creator=factset&amp;display_string=Audit"}</definedName>
    <definedName name="_2795__FDSAUDITLINK__" hidden="1">{"fdsup://Directions/FactSet Auditing Viewer?action=AUDIT_VALUE&amp;DB=129&amp;ID1=59513710&amp;VALUEID=02001&amp;SDATE=200501&amp;PERIODTYPE=QTR_STD&amp;SCFT=3&amp;window=popup_no_bar&amp;width=385&amp;height=120&amp;START_MAXIMIZED=FALSE&amp;creator=factset&amp;display_string=Audit"}</definedName>
    <definedName name="_2796__FDSAUDITLINK__" hidden="1">{"fdsup://Directions/FactSet Auditing Viewer?action=AUDIT_VALUE&amp;DB=129&amp;ID1=59513710&amp;VALUEID=02001&amp;SDATE=200501&amp;PERIODTYPE=QTR_STD&amp;SCFT=3&amp;window=popup_no_bar&amp;width=385&amp;height=120&amp;START_MAXIMIZED=FALSE&amp;creator=factset&amp;display_string=Audit"}</definedName>
    <definedName name="_2797__FDSAUDITLINK__" hidden="1">{"fdsup://Directions/FactSet Auditing Viewer?action=AUDIT_VALUE&amp;DB=129&amp;ID1=60456710&amp;VALUEID=02001&amp;SDATE=200502&amp;PERIODTYPE=QTR_STD&amp;SCFT=3&amp;window=popup_no_bar&amp;width=385&amp;height=120&amp;START_MAXIMIZED=FALSE&amp;creator=factset&amp;display_string=Audit"}</definedName>
    <definedName name="_2798__FDSAUDITLINK__" hidden="1">{"fdsup://Directions/FactSet Auditing Viewer?action=AUDIT_VALUE&amp;DB=129&amp;ID1=60456710&amp;VALUEID=02001&amp;SDATE=200502&amp;PERIODTYPE=QTR_STD&amp;SCFT=3&amp;window=popup_no_bar&amp;width=385&amp;height=120&amp;START_MAXIMIZED=FALSE&amp;creator=factset&amp;display_string=Audit"}</definedName>
    <definedName name="_2799__FDSAUDITLINK__" hidden="1">{"fdsup://Directions/FactSet Auditing Viewer?action=AUDIT_VALUE&amp;DB=129&amp;ID1=59501710&amp;VALUEID=02001&amp;SDATE=200403&amp;PERIODTYPE=QTR_STD&amp;SCFT=3&amp;window=popup_no_bar&amp;width=385&amp;height=120&amp;START_MAXIMIZED=FALSE&amp;creator=factset&amp;display_string=Audit"}</definedName>
    <definedName name="_28__FDSAUDITLINK__" hidden="1">{"fdsup://directions/FAT Viewer?action=UPDATE&amp;creator=factset&amp;DYN_ARGS=TRUE&amp;DOC_NAME=FAT:FQL_AUDITING_CLIENT_TEMPLATE.FAT&amp;display_string=Audit&amp;VAR:KEY=WFOREPOHIR&amp;VAR:QUERY=RkZfU0hTX0ZMT0FUKEFOTiw0MDc1NSk=&amp;WINDOW=FIRST_POPUP&amp;HEIGHT=450&amp;WIDTH=450&amp;START_MAXIMI","ZED=FALSE&amp;VAR:CALENDAR=US&amp;VAR:SYMBOL=LAS VEGAS SANDS&amp;VAR:INDEX=0"}</definedName>
    <definedName name="_280__FDSAUDITLINK__" hidden="1">{"fdsup://Directions/FactSet Auditing Viewer?action=AUDIT_VALUE&amp;DB=129&amp;ID1=Y0486S10&amp;VALUEID=02001&amp;SDATE=201101&amp;PERIODTYPE=QTR_STD&amp;SCFT=3&amp;window=popup_no_bar&amp;width=385&amp;height=120&amp;START_MAXIMIZED=FALSE&amp;creator=factset&amp;display_string=Audit"}</definedName>
    <definedName name="_2800__FDSAUDITLINK__" hidden="1">{"fdsup://Directions/FactSet Auditing Viewer?action=AUDIT_VALUE&amp;DB=129&amp;ID1=59501710&amp;VALUEID=02001&amp;SDATE=200403&amp;PERIODTYPE=QTR_STD&amp;SCFT=3&amp;window=popup_no_bar&amp;width=385&amp;height=120&amp;START_MAXIMIZED=FALSE&amp;creator=factset&amp;display_string=Audit"}</definedName>
    <definedName name="_2801__FDSAUDITLINK__" hidden="1">{"fdsup://Directions/FactSet Auditing Viewer?action=AUDIT_VALUE&amp;DB=129&amp;ID1=51280710&amp;VALUEID=02001&amp;SDATE=200502&amp;PERIODTYPE=QTR_STD&amp;SCFT=3&amp;window=popup_no_bar&amp;width=385&amp;height=120&amp;START_MAXIMIZED=FALSE&amp;creator=factset&amp;display_string=Audit"}</definedName>
    <definedName name="_2802__FDSAUDITLINK__" hidden="1">{"fdsup://Directions/FactSet Auditing Viewer?action=AUDIT_VALUE&amp;DB=129&amp;ID1=51280710&amp;VALUEID=02001&amp;SDATE=200502&amp;PERIODTYPE=QTR_STD&amp;SCFT=3&amp;window=popup_no_bar&amp;width=385&amp;height=120&amp;START_MAXIMIZED=FALSE&amp;creator=factset&amp;display_string=Audit"}</definedName>
    <definedName name="_2803__FDSAUDITLINK__" hidden="1">{"fdsup://Directions/FactSet Auditing Viewer?action=AUDIT_VALUE&amp;DB=129&amp;ID1=53567810&amp;VALUEID=02001&amp;SDATE=200502&amp;PERIODTYPE=QTR_STD&amp;SCFT=3&amp;window=popup_no_bar&amp;width=385&amp;height=120&amp;START_MAXIMIZED=FALSE&amp;creator=factset&amp;display_string=Audit"}</definedName>
    <definedName name="_2804__FDSAUDITLINK__" hidden="1">{"fdsup://Directions/FactSet Auditing Viewer?action=AUDIT_VALUE&amp;DB=129&amp;ID1=53567810&amp;VALUEID=02001&amp;SDATE=200502&amp;PERIODTYPE=QTR_STD&amp;SCFT=3&amp;window=popup_no_bar&amp;width=385&amp;height=120&amp;START_MAXIMIZED=FALSE&amp;creator=factset&amp;display_string=Audit"}</definedName>
    <definedName name="_2805__FDSAUDITLINK__" hidden="1">{"fdsup://Directions/FactSet Auditing Viewer?action=AUDIT_VALUE&amp;DB=129&amp;ID1=48248010&amp;VALUEID=02001&amp;SDATE=200502&amp;PERIODTYPE=QTR_STD&amp;SCFT=3&amp;window=popup_no_bar&amp;width=385&amp;height=120&amp;START_MAXIMIZED=FALSE&amp;creator=factset&amp;display_string=Audit"}</definedName>
    <definedName name="_2806__FDSAUDITLINK__" hidden="1">{"fdsup://Directions/FactSet Auditing Viewer?action=AUDIT_VALUE&amp;DB=129&amp;ID1=48248010&amp;VALUEID=02001&amp;SDATE=200502&amp;PERIODTYPE=QTR_STD&amp;SCFT=3&amp;window=popup_no_bar&amp;width=385&amp;height=120&amp;START_MAXIMIZED=FALSE&amp;creator=factset&amp;display_string=Audit"}</definedName>
    <definedName name="_2807__FDSAUDITLINK__" hidden="1">{"fdsup://Directions/FactSet Auditing Viewer?action=AUDIT_VALUE&amp;DB=129&amp;ID1=86681020&amp;VALUEID=02001&amp;SDATE=200502&amp;PERIODTYPE=QTR_STD&amp;SCFT=3&amp;window=popup_no_bar&amp;width=385&amp;height=120&amp;START_MAXIMIZED=FALSE&amp;creator=factset&amp;display_string=Audit"}</definedName>
    <definedName name="_2808__FDSAUDITLINK__" hidden="1">{"fdsup://Directions/FactSet Auditing Viewer?action=AUDIT_VALUE&amp;DB=129&amp;ID1=86681020&amp;VALUEID=02001&amp;SDATE=200502&amp;PERIODTYPE=QTR_STD&amp;SCFT=3&amp;window=popup_no_bar&amp;width=385&amp;height=120&amp;START_MAXIMIZED=FALSE&amp;creator=factset&amp;display_string=Audit"}</definedName>
    <definedName name="_2809__FDSAUDITLINK__" hidden="1">{"fdsup://Directions/FactSet Auditing Viewer?action=AUDIT_VALUE&amp;DB=129&amp;ID1=46025410&amp;VALUEID=02001&amp;SDATE=200502&amp;PERIODTYPE=QTR_STD&amp;SCFT=3&amp;window=popup_no_bar&amp;width=385&amp;height=120&amp;START_MAXIMIZED=FALSE&amp;creator=factset&amp;display_string=Audit"}</definedName>
    <definedName name="_281__FDSAUDITLINK__" hidden="1">{"fdsup://Directions/FactSet Auditing Viewer?action=AUDIT_VALUE&amp;DB=129&amp;ID1=04743P10&amp;VALUEID=02001&amp;SDATE=201004&amp;PERIODTYPE=QTR_STD&amp;SCFT=3&amp;window=popup_no_bar&amp;width=385&amp;height=120&amp;START_MAXIMIZED=FALSE&amp;creator=factset&amp;display_string=Audit"}</definedName>
    <definedName name="_2810__FDSAUDITLINK__" hidden="1">{"fdsup://Directions/FactSet Auditing Viewer?action=AUDIT_VALUE&amp;DB=129&amp;ID1=46025410&amp;VALUEID=02001&amp;SDATE=200502&amp;PERIODTYPE=QTR_STD&amp;SCFT=3&amp;window=popup_no_bar&amp;width=385&amp;height=120&amp;START_MAXIMIZED=FALSE&amp;creator=factset&amp;display_string=Audit"}</definedName>
    <definedName name="_2811__FDSAUDITLINK__" hidden="1">{"fdsup://Directions/FactSet Auditing Viewer?action=AUDIT_VALUE&amp;DB=129&amp;ID1=45811810&amp;VALUEID=02001&amp;SDATE=200403&amp;PERIODTYPE=QTR_STD&amp;SCFT=3&amp;window=popup_no_bar&amp;width=385&amp;height=120&amp;START_MAXIMIZED=FALSE&amp;creator=factset&amp;display_string=Audit"}</definedName>
    <definedName name="_2812__FDSAUDITLINK__" hidden="1">{"fdsup://Directions/FactSet Auditing Viewer?action=AUDIT_VALUE&amp;DB=129&amp;ID1=45811810&amp;VALUEID=02001&amp;SDATE=200403&amp;PERIODTYPE=QTR_STD&amp;SCFT=3&amp;window=popup_no_bar&amp;width=385&amp;height=120&amp;START_MAXIMIZED=FALSE&amp;creator=factset&amp;display_string=Audit"}</definedName>
    <definedName name="_2813__FDSAUDITLINK__" hidden="1">{"fdsup://Directions/FactSet Auditing Viewer?action=AUDIT_VALUE&amp;DB=129&amp;ID1=42823610&amp;VALUEID=02001&amp;SDATE=200501&amp;PERIODTYPE=QTR_STD&amp;SCFT=3&amp;window=popup_no_bar&amp;width=385&amp;height=120&amp;START_MAXIMIZED=FALSE&amp;creator=factset&amp;display_string=Audit"}</definedName>
    <definedName name="_2814__FDSAUDITLINK__" hidden="1">{"fdsup://Directions/FactSet Auditing Viewer?action=AUDIT_VALUE&amp;DB=129&amp;ID1=42823610&amp;VALUEID=02001&amp;SDATE=200501&amp;PERIODTYPE=QTR_STD&amp;SCFT=3&amp;window=popup_no_bar&amp;width=385&amp;height=120&amp;START_MAXIMIZED=FALSE&amp;creator=factset&amp;display_string=Audit"}</definedName>
    <definedName name="_2815__FDSAUDITLINK__" hidden="1">{"fdsup://Directions/FactSet Auditing Viewer?action=AUDIT_VALUE&amp;DB=129&amp;ID1=31561610&amp;VALUEID=02001&amp;SDATE=200501&amp;PERIODTYPE=QTR_STD&amp;SCFT=3&amp;window=popup_no_bar&amp;width=385&amp;height=120&amp;START_MAXIMIZED=FALSE&amp;creator=factset&amp;display_string=Audit"}</definedName>
    <definedName name="_2816__FDSAUDITLINK__" hidden="1">{"fdsup://Directions/FactSet Auditing Viewer?action=AUDIT_VALUE&amp;DB=129&amp;ID1=31561610&amp;VALUEID=02001&amp;SDATE=200501&amp;PERIODTYPE=QTR_STD&amp;SCFT=3&amp;window=popup_no_bar&amp;width=385&amp;height=120&amp;START_MAXIMIZED=FALSE&amp;creator=factset&amp;display_string=Audit"}</definedName>
    <definedName name="_2817__FDSAUDITLINK__" hidden="1">{"fdsup://Directions/FactSet Auditing Viewer?action=AUDIT_VALUE&amp;DB=129&amp;ID1=29247520&amp;VALUEID=02001&amp;SDATE=200502&amp;PERIODTYPE=QTR_STD&amp;SCFT=3&amp;window=popup_no_bar&amp;width=385&amp;height=120&amp;START_MAXIMIZED=FALSE&amp;creator=factset&amp;display_string=Audit"}</definedName>
    <definedName name="_2818__FDSAUDITLINK__" hidden="1">{"fdsup://Directions/FactSet Auditing Viewer?action=AUDIT_VALUE&amp;DB=129&amp;ID1=29247520&amp;VALUEID=02001&amp;SDATE=200502&amp;PERIODTYPE=QTR_STD&amp;SCFT=3&amp;window=popup_no_bar&amp;width=385&amp;height=120&amp;START_MAXIMIZED=FALSE&amp;creator=factset&amp;display_string=Audit"}</definedName>
    <definedName name="_2819__FDSAUDITLINK__" hidden="1">{"fdsup://Directions/FactSet Auditing Viewer?action=AUDIT_VALUE&amp;DB=129&amp;ID1=17275R10&amp;VALUEID=02001&amp;SDATE=200502&amp;PERIODTYPE=QTR_STD&amp;SCFT=3&amp;window=popup_no_bar&amp;width=385&amp;height=120&amp;START_MAXIMIZED=FALSE&amp;creator=factset&amp;display_string=Audit"}</definedName>
    <definedName name="_282__FDSAUDITLINK__" hidden="1">{"fdsup://Directions/FactSet Auditing Viewer?action=AUDIT_VALUE&amp;DB=129&amp;ID1=04743P10&amp;VALUEID=02001&amp;SDATE=201004&amp;PERIODTYPE=QTR_STD&amp;SCFT=3&amp;window=popup_no_bar&amp;width=385&amp;height=120&amp;START_MAXIMIZED=FALSE&amp;creator=factset&amp;display_string=Audit"}</definedName>
    <definedName name="_2820__FDSAUDITLINK__" hidden="1">{"fdsup://Directions/FactSet Auditing Viewer?action=AUDIT_VALUE&amp;DB=129&amp;ID1=17275R10&amp;VALUEID=02001&amp;SDATE=200502&amp;PERIODTYPE=QTR_STD&amp;SCFT=3&amp;window=popup_no_bar&amp;width=385&amp;height=120&amp;START_MAXIMIZED=FALSE&amp;creator=factset&amp;display_string=Audit"}</definedName>
    <definedName name="_2821__FDSAUDITLINK__" hidden="1">{"fdsup://Directions/FactSet Auditing Viewer?action=AUDIT_VALUE&amp;DB=129&amp;ID1=22544710&amp;VALUEID=02001&amp;SDATE=200502&amp;PERIODTYPE=QTR_STD&amp;SCFT=3&amp;window=popup_no_bar&amp;width=385&amp;height=120&amp;START_MAXIMIZED=FALSE&amp;creator=factset&amp;display_string=Audit"}</definedName>
    <definedName name="_2822__FDSAUDITLINK__" hidden="1">{"fdsup://Directions/FactSet Auditing Viewer?action=AUDIT_VALUE&amp;DB=129&amp;ID1=22544710&amp;VALUEID=02001&amp;SDATE=200502&amp;PERIODTYPE=QTR_STD&amp;SCFT=3&amp;window=popup_no_bar&amp;width=385&amp;height=120&amp;START_MAXIMIZED=FALSE&amp;creator=factset&amp;display_string=Audit"}</definedName>
    <definedName name="_2823__FDSAUDITLINK__" hidden="1">{"fdsup://Directions/FactSet Auditing Viewer?action=AUDIT_VALUE&amp;DB=129&amp;ID1=20714230&amp;VALUEID=02001&amp;SDATE=200501&amp;PERIODTYPE=QTR_STD&amp;SCFT=3&amp;window=popup_no_bar&amp;width=385&amp;height=120&amp;START_MAXIMIZED=FALSE&amp;creator=factset&amp;display_string=Audit"}</definedName>
    <definedName name="_2824__FDSAUDITLINK__" hidden="1">{"fdsup://Directions/FactSet Auditing Viewer?action=AUDIT_VALUE&amp;DB=129&amp;ID1=20714230&amp;VALUEID=02001&amp;SDATE=200501&amp;PERIODTYPE=QTR_STD&amp;SCFT=3&amp;window=popup_no_bar&amp;width=385&amp;height=120&amp;START_MAXIMIZED=FALSE&amp;creator=factset&amp;display_string=Audit"}</definedName>
    <definedName name="_2825__FDSAUDITLINK__" hidden="1">{"fdsup://Directions/FactSet Auditing Viewer?action=AUDIT_VALUE&amp;DB=129&amp;ID1=03822W40&amp;VALUEID=02001&amp;SDATE=200403&amp;PERIODTYPE=QTR_STD&amp;SCFT=3&amp;window=popup_no_bar&amp;width=385&amp;height=120&amp;START_MAXIMIZED=FALSE&amp;creator=factset&amp;display_string=Audit"}</definedName>
    <definedName name="_2826__FDSAUDITLINK__" hidden="1">{"fdsup://Directions/FactSet Auditing Viewer?action=AUDIT_VALUE&amp;DB=129&amp;ID1=03822W40&amp;VALUEID=02001&amp;SDATE=200403&amp;PERIODTYPE=QTR_STD&amp;SCFT=3&amp;window=popup_no_bar&amp;width=385&amp;height=120&amp;START_MAXIMIZED=FALSE&amp;creator=factset&amp;display_string=Audit"}</definedName>
    <definedName name="_2827__FDSAUDITLINK__" hidden="1">{"fdsup://Directions/FactSet Auditing Viewer?action=AUDIT_VALUE&amp;DB=129&amp;ID1=03822210&amp;VALUEID=02001&amp;SDATE=200501&amp;PERIODTYPE=QTR_STD&amp;SCFT=3&amp;window=popup_no_bar&amp;width=385&amp;height=120&amp;START_MAXIMIZED=FALSE&amp;creator=factset&amp;display_string=Audit"}</definedName>
    <definedName name="_2828__FDSAUDITLINK__" hidden="1">{"fdsup://Directions/FactSet Auditing Viewer?action=AUDIT_VALUE&amp;DB=129&amp;ID1=03822210&amp;VALUEID=02001&amp;SDATE=200501&amp;PERIODTYPE=QTR_STD&amp;SCFT=3&amp;window=popup_no_bar&amp;width=385&amp;height=120&amp;START_MAXIMIZED=FALSE&amp;creator=factset&amp;display_string=Audit"}</definedName>
    <definedName name="_2829__FDSAUDITLINK__" hidden="1">{"fdsup://Directions/FactSet Auditing Viewer?action=AUDIT_VALUE&amp;DB=129&amp;ID1=03265410&amp;VALUEID=02001&amp;SDATE=200501&amp;PERIODTYPE=QTR_STD&amp;SCFT=3&amp;window=popup_no_bar&amp;width=385&amp;height=120&amp;START_MAXIMIZED=FALSE&amp;creator=factset&amp;display_string=Audit"}</definedName>
    <definedName name="_283__FDSAUDITLINK__" hidden="1">{"fdsup://Directions/FactSet Auditing Viewer?action=AUDIT_VALUE&amp;DB=129&amp;ID1=03251510&amp;VALUEID=02001&amp;SDATE=201004&amp;PERIODTYPE=QTR_STD&amp;SCFT=3&amp;window=popup_no_bar&amp;width=385&amp;height=120&amp;START_MAXIMIZED=FALSE&amp;creator=factset&amp;display_string=Audit"}</definedName>
    <definedName name="_2830__FDSAUDITLINK__" hidden="1">{"fdsup://Directions/FactSet Auditing Viewer?action=AUDIT_VALUE&amp;DB=129&amp;ID1=03265410&amp;VALUEID=02001&amp;SDATE=200501&amp;PERIODTYPE=QTR_STD&amp;SCFT=3&amp;window=popup_no_bar&amp;width=385&amp;height=120&amp;START_MAXIMIZED=FALSE&amp;creator=factset&amp;display_string=Audit"}</definedName>
    <definedName name="_2831__FDSAUDITLINK__" hidden="1">{"fdsup://Directions/FactSet Auditing Viewer?action=AUDIT_VALUE&amp;DB=129&amp;ID1=98975F10&amp;VALUEID=02001&amp;SDATE=200403&amp;PERIODTYPE=QTR_STD&amp;SCFT=3&amp;window=popup_no_bar&amp;width=385&amp;height=120&amp;START_MAXIMIZED=FALSE&amp;creator=factset&amp;display_string=Audit"}</definedName>
    <definedName name="_2832__FDSAUDITLINK__" hidden="1">{"fdsup://Directions/FactSet Auditing Viewer?action=AUDIT_VALUE&amp;DB=129&amp;ID1=98975F10&amp;VALUEID=02001&amp;SDATE=200403&amp;PERIODTYPE=QTR_STD&amp;SCFT=3&amp;window=popup_no_bar&amp;width=385&amp;height=120&amp;START_MAXIMIZED=FALSE&amp;creator=factset&amp;display_string=Audit"}</definedName>
    <definedName name="_2833__FDSAUDITLINK__" hidden="1">{"fdsup://Directions/FactSet Auditing Viewer?action=AUDIT_VALUE&amp;DB=129&amp;ID1=98391910&amp;VALUEID=02001&amp;SDATE=200402&amp;PERIODTYPE=QTR_STD&amp;SCFT=3&amp;window=popup_no_bar&amp;width=385&amp;height=120&amp;START_MAXIMIZED=FALSE&amp;creator=factset&amp;display_string=Audit"}</definedName>
    <definedName name="_2834__FDSAUDITLINK__" hidden="1">{"fdsup://Directions/FactSet Auditing Viewer?action=AUDIT_VALUE&amp;DB=129&amp;ID1=98391910&amp;VALUEID=02001&amp;SDATE=200402&amp;PERIODTYPE=QTR_STD&amp;SCFT=3&amp;window=popup_no_bar&amp;width=385&amp;height=120&amp;START_MAXIMIZED=FALSE&amp;creator=factset&amp;display_string=Audit"}</definedName>
    <definedName name="_2835__FDSAUDITLINK__" hidden="1">{"fdsup://Directions/FactSet Auditing Viewer?action=AUDIT_VALUE&amp;DB=129&amp;ID1=95810210&amp;VALUEID=02001&amp;SDATE=200501&amp;PERIODTYPE=QTR_STD&amp;SCFT=3&amp;window=popup_no_bar&amp;width=385&amp;height=120&amp;START_MAXIMIZED=FALSE&amp;creator=factset&amp;display_string=Audit"}</definedName>
    <definedName name="_2836__FDSAUDITLINK__" hidden="1">{"fdsup://Directions/FactSet Auditing Viewer?action=AUDIT_VALUE&amp;DB=129&amp;ID1=95810210&amp;VALUEID=02001&amp;SDATE=200501&amp;PERIODTYPE=QTR_STD&amp;SCFT=3&amp;window=popup_no_bar&amp;width=385&amp;height=120&amp;START_MAXIMIZED=FALSE&amp;creator=factset&amp;display_string=Audit"}</definedName>
    <definedName name="_2837__FDSAUDITLINK__" hidden="1">{"fdsup://Directions/FactSet Auditing Viewer?action=AUDIT_VALUE&amp;DB=129&amp;ID1=88250810&amp;VALUEID=02001&amp;SDATE=200403&amp;PERIODTYPE=QTR_STD&amp;SCFT=3&amp;window=popup_no_bar&amp;width=385&amp;height=120&amp;START_MAXIMIZED=FALSE&amp;creator=factset&amp;display_string=Audit"}</definedName>
    <definedName name="_2838__FDSAUDITLINK__" hidden="1">{"fdsup://Directions/FactSet Auditing Viewer?action=AUDIT_VALUE&amp;DB=129&amp;ID1=88250810&amp;VALUEID=02001&amp;SDATE=200403&amp;PERIODTYPE=QTR_STD&amp;SCFT=3&amp;window=popup_no_bar&amp;width=385&amp;height=120&amp;START_MAXIMIZED=FALSE&amp;creator=factset&amp;display_string=Audit"}</definedName>
    <definedName name="_2839__FDSAUDITLINK__" hidden="1">{"fdsup://Directions/FactSet Auditing Viewer?action=AUDIT_VALUE&amp;DB=129&amp;ID1=89674K10&amp;VALUEID=02001&amp;SDATE=200403&amp;PERIODTYPE=QTR_STD&amp;SCFT=3&amp;window=popup_no_bar&amp;width=385&amp;height=120&amp;START_MAXIMIZED=FALSE&amp;creator=factset&amp;display_string=Audit"}</definedName>
    <definedName name="_284__FDSAUDITLINK__" hidden="1">{"fdsup://Directions/FactSet Auditing Viewer?action=AUDIT_VALUE&amp;DB=129&amp;ID1=03251510&amp;VALUEID=02001&amp;SDATE=201004&amp;PERIODTYPE=QTR_STD&amp;SCFT=3&amp;window=popup_no_bar&amp;width=385&amp;height=120&amp;START_MAXIMIZED=FALSE&amp;creator=factset&amp;display_string=Audit"}</definedName>
    <definedName name="_2840__FDSAUDITLINK__" hidden="1">{"fdsup://Directions/FactSet Auditing Viewer?action=AUDIT_VALUE&amp;DB=129&amp;ID1=89674K10&amp;VALUEID=02001&amp;SDATE=200403&amp;PERIODTYPE=QTR_STD&amp;SCFT=3&amp;window=popup_no_bar&amp;width=385&amp;height=120&amp;START_MAXIMIZED=FALSE&amp;creator=factset&amp;display_string=Audit"}</definedName>
    <definedName name="_2841__FDSAUDITLINK__" hidden="1">{"fdsup://Directions/FactSet Auditing Viewer?action=AUDIT_VALUE&amp;DB=129&amp;ID1=G7945M10&amp;VALUEID=02001&amp;SDATE=200501&amp;PERIODTYPE=QTR_STD&amp;SCFT=3&amp;window=popup_no_bar&amp;width=385&amp;height=120&amp;START_MAXIMIZED=FALSE&amp;creator=factset&amp;display_string=Audit"}</definedName>
    <definedName name="_2842__FDSAUDITLINK__" hidden="1">{"fdsup://Directions/FactSet Auditing Viewer?action=AUDIT_VALUE&amp;DB=129&amp;ID1=G7945M10&amp;VALUEID=02001&amp;SDATE=200501&amp;PERIODTYPE=QTR_STD&amp;SCFT=3&amp;window=popup_no_bar&amp;width=385&amp;height=120&amp;START_MAXIMIZED=FALSE&amp;creator=factset&amp;display_string=Audit"}</definedName>
    <definedName name="_2843__FDSAUDITLINK__" hidden="1">{"fdsup://Directions/FactSet Auditing Viewer?action=AUDIT_VALUE&amp;DB=129&amp;ID1=78477410&amp;VALUEID=02001&amp;SDATE=200403&amp;PERIODTYPE=QTR_STD&amp;SCFT=3&amp;window=popup_no_bar&amp;width=385&amp;height=120&amp;START_MAXIMIZED=FALSE&amp;creator=factset&amp;display_string=Audit"}</definedName>
    <definedName name="_2844__FDSAUDITLINK__" hidden="1">{"fdsup://Directions/FactSet Auditing Viewer?action=AUDIT_VALUE&amp;DB=129&amp;ID1=78477410&amp;VALUEID=02001&amp;SDATE=200403&amp;PERIODTYPE=QTR_STD&amp;SCFT=3&amp;window=popup_no_bar&amp;width=385&amp;height=120&amp;START_MAXIMIZED=FALSE&amp;creator=factset&amp;display_string=Audit"}</definedName>
    <definedName name="_2845__FDSAUDITLINK__" hidden="1">{"fdsup://Directions/FactSet Auditing Viewer?action=AUDIT_VALUE&amp;DB=129&amp;ID1=83547010&amp;VALUEID=02001&amp;SDATE=200403&amp;PERIODTYPE=QTR_STD&amp;SCFT=3&amp;window=popup_no_bar&amp;width=385&amp;height=120&amp;START_MAXIMIZED=FALSE&amp;creator=factset&amp;display_string=Audit"}</definedName>
    <definedName name="_2846__FDSAUDITLINK__" hidden="1">{"fdsup://Directions/FactSet Auditing Viewer?action=AUDIT_VALUE&amp;DB=129&amp;ID1=83547010&amp;VALUEID=02001&amp;SDATE=200403&amp;PERIODTYPE=QTR_STD&amp;SCFT=3&amp;window=popup_no_bar&amp;width=385&amp;height=120&amp;START_MAXIMIZED=FALSE&amp;creator=factset&amp;display_string=Audit"}</definedName>
    <definedName name="_2847__FDSAUDITLINK__" hidden="1">{"fdsup://Directions/FactSet Auditing Viewer?action=AUDIT_VALUE&amp;DB=129&amp;ID1=80004C10&amp;VALUEID=02001&amp;SDATE=200403&amp;PERIODTYPE=QTR_STD&amp;SCFT=3&amp;window=popup_no_bar&amp;width=385&amp;height=120&amp;START_MAXIMIZED=FALSE&amp;creator=factset&amp;display_string=Audit"}</definedName>
    <definedName name="_2848__FDSAUDITLINK__" hidden="1">{"fdsup://Directions/FactSet Auditing Viewer?action=AUDIT_VALUE&amp;DB=129&amp;ID1=80004C10&amp;VALUEID=02001&amp;SDATE=200403&amp;PERIODTYPE=QTR_STD&amp;SCFT=3&amp;window=popup_no_bar&amp;width=385&amp;height=120&amp;START_MAXIMIZED=FALSE&amp;creator=factset&amp;display_string=Audit"}</definedName>
    <definedName name="_2849__FDSAUDITLINK__" hidden="1">{"fdsup://Directions/FactSet Auditing Viewer?action=AUDIT_VALUE&amp;DB=129&amp;ID1=81685010&amp;VALUEID=02001&amp;SDATE=200403&amp;PERIODTYPE=QTR_STD&amp;SCFT=3&amp;window=popup_no_bar&amp;width=385&amp;height=120&amp;START_MAXIMIZED=FALSE&amp;creator=factset&amp;display_string=Audit"}</definedName>
    <definedName name="_285__FDSAUDITLINK__" hidden="1">{"fdsup://Directions/FactSet Auditing Viewer?action=AUDIT_VALUE&amp;DB=129&amp;ID1=00790310&amp;VALUEID=02001&amp;SDATE=201004&amp;PERIODTYPE=QTR_STD&amp;SCFT=3&amp;window=popup_no_bar&amp;width=385&amp;height=120&amp;START_MAXIMIZED=FALSE&amp;creator=factset&amp;display_string=Audit"}</definedName>
    <definedName name="_2850__FDSAUDITLINK__" hidden="1">{"fdsup://Directions/FactSet Auditing Viewer?action=AUDIT_VALUE&amp;DB=129&amp;ID1=81685010&amp;VALUEID=02001&amp;SDATE=200403&amp;PERIODTYPE=QTR_STD&amp;SCFT=3&amp;window=popup_no_bar&amp;width=385&amp;height=120&amp;START_MAXIMIZED=FALSE&amp;creator=factset&amp;display_string=Audit"}</definedName>
    <definedName name="_2851__FDSAUDITLINK__" hidden="1">{"fdsup://Directions/FactSet Auditing Viewer?action=AUDIT_VALUE&amp;DB=129&amp;ID1=82691910&amp;VALUEID=02001&amp;SDATE=200403&amp;PERIODTYPE=QTR_STD&amp;SCFT=3&amp;window=popup_no_bar&amp;width=385&amp;height=120&amp;START_MAXIMIZED=FALSE&amp;creator=factset&amp;display_string=Audit"}</definedName>
    <definedName name="_2852__FDSAUDITLINK__" hidden="1">{"fdsup://Directions/FactSet Auditing Viewer?action=AUDIT_VALUE&amp;DB=129&amp;ID1=82691910&amp;VALUEID=02001&amp;SDATE=200403&amp;PERIODTYPE=QTR_STD&amp;SCFT=3&amp;window=popup_no_bar&amp;width=385&amp;height=120&amp;START_MAXIMIZED=FALSE&amp;creator=factset&amp;display_string=Audit"}</definedName>
    <definedName name="_2853__FDSAUDITLINK__" hidden="1">{"fdsup://Directions/FactSet Auditing Viewer?action=AUDIT_VALUE&amp;DB=129&amp;ID1=82705T10&amp;VALUEID=02001&amp;SDATE=200403&amp;PERIODTYPE=QTR_STD&amp;SCFT=3&amp;window=popup_no_bar&amp;width=385&amp;height=120&amp;START_MAXIMIZED=FALSE&amp;creator=factset&amp;display_string=Audit"}</definedName>
    <definedName name="_2854__FDSAUDITLINK__" hidden="1">{"fdsup://Directions/FactSet Auditing Viewer?action=AUDIT_VALUE&amp;DB=129&amp;ID1=82705T10&amp;VALUEID=02001&amp;SDATE=200403&amp;PERIODTYPE=QTR_STD&amp;SCFT=3&amp;window=popup_no_bar&amp;width=385&amp;height=120&amp;START_MAXIMIZED=FALSE&amp;creator=factset&amp;display_string=Audit"}</definedName>
    <definedName name="_2855__FDSAUDITLINK__" hidden="1">{"fdsup://Directions/FactSet Auditing Viewer?action=AUDIT_VALUE&amp;DB=129&amp;ID1=75091710&amp;VALUEID=02001&amp;SDATE=200403&amp;PERIODTYPE=QTR_STD&amp;SCFT=3&amp;window=popup_no_bar&amp;width=385&amp;height=120&amp;START_MAXIMIZED=FALSE&amp;creator=factset&amp;display_string=Audit"}</definedName>
    <definedName name="_2856__FDSAUDITLINK__" hidden="1">{"fdsup://Directions/FactSet Auditing Viewer?action=AUDIT_VALUE&amp;DB=129&amp;ID1=75091710&amp;VALUEID=02001&amp;SDATE=200403&amp;PERIODTYPE=QTR_STD&amp;SCFT=3&amp;window=popup_no_bar&amp;width=385&amp;height=120&amp;START_MAXIMIZED=FALSE&amp;creator=factset&amp;display_string=Audit"}</definedName>
    <definedName name="_2857__FDSAUDITLINK__" hidden="1">{"fdsup://Directions/FactSet Auditing Viewer?action=AUDIT_VALUE&amp;DB=129&amp;ID1=74994110&amp;VALUEID=02001&amp;SDATE=200402&amp;PERIODTYPE=QTR_STD&amp;SCFT=3&amp;window=popup_no_bar&amp;width=385&amp;height=120&amp;START_MAXIMIZED=FALSE&amp;creator=factset&amp;display_string=Audit"}</definedName>
    <definedName name="_2858__FDSAUDITLINK__" hidden="1">{"fdsup://Directions/FactSet Auditing Viewer?action=AUDIT_VALUE&amp;DB=129&amp;ID1=74994110&amp;VALUEID=02001&amp;SDATE=200402&amp;PERIODTYPE=QTR_STD&amp;SCFT=3&amp;window=popup_no_bar&amp;width=385&amp;height=120&amp;START_MAXIMIZED=FALSE&amp;creator=factset&amp;display_string=Audit"}</definedName>
    <definedName name="_2859__FDSAUDITLINK__" hidden="1">{"fdsup://Directions/FactSet Auditing Viewer?action=AUDIT_VALUE&amp;DB=129&amp;ID1=74727710&amp;VALUEID=02001&amp;SDATE=200402&amp;PERIODTYPE=QTR_STD&amp;SCFT=3&amp;window=popup_no_bar&amp;width=385&amp;height=120&amp;START_MAXIMIZED=FALSE&amp;creator=factset&amp;display_string=Audit"}</definedName>
    <definedName name="_286__FDSAUDITLINK__" hidden="1">{"fdsup://Directions/FactSet Auditing Viewer?action=AUDIT_VALUE&amp;DB=129&amp;ID1=00790310&amp;VALUEID=02001&amp;SDATE=201004&amp;PERIODTYPE=QTR_STD&amp;SCFT=3&amp;window=popup_no_bar&amp;width=385&amp;height=120&amp;START_MAXIMIZED=FALSE&amp;creator=factset&amp;display_string=Audit"}</definedName>
    <definedName name="_2860__FDSAUDITLINK__" hidden="1">{"fdsup://Directions/FactSet Auditing Viewer?action=AUDIT_VALUE&amp;DB=129&amp;ID1=74727710&amp;VALUEID=02001&amp;SDATE=200402&amp;PERIODTYPE=QTR_STD&amp;SCFT=3&amp;window=popup_no_bar&amp;width=385&amp;height=120&amp;START_MAXIMIZED=FALSE&amp;creator=factset&amp;display_string=Audit"}</definedName>
    <definedName name="_2861__FDSAUDITLINK__" hidden="1">{"fdsup://Directions/FactSet Auditing Viewer?action=AUDIT_VALUE&amp;DB=129&amp;ID1=72581M30&amp;VALUEID=02001&amp;SDATE=200403&amp;PERIODTYPE=QTR_STD&amp;SCFT=3&amp;window=popup_no_bar&amp;width=385&amp;height=120&amp;START_MAXIMIZED=FALSE&amp;creator=factset&amp;display_string=Audit"}</definedName>
    <definedName name="_2862__FDSAUDITLINK__" hidden="1">{"fdsup://Directions/FactSet Auditing Viewer?action=AUDIT_VALUE&amp;DB=129&amp;ID1=72581M30&amp;VALUEID=02001&amp;SDATE=200403&amp;PERIODTYPE=QTR_STD&amp;SCFT=3&amp;window=popup_no_bar&amp;width=385&amp;height=120&amp;START_MAXIMIZED=FALSE&amp;creator=factset&amp;display_string=Audit"}</definedName>
    <definedName name="_2863__FDSAUDITLINK__" hidden="1">{"fdsup://Directions/FactSet Auditing Viewer?action=AUDIT_VALUE&amp;DB=129&amp;ID1=73927610&amp;VALUEID=02001&amp;SDATE=200403&amp;PERIODTYPE=QTR_STD&amp;SCFT=3&amp;window=popup_no_bar&amp;width=385&amp;height=120&amp;START_MAXIMIZED=FALSE&amp;creator=factset&amp;display_string=Audit"}</definedName>
    <definedName name="_2864__FDSAUDITLINK__" hidden="1">{"fdsup://Directions/FactSet Auditing Viewer?action=AUDIT_VALUE&amp;DB=129&amp;ID1=73927610&amp;VALUEID=02001&amp;SDATE=200403&amp;PERIODTYPE=QTR_STD&amp;SCFT=3&amp;window=popup_no_bar&amp;width=385&amp;height=120&amp;START_MAXIMIZED=FALSE&amp;creator=factset&amp;display_string=Audit"}</definedName>
    <definedName name="_2865__FDSAUDITLINK__" hidden="1">{"fdsup://Directions/FactSet Auditing Viewer?action=AUDIT_VALUE&amp;DB=129&amp;ID1=69344F10&amp;VALUEID=02001&amp;SDATE=200403&amp;PERIODTYPE=QTR_STD&amp;SCFT=3&amp;window=popup_no_bar&amp;width=385&amp;height=120&amp;START_MAXIMIZED=FALSE&amp;creator=factset&amp;display_string=Audit"}</definedName>
    <definedName name="_2866__FDSAUDITLINK__" hidden="1">{"fdsup://Directions/FactSet Auditing Viewer?action=AUDIT_VALUE&amp;DB=129&amp;ID1=69344F10&amp;VALUEID=02001&amp;SDATE=200403&amp;PERIODTYPE=QTR_STD&amp;SCFT=3&amp;window=popup_no_bar&amp;width=385&amp;height=120&amp;START_MAXIMIZED=FALSE&amp;creator=factset&amp;display_string=Audit"}</definedName>
    <definedName name="_2867__FDSAUDITLINK__" hidden="1">{"fdsup://Directions/FactSet Auditing Viewer?action=AUDIT_VALUE&amp;DB=129&amp;ID1=69341710&amp;VALUEID=02001&amp;SDATE=200403&amp;PERIODTYPE=QTR_STD&amp;SCFT=3&amp;window=popup_no_bar&amp;width=385&amp;height=120&amp;START_MAXIMIZED=FALSE&amp;creator=factset&amp;display_string=Audit"}</definedName>
    <definedName name="_2868__FDSAUDITLINK__" hidden="1">{"fdsup://Directions/FactSet Auditing Viewer?action=AUDIT_VALUE&amp;DB=129&amp;ID1=69341710&amp;VALUEID=02001&amp;SDATE=200403&amp;PERIODTYPE=QTR_STD&amp;SCFT=3&amp;window=popup_no_bar&amp;width=385&amp;height=120&amp;START_MAXIMIZED=FALSE&amp;creator=factset&amp;display_string=Audit"}</definedName>
    <definedName name="_2869__FDSAUDITLINK__" hidden="1">{"fdsup://Directions/FactSet Auditing Viewer?action=AUDIT_VALUE&amp;DB=129&amp;ID1=68218910&amp;VALUEID=02001&amp;SDATE=200403&amp;PERIODTYPE=QTR_STD&amp;SCFT=3&amp;window=popup_no_bar&amp;width=385&amp;height=120&amp;START_MAXIMIZED=FALSE&amp;creator=factset&amp;display_string=Audit"}</definedName>
    <definedName name="_287__FDSAUDITLINK__" hidden="1">{"fdsup://Directions/FactSet Auditing Viewer?action=AUDIT_VALUE&amp;DB=129&amp;ID1=03822W40&amp;VALUEID=02001&amp;SDATE=201003&amp;PERIODTYPE=QTR_STD&amp;SCFT=3&amp;window=popup_no_bar&amp;width=385&amp;height=120&amp;START_MAXIMIZED=FALSE&amp;creator=factset&amp;display_string=Audit"}</definedName>
    <definedName name="_2870__FDSAUDITLINK__" hidden="1">{"fdsup://Directions/FactSet Auditing Viewer?action=AUDIT_VALUE&amp;DB=129&amp;ID1=68218910&amp;VALUEID=02001&amp;SDATE=200403&amp;PERIODTYPE=QTR_STD&amp;SCFT=3&amp;window=popup_no_bar&amp;width=385&amp;height=120&amp;START_MAXIMIZED=FALSE&amp;creator=factset&amp;display_string=Audit"}</definedName>
    <definedName name="_2871__FDSAUDITLINK__" hidden="1">{"fdsup://Directions/FactSet Auditing Viewer?action=AUDIT_VALUE&amp;DB=129&amp;ID1=67000810&amp;VALUEID=02001&amp;SDATE=200403&amp;PERIODTYPE=QTR_STD&amp;SCFT=3&amp;window=popup_no_bar&amp;width=385&amp;height=120&amp;START_MAXIMIZED=FALSE&amp;creator=factset&amp;display_string=Audit"}</definedName>
    <definedName name="_2872__FDSAUDITLINK__" hidden="1">{"fdsup://Directions/FactSet Auditing Viewer?action=AUDIT_VALUE&amp;DB=129&amp;ID1=67000810&amp;VALUEID=02001&amp;SDATE=200403&amp;PERIODTYPE=QTR_STD&amp;SCFT=3&amp;window=popup_no_bar&amp;width=385&amp;height=120&amp;START_MAXIMIZED=FALSE&amp;creator=factset&amp;display_string=Audit"}</definedName>
    <definedName name="_2873__FDSAUDITLINK__" hidden="1">{"fdsup://Directions/FactSet Auditing Viewer?action=AUDIT_VALUE&amp;DB=129&amp;ID1=67066G10&amp;VALUEID=02001&amp;SDATE=200403&amp;PERIODTYPE=QTR_STD&amp;SCFT=3&amp;window=popup_no_bar&amp;width=385&amp;height=120&amp;START_MAXIMIZED=FALSE&amp;creator=factset&amp;display_string=Audit"}</definedName>
    <definedName name="_2874__FDSAUDITLINK__" hidden="1">{"fdsup://Directions/FactSet Auditing Viewer?action=AUDIT_VALUE&amp;DB=129&amp;ID1=67066G10&amp;VALUEID=02001&amp;SDATE=200403&amp;PERIODTYPE=QTR_STD&amp;SCFT=3&amp;window=popup_no_bar&amp;width=385&amp;height=120&amp;START_MAXIMIZED=FALSE&amp;creator=factset&amp;display_string=Audit"}</definedName>
    <definedName name="_2875__FDSAUDITLINK__" hidden="1">{"fdsup://Directions/FactSet Auditing Viewer?action=AUDIT_VALUE&amp;DB=129&amp;ID1=63764010&amp;VALUEID=02001&amp;SDATE=200401&amp;PERIODTYPE=QTR_STD&amp;SCFT=3&amp;window=popup_no_bar&amp;width=385&amp;height=120&amp;START_MAXIMIZED=FALSE&amp;creator=factset&amp;display_string=Audit"}</definedName>
    <definedName name="_2876__FDSAUDITLINK__" hidden="1">{"fdsup://Directions/FactSet Auditing Viewer?action=AUDIT_VALUE&amp;DB=129&amp;ID1=63764010&amp;VALUEID=02001&amp;SDATE=200401&amp;PERIODTYPE=QTR_STD&amp;SCFT=3&amp;window=popup_no_bar&amp;width=385&amp;height=120&amp;START_MAXIMIZED=FALSE&amp;creator=factset&amp;display_string=Audit"}</definedName>
    <definedName name="_2877__FDSAUDITLINK__" hidden="1">{"fdsup://Directions/FactSet Auditing Viewer?action=AUDIT_VALUE&amp;DB=129&amp;ID1=64118B10&amp;VALUEID=02001&amp;SDATE=200403&amp;PERIODTYPE=QTR_STD&amp;SCFT=3&amp;window=popup_no_bar&amp;width=385&amp;height=120&amp;START_MAXIMIZED=FALSE&amp;creator=factset&amp;display_string=Audit"}</definedName>
    <definedName name="_2878__FDSAUDITLINK__" hidden="1">{"fdsup://Directions/FactSet Auditing Viewer?action=AUDIT_VALUE&amp;DB=129&amp;ID1=64118B10&amp;VALUEID=02001&amp;SDATE=200403&amp;PERIODTYPE=QTR_STD&amp;SCFT=3&amp;window=popup_no_bar&amp;width=385&amp;height=120&amp;START_MAXIMIZED=FALSE&amp;creator=factset&amp;display_string=Audit"}</definedName>
    <definedName name="_2879__FDSAUDITLINK__" hidden="1">{"fdsup://Directions/FactSet Auditing Viewer?action=AUDIT_VALUE&amp;DB=129&amp;ID1=57772K10&amp;VALUEID=02001&amp;SDATE=200501&amp;PERIODTYPE=QTR_STD&amp;SCFT=3&amp;window=popup_no_bar&amp;width=385&amp;height=120&amp;START_MAXIMIZED=FALSE&amp;creator=factset&amp;display_string=Audit"}</definedName>
    <definedName name="_288__FDSAUDITLINK__" hidden="1">{"fdsup://Directions/FactSet Auditing Viewer?action=AUDIT_VALUE&amp;DB=129&amp;ID1=03822W40&amp;VALUEID=02001&amp;SDATE=201003&amp;PERIODTYPE=QTR_STD&amp;SCFT=3&amp;window=popup_no_bar&amp;width=385&amp;height=120&amp;START_MAXIMIZED=FALSE&amp;creator=factset&amp;display_string=Audit"}</definedName>
    <definedName name="_2880__FDSAUDITLINK__" hidden="1">{"fdsup://Directions/FactSet Auditing Viewer?action=AUDIT_VALUE&amp;DB=129&amp;ID1=57772K10&amp;VALUEID=02001&amp;SDATE=200501&amp;PERIODTYPE=QTR_STD&amp;SCFT=3&amp;window=popup_no_bar&amp;width=385&amp;height=120&amp;START_MAXIMIZED=FALSE&amp;creator=factset&amp;display_string=Audit"}</definedName>
    <definedName name="_2881__FDSAUDITLINK__" hidden="1">{"fdsup://Directions/FactSet Auditing Viewer?action=AUDIT_VALUE&amp;DB=129&amp;ID1=G5876H10&amp;VALUEID=02001&amp;SDATE=200403&amp;PERIODTYPE=QTR_STD&amp;SCFT=3&amp;window=popup_no_bar&amp;width=385&amp;height=120&amp;START_MAXIMIZED=FALSE&amp;creator=factset&amp;display_string=Audit"}</definedName>
    <definedName name="_2882__FDSAUDITLINK__" hidden="1">{"fdsup://Directions/FactSet Auditing Viewer?action=AUDIT_VALUE&amp;DB=129&amp;ID1=G5876H10&amp;VALUEID=02001&amp;SDATE=200403&amp;PERIODTYPE=QTR_STD&amp;SCFT=3&amp;window=popup_no_bar&amp;width=385&amp;height=120&amp;START_MAXIMIZED=FALSE&amp;creator=factset&amp;display_string=Audit"}</definedName>
    <definedName name="_2883__FDSAUDITLINK__" hidden="1">{"fdsup://Directions/FactSet Auditing Viewer?action=AUDIT_VALUE&amp;DB=129&amp;ID1=62007630&amp;VALUEID=02001&amp;SDATE=200403&amp;PERIODTYPE=QTR_STD&amp;SCFT=3&amp;window=popup_no_bar&amp;width=385&amp;height=120&amp;START_MAXIMIZED=FALSE&amp;creator=factset&amp;display_string=Audit"}</definedName>
    <definedName name="_2884__FDSAUDITLINK__" hidden="1">{"fdsup://Directions/FactSet Auditing Viewer?action=AUDIT_VALUE&amp;DB=129&amp;ID1=62007630&amp;VALUEID=02001&amp;SDATE=200403&amp;PERIODTYPE=QTR_STD&amp;SCFT=3&amp;window=popup_no_bar&amp;width=385&amp;height=120&amp;START_MAXIMIZED=FALSE&amp;creator=factset&amp;display_string=Audit"}</definedName>
    <definedName name="_2885__FDSAUDITLINK__" hidden="1">{"fdsup://Directions/FactSet Auditing Viewer?action=AUDIT_VALUE&amp;DB=129&amp;ID1=60456710&amp;VALUEID=02001&amp;SDATE=200501&amp;PERIODTYPE=QTR_STD&amp;SCFT=3&amp;window=popup_no_bar&amp;width=385&amp;height=120&amp;START_MAXIMIZED=FALSE&amp;creator=factset&amp;display_string=Audit"}</definedName>
    <definedName name="_2886__FDSAUDITLINK__" hidden="1">{"fdsup://Directions/FactSet Auditing Viewer?action=AUDIT_VALUE&amp;DB=129&amp;ID1=60456710&amp;VALUEID=02001&amp;SDATE=200501&amp;PERIODTYPE=QTR_STD&amp;SCFT=3&amp;window=popup_no_bar&amp;width=385&amp;height=120&amp;START_MAXIMIZED=FALSE&amp;creator=factset&amp;display_string=Audit"}</definedName>
    <definedName name="_2887__FDSAUDITLINK__" hidden="1">{"fdsup://Directions/FactSet Auditing Viewer?action=AUDIT_VALUE&amp;DB=129&amp;ID1=59479310&amp;VALUEID=02001&amp;SDATE=200403&amp;PERIODTYPE=QTR_STD&amp;SCFT=3&amp;window=popup_no_bar&amp;width=385&amp;height=120&amp;START_MAXIMIZED=FALSE&amp;creator=factset&amp;display_string=Audit"}</definedName>
    <definedName name="_2888__FDSAUDITLINK__" hidden="1">{"fdsup://Directions/FactSet Auditing Viewer?action=AUDIT_VALUE&amp;DB=129&amp;ID1=59479310&amp;VALUEID=02001&amp;SDATE=200403&amp;PERIODTYPE=QTR_STD&amp;SCFT=3&amp;window=popup_no_bar&amp;width=385&amp;height=120&amp;START_MAXIMIZED=FALSE&amp;creator=factset&amp;display_string=Audit"}</definedName>
    <definedName name="_2889__FDSAUDITLINK__" hidden="1">{"fdsup://Directions/FactSet Auditing Viewer?action=AUDIT_VALUE&amp;DB=129&amp;ID1=59501710&amp;VALUEID=02001&amp;SDATE=200402&amp;PERIODTYPE=QTR_STD&amp;SCFT=3&amp;window=popup_no_bar&amp;width=385&amp;height=120&amp;START_MAXIMIZED=FALSE&amp;creator=factset&amp;display_string=Audit"}</definedName>
    <definedName name="_289__FDSAUDITLINK__" hidden="1">{"fdsup://Directions/FactSet Auditing Viewer?action=AUDIT_VALUE&amp;DB=129&amp;ID1=03822210&amp;VALUEID=02001&amp;SDATE=201101&amp;PERIODTYPE=QTR_STD&amp;SCFT=3&amp;window=popup_no_bar&amp;width=385&amp;height=120&amp;START_MAXIMIZED=FALSE&amp;creator=factset&amp;display_string=Audit"}</definedName>
    <definedName name="_2890__FDSAUDITLINK__" hidden="1">{"fdsup://Directions/FactSet Auditing Viewer?action=AUDIT_VALUE&amp;DB=129&amp;ID1=59501710&amp;VALUEID=02001&amp;SDATE=200402&amp;PERIODTYPE=QTR_STD&amp;SCFT=3&amp;window=popup_no_bar&amp;width=385&amp;height=120&amp;START_MAXIMIZED=FALSE&amp;creator=factset&amp;display_string=Audit"}</definedName>
    <definedName name="_2891__FDSAUDITLINK__" hidden="1">{"fdsup://Directions/FactSet Auditing Viewer?action=AUDIT_VALUE&amp;DB=129&amp;ID1=50216110&amp;VALUEID=02001&amp;SDATE=200403&amp;PERIODTYPE=QTR_STD&amp;SCFT=3&amp;window=popup_no_bar&amp;width=385&amp;height=120&amp;START_MAXIMIZED=FALSE&amp;creator=factset&amp;display_string=Audit"}</definedName>
    <definedName name="_2892__FDSAUDITLINK__" hidden="1">{"fdsup://Directions/FactSet Auditing Viewer?action=AUDIT_VALUE&amp;DB=129&amp;ID1=50216110&amp;VALUEID=02001&amp;SDATE=200403&amp;PERIODTYPE=QTR_STD&amp;SCFT=3&amp;window=popup_no_bar&amp;width=385&amp;height=120&amp;START_MAXIMIZED=FALSE&amp;creator=factset&amp;display_string=Audit"}</definedName>
    <definedName name="_2893__FDSAUDITLINK__" hidden="1">{"fdsup://Directions/FactSet Auditing Viewer?action=AUDIT_VALUE&amp;DB=129&amp;ID1=51841510&amp;VALUEID=02001&amp;SDATE=200403&amp;PERIODTYPE=QTR_STD&amp;SCFT=3&amp;window=popup_no_bar&amp;width=385&amp;height=120&amp;START_MAXIMIZED=FALSE&amp;creator=factset&amp;display_string=Audit"}</definedName>
    <definedName name="_2894__FDSAUDITLINK__" hidden="1">{"fdsup://Directions/FactSet Auditing Viewer?action=AUDIT_VALUE&amp;DB=129&amp;ID1=51841510&amp;VALUEID=02001&amp;SDATE=200403&amp;PERIODTYPE=QTR_STD&amp;SCFT=3&amp;window=popup_no_bar&amp;width=385&amp;height=120&amp;START_MAXIMIZED=FALSE&amp;creator=factset&amp;display_string=Audit"}</definedName>
    <definedName name="_2895__FDSAUDITLINK__" hidden="1">{"fdsup://Directions/FactSet Auditing Viewer?action=AUDIT_VALUE&amp;DB=129&amp;ID1=51280710&amp;VALUEID=02001&amp;SDATE=200501&amp;PERIODTYPE=QTR_STD&amp;SCFT=3&amp;window=popup_no_bar&amp;width=385&amp;height=120&amp;START_MAXIMIZED=FALSE&amp;creator=factset&amp;display_string=Audit"}</definedName>
    <definedName name="_2896__FDSAUDITLINK__" hidden="1">{"fdsup://Directions/FactSet Auditing Viewer?action=AUDIT_VALUE&amp;DB=129&amp;ID1=51280710&amp;VALUEID=02001&amp;SDATE=200501&amp;PERIODTYPE=QTR_STD&amp;SCFT=3&amp;window=popup_no_bar&amp;width=385&amp;height=120&amp;START_MAXIMIZED=FALSE&amp;creator=factset&amp;display_string=Audit"}</definedName>
    <definedName name="_2897__FDSAUDITLINK__" hidden="1">{"fdsup://Directions/FactSet Auditing Viewer?action=AUDIT_VALUE&amp;DB=129&amp;ID1=53567810&amp;VALUEID=02001&amp;SDATE=200501&amp;PERIODTYPE=QTR_STD&amp;SCFT=3&amp;window=popup_no_bar&amp;width=385&amp;height=120&amp;START_MAXIMIZED=FALSE&amp;creator=factset&amp;display_string=Audit"}</definedName>
    <definedName name="_2898__FDSAUDITLINK__" hidden="1">{"fdsup://Directions/FactSet Auditing Viewer?action=AUDIT_VALUE&amp;DB=129&amp;ID1=53567810&amp;VALUEID=02001&amp;SDATE=200501&amp;PERIODTYPE=QTR_STD&amp;SCFT=3&amp;window=popup_no_bar&amp;width=385&amp;height=120&amp;START_MAXIMIZED=FALSE&amp;creator=factset&amp;display_string=Audit"}</definedName>
    <definedName name="_2899__FDSAUDITLINK__" hidden="1">{"fdsup://Directions/FactSet Auditing Viewer?action=AUDIT_VALUE&amp;DB=129&amp;ID1=48248010&amp;VALUEID=02001&amp;SDATE=200501&amp;PERIODTYPE=QTR_STD&amp;SCFT=3&amp;window=popup_no_bar&amp;width=385&amp;height=120&amp;START_MAXIMIZED=FALSE&amp;creator=factset&amp;display_string=Audit"}</definedName>
    <definedName name="_29__FDSAUDITLINK__" hidden="1">{"fdsup://directions/FAT Viewer?action=UPDATE&amp;creator=factset&amp;DYN_ARGS=TRUE&amp;DOC_NAME=FAT:FQL_AUDITING_CLIENT_TEMPLATE.FAT&amp;display_string=Audit&amp;VAR:KEY=OBOZSHUDOF&amp;VAR:QUERY=RkZfU0hTX0ZMT0FUKEFOTiw0MDcyNCk=&amp;WINDOW=FIRST_POPUP&amp;HEIGHT=450&amp;WIDTH=450&amp;START_MAXIMI","ZED=FALSE&amp;VAR:CALENDAR=US&amp;VAR:SYMBOL=LAS VEGAS SANDS&amp;VAR:INDEX=0"}</definedName>
    <definedName name="_290__FDSAUDITLINK__" hidden="1">{"fdsup://Directions/FactSet Auditing Viewer?action=AUDIT_VALUE&amp;DB=129&amp;ID1=03822210&amp;VALUEID=02001&amp;SDATE=201101&amp;PERIODTYPE=QTR_STD&amp;SCFT=3&amp;window=popup_no_bar&amp;width=385&amp;height=120&amp;START_MAXIMIZED=FALSE&amp;creator=factset&amp;display_string=Audit"}</definedName>
    <definedName name="_2900__FDSAUDITLINK__" hidden="1">{"fdsup://Directions/FactSet Auditing Viewer?action=AUDIT_VALUE&amp;DB=129&amp;ID1=48248010&amp;VALUEID=02001&amp;SDATE=200501&amp;PERIODTYPE=QTR_STD&amp;SCFT=3&amp;window=popup_no_bar&amp;width=385&amp;height=120&amp;START_MAXIMIZED=FALSE&amp;creator=factset&amp;display_string=Audit"}</definedName>
    <definedName name="_2901__FDSAUDITLINK__" hidden="1">{"fdsup://Directions/FactSet Auditing Viewer?action=AUDIT_VALUE&amp;DB=129&amp;ID1=48203R10&amp;VALUEID=02001&amp;SDATE=200403&amp;PERIODTYPE=QTR_STD&amp;SCFT=3&amp;window=popup_no_bar&amp;width=385&amp;height=120&amp;START_MAXIMIZED=FALSE&amp;creator=factset&amp;display_string=Audit"}</definedName>
    <definedName name="_2902__FDSAUDITLINK__" hidden="1">{"fdsup://Directions/FactSet Auditing Viewer?action=AUDIT_VALUE&amp;DB=129&amp;ID1=48203R10&amp;VALUEID=02001&amp;SDATE=200403&amp;PERIODTYPE=QTR_STD&amp;SCFT=3&amp;window=popup_no_bar&amp;width=385&amp;height=120&amp;START_MAXIMIZED=FALSE&amp;creator=factset&amp;display_string=Audit"}</definedName>
    <definedName name="_2903__FDSAUDITLINK__" hidden="1">{"fdsup://Directions/FactSet Auditing Viewer?action=AUDIT_VALUE&amp;DB=129&amp;ID1=86681020&amp;VALUEID=02001&amp;SDATE=200501&amp;PERIODTYPE=QTR_STD&amp;SCFT=3&amp;window=popup_no_bar&amp;width=385&amp;height=120&amp;START_MAXIMIZED=FALSE&amp;creator=factset&amp;display_string=Audit"}</definedName>
    <definedName name="_2904__FDSAUDITLINK__" hidden="1">{"fdsup://Directions/FactSet Auditing Viewer?action=AUDIT_VALUE&amp;DB=129&amp;ID1=86681020&amp;VALUEID=02001&amp;SDATE=200501&amp;PERIODTYPE=QTR_STD&amp;SCFT=3&amp;window=popup_no_bar&amp;width=385&amp;height=120&amp;START_MAXIMIZED=FALSE&amp;creator=factset&amp;display_string=Audit"}</definedName>
    <definedName name="_2905__FDSAUDITLINK__" hidden="1">{"fdsup://Directions/FactSet Auditing Viewer?action=AUDIT_VALUE&amp;DB=129&amp;ID1=46069S10&amp;VALUEID=02001&amp;SDATE=200403&amp;PERIODTYPE=QTR_STD&amp;SCFT=3&amp;window=popup_no_bar&amp;width=385&amp;height=120&amp;START_MAXIMIZED=FALSE&amp;creator=factset&amp;display_string=Audit"}</definedName>
    <definedName name="_2906__FDSAUDITLINK__" hidden="1">{"fdsup://Directions/FactSet Auditing Viewer?action=AUDIT_VALUE&amp;DB=129&amp;ID1=46069S10&amp;VALUEID=02001&amp;SDATE=200403&amp;PERIODTYPE=QTR_STD&amp;SCFT=3&amp;window=popup_no_bar&amp;width=385&amp;height=120&amp;START_MAXIMIZED=FALSE&amp;creator=factset&amp;display_string=Audit"}</definedName>
    <definedName name="_2907__FDSAUDITLINK__" hidden="1">{"fdsup://Directions/FactSet Auditing Viewer?action=AUDIT_VALUE&amp;DB=129&amp;ID1=46025410&amp;VALUEID=02001&amp;SDATE=200501&amp;PERIODTYPE=QTR_STD&amp;SCFT=3&amp;window=popup_no_bar&amp;width=385&amp;height=120&amp;START_MAXIMIZED=FALSE&amp;creator=factset&amp;display_string=Audit"}</definedName>
    <definedName name="_2908__FDSAUDITLINK__" hidden="1">{"fdsup://Directions/FactSet Auditing Viewer?action=AUDIT_VALUE&amp;DB=129&amp;ID1=46025410&amp;VALUEID=02001&amp;SDATE=200501&amp;PERIODTYPE=QTR_STD&amp;SCFT=3&amp;window=popup_no_bar&amp;width=385&amp;height=120&amp;START_MAXIMIZED=FALSE&amp;creator=factset&amp;display_string=Audit"}</definedName>
    <definedName name="_2909__FDSAUDITLINK__" hidden="1">{"fdsup://Directions/FactSet Auditing Viewer?action=AUDIT_VALUE&amp;DB=129&amp;ID1=45814010&amp;VALUEID=02001&amp;SDATE=200403&amp;PERIODTYPE=QTR_STD&amp;SCFT=3&amp;window=popup_no_bar&amp;width=385&amp;height=120&amp;START_MAXIMIZED=FALSE&amp;creator=factset&amp;display_string=Audit"}</definedName>
    <definedName name="_291__FDSAUDITLINK__" hidden="1">{"fdsup://Directions/FactSet Auditing Viewer?action=AUDIT_VALUE&amp;DB=129&amp;ID1=02144110&amp;VALUEID=02001&amp;SDATE=201004&amp;PERIODTYPE=QTR_STD&amp;SCFT=3&amp;window=popup_no_bar&amp;width=385&amp;height=120&amp;START_MAXIMIZED=FALSE&amp;creator=factset&amp;display_string=Audit"}</definedName>
    <definedName name="_2910__FDSAUDITLINK__" hidden="1">{"fdsup://Directions/FactSet Auditing Viewer?action=AUDIT_VALUE&amp;DB=129&amp;ID1=45814010&amp;VALUEID=02001&amp;SDATE=200403&amp;PERIODTYPE=QTR_STD&amp;SCFT=3&amp;window=popup_no_bar&amp;width=385&amp;height=120&amp;START_MAXIMIZED=FALSE&amp;creator=factset&amp;display_string=Audit"}</definedName>
    <definedName name="_2911__FDSAUDITLINK__" hidden="1">{"fdsup://Directions/FactSet Auditing Viewer?action=AUDIT_VALUE&amp;DB=129&amp;ID1=45811810&amp;VALUEID=02001&amp;SDATE=200402&amp;PERIODTYPE=QTR_STD&amp;SCFT=3&amp;window=popup_no_bar&amp;width=385&amp;height=120&amp;START_MAXIMIZED=FALSE&amp;creator=factset&amp;display_string=Audit"}</definedName>
    <definedName name="_2912__FDSAUDITLINK__" hidden="1">{"fdsup://Directions/FactSet Auditing Viewer?action=AUDIT_VALUE&amp;DB=129&amp;ID1=45811810&amp;VALUEID=02001&amp;SDATE=200402&amp;PERIODTYPE=QTR_STD&amp;SCFT=3&amp;window=popup_no_bar&amp;width=385&amp;height=120&amp;START_MAXIMIZED=FALSE&amp;creator=factset&amp;display_string=Audit"}</definedName>
    <definedName name="_2913__FDSAUDITLINK__" hidden="1">{"fdsup://Directions/FactSet Auditing Viewer?action=AUDIT_VALUE&amp;DB=129&amp;ID1=34637510&amp;VALUEID=02001&amp;SDATE=200403&amp;PERIODTYPE=QTR_STD&amp;SCFT=3&amp;window=popup_no_bar&amp;width=385&amp;height=120&amp;START_MAXIMIZED=FALSE&amp;creator=factset&amp;display_string=Audit"}</definedName>
    <definedName name="_2914__FDSAUDITLINK__" hidden="1">{"fdsup://Directions/FactSet Auditing Viewer?action=AUDIT_VALUE&amp;DB=129&amp;ID1=34637510&amp;VALUEID=02001&amp;SDATE=200403&amp;PERIODTYPE=QTR_STD&amp;SCFT=3&amp;window=popup_no_bar&amp;width=385&amp;height=120&amp;START_MAXIMIZED=FALSE&amp;creator=factset&amp;display_string=Audit"}</definedName>
    <definedName name="_2915__FDSAUDITLINK__" hidden="1">{"fdsup://Directions/FactSet Auditing Viewer?action=AUDIT_VALUE&amp;DB=129&amp;ID1=29247520&amp;VALUEID=02001&amp;SDATE=200501&amp;PERIODTYPE=QTR_STD&amp;SCFT=3&amp;window=popup_no_bar&amp;width=385&amp;height=120&amp;START_MAXIMIZED=FALSE&amp;creator=factset&amp;display_string=Audit"}</definedName>
    <definedName name="_2916__FDSAUDITLINK__" hidden="1">{"fdsup://Directions/FactSet Auditing Viewer?action=AUDIT_VALUE&amp;DB=129&amp;ID1=29247520&amp;VALUEID=02001&amp;SDATE=200501&amp;PERIODTYPE=QTR_STD&amp;SCFT=3&amp;window=popup_no_bar&amp;width=385&amp;height=120&amp;START_MAXIMIZED=FALSE&amp;creator=factset&amp;display_string=Audit"}</definedName>
    <definedName name="_2917__FDSAUDITLINK__" hidden="1">{"fdsup://Directions/FactSet Auditing Viewer?action=AUDIT_VALUE&amp;DB=129&amp;ID1=25454310&amp;VALUEID=02001&amp;SDATE=200403&amp;PERIODTYPE=QTR_STD&amp;SCFT=3&amp;window=popup_no_bar&amp;width=385&amp;height=120&amp;START_MAXIMIZED=FALSE&amp;creator=factset&amp;display_string=Audit"}</definedName>
    <definedName name="_2918__FDSAUDITLINK__" hidden="1">{"fdsup://Directions/FactSet Auditing Viewer?action=AUDIT_VALUE&amp;DB=129&amp;ID1=25454310&amp;VALUEID=02001&amp;SDATE=200403&amp;PERIODTYPE=QTR_STD&amp;SCFT=3&amp;window=popup_no_bar&amp;width=385&amp;height=120&amp;START_MAXIMIZED=FALSE&amp;creator=factset&amp;display_string=Audit"}</definedName>
    <definedName name="_2919__FDSAUDITLINK__" hidden="1">{"fdsup://Directions/FactSet Auditing Viewer?action=AUDIT_VALUE&amp;DB=129&amp;ID1=23257210&amp;VALUEID=02001&amp;SDATE=200403&amp;PERIODTYPE=QTR_STD&amp;SCFT=3&amp;window=popup_no_bar&amp;width=385&amp;height=120&amp;START_MAXIMIZED=FALSE&amp;creator=factset&amp;display_string=Audit"}</definedName>
    <definedName name="_292__FDSAUDITLINK__" hidden="1">{"fdsup://Directions/FactSet Auditing Viewer?action=AUDIT_VALUE&amp;DB=129&amp;ID1=02144110&amp;VALUEID=02001&amp;SDATE=201004&amp;PERIODTYPE=QTR_STD&amp;SCFT=3&amp;window=popup_no_bar&amp;width=385&amp;height=120&amp;START_MAXIMIZED=FALSE&amp;creator=factset&amp;display_string=Audit"}</definedName>
    <definedName name="_2920__FDSAUDITLINK__" hidden="1">{"fdsup://Directions/FactSet Auditing Viewer?action=AUDIT_VALUE&amp;DB=129&amp;ID1=23257210&amp;VALUEID=02001&amp;SDATE=200403&amp;PERIODTYPE=QTR_STD&amp;SCFT=3&amp;window=popup_no_bar&amp;width=385&amp;height=120&amp;START_MAXIMIZED=FALSE&amp;creator=factset&amp;display_string=Audit"}</definedName>
    <definedName name="_2921__FDSAUDITLINK__" hidden="1">{"fdsup://Directions/FactSet Auditing Viewer?action=AUDIT_VALUE&amp;DB=129&amp;ID1=23280610&amp;VALUEID=02001&amp;SDATE=200403&amp;PERIODTYPE=QTR_STD&amp;SCFT=3&amp;window=popup_no_bar&amp;width=385&amp;height=120&amp;START_MAXIMIZED=FALSE&amp;creator=factset&amp;display_string=Audit"}</definedName>
    <definedName name="_2922__FDSAUDITLINK__" hidden="1">{"fdsup://Directions/FactSet Auditing Viewer?action=AUDIT_VALUE&amp;DB=129&amp;ID1=23280610&amp;VALUEID=02001&amp;SDATE=200403&amp;PERIODTYPE=QTR_STD&amp;SCFT=3&amp;window=popup_no_bar&amp;width=385&amp;height=120&amp;START_MAXIMIZED=FALSE&amp;creator=factset&amp;display_string=Audit"}</definedName>
    <definedName name="_2923__FDSAUDITLINK__" hidden="1">{"fdsup://Directions/FactSet Auditing Viewer?action=AUDIT_VALUE&amp;DB=129&amp;ID1=17275R10&amp;VALUEID=02001&amp;SDATE=200501&amp;PERIODTYPE=QTR_STD&amp;SCFT=3&amp;window=popup_no_bar&amp;width=385&amp;height=120&amp;START_MAXIMIZED=FALSE&amp;creator=factset&amp;display_string=Audit"}</definedName>
    <definedName name="_2924__FDSAUDITLINK__" hidden="1">{"fdsup://Directions/FactSet Auditing Viewer?action=AUDIT_VALUE&amp;DB=129&amp;ID1=17275R10&amp;VALUEID=02001&amp;SDATE=200501&amp;PERIODTYPE=QTR_STD&amp;SCFT=3&amp;window=popup_no_bar&amp;width=385&amp;height=120&amp;START_MAXIMIZED=FALSE&amp;creator=factset&amp;display_string=Audit"}</definedName>
    <definedName name="_2925__FDSAUDITLINK__" hidden="1">{"fdsup://Directions/FactSet Auditing Viewer?action=AUDIT_VALUE&amp;DB=129&amp;ID1=22544710&amp;VALUEID=02001&amp;SDATE=200501&amp;PERIODTYPE=QTR_STD&amp;SCFT=3&amp;window=popup_no_bar&amp;width=385&amp;height=120&amp;START_MAXIMIZED=FALSE&amp;creator=factset&amp;display_string=Audit"}</definedName>
    <definedName name="_2926__FDSAUDITLINK__" hidden="1">{"fdsup://Directions/FactSet Auditing Viewer?action=AUDIT_VALUE&amp;DB=129&amp;ID1=22544710&amp;VALUEID=02001&amp;SDATE=200501&amp;PERIODTYPE=QTR_STD&amp;SCFT=3&amp;window=popup_no_bar&amp;width=385&amp;height=120&amp;START_MAXIMIZED=FALSE&amp;creator=factset&amp;display_string=Audit"}</definedName>
    <definedName name="_2927__FDSAUDITLINK__" hidden="1">{"fdsup://Directions/FactSet Auditing Viewer?action=AUDIT_VALUE&amp;DB=129&amp;ID1=12738710&amp;VALUEID=02001&amp;SDATE=200403&amp;PERIODTYPE=QTR_STD&amp;SCFT=3&amp;window=popup_no_bar&amp;width=385&amp;height=120&amp;START_MAXIMIZED=FALSE&amp;creator=factset&amp;display_string=Audit"}</definedName>
    <definedName name="_2928__FDSAUDITLINK__" hidden="1">{"fdsup://Directions/FactSet Auditing Viewer?action=AUDIT_VALUE&amp;DB=129&amp;ID1=12738710&amp;VALUEID=02001&amp;SDATE=200403&amp;PERIODTYPE=QTR_STD&amp;SCFT=3&amp;window=popup_no_bar&amp;width=385&amp;height=120&amp;START_MAXIMIZED=FALSE&amp;creator=factset&amp;display_string=Audit"}</definedName>
    <definedName name="_2929__FDSAUDITLINK__" hidden="1">{"fdsup://Directions/FactSet Auditing Viewer?action=AUDIT_VALUE&amp;DB=129&amp;ID1=04743P10&amp;VALUEID=02001&amp;SDATE=200403&amp;PERIODTYPE=QTR_STD&amp;SCFT=3&amp;window=popup_no_bar&amp;width=385&amp;height=120&amp;START_MAXIMIZED=FALSE&amp;creator=factset&amp;display_string=Audit"}</definedName>
    <definedName name="_293__FDSAUDITLINK__" hidden="1">{"fdsup://Directions/FactSet Auditing Viewer?action=AUDIT_VALUE&amp;DB=129&amp;ID1=03265410&amp;VALUEID=02001&amp;SDATE=201101&amp;PERIODTYPE=QTR_STD&amp;SCFT=3&amp;window=popup_no_bar&amp;width=385&amp;height=120&amp;START_MAXIMIZED=FALSE&amp;creator=factset&amp;display_string=Audit"}</definedName>
    <definedName name="_2930__FDSAUDITLINK__" hidden="1">{"fdsup://Directions/FactSet Auditing Viewer?action=AUDIT_VALUE&amp;DB=129&amp;ID1=04743P10&amp;VALUEID=02001&amp;SDATE=200403&amp;PERIODTYPE=QTR_STD&amp;SCFT=3&amp;window=popup_no_bar&amp;width=385&amp;height=120&amp;START_MAXIMIZED=FALSE&amp;creator=factset&amp;display_string=Audit"}</definedName>
    <definedName name="_2931__FDSAUDITLINK__" hidden="1">{"fdsup://Directions/FactSet Auditing Viewer?action=AUDIT_VALUE&amp;DB=129&amp;ID1=00790310&amp;VALUEID=02001&amp;SDATE=200403&amp;PERIODTYPE=QTR_STD&amp;SCFT=3&amp;window=popup_no_bar&amp;width=385&amp;height=120&amp;START_MAXIMIZED=FALSE&amp;creator=factset&amp;display_string=Audit"}</definedName>
    <definedName name="_2932__FDSAUDITLINK__" hidden="1">{"fdsup://Directions/FactSet Auditing Viewer?action=AUDIT_VALUE&amp;DB=129&amp;ID1=00790310&amp;VALUEID=02001&amp;SDATE=200403&amp;PERIODTYPE=QTR_STD&amp;SCFT=3&amp;window=popup_no_bar&amp;width=385&amp;height=120&amp;START_MAXIMIZED=FALSE&amp;creator=factset&amp;display_string=Audit"}</definedName>
    <definedName name="_2933__FDSAUDITLINK__" hidden="1">{"fdsup://Directions/FactSet Auditing Viewer?action=AUDIT_VALUE&amp;DB=129&amp;ID1=03822W40&amp;VALUEID=02001&amp;SDATE=200402&amp;PERIODTYPE=QTR_STD&amp;SCFT=3&amp;window=popup_no_bar&amp;width=385&amp;height=120&amp;START_MAXIMIZED=FALSE&amp;creator=factset&amp;display_string=Audit"}</definedName>
    <definedName name="_2934__FDSAUDITLINK__" hidden="1">{"fdsup://Directions/FactSet Auditing Viewer?action=AUDIT_VALUE&amp;DB=129&amp;ID1=03822W40&amp;VALUEID=02001&amp;SDATE=200402&amp;PERIODTYPE=QTR_STD&amp;SCFT=3&amp;window=popup_no_bar&amp;width=385&amp;height=120&amp;START_MAXIMIZED=FALSE&amp;creator=factset&amp;display_string=Audit"}</definedName>
    <definedName name="_2935__FDSAUDITLINK__" hidden="1">{"fdsup://Directions/FactSet Auditing Viewer?action=AUDIT_VALUE&amp;DB=129&amp;ID1=02144110&amp;VALUEID=02001&amp;SDATE=200403&amp;PERIODTYPE=QTR_STD&amp;SCFT=3&amp;window=popup_no_bar&amp;width=385&amp;height=120&amp;START_MAXIMIZED=FALSE&amp;creator=factset&amp;display_string=Audit"}</definedName>
    <definedName name="_2936__FDSAUDITLINK__" hidden="1">{"fdsup://Directions/FactSet Auditing Viewer?action=AUDIT_VALUE&amp;DB=129&amp;ID1=02144110&amp;VALUEID=02001&amp;SDATE=200403&amp;PERIODTYPE=QTR_STD&amp;SCFT=3&amp;window=popup_no_bar&amp;width=385&amp;height=120&amp;START_MAXIMIZED=FALSE&amp;creator=factset&amp;display_string=Audit"}</definedName>
    <definedName name="_2937__FDSAUDITLINK__" hidden="1">{"fdsup://Directions/FactSet Auditing Viewer?action=AUDIT_VALUE&amp;DB=129&amp;ID1=98975F10&amp;VALUEID=02001&amp;SDATE=200402&amp;PERIODTYPE=QTR_STD&amp;SCFT=3&amp;window=popup_no_bar&amp;width=385&amp;height=120&amp;START_MAXIMIZED=FALSE&amp;creator=factset&amp;display_string=Audit"}</definedName>
    <definedName name="_2938__FDSAUDITLINK__" hidden="1">{"fdsup://Directions/FactSet Auditing Viewer?action=AUDIT_VALUE&amp;DB=129&amp;ID1=98975F10&amp;VALUEID=02001&amp;SDATE=200402&amp;PERIODTYPE=QTR_STD&amp;SCFT=3&amp;window=popup_no_bar&amp;width=385&amp;height=120&amp;START_MAXIMIZED=FALSE&amp;creator=factset&amp;display_string=Audit"}</definedName>
    <definedName name="_2939__FDSAUDITLINK__" hidden="1">{"fdsup://Directions/FactSet Auditing Viewer?action=AUDIT_VALUE&amp;DB=129&amp;ID1=98391910&amp;VALUEID=02001&amp;SDATE=200401&amp;PERIODTYPE=QTR_STD&amp;SCFT=3&amp;window=popup_no_bar&amp;width=385&amp;height=120&amp;START_MAXIMIZED=FALSE&amp;creator=factset&amp;display_string=Audit"}</definedName>
    <definedName name="_294__FDSAUDITLINK__" hidden="1">{"fdsup://Directions/FactSet Auditing Viewer?action=AUDIT_VALUE&amp;DB=129&amp;ID1=03265410&amp;VALUEID=02001&amp;SDATE=201101&amp;PERIODTYPE=QTR_STD&amp;SCFT=3&amp;window=popup_no_bar&amp;width=385&amp;height=120&amp;START_MAXIMIZED=FALSE&amp;creator=factset&amp;display_string=Audit"}</definedName>
    <definedName name="_2940__FDSAUDITLINK__" hidden="1">{"fdsup://Directions/FactSet Auditing Viewer?action=AUDIT_VALUE&amp;DB=129&amp;ID1=98391910&amp;VALUEID=02001&amp;SDATE=200401&amp;PERIODTYPE=QTR_STD&amp;SCFT=3&amp;window=popup_no_bar&amp;width=385&amp;height=120&amp;START_MAXIMIZED=FALSE&amp;creator=factset&amp;display_string=Audit"}</definedName>
    <definedName name="_2941__FDSAUDITLINK__" hidden="1">{"fdsup://Directions/FactSet Auditing Viewer?action=AUDIT_VALUE&amp;DB=129&amp;ID1=92849730&amp;VALUEID=02001&amp;SDATE=200403&amp;PERIODTYPE=QTR_STD&amp;SCFT=3&amp;window=popup_no_bar&amp;width=385&amp;height=120&amp;START_MAXIMIZED=FALSE&amp;creator=factset&amp;display_string=Audit"}</definedName>
    <definedName name="_2942__FDSAUDITLINK__" hidden="1">{"fdsup://Directions/FactSet Auditing Viewer?action=AUDIT_VALUE&amp;DB=129&amp;ID1=92849730&amp;VALUEID=02001&amp;SDATE=200403&amp;PERIODTYPE=QTR_STD&amp;SCFT=3&amp;window=popup_no_bar&amp;width=385&amp;height=120&amp;START_MAXIMIZED=FALSE&amp;creator=factset&amp;display_string=Audit"}</definedName>
    <definedName name="_2943__FDSAUDITLINK__" hidden="1">{"fdsup://Directions/FactSet Auditing Viewer?action=AUDIT_VALUE&amp;DB=129&amp;ID1=88250810&amp;VALUEID=02001&amp;SDATE=200402&amp;PERIODTYPE=QTR_STD&amp;SCFT=3&amp;window=popup_no_bar&amp;width=385&amp;height=120&amp;START_MAXIMIZED=FALSE&amp;creator=factset&amp;display_string=Audit"}</definedName>
    <definedName name="_2944__FDSAUDITLINK__" hidden="1">{"fdsup://Directions/FactSet Auditing Viewer?action=AUDIT_VALUE&amp;DB=129&amp;ID1=88250810&amp;VALUEID=02001&amp;SDATE=200402&amp;PERIODTYPE=QTR_STD&amp;SCFT=3&amp;window=popup_no_bar&amp;width=385&amp;height=120&amp;START_MAXIMIZED=FALSE&amp;creator=factset&amp;display_string=Audit"}</definedName>
    <definedName name="_2945__FDSAUDITLINK__" hidden="1">{"fdsup://Directions/FactSet Auditing Viewer?action=AUDIT_VALUE&amp;DB=129&amp;ID1=89674K10&amp;VALUEID=02001&amp;SDATE=200402&amp;PERIODTYPE=QTR_STD&amp;SCFT=3&amp;window=popup_no_bar&amp;width=385&amp;height=120&amp;START_MAXIMIZED=FALSE&amp;creator=factset&amp;display_string=Audit"}</definedName>
    <definedName name="_2946__FDSAUDITLINK__" hidden="1">{"fdsup://Directions/FactSet Auditing Viewer?action=AUDIT_VALUE&amp;DB=129&amp;ID1=89674K10&amp;VALUEID=02001&amp;SDATE=200402&amp;PERIODTYPE=QTR_STD&amp;SCFT=3&amp;window=popup_no_bar&amp;width=385&amp;height=120&amp;START_MAXIMIZED=FALSE&amp;creator=factset&amp;display_string=Audit"}</definedName>
    <definedName name="_2947__FDSAUDITLINK__" hidden="1">{"fdsup://Directions/FactSet Auditing Viewer?action=AUDIT_VALUE&amp;DB=129&amp;ID1=83088M10&amp;VALUEID=02001&amp;SDATE=200403&amp;PERIODTYPE=QTR_STD&amp;SCFT=3&amp;window=popup_no_bar&amp;width=385&amp;height=120&amp;START_MAXIMIZED=FALSE&amp;creator=factset&amp;display_string=Audit"}</definedName>
    <definedName name="_2948__FDSAUDITLINK__" hidden="1">{"fdsup://Directions/FactSet Auditing Viewer?action=AUDIT_VALUE&amp;DB=129&amp;ID1=83088M10&amp;VALUEID=02001&amp;SDATE=200403&amp;PERIODTYPE=QTR_STD&amp;SCFT=3&amp;window=popup_no_bar&amp;width=385&amp;height=120&amp;START_MAXIMIZED=FALSE&amp;creator=factset&amp;display_string=Audit"}</definedName>
    <definedName name="_2949__FDSAUDITLINK__" hidden="1">{"fdsup://Directions/FactSet Auditing Viewer?action=AUDIT_VALUE&amp;DB=129&amp;ID1=78477410&amp;VALUEID=02001&amp;SDATE=200402&amp;PERIODTYPE=QTR_STD&amp;SCFT=3&amp;window=popup_no_bar&amp;width=385&amp;height=120&amp;START_MAXIMIZED=FALSE&amp;creator=factset&amp;display_string=Audit"}</definedName>
    <definedName name="_295__FDSAUDITLINK__" hidden="1">{"fdsup://Directions/FactSet Auditing Viewer?action=AUDIT_VALUE&amp;DB=129&amp;ID1=00752J10&amp;VALUEID=02001&amp;SDATE=201004&amp;PERIODTYPE=QTR_STD&amp;SCFT=3&amp;window=popup_no_bar&amp;width=385&amp;height=120&amp;START_MAXIMIZED=FALSE&amp;creator=factset&amp;display_string=Audit"}</definedName>
    <definedName name="_2950__FDSAUDITLINK__" hidden="1">{"fdsup://Directions/FactSet Auditing Viewer?action=AUDIT_VALUE&amp;DB=129&amp;ID1=78477410&amp;VALUEID=02001&amp;SDATE=200402&amp;PERIODTYPE=QTR_STD&amp;SCFT=3&amp;window=popup_no_bar&amp;width=385&amp;height=120&amp;START_MAXIMIZED=FALSE&amp;creator=factset&amp;display_string=Audit"}</definedName>
    <definedName name="_2951__FDSAUDITLINK__" hidden="1">{"fdsup://Directions/FactSet Auditing Viewer?action=AUDIT_VALUE&amp;DB=129&amp;ID1=83547010&amp;VALUEID=02001&amp;SDATE=200402&amp;PERIODTYPE=QTR_STD&amp;SCFT=3&amp;window=popup_no_bar&amp;width=385&amp;height=120&amp;START_MAXIMIZED=FALSE&amp;creator=factset&amp;display_string=Audit"}</definedName>
    <definedName name="_2952__FDSAUDITLINK__" hidden="1">{"fdsup://Directions/FactSet Auditing Viewer?action=AUDIT_VALUE&amp;DB=129&amp;ID1=83547010&amp;VALUEID=02001&amp;SDATE=200402&amp;PERIODTYPE=QTR_STD&amp;SCFT=3&amp;window=popup_no_bar&amp;width=385&amp;height=120&amp;START_MAXIMIZED=FALSE&amp;creator=factset&amp;display_string=Audit"}</definedName>
    <definedName name="_2953__FDSAUDITLINK__" hidden="1">{"fdsup://Directions/FactSet Auditing Viewer?action=AUDIT_VALUE&amp;DB=129&amp;ID1=87160710&amp;VALUEID=02001&amp;SDATE=200403&amp;PERIODTYPE=QTR_STD&amp;SCFT=3&amp;window=popup_no_bar&amp;width=385&amp;height=120&amp;START_MAXIMIZED=FALSE&amp;creator=factset&amp;display_string=Audit"}</definedName>
    <definedName name="_2954__FDSAUDITLINK__" hidden="1">{"fdsup://Directions/FactSet Auditing Viewer?action=AUDIT_VALUE&amp;DB=129&amp;ID1=87160710&amp;VALUEID=02001&amp;SDATE=200403&amp;PERIODTYPE=QTR_STD&amp;SCFT=3&amp;window=popup_no_bar&amp;width=385&amp;height=120&amp;START_MAXIMIZED=FALSE&amp;creator=factset&amp;display_string=Audit"}</definedName>
    <definedName name="_2955__FDSAUDITLINK__" hidden="1">{"fdsup://Directions/FactSet Auditing Viewer?action=AUDIT_VALUE&amp;DB=129&amp;ID1=80004C10&amp;VALUEID=02001&amp;SDATE=200402&amp;PERIODTYPE=QTR_STD&amp;SCFT=3&amp;window=popup_no_bar&amp;width=385&amp;height=120&amp;START_MAXIMIZED=FALSE&amp;creator=factset&amp;display_string=Audit"}</definedName>
    <definedName name="_2956__FDSAUDITLINK__" hidden="1">{"fdsup://Directions/FactSet Auditing Viewer?action=AUDIT_VALUE&amp;DB=129&amp;ID1=80004C10&amp;VALUEID=02001&amp;SDATE=200402&amp;PERIODTYPE=QTR_STD&amp;SCFT=3&amp;window=popup_no_bar&amp;width=385&amp;height=120&amp;START_MAXIMIZED=FALSE&amp;creator=factset&amp;display_string=Audit"}</definedName>
    <definedName name="_2957__FDSAUDITLINK__" hidden="1">{"fdsup://Directions/FactSet Auditing Viewer?action=AUDIT_VALUE&amp;DB=129&amp;ID1=81685010&amp;VALUEID=02001&amp;SDATE=200402&amp;PERIODTYPE=QTR_STD&amp;SCFT=3&amp;window=popup_no_bar&amp;width=385&amp;height=120&amp;START_MAXIMIZED=FALSE&amp;creator=factset&amp;display_string=Audit"}</definedName>
    <definedName name="_2958__FDSAUDITLINK__" hidden="1">{"fdsup://Directions/FactSet Auditing Viewer?action=AUDIT_VALUE&amp;DB=129&amp;ID1=81685010&amp;VALUEID=02001&amp;SDATE=200402&amp;PERIODTYPE=QTR_STD&amp;SCFT=3&amp;window=popup_no_bar&amp;width=385&amp;height=120&amp;START_MAXIMIZED=FALSE&amp;creator=factset&amp;display_string=Audit"}</definedName>
    <definedName name="_2959__FDSAUDITLINK__" hidden="1">{"fdsup://Directions/FactSet Auditing Viewer?action=AUDIT_VALUE&amp;DB=129&amp;ID1=82691910&amp;VALUEID=02001&amp;SDATE=200402&amp;PERIODTYPE=QTR_STD&amp;SCFT=3&amp;window=popup_no_bar&amp;width=385&amp;height=120&amp;START_MAXIMIZED=FALSE&amp;creator=factset&amp;display_string=Audit"}</definedName>
    <definedName name="_296__FDSAUDITLINK__" hidden="1">{"fdsup://Directions/FactSet Auditing Viewer?action=AUDIT_VALUE&amp;DB=129&amp;ID1=00752J10&amp;VALUEID=02001&amp;SDATE=201004&amp;PERIODTYPE=QTR_STD&amp;SCFT=3&amp;window=popup_no_bar&amp;width=385&amp;height=120&amp;START_MAXIMIZED=FALSE&amp;creator=factset&amp;display_string=Audit"}</definedName>
    <definedName name="_2960__FDSAUDITLINK__" hidden="1">{"fdsup://Directions/FactSet Auditing Viewer?action=AUDIT_VALUE&amp;DB=129&amp;ID1=82691910&amp;VALUEID=02001&amp;SDATE=200402&amp;PERIODTYPE=QTR_STD&amp;SCFT=3&amp;window=popup_no_bar&amp;width=385&amp;height=120&amp;START_MAXIMIZED=FALSE&amp;creator=factset&amp;display_string=Audit"}</definedName>
    <definedName name="_2961__FDSAUDITLINK__" hidden="1">{"fdsup://Directions/FactSet Auditing Viewer?action=AUDIT_VALUE&amp;DB=129&amp;ID1=82705T10&amp;VALUEID=02001&amp;SDATE=200402&amp;PERIODTYPE=QTR_STD&amp;SCFT=3&amp;window=popup_no_bar&amp;width=385&amp;height=120&amp;START_MAXIMIZED=FALSE&amp;creator=factset&amp;display_string=Audit"}</definedName>
    <definedName name="_2962__FDSAUDITLINK__" hidden="1">{"fdsup://Directions/FactSet Auditing Viewer?action=AUDIT_VALUE&amp;DB=129&amp;ID1=82705T10&amp;VALUEID=02001&amp;SDATE=200402&amp;PERIODTYPE=QTR_STD&amp;SCFT=3&amp;window=popup_no_bar&amp;width=385&amp;height=120&amp;START_MAXIMIZED=FALSE&amp;creator=factset&amp;display_string=Audit"}</definedName>
    <definedName name="_2963__FDSAUDITLINK__" hidden="1">{"fdsup://Directions/FactSet Auditing Viewer?action=AUDIT_VALUE&amp;DB=129&amp;ID1=75091710&amp;VALUEID=02001&amp;SDATE=200402&amp;PERIODTYPE=QTR_STD&amp;SCFT=3&amp;window=popup_no_bar&amp;width=385&amp;height=120&amp;START_MAXIMIZED=FALSE&amp;creator=factset&amp;display_string=Audit"}</definedName>
    <definedName name="_2964__FDSAUDITLINK__" hidden="1">{"fdsup://Directions/FactSet Auditing Viewer?action=AUDIT_VALUE&amp;DB=129&amp;ID1=75091710&amp;VALUEID=02001&amp;SDATE=200402&amp;PERIODTYPE=QTR_STD&amp;SCFT=3&amp;window=popup_no_bar&amp;width=385&amp;height=120&amp;START_MAXIMIZED=FALSE&amp;creator=factset&amp;display_string=Audit"}</definedName>
    <definedName name="_2965__FDSAUDITLINK__" hidden="1">{"fdsup://Directions/FactSet Auditing Viewer?action=AUDIT_VALUE&amp;DB=129&amp;ID1=74994110&amp;VALUEID=02001&amp;SDATE=200401&amp;PERIODTYPE=QTR_STD&amp;SCFT=3&amp;window=popup_no_bar&amp;width=385&amp;height=120&amp;START_MAXIMIZED=FALSE&amp;creator=factset&amp;display_string=Audit"}</definedName>
    <definedName name="_2966__FDSAUDITLINK__" hidden="1">{"fdsup://Directions/FactSet Auditing Viewer?action=AUDIT_VALUE&amp;DB=129&amp;ID1=74994110&amp;VALUEID=02001&amp;SDATE=200401&amp;PERIODTYPE=QTR_STD&amp;SCFT=3&amp;window=popup_no_bar&amp;width=385&amp;height=120&amp;START_MAXIMIZED=FALSE&amp;creator=factset&amp;display_string=Audit"}</definedName>
    <definedName name="_2967__FDSAUDITLINK__" hidden="1">{"fdsup://Directions/FactSet Auditing Viewer?action=AUDIT_VALUE&amp;DB=129&amp;ID1=74727710&amp;VALUEID=02001&amp;SDATE=200401&amp;PERIODTYPE=QTR_STD&amp;SCFT=3&amp;window=popup_no_bar&amp;width=385&amp;height=120&amp;START_MAXIMIZED=FALSE&amp;creator=factset&amp;display_string=Audit"}</definedName>
    <definedName name="_2968__FDSAUDITLINK__" hidden="1">{"fdsup://Directions/FactSet Auditing Viewer?action=AUDIT_VALUE&amp;DB=129&amp;ID1=74727710&amp;VALUEID=02001&amp;SDATE=200401&amp;PERIODTYPE=QTR_STD&amp;SCFT=3&amp;window=popup_no_bar&amp;width=385&amp;height=120&amp;START_MAXIMIZED=FALSE&amp;creator=factset&amp;display_string=Audit"}</definedName>
    <definedName name="_2969__FDSAUDITLINK__" hidden="1">{"fdsup://Directions/FactSet Auditing Viewer?action=AUDIT_VALUE&amp;DB=129&amp;ID1=74752510&amp;VALUEID=02001&amp;SDATE=200403&amp;PERIODTYPE=QTR_STD&amp;SCFT=3&amp;window=popup_no_bar&amp;width=385&amp;height=120&amp;START_MAXIMIZED=FALSE&amp;creator=factset&amp;display_string=Audit"}</definedName>
    <definedName name="_297__FDSAUDITLINK__" hidden="1">{"fdsup://Directions/FactSet Auditing Viewer?action=AUDIT_VALUE&amp;DB=129&amp;ID1=98975F10&amp;VALUEID=02001&amp;SDATE=201003&amp;PERIODTYPE=QTR_STD&amp;SCFT=3&amp;window=popup_no_bar&amp;width=385&amp;height=120&amp;START_MAXIMIZED=FALSE&amp;creator=factset&amp;display_string=Audit"}</definedName>
    <definedName name="_2970__FDSAUDITLINK__" hidden="1">{"fdsup://Directions/FactSet Auditing Viewer?action=AUDIT_VALUE&amp;DB=129&amp;ID1=74752510&amp;VALUEID=02001&amp;SDATE=200403&amp;PERIODTYPE=QTR_STD&amp;SCFT=3&amp;window=popup_no_bar&amp;width=385&amp;height=120&amp;START_MAXIMIZED=FALSE&amp;creator=factset&amp;display_string=Audit"}</definedName>
    <definedName name="_2971__FDSAUDITLINK__" hidden="1">{"fdsup://Directions/FactSet Auditing Viewer?action=AUDIT_VALUE&amp;DB=129&amp;ID1=72581M30&amp;VALUEID=02001&amp;SDATE=200402&amp;PERIODTYPE=QTR_STD&amp;SCFT=3&amp;window=popup_no_bar&amp;width=385&amp;height=120&amp;START_MAXIMIZED=FALSE&amp;creator=factset&amp;display_string=Audit"}</definedName>
    <definedName name="_2972__FDSAUDITLINK__" hidden="1">{"fdsup://Directions/FactSet Auditing Viewer?action=AUDIT_VALUE&amp;DB=129&amp;ID1=72581M30&amp;VALUEID=02001&amp;SDATE=200402&amp;PERIODTYPE=QTR_STD&amp;SCFT=3&amp;window=popup_no_bar&amp;width=385&amp;height=120&amp;START_MAXIMIZED=FALSE&amp;creator=factset&amp;display_string=Audit"}</definedName>
    <definedName name="_2973__FDSAUDITLINK__" hidden="1">{"fdsup://Directions/FactSet Auditing Viewer?action=AUDIT_VALUE&amp;DB=129&amp;ID1=73927610&amp;VALUEID=02001&amp;SDATE=200402&amp;PERIODTYPE=QTR_STD&amp;SCFT=3&amp;window=popup_no_bar&amp;width=385&amp;height=120&amp;START_MAXIMIZED=FALSE&amp;creator=factset&amp;display_string=Audit"}</definedName>
    <definedName name="_2974__FDSAUDITLINK__" hidden="1">{"fdsup://Directions/FactSet Auditing Viewer?action=AUDIT_VALUE&amp;DB=129&amp;ID1=73927610&amp;VALUEID=02001&amp;SDATE=200402&amp;PERIODTYPE=QTR_STD&amp;SCFT=3&amp;window=popup_no_bar&amp;width=385&amp;height=120&amp;START_MAXIMIZED=FALSE&amp;creator=factset&amp;display_string=Audit"}</definedName>
    <definedName name="_2975__FDSAUDITLINK__" hidden="1">{"fdsup://Directions/FactSet Auditing Viewer?action=AUDIT_VALUE&amp;DB=129&amp;ID1=69344F10&amp;VALUEID=02001&amp;SDATE=200402&amp;PERIODTYPE=QTR_STD&amp;SCFT=3&amp;window=popup_no_bar&amp;width=385&amp;height=120&amp;START_MAXIMIZED=FALSE&amp;creator=factset&amp;display_string=Audit"}</definedName>
    <definedName name="_2976__FDSAUDITLINK__" hidden="1">{"fdsup://Directions/FactSet Auditing Viewer?action=AUDIT_VALUE&amp;DB=129&amp;ID1=69344F10&amp;VALUEID=02001&amp;SDATE=200402&amp;PERIODTYPE=QTR_STD&amp;SCFT=3&amp;window=popup_no_bar&amp;width=385&amp;height=120&amp;START_MAXIMIZED=FALSE&amp;creator=factset&amp;display_string=Audit"}</definedName>
    <definedName name="_2977__FDSAUDITLINK__" hidden="1">{"fdsup://Directions/FactSet Auditing Viewer?action=AUDIT_VALUE&amp;DB=129&amp;ID1=69341710&amp;VALUEID=02001&amp;SDATE=200402&amp;PERIODTYPE=QTR_STD&amp;SCFT=3&amp;window=popup_no_bar&amp;width=385&amp;height=120&amp;START_MAXIMIZED=FALSE&amp;creator=factset&amp;display_string=Audit"}</definedName>
    <definedName name="_2978__FDSAUDITLINK__" hidden="1">{"fdsup://Directions/FactSet Auditing Viewer?action=AUDIT_VALUE&amp;DB=129&amp;ID1=69341710&amp;VALUEID=02001&amp;SDATE=200402&amp;PERIODTYPE=QTR_STD&amp;SCFT=3&amp;window=popup_no_bar&amp;width=385&amp;height=120&amp;START_MAXIMIZED=FALSE&amp;creator=factset&amp;display_string=Audit"}</definedName>
    <definedName name="_2979__FDSAUDITLINK__" hidden="1">{"fdsup://Directions/FactSet Auditing Viewer?action=AUDIT_VALUE&amp;DB=129&amp;ID1=68218910&amp;VALUEID=02001&amp;SDATE=200402&amp;PERIODTYPE=QTR_STD&amp;SCFT=3&amp;window=popup_no_bar&amp;width=385&amp;height=120&amp;START_MAXIMIZED=FALSE&amp;creator=factset&amp;display_string=Audit"}</definedName>
    <definedName name="_298__FDSAUDITLINK__" hidden="1">{"fdsup://Directions/FactSet Auditing Viewer?action=AUDIT_VALUE&amp;DB=129&amp;ID1=98975F10&amp;VALUEID=02001&amp;SDATE=201003&amp;PERIODTYPE=QTR_STD&amp;SCFT=3&amp;window=popup_no_bar&amp;width=385&amp;height=120&amp;START_MAXIMIZED=FALSE&amp;creator=factset&amp;display_string=Audit"}</definedName>
    <definedName name="_2980__FDSAUDITLINK__" hidden="1">{"fdsup://Directions/FactSet Auditing Viewer?action=AUDIT_VALUE&amp;DB=129&amp;ID1=68218910&amp;VALUEID=02001&amp;SDATE=200402&amp;PERIODTYPE=QTR_STD&amp;SCFT=3&amp;window=popup_no_bar&amp;width=385&amp;height=120&amp;START_MAXIMIZED=FALSE&amp;creator=factset&amp;display_string=Audit"}</definedName>
    <definedName name="_2981__FDSAUDITLINK__" hidden="1">{"fdsup://Directions/FactSet Auditing Viewer?action=AUDIT_VALUE&amp;DB=129&amp;ID1=67000810&amp;VALUEID=02001&amp;SDATE=200402&amp;PERIODTYPE=QTR_STD&amp;SCFT=3&amp;window=popup_no_bar&amp;width=385&amp;height=120&amp;START_MAXIMIZED=FALSE&amp;creator=factset&amp;display_string=Audit"}</definedName>
    <definedName name="_2982__FDSAUDITLINK__" hidden="1">{"fdsup://Directions/FactSet Auditing Viewer?action=AUDIT_VALUE&amp;DB=129&amp;ID1=67000810&amp;VALUEID=02001&amp;SDATE=200402&amp;PERIODTYPE=QTR_STD&amp;SCFT=3&amp;window=popup_no_bar&amp;width=385&amp;height=120&amp;START_MAXIMIZED=FALSE&amp;creator=factset&amp;display_string=Audit"}</definedName>
    <definedName name="_2983__FDSAUDITLINK__" hidden="1">{"fdsup://Directions/FactSet Auditing Viewer?action=AUDIT_VALUE&amp;DB=129&amp;ID1=67066G10&amp;VALUEID=02001&amp;SDATE=200402&amp;PERIODTYPE=QTR_STD&amp;SCFT=3&amp;window=popup_no_bar&amp;width=385&amp;height=120&amp;START_MAXIMIZED=FALSE&amp;creator=factset&amp;display_string=Audit"}</definedName>
    <definedName name="_2984__FDSAUDITLINK__" hidden="1">{"fdsup://Directions/FactSet Auditing Viewer?action=AUDIT_VALUE&amp;DB=129&amp;ID1=67066G10&amp;VALUEID=02001&amp;SDATE=200402&amp;PERIODTYPE=QTR_STD&amp;SCFT=3&amp;window=popup_no_bar&amp;width=385&amp;height=120&amp;START_MAXIMIZED=FALSE&amp;creator=factset&amp;display_string=Audit"}</definedName>
    <definedName name="_2985__FDSAUDITLINK__" hidden="1">{"fdsup://Directions/FactSet Auditing Viewer?action=AUDIT_VALUE&amp;DB=129&amp;ID1=64118B10&amp;VALUEID=02001&amp;SDATE=200402&amp;PERIODTYPE=QTR_STD&amp;SCFT=3&amp;window=popup_no_bar&amp;width=385&amp;height=120&amp;START_MAXIMIZED=FALSE&amp;creator=factset&amp;display_string=Audit"}</definedName>
    <definedName name="_2986__FDSAUDITLINK__" hidden="1">{"fdsup://Directions/FactSet Auditing Viewer?action=AUDIT_VALUE&amp;DB=129&amp;ID1=64118B10&amp;VALUEID=02001&amp;SDATE=200402&amp;PERIODTYPE=QTR_STD&amp;SCFT=3&amp;window=popup_no_bar&amp;width=385&amp;height=120&amp;START_MAXIMIZED=FALSE&amp;creator=factset&amp;display_string=Audit"}</definedName>
    <definedName name="_2987__FDSAUDITLINK__" hidden="1">{"fdsup://Directions/FactSet Auditing Viewer?action=AUDIT_VALUE&amp;DB=129&amp;ID1=59511210&amp;VALUEID=02001&amp;SDATE=200403&amp;PERIODTYPE=QTR_STD&amp;SCFT=3&amp;window=popup_no_bar&amp;width=385&amp;height=120&amp;START_MAXIMIZED=FALSE&amp;creator=factset&amp;display_string=Audit"}</definedName>
    <definedName name="_2988__FDSAUDITLINK__" hidden="1">{"fdsup://Directions/FactSet Auditing Viewer?action=AUDIT_VALUE&amp;DB=129&amp;ID1=59511210&amp;VALUEID=02001&amp;SDATE=200403&amp;PERIODTYPE=QTR_STD&amp;SCFT=3&amp;window=popup_no_bar&amp;width=385&amp;height=120&amp;START_MAXIMIZED=FALSE&amp;creator=factset&amp;display_string=Audit"}</definedName>
    <definedName name="_2989__FDSAUDITLINK__" hidden="1">{"fdsup://Directions/FactSet Auditing Viewer?action=AUDIT_VALUE&amp;DB=129&amp;ID1=59513710&amp;VALUEID=02001&amp;SDATE=200403&amp;PERIODTYPE=QTR_STD&amp;SCFT=3&amp;window=popup_no_bar&amp;width=385&amp;height=120&amp;START_MAXIMIZED=FALSE&amp;creator=factset&amp;display_string=Audit"}</definedName>
    <definedName name="_299__FDSAUDITLINK__" hidden="1">{"fdsup://Directions/FactSet Auditing Viewer?action=AUDIT_VALUE&amp;DB=129&amp;ID1=98391910&amp;VALUEID=02001&amp;SDATE=201002&amp;PERIODTYPE=QTR_STD&amp;SCFT=3&amp;window=popup_no_bar&amp;width=385&amp;height=120&amp;START_MAXIMIZED=FALSE&amp;creator=factset&amp;display_string=Audit"}</definedName>
    <definedName name="_2990__FDSAUDITLINK__" hidden="1">{"fdsup://Directions/FactSet Auditing Viewer?action=AUDIT_VALUE&amp;DB=129&amp;ID1=59513710&amp;VALUEID=02001&amp;SDATE=200403&amp;PERIODTYPE=QTR_STD&amp;SCFT=3&amp;window=popup_no_bar&amp;width=385&amp;height=120&amp;START_MAXIMIZED=FALSE&amp;creator=factset&amp;display_string=Audit"}</definedName>
    <definedName name="_2991__FDSAUDITLINK__" hidden="1">{"fdsup://Directions/FactSet Auditing Viewer?action=AUDIT_VALUE&amp;DB=129&amp;ID1=G5876H10&amp;VALUEID=02001&amp;SDATE=200402&amp;PERIODTYPE=QTR_STD&amp;SCFT=3&amp;window=popup_no_bar&amp;width=385&amp;height=120&amp;START_MAXIMIZED=FALSE&amp;creator=factset&amp;display_string=Audit"}</definedName>
    <definedName name="_2992__FDSAUDITLINK__" hidden="1">{"fdsup://Directions/FactSet Auditing Viewer?action=AUDIT_VALUE&amp;DB=129&amp;ID1=G5876H10&amp;VALUEID=02001&amp;SDATE=200402&amp;PERIODTYPE=QTR_STD&amp;SCFT=3&amp;window=popup_no_bar&amp;width=385&amp;height=120&amp;START_MAXIMIZED=FALSE&amp;creator=factset&amp;display_string=Audit"}</definedName>
    <definedName name="_2993__FDSAUDITLINK__" hidden="1">{"fdsup://Directions/FactSet Auditing Viewer?action=AUDIT_VALUE&amp;DB=129&amp;ID1=62007630&amp;VALUEID=02001&amp;SDATE=200402&amp;PERIODTYPE=QTR_STD&amp;SCFT=3&amp;window=popup_no_bar&amp;width=385&amp;height=120&amp;START_MAXIMIZED=FALSE&amp;creator=factset&amp;display_string=Audit"}</definedName>
    <definedName name="_2994__FDSAUDITLINK__" hidden="1">{"fdsup://Directions/FactSet Auditing Viewer?action=AUDIT_VALUE&amp;DB=129&amp;ID1=62007630&amp;VALUEID=02001&amp;SDATE=200402&amp;PERIODTYPE=QTR_STD&amp;SCFT=3&amp;window=popup_no_bar&amp;width=385&amp;height=120&amp;START_MAXIMIZED=FALSE&amp;creator=factset&amp;display_string=Audit"}</definedName>
    <definedName name="_2995__FDSAUDITLINK__" hidden="1">{"fdsup://Directions/FactSet Auditing Viewer?action=AUDIT_VALUE&amp;DB=129&amp;ID1=59479310&amp;VALUEID=02001&amp;SDATE=200402&amp;PERIODTYPE=QTR_STD&amp;SCFT=3&amp;window=popup_no_bar&amp;width=385&amp;height=120&amp;START_MAXIMIZED=FALSE&amp;creator=factset&amp;display_string=Audit"}</definedName>
    <definedName name="_2996__FDSAUDITLINK__" hidden="1">{"fdsup://Directions/FactSet Auditing Viewer?action=AUDIT_VALUE&amp;DB=129&amp;ID1=59479310&amp;VALUEID=02001&amp;SDATE=200402&amp;PERIODTYPE=QTR_STD&amp;SCFT=3&amp;window=popup_no_bar&amp;width=385&amp;height=120&amp;START_MAXIMIZED=FALSE&amp;creator=factset&amp;display_string=Audit"}</definedName>
    <definedName name="_2997__FDSAUDITLINK__" hidden="1">{"fdsup://Directions/FactSet Auditing Viewer?action=AUDIT_VALUE&amp;DB=129&amp;ID1=59501710&amp;VALUEID=02001&amp;SDATE=200401&amp;PERIODTYPE=QTR_STD&amp;SCFT=3&amp;window=popup_no_bar&amp;width=385&amp;height=120&amp;START_MAXIMIZED=FALSE&amp;creator=factset&amp;display_string=Audit"}</definedName>
    <definedName name="_2998__FDSAUDITLINK__" hidden="1">{"fdsup://Directions/FactSet Auditing Viewer?action=AUDIT_VALUE&amp;DB=129&amp;ID1=59501710&amp;VALUEID=02001&amp;SDATE=200401&amp;PERIODTYPE=QTR_STD&amp;SCFT=3&amp;window=popup_no_bar&amp;width=385&amp;height=120&amp;START_MAXIMIZED=FALSE&amp;creator=factset&amp;display_string=Audit"}</definedName>
    <definedName name="_2999__FDSAUDITLINK__" hidden="1">{"fdsup://Directions/FactSet Auditing Viewer?action=AUDIT_VALUE&amp;DB=129&amp;ID1=50216110&amp;VALUEID=02001&amp;SDATE=200402&amp;PERIODTYPE=QTR_STD&amp;SCFT=3&amp;window=popup_no_bar&amp;width=385&amp;height=120&amp;START_MAXIMIZED=FALSE&amp;creator=factset&amp;display_string=Audit"}</definedName>
    <definedName name="_3__123Graph_AR_M_VOLUMES" hidden="1">#REF!</definedName>
    <definedName name="_3__FDSAUDITLINK__" hidden="1">{"fdsup://directions/FAT Viewer?action=UPDATE&amp;creator=factset&amp;DYN_ARGS=TRUE&amp;DOC_NAME=FAT:FQL_AUDITING_CLIENT_TEMPLATE.FAT&amp;display_string=Audit&amp;VAR:KEY=WZKBOHYPWT&amp;VAR:QUERY=RkZfU0hTX0ZMT0FUKEFOTiwp&amp;WINDOW=FIRST_POPUP&amp;HEIGHT=450&amp;WIDTH=450&amp;START_MAXIMIZED=FALS","E&amp;VAR:CALENDAR=US&amp;VAR:SYMBOL=MGM RESORTS INT'L&amp;VAR:INDEX=0"}</definedName>
    <definedName name="_3_DC_Power_Diodes">#REF!</definedName>
    <definedName name="_3_Power_Transistors_Breakout">#REF!</definedName>
    <definedName name="_30__FDSAUDITLINK__" hidden="1">{"fdsup://directions/FAT Viewer?action=UPDATE&amp;creator=factset&amp;DYN_ARGS=TRUE&amp;DOC_NAME=FAT:FQL_AUDITING_CLIENT_TEMPLATE.FAT&amp;display_string=Audit&amp;VAR:KEY=OVMDSHKBAH&amp;VAR:QUERY=RkZfU0hTX0ZMT0FUKEFOTiw0MDY5NCk=&amp;WINDOW=FIRST_POPUP&amp;HEIGHT=450&amp;WIDTH=450&amp;START_MAXIMI","ZED=FALSE&amp;VAR:CALENDAR=US&amp;VAR:SYMBOL=LAS VEGAS SANDS&amp;VAR:INDEX=0"}</definedName>
    <definedName name="_300__FDSAUDITLINK__" hidden="1">{"fdsup://Directions/FactSet Auditing Viewer?action=AUDIT_VALUE&amp;DB=129&amp;ID1=98391910&amp;VALUEID=02001&amp;SDATE=201002&amp;PERIODTYPE=QTR_STD&amp;SCFT=3&amp;window=popup_no_bar&amp;width=385&amp;height=120&amp;START_MAXIMIZED=FALSE&amp;creator=factset&amp;display_string=Audit"}</definedName>
    <definedName name="_3000__FDSAUDITLINK__" hidden="1">{"fdsup://Directions/FactSet Auditing Viewer?action=AUDIT_VALUE&amp;DB=129&amp;ID1=50216110&amp;VALUEID=02001&amp;SDATE=200402&amp;PERIODTYPE=QTR_STD&amp;SCFT=3&amp;window=popup_no_bar&amp;width=385&amp;height=120&amp;START_MAXIMIZED=FALSE&amp;creator=factset&amp;display_string=Audit"}</definedName>
    <definedName name="_3001__FDSAUDITLINK__" hidden="1">{"fdsup://Directions/FactSet Auditing Viewer?action=AUDIT_VALUE&amp;DB=129&amp;ID1=51841510&amp;VALUEID=02001&amp;SDATE=200402&amp;PERIODTYPE=QTR_STD&amp;SCFT=3&amp;window=popup_no_bar&amp;width=385&amp;height=120&amp;START_MAXIMIZED=FALSE&amp;creator=factset&amp;display_string=Audit"}</definedName>
    <definedName name="_3002__FDSAUDITLINK__" hidden="1">{"fdsup://Directions/FactSet Auditing Viewer?action=AUDIT_VALUE&amp;DB=129&amp;ID1=51841510&amp;VALUEID=02001&amp;SDATE=200402&amp;PERIODTYPE=QTR_STD&amp;SCFT=3&amp;window=popup_no_bar&amp;width=385&amp;height=120&amp;START_MAXIMIZED=FALSE&amp;creator=factset&amp;display_string=Audit"}</definedName>
    <definedName name="_3003__FDSAUDITLINK__" hidden="1">{"fdsup://Directions/FactSet Auditing Viewer?action=AUDIT_VALUE&amp;DB=129&amp;ID1=48203R10&amp;VALUEID=02001&amp;SDATE=200402&amp;PERIODTYPE=QTR_STD&amp;SCFT=3&amp;window=popup_no_bar&amp;width=385&amp;height=120&amp;START_MAXIMIZED=FALSE&amp;creator=factset&amp;display_string=Audit"}</definedName>
    <definedName name="_3004__FDSAUDITLINK__" hidden="1">{"fdsup://Directions/FactSet Auditing Viewer?action=AUDIT_VALUE&amp;DB=129&amp;ID1=48203R10&amp;VALUEID=02001&amp;SDATE=200402&amp;PERIODTYPE=QTR_STD&amp;SCFT=3&amp;window=popup_no_bar&amp;width=385&amp;height=120&amp;START_MAXIMIZED=FALSE&amp;creator=factset&amp;display_string=Audit"}</definedName>
    <definedName name="_3005__FDSAUDITLINK__" hidden="1">{"fdsup://Directions/FactSet Auditing Viewer?action=AUDIT_VALUE&amp;DB=129&amp;ID1=46069S10&amp;VALUEID=02001&amp;SDATE=200402&amp;PERIODTYPE=QTR_STD&amp;SCFT=3&amp;window=popup_no_bar&amp;width=385&amp;height=120&amp;START_MAXIMIZED=FALSE&amp;creator=factset&amp;display_string=Audit"}</definedName>
    <definedName name="_3006__FDSAUDITLINK__" hidden="1">{"fdsup://Directions/FactSet Auditing Viewer?action=AUDIT_VALUE&amp;DB=129&amp;ID1=46069S10&amp;VALUEID=02001&amp;SDATE=200402&amp;PERIODTYPE=QTR_STD&amp;SCFT=3&amp;window=popup_no_bar&amp;width=385&amp;height=120&amp;START_MAXIMIZED=FALSE&amp;creator=factset&amp;display_string=Audit"}</definedName>
    <definedName name="_3007__FDSAUDITLINK__" hidden="1">{"fdsup://Directions/FactSet Auditing Viewer?action=AUDIT_VALUE&amp;DB=129&amp;ID1=46025410&amp;VALUEID=02001&amp;SDATE=200404&amp;PERIODTYPE=QTR_STD&amp;SCFT=3&amp;window=popup_no_bar&amp;width=385&amp;height=120&amp;START_MAXIMIZED=FALSE&amp;creator=factset&amp;display_string=Audit"}</definedName>
    <definedName name="_3008__FDSAUDITLINK__" hidden="1">{"fdsup://Directions/FactSet Auditing Viewer?action=AUDIT_VALUE&amp;DB=129&amp;ID1=46025410&amp;VALUEID=02001&amp;SDATE=200404&amp;PERIODTYPE=QTR_STD&amp;SCFT=3&amp;window=popup_no_bar&amp;width=385&amp;height=120&amp;START_MAXIMIZED=FALSE&amp;creator=factset&amp;display_string=Audit"}</definedName>
    <definedName name="_3009__FDSAUDITLINK__" hidden="1">{"fdsup://Directions/FactSet Auditing Viewer?action=AUDIT_VALUE&amp;DB=129&amp;ID1=45814010&amp;VALUEID=02001&amp;SDATE=200402&amp;PERIODTYPE=QTR_STD&amp;SCFT=3&amp;window=popup_no_bar&amp;width=385&amp;height=120&amp;START_MAXIMIZED=FALSE&amp;creator=factset&amp;display_string=Audit"}</definedName>
    <definedName name="_301__FDSAUDITLINK__" hidden="1">{"fdsup://Directions/FactSet Auditing Viewer?action=AUDIT_VALUE&amp;DB=129&amp;ID1=95810210&amp;VALUEID=02001&amp;SDATE=201101&amp;PERIODTYPE=QTR_STD&amp;SCFT=3&amp;window=popup_no_bar&amp;width=385&amp;height=120&amp;START_MAXIMIZED=FALSE&amp;creator=factset&amp;display_string=Audit"}</definedName>
    <definedName name="_3010__FDSAUDITLINK__" hidden="1">{"fdsup://Directions/FactSet Auditing Viewer?action=AUDIT_VALUE&amp;DB=129&amp;ID1=45814010&amp;VALUEID=02001&amp;SDATE=200402&amp;PERIODTYPE=QTR_STD&amp;SCFT=3&amp;window=popup_no_bar&amp;width=385&amp;height=120&amp;START_MAXIMIZED=FALSE&amp;creator=factset&amp;display_string=Audit"}</definedName>
    <definedName name="_3011__FDSAUDITLINK__" hidden="1">{"fdsup://Directions/FactSet Auditing Viewer?action=AUDIT_VALUE&amp;DB=129&amp;ID1=45811810&amp;VALUEID=02001&amp;SDATE=200401&amp;PERIODTYPE=QTR_STD&amp;SCFT=3&amp;window=popup_no_bar&amp;width=385&amp;height=120&amp;START_MAXIMIZED=FALSE&amp;creator=factset&amp;display_string=Audit"}</definedName>
    <definedName name="_3012__FDSAUDITLINK__" hidden="1">{"fdsup://Directions/FactSet Auditing Viewer?action=AUDIT_VALUE&amp;DB=129&amp;ID1=45811810&amp;VALUEID=02001&amp;SDATE=200401&amp;PERIODTYPE=QTR_STD&amp;SCFT=3&amp;window=popup_no_bar&amp;width=385&amp;height=120&amp;START_MAXIMIZED=FALSE&amp;creator=factset&amp;display_string=Audit"}</definedName>
    <definedName name="_3013__FDSAUDITLINK__" hidden="1">{"fdsup://Directions/FactSet Auditing Viewer?action=AUDIT_VALUE&amp;DB=129&amp;ID1=42823610&amp;VALUEID=02001&amp;SDATE=200403&amp;PERIODTYPE=QTR_STD&amp;SCFT=3&amp;window=popup_no_bar&amp;width=385&amp;height=120&amp;START_MAXIMIZED=FALSE&amp;creator=factset&amp;display_string=Audit"}</definedName>
    <definedName name="_3014__FDSAUDITLINK__" hidden="1">{"fdsup://Directions/FactSet Auditing Viewer?action=AUDIT_VALUE&amp;DB=129&amp;ID1=42823610&amp;VALUEID=02001&amp;SDATE=200403&amp;PERIODTYPE=QTR_STD&amp;SCFT=3&amp;window=popup_no_bar&amp;width=385&amp;height=120&amp;START_MAXIMIZED=FALSE&amp;creator=factset&amp;display_string=Audit"}</definedName>
    <definedName name="_3015__FDSAUDITLINK__" hidden="1">{"fdsup://Directions/FactSet Auditing Viewer?action=AUDIT_VALUE&amp;DB=129&amp;ID1=34637510&amp;VALUEID=02001&amp;SDATE=200402&amp;PERIODTYPE=QTR_STD&amp;SCFT=3&amp;window=popup_no_bar&amp;width=385&amp;height=120&amp;START_MAXIMIZED=FALSE&amp;creator=factset&amp;display_string=Audit"}</definedName>
    <definedName name="_3016__FDSAUDITLINK__" hidden="1">{"fdsup://Directions/FactSet Auditing Viewer?action=AUDIT_VALUE&amp;DB=129&amp;ID1=34637510&amp;VALUEID=02001&amp;SDATE=200402&amp;PERIODTYPE=QTR_STD&amp;SCFT=3&amp;window=popup_no_bar&amp;width=385&amp;height=120&amp;START_MAXIMIZED=FALSE&amp;creator=factset&amp;display_string=Audit"}</definedName>
    <definedName name="_3017__FDSAUDITLINK__" hidden="1">{"fdsup://Directions/FactSet Auditing Viewer?action=AUDIT_VALUE&amp;DB=129&amp;ID1=31561610&amp;VALUEID=02001&amp;SDATE=200403&amp;PERIODTYPE=QTR_STD&amp;SCFT=3&amp;window=popup_no_bar&amp;width=385&amp;height=120&amp;START_MAXIMIZED=FALSE&amp;creator=factset&amp;display_string=Audit"}</definedName>
    <definedName name="_3018__FDSAUDITLINK__" hidden="1">{"fdsup://Directions/FactSet Auditing Viewer?action=AUDIT_VALUE&amp;DB=129&amp;ID1=31561610&amp;VALUEID=02001&amp;SDATE=200403&amp;PERIODTYPE=QTR_STD&amp;SCFT=3&amp;window=popup_no_bar&amp;width=385&amp;height=120&amp;START_MAXIMIZED=FALSE&amp;creator=factset&amp;display_string=Audit"}</definedName>
    <definedName name="_3019__FDSAUDITLINK__" hidden="1">{"fdsup://Directions/FactSet Auditing Viewer?action=AUDIT_VALUE&amp;DB=129&amp;ID1=25454310&amp;VALUEID=02001&amp;SDATE=200402&amp;PERIODTYPE=QTR_STD&amp;SCFT=3&amp;window=popup_no_bar&amp;width=385&amp;height=120&amp;START_MAXIMIZED=FALSE&amp;creator=factset&amp;display_string=Audit"}</definedName>
    <definedName name="_302__FDSAUDITLINK__" hidden="1">{"fdsup://Directions/FactSet Auditing Viewer?action=AUDIT_VALUE&amp;DB=129&amp;ID1=95810210&amp;VALUEID=02001&amp;SDATE=201101&amp;PERIODTYPE=QTR_STD&amp;SCFT=3&amp;window=popup_no_bar&amp;width=385&amp;height=120&amp;START_MAXIMIZED=FALSE&amp;creator=factset&amp;display_string=Audit"}</definedName>
    <definedName name="_3020__FDSAUDITLINK__" hidden="1">{"fdsup://Directions/FactSet Auditing Viewer?action=AUDIT_VALUE&amp;DB=129&amp;ID1=25454310&amp;VALUEID=02001&amp;SDATE=200402&amp;PERIODTYPE=QTR_STD&amp;SCFT=3&amp;window=popup_no_bar&amp;width=385&amp;height=120&amp;START_MAXIMIZED=FALSE&amp;creator=factset&amp;display_string=Audit"}</definedName>
    <definedName name="_3021__FDSAUDITLINK__" hidden="1">{"fdsup://Directions/FactSet Auditing Viewer?action=AUDIT_VALUE&amp;DB=129&amp;ID1=24702R10&amp;VALUEID=02001&amp;SDATE=200402&amp;PERIODTYPE=QTR_STD&amp;SCFT=3&amp;window=popup_no_bar&amp;width=385&amp;height=120&amp;START_MAXIMIZED=FALSE&amp;creator=factset&amp;display_string=Audit"}</definedName>
    <definedName name="_3022__FDSAUDITLINK__" hidden="1">{"fdsup://Directions/FactSet Auditing Viewer?action=AUDIT_VALUE&amp;DB=129&amp;ID1=24702R10&amp;VALUEID=02001&amp;SDATE=200402&amp;PERIODTYPE=QTR_STD&amp;SCFT=3&amp;window=popup_no_bar&amp;width=385&amp;height=120&amp;START_MAXIMIZED=FALSE&amp;creator=factset&amp;display_string=Audit"}</definedName>
    <definedName name="_3023__FDSAUDITLINK__" hidden="1">{"fdsup://Directions/FactSet Auditing Viewer?action=AUDIT_VALUE&amp;DB=129&amp;ID1=23257210&amp;VALUEID=02001&amp;SDATE=200402&amp;PERIODTYPE=QTR_STD&amp;SCFT=3&amp;window=popup_no_bar&amp;width=385&amp;height=120&amp;START_MAXIMIZED=FALSE&amp;creator=factset&amp;display_string=Audit"}</definedName>
    <definedName name="_3024__FDSAUDITLINK__" hidden="1">{"fdsup://Directions/FactSet Auditing Viewer?action=AUDIT_VALUE&amp;DB=129&amp;ID1=23257210&amp;VALUEID=02001&amp;SDATE=200402&amp;PERIODTYPE=QTR_STD&amp;SCFT=3&amp;window=popup_no_bar&amp;width=385&amp;height=120&amp;START_MAXIMIZED=FALSE&amp;creator=factset&amp;display_string=Audit"}</definedName>
    <definedName name="_3025__FDSAUDITLINK__" hidden="1">{"fdsup://Directions/FactSet Auditing Viewer?action=AUDIT_VALUE&amp;DB=129&amp;ID1=23280610&amp;VALUEID=02001&amp;SDATE=200402&amp;PERIODTYPE=QTR_STD&amp;SCFT=3&amp;window=popup_no_bar&amp;width=385&amp;height=120&amp;START_MAXIMIZED=FALSE&amp;creator=factset&amp;display_string=Audit"}</definedName>
    <definedName name="_3026__FDSAUDITLINK__" hidden="1">{"fdsup://Directions/FactSet Auditing Viewer?action=AUDIT_VALUE&amp;DB=129&amp;ID1=23280610&amp;VALUEID=02001&amp;SDATE=200402&amp;PERIODTYPE=QTR_STD&amp;SCFT=3&amp;window=popup_no_bar&amp;width=385&amp;height=120&amp;START_MAXIMIZED=FALSE&amp;creator=factset&amp;display_string=Audit"}</definedName>
    <definedName name="_3027__FDSAUDITLINK__" hidden="1">{"fdsup://Directions/FactSet Auditing Viewer?action=AUDIT_VALUE&amp;DB=129&amp;ID1=20714230&amp;VALUEID=02001&amp;SDATE=200403&amp;PERIODTYPE=QTR_STD&amp;SCFT=3&amp;window=popup_no_bar&amp;width=385&amp;height=120&amp;START_MAXIMIZED=FALSE&amp;creator=factset&amp;display_string=Audit"}</definedName>
    <definedName name="_3028__FDSAUDITLINK__" hidden="1">{"fdsup://Directions/FactSet Auditing Viewer?action=AUDIT_VALUE&amp;DB=129&amp;ID1=20714230&amp;VALUEID=02001&amp;SDATE=200403&amp;PERIODTYPE=QTR_STD&amp;SCFT=3&amp;window=popup_no_bar&amp;width=385&amp;height=120&amp;START_MAXIMIZED=FALSE&amp;creator=factset&amp;display_string=Audit"}</definedName>
    <definedName name="_3029__FDSAUDITLINK__" hidden="1">{"fdsup://Directions/FactSet Auditing Viewer?action=AUDIT_VALUE&amp;DB=129&amp;ID1=12738710&amp;VALUEID=02001&amp;SDATE=200402&amp;PERIODTYPE=QTR_STD&amp;SCFT=3&amp;window=popup_no_bar&amp;width=385&amp;height=120&amp;START_MAXIMIZED=FALSE&amp;creator=factset&amp;display_string=Audit"}</definedName>
    <definedName name="_303__FDSAUDITLINK__" hidden="1">{"fdsup://Directions/FactSet Auditing Viewer?action=AUDIT_VALUE&amp;DB=129&amp;ID1=92849730&amp;VALUEID=02001&amp;SDATE=201004&amp;PERIODTYPE=QTR_STD&amp;SCFT=3&amp;window=popup_no_bar&amp;width=385&amp;height=120&amp;START_MAXIMIZED=FALSE&amp;creator=factset&amp;display_string=Audit"}</definedName>
    <definedName name="_3030__FDSAUDITLINK__" hidden="1">{"fdsup://Directions/FactSet Auditing Viewer?action=AUDIT_VALUE&amp;DB=129&amp;ID1=12738710&amp;VALUEID=02001&amp;SDATE=200402&amp;PERIODTYPE=QTR_STD&amp;SCFT=3&amp;window=popup_no_bar&amp;width=385&amp;height=120&amp;START_MAXIMIZED=FALSE&amp;creator=factset&amp;display_string=Audit"}</definedName>
    <definedName name="_3031__FDSAUDITLINK__" hidden="1">{"fdsup://Directions/FactSet Auditing Viewer?action=AUDIT_VALUE&amp;DB=129&amp;ID1=11162130&amp;VALUEID=02001&amp;SDATE=200403&amp;PERIODTYPE=QTR_STD&amp;SCFT=3&amp;window=popup_no_bar&amp;width=385&amp;height=120&amp;START_MAXIMIZED=FALSE&amp;creator=factset&amp;display_string=Audit"}</definedName>
    <definedName name="_3032__FDSAUDITLINK__" hidden="1">{"fdsup://Directions/FactSet Auditing Viewer?action=AUDIT_VALUE&amp;DB=129&amp;ID1=11162130&amp;VALUEID=02001&amp;SDATE=200403&amp;PERIODTYPE=QTR_STD&amp;SCFT=3&amp;window=popup_no_bar&amp;width=385&amp;height=120&amp;START_MAXIMIZED=FALSE&amp;creator=factset&amp;display_string=Audit"}</definedName>
    <definedName name="_3033__FDSAUDITLINK__" hidden="1">{"fdsup://Directions/FactSet Auditing Viewer?action=AUDIT_VALUE&amp;DB=129&amp;ID1=04743P10&amp;VALUEID=02001&amp;SDATE=200402&amp;PERIODTYPE=QTR_STD&amp;SCFT=3&amp;window=popup_no_bar&amp;width=385&amp;height=120&amp;START_MAXIMIZED=FALSE&amp;creator=factset&amp;display_string=Audit"}</definedName>
    <definedName name="_3034__FDSAUDITLINK__" hidden="1">{"fdsup://Directions/FactSet Auditing Viewer?action=AUDIT_VALUE&amp;DB=129&amp;ID1=04743P10&amp;VALUEID=02001&amp;SDATE=200402&amp;PERIODTYPE=QTR_STD&amp;SCFT=3&amp;window=popup_no_bar&amp;width=385&amp;height=120&amp;START_MAXIMIZED=FALSE&amp;creator=factset&amp;display_string=Audit"}</definedName>
    <definedName name="_3035__FDSAUDITLINK__" hidden="1">{"fdsup://Directions/FactSet Auditing Viewer?action=AUDIT_VALUE&amp;DB=129&amp;ID1=00790310&amp;VALUEID=02001&amp;SDATE=200402&amp;PERIODTYPE=QTR_STD&amp;SCFT=3&amp;window=popup_no_bar&amp;width=385&amp;height=120&amp;START_MAXIMIZED=FALSE&amp;creator=factset&amp;display_string=Audit"}</definedName>
    <definedName name="_3036__FDSAUDITLINK__" hidden="1">{"fdsup://Directions/FactSet Auditing Viewer?action=AUDIT_VALUE&amp;DB=129&amp;ID1=00790310&amp;VALUEID=02001&amp;SDATE=200402&amp;PERIODTYPE=QTR_STD&amp;SCFT=3&amp;window=popup_no_bar&amp;width=385&amp;height=120&amp;START_MAXIMIZED=FALSE&amp;creator=factset&amp;display_string=Audit"}</definedName>
    <definedName name="_3037__FDSAUDITLINK__" hidden="1">{"fdsup://Directions/FactSet Auditing Viewer?action=AUDIT_VALUE&amp;DB=129&amp;ID1=03822W40&amp;VALUEID=02001&amp;SDATE=200401&amp;PERIODTYPE=QTR_STD&amp;SCFT=3&amp;window=popup_no_bar&amp;width=385&amp;height=120&amp;START_MAXIMIZED=FALSE&amp;creator=factset&amp;display_string=Audit"}</definedName>
    <definedName name="_3038__FDSAUDITLINK__" hidden="1">{"fdsup://Directions/FactSet Auditing Viewer?action=AUDIT_VALUE&amp;DB=129&amp;ID1=03822W40&amp;VALUEID=02001&amp;SDATE=200401&amp;PERIODTYPE=QTR_STD&amp;SCFT=3&amp;window=popup_no_bar&amp;width=385&amp;height=120&amp;START_MAXIMIZED=FALSE&amp;creator=factset&amp;display_string=Audit"}</definedName>
    <definedName name="_3039__FDSAUDITLINK__" hidden="1">{"fdsup://Directions/FactSet Auditing Viewer?action=AUDIT_VALUE&amp;DB=129&amp;ID1=03822210&amp;VALUEID=02001&amp;SDATE=200403&amp;PERIODTYPE=QTR_STD&amp;SCFT=3&amp;window=popup_no_bar&amp;width=385&amp;height=120&amp;START_MAXIMIZED=FALSE&amp;creator=factset&amp;display_string=Audit"}</definedName>
    <definedName name="_304__FDSAUDITLINK__" hidden="1">{"fdsup://Directions/FactSet Auditing Viewer?action=AUDIT_VALUE&amp;DB=129&amp;ID1=92849730&amp;VALUEID=02001&amp;SDATE=201004&amp;PERIODTYPE=QTR_STD&amp;SCFT=3&amp;window=popup_no_bar&amp;width=385&amp;height=120&amp;START_MAXIMIZED=FALSE&amp;creator=factset&amp;display_string=Audit"}</definedName>
    <definedName name="_3040__FDSAUDITLINK__" hidden="1">{"fdsup://Directions/FactSet Auditing Viewer?action=AUDIT_VALUE&amp;DB=129&amp;ID1=03822210&amp;VALUEID=02001&amp;SDATE=200403&amp;PERIODTYPE=QTR_STD&amp;SCFT=3&amp;window=popup_no_bar&amp;width=385&amp;height=120&amp;START_MAXIMIZED=FALSE&amp;creator=factset&amp;display_string=Audit"}</definedName>
    <definedName name="_3041__FDSAUDITLINK__" hidden="1">{"fdsup://Directions/FactSet Auditing Viewer?action=AUDIT_VALUE&amp;DB=129&amp;ID1=02144110&amp;VALUEID=02001&amp;SDATE=200402&amp;PERIODTYPE=QTR_STD&amp;SCFT=3&amp;window=popup_no_bar&amp;width=385&amp;height=120&amp;START_MAXIMIZED=FALSE&amp;creator=factset&amp;display_string=Audit"}</definedName>
    <definedName name="_3042__FDSAUDITLINK__" hidden="1">{"fdsup://Directions/FactSet Auditing Viewer?action=AUDIT_VALUE&amp;DB=129&amp;ID1=02144110&amp;VALUEID=02001&amp;SDATE=200402&amp;PERIODTYPE=QTR_STD&amp;SCFT=3&amp;window=popup_no_bar&amp;width=385&amp;height=120&amp;START_MAXIMIZED=FALSE&amp;creator=factset&amp;display_string=Audit"}</definedName>
    <definedName name="_3043__FDSAUDITLINK__" hidden="1">{"fdsup://Directions/FactSet Auditing Viewer?action=AUDIT_VALUE&amp;DB=129&amp;ID1=03265410&amp;VALUEID=02001&amp;SDATE=200403&amp;PERIODTYPE=QTR_STD&amp;SCFT=3&amp;window=popup_no_bar&amp;width=385&amp;height=120&amp;START_MAXIMIZED=FALSE&amp;creator=factset&amp;display_string=Audit"}</definedName>
    <definedName name="_3044__FDSAUDITLINK__" hidden="1">{"fdsup://Directions/FactSet Auditing Viewer?action=AUDIT_VALUE&amp;DB=129&amp;ID1=03265410&amp;VALUEID=02001&amp;SDATE=200403&amp;PERIODTYPE=QTR_STD&amp;SCFT=3&amp;window=popup_no_bar&amp;width=385&amp;height=120&amp;START_MAXIMIZED=FALSE&amp;creator=factset&amp;display_string=Audit"}</definedName>
    <definedName name="_3045__FDSAUDITLINK__" hidden="1">{"fdsup://Directions/FactSet Auditing Viewer?action=AUDIT_VALUE&amp;DB=129&amp;ID1=98975F10&amp;VALUEID=02001&amp;SDATE=200401&amp;PERIODTYPE=QTR_STD&amp;SCFT=3&amp;window=popup_no_bar&amp;width=385&amp;height=120&amp;START_MAXIMIZED=FALSE&amp;creator=factset&amp;display_string=Audit"}</definedName>
    <definedName name="_3046__FDSAUDITLINK__" hidden="1">{"fdsup://Directions/FactSet Auditing Viewer?action=AUDIT_VALUE&amp;DB=129&amp;ID1=98975F10&amp;VALUEID=02001&amp;SDATE=200401&amp;PERIODTYPE=QTR_STD&amp;SCFT=3&amp;window=popup_no_bar&amp;width=385&amp;height=120&amp;START_MAXIMIZED=FALSE&amp;creator=factset&amp;display_string=Audit"}</definedName>
    <definedName name="_3047__FDSAUDITLINK__" hidden="1">{"fdsup://Directions/FactSet Auditing Viewer?action=AUDIT_VALUE&amp;DB=129&amp;ID1=95810210&amp;VALUEID=02001&amp;SDATE=200403&amp;PERIODTYPE=QTR_STD&amp;SCFT=3&amp;window=popup_no_bar&amp;width=385&amp;height=120&amp;START_MAXIMIZED=FALSE&amp;creator=factset&amp;display_string=Audit"}</definedName>
    <definedName name="_3048__FDSAUDITLINK__" hidden="1">{"fdsup://Directions/FactSet Auditing Viewer?action=AUDIT_VALUE&amp;DB=129&amp;ID1=95810210&amp;VALUEID=02001&amp;SDATE=200403&amp;PERIODTYPE=QTR_STD&amp;SCFT=3&amp;window=popup_no_bar&amp;width=385&amp;height=120&amp;START_MAXIMIZED=FALSE&amp;creator=factset&amp;display_string=Audit"}</definedName>
    <definedName name="_3049__FDSAUDITLINK__" hidden="1">{"fdsup://Directions/FactSet Auditing Viewer?action=AUDIT_VALUE&amp;DB=129&amp;ID1=92849730&amp;VALUEID=02001&amp;SDATE=200402&amp;PERIODTYPE=QTR_STD&amp;SCFT=3&amp;window=popup_no_bar&amp;width=385&amp;height=120&amp;START_MAXIMIZED=FALSE&amp;creator=factset&amp;display_string=Audit"}</definedName>
    <definedName name="_305__FDSAUDITLINK__" hidden="1">{"fdsup://Directions/FactSet Auditing Viewer?action=AUDIT_VALUE&amp;DB=129&amp;ID1=92829810&amp;VALUEID=02001&amp;SDATE=201003&amp;PERIODTYPE=QTR_STD&amp;SCFT=3&amp;window=popup_no_bar&amp;width=385&amp;height=120&amp;START_MAXIMIZED=FALSE&amp;creator=factset&amp;display_string=Audit"}</definedName>
    <definedName name="_3050__FDSAUDITLINK__" hidden="1">{"fdsup://Directions/FactSet Auditing Viewer?action=AUDIT_VALUE&amp;DB=129&amp;ID1=92849730&amp;VALUEID=02001&amp;SDATE=200402&amp;PERIODTYPE=QTR_STD&amp;SCFT=3&amp;window=popup_no_bar&amp;width=385&amp;height=120&amp;START_MAXIMIZED=FALSE&amp;creator=factset&amp;display_string=Audit"}</definedName>
    <definedName name="_3051__FDSAUDITLINK__" hidden="1">{"fdsup://Directions/FactSet Auditing Viewer?action=AUDIT_VALUE&amp;DB=129&amp;ID1=88250810&amp;VALUEID=02001&amp;SDATE=200401&amp;PERIODTYPE=QTR_STD&amp;SCFT=3&amp;window=popup_no_bar&amp;width=385&amp;height=120&amp;START_MAXIMIZED=FALSE&amp;creator=factset&amp;display_string=Audit"}</definedName>
    <definedName name="_3052__FDSAUDITLINK__" hidden="1">{"fdsup://Directions/FactSet Auditing Viewer?action=AUDIT_VALUE&amp;DB=129&amp;ID1=88250810&amp;VALUEID=02001&amp;SDATE=200401&amp;PERIODTYPE=QTR_STD&amp;SCFT=3&amp;window=popup_no_bar&amp;width=385&amp;height=120&amp;START_MAXIMIZED=FALSE&amp;creator=factset&amp;display_string=Audit"}</definedName>
    <definedName name="_3053__FDSAUDITLINK__" hidden="1">{"fdsup://Directions/FactSet Auditing Viewer?action=AUDIT_VALUE&amp;DB=129&amp;ID1=89674K10&amp;VALUEID=02001&amp;SDATE=200401&amp;PERIODTYPE=QTR_STD&amp;SCFT=3&amp;window=popup_no_bar&amp;width=385&amp;height=120&amp;START_MAXIMIZED=FALSE&amp;creator=factset&amp;display_string=Audit"}</definedName>
    <definedName name="_3054__FDSAUDITLINK__" hidden="1">{"fdsup://Directions/FactSet Auditing Viewer?action=AUDIT_VALUE&amp;DB=129&amp;ID1=89674K10&amp;VALUEID=02001&amp;SDATE=200401&amp;PERIODTYPE=QTR_STD&amp;SCFT=3&amp;window=popup_no_bar&amp;width=385&amp;height=120&amp;START_MAXIMIZED=FALSE&amp;creator=factset&amp;display_string=Audit"}</definedName>
    <definedName name="_3055__FDSAUDITLINK__" hidden="1">{"fdsup://Directions/FactSet Auditing Viewer?action=AUDIT_VALUE&amp;DB=129&amp;ID1=83088M10&amp;VALUEID=02001&amp;SDATE=200402&amp;PERIODTYPE=QTR_STD&amp;SCFT=3&amp;window=popup_no_bar&amp;width=385&amp;height=120&amp;START_MAXIMIZED=FALSE&amp;creator=factset&amp;display_string=Audit"}</definedName>
    <definedName name="_3056__FDSAUDITLINK__" hidden="1">{"fdsup://Directions/FactSet Auditing Viewer?action=AUDIT_VALUE&amp;DB=129&amp;ID1=83088M10&amp;VALUEID=02001&amp;SDATE=200402&amp;PERIODTYPE=QTR_STD&amp;SCFT=3&amp;window=popup_no_bar&amp;width=385&amp;height=120&amp;START_MAXIMIZED=FALSE&amp;creator=factset&amp;display_string=Audit"}</definedName>
    <definedName name="_3057__FDSAUDITLINK__" hidden="1">{"fdsup://Directions/FactSet Auditing Viewer?action=AUDIT_VALUE&amp;DB=129&amp;ID1=G7945M10&amp;VALUEID=02001&amp;SDATE=200403&amp;PERIODTYPE=QTR_STD&amp;SCFT=3&amp;window=popup_no_bar&amp;width=385&amp;height=120&amp;START_MAXIMIZED=FALSE&amp;creator=factset&amp;display_string=Audit"}</definedName>
    <definedName name="_3058__FDSAUDITLINK__" hidden="1">{"fdsup://Directions/FactSet Auditing Viewer?action=AUDIT_VALUE&amp;DB=129&amp;ID1=G7945M10&amp;VALUEID=02001&amp;SDATE=200403&amp;PERIODTYPE=QTR_STD&amp;SCFT=3&amp;window=popup_no_bar&amp;width=385&amp;height=120&amp;START_MAXIMIZED=FALSE&amp;creator=factset&amp;display_string=Audit"}</definedName>
    <definedName name="_3059__FDSAUDITLINK__" hidden="1">{"fdsup://Directions/FactSet Auditing Viewer?action=AUDIT_VALUE&amp;DB=129&amp;ID1=78477410&amp;VALUEID=02001&amp;SDATE=200401&amp;PERIODTYPE=QTR_STD&amp;SCFT=3&amp;window=popup_no_bar&amp;width=385&amp;height=120&amp;START_MAXIMIZED=FALSE&amp;creator=factset&amp;display_string=Audit"}</definedName>
    <definedName name="_306__FDSAUDITLINK__" hidden="1">{"fdsup://Directions/FactSet Auditing Viewer?action=AUDIT_VALUE&amp;DB=129&amp;ID1=92829810&amp;VALUEID=02001&amp;SDATE=201003&amp;PERIODTYPE=QTR_STD&amp;SCFT=3&amp;window=popup_no_bar&amp;width=385&amp;height=120&amp;START_MAXIMIZED=FALSE&amp;creator=factset&amp;display_string=Audit"}</definedName>
    <definedName name="_3060__FDSAUDITLINK__" hidden="1">{"fdsup://Directions/FactSet Auditing Viewer?action=AUDIT_VALUE&amp;DB=129&amp;ID1=78477410&amp;VALUEID=02001&amp;SDATE=200401&amp;PERIODTYPE=QTR_STD&amp;SCFT=3&amp;window=popup_no_bar&amp;width=385&amp;height=120&amp;START_MAXIMIZED=FALSE&amp;creator=factset&amp;display_string=Audit"}</definedName>
    <definedName name="_3061__FDSAUDITLINK__" hidden="1">{"fdsup://Directions/FactSet Auditing Viewer?action=AUDIT_VALUE&amp;DB=129&amp;ID1=83547010&amp;VALUEID=02001&amp;SDATE=200401&amp;PERIODTYPE=QTR_STD&amp;SCFT=3&amp;window=popup_no_bar&amp;width=385&amp;height=120&amp;START_MAXIMIZED=FALSE&amp;creator=factset&amp;display_string=Audit"}</definedName>
    <definedName name="_3062__FDSAUDITLINK__" hidden="1">{"fdsup://Directions/FactSet Auditing Viewer?action=AUDIT_VALUE&amp;DB=129&amp;ID1=83547010&amp;VALUEID=02001&amp;SDATE=200401&amp;PERIODTYPE=QTR_STD&amp;SCFT=3&amp;window=popup_no_bar&amp;width=385&amp;height=120&amp;START_MAXIMIZED=FALSE&amp;creator=factset&amp;display_string=Audit"}</definedName>
    <definedName name="_3063__FDSAUDITLINK__" hidden="1">{"fdsup://Directions/FactSet Auditing Viewer?action=AUDIT_VALUE&amp;DB=129&amp;ID1=87160710&amp;VALUEID=02001&amp;SDATE=200402&amp;PERIODTYPE=QTR_STD&amp;SCFT=3&amp;window=popup_no_bar&amp;width=385&amp;height=120&amp;START_MAXIMIZED=FALSE&amp;creator=factset&amp;display_string=Audit"}</definedName>
    <definedName name="_3064__FDSAUDITLINK__" hidden="1">{"fdsup://Directions/FactSet Auditing Viewer?action=AUDIT_VALUE&amp;DB=129&amp;ID1=87160710&amp;VALUEID=02001&amp;SDATE=200402&amp;PERIODTYPE=QTR_STD&amp;SCFT=3&amp;window=popup_no_bar&amp;width=385&amp;height=120&amp;START_MAXIMIZED=FALSE&amp;creator=factset&amp;display_string=Audit"}</definedName>
    <definedName name="_3065__FDSAUDITLINK__" hidden="1">{"fdsup://Directions/FactSet Auditing Viewer?action=AUDIT_VALUE&amp;DB=129&amp;ID1=80004C10&amp;VALUEID=02001&amp;SDATE=200401&amp;PERIODTYPE=QTR_STD&amp;SCFT=3&amp;window=popup_no_bar&amp;width=385&amp;height=120&amp;START_MAXIMIZED=FALSE&amp;creator=factset&amp;display_string=Audit"}</definedName>
    <definedName name="_3066__FDSAUDITLINK__" hidden="1">{"fdsup://Directions/FactSet Auditing Viewer?action=AUDIT_VALUE&amp;DB=129&amp;ID1=80004C10&amp;VALUEID=02001&amp;SDATE=200401&amp;PERIODTYPE=QTR_STD&amp;SCFT=3&amp;window=popup_no_bar&amp;width=385&amp;height=120&amp;START_MAXIMIZED=FALSE&amp;creator=factset&amp;display_string=Audit"}</definedName>
    <definedName name="_3067__FDSAUDITLINK__" hidden="1">{"fdsup://Directions/FactSet Auditing Viewer?action=AUDIT_VALUE&amp;DB=129&amp;ID1=81685010&amp;VALUEID=02001&amp;SDATE=200401&amp;PERIODTYPE=QTR_STD&amp;SCFT=3&amp;window=popup_no_bar&amp;width=385&amp;height=120&amp;START_MAXIMIZED=FALSE&amp;creator=factset&amp;display_string=Audit"}</definedName>
    <definedName name="_3068__FDSAUDITLINK__" hidden="1">{"fdsup://Directions/FactSet Auditing Viewer?action=AUDIT_VALUE&amp;DB=129&amp;ID1=81685010&amp;VALUEID=02001&amp;SDATE=200401&amp;PERIODTYPE=QTR_STD&amp;SCFT=3&amp;window=popup_no_bar&amp;width=385&amp;height=120&amp;START_MAXIMIZED=FALSE&amp;creator=factset&amp;display_string=Audit"}</definedName>
    <definedName name="_3069__FDSAUDITLINK__" hidden="1">{"fdsup://Directions/FactSet Auditing Viewer?action=AUDIT_VALUE&amp;DB=129&amp;ID1=82691910&amp;VALUEID=02001&amp;SDATE=200401&amp;PERIODTYPE=QTR_STD&amp;SCFT=3&amp;window=popup_no_bar&amp;width=385&amp;height=120&amp;START_MAXIMIZED=FALSE&amp;creator=factset&amp;display_string=Audit"}</definedName>
    <definedName name="_307__FDSAUDITLINK__" hidden="1">{"fdsup://Directions/FactSet Auditing Viewer?action=AUDIT_VALUE&amp;DB=129&amp;ID1=88250810&amp;VALUEID=02001&amp;SDATE=201003&amp;PERIODTYPE=QTR_STD&amp;SCFT=3&amp;window=popup_no_bar&amp;width=385&amp;height=120&amp;START_MAXIMIZED=FALSE&amp;creator=factset&amp;display_string=Audit"}</definedName>
    <definedName name="_3070__FDSAUDITLINK__" hidden="1">{"fdsup://Directions/FactSet Auditing Viewer?action=AUDIT_VALUE&amp;DB=129&amp;ID1=82691910&amp;VALUEID=02001&amp;SDATE=200401&amp;PERIODTYPE=QTR_STD&amp;SCFT=3&amp;window=popup_no_bar&amp;width=385&amp;height=120&amp;START_MAXIMIZED=FALSE&amp;creator=factset&amp;display_string=Audit"}</definedName>
    <definedName name="_3071__FDSAUDITLINK__" hidden="1">{"fdsup://Directions/FactSet Auditing Viewer?action=AUDIT_VALUE&amp;DB=129&amp;ID1=82705T10&amp;VALUEID=02001&amp;SDATE=200401&amp;PERIODTYPE=QTR_STD&amp;SCFT=3&amp;window=popup_no_bar&amp;width=385&amp;height=120&amp;START_MAXIMIZED=FALSE&amp;creator=factset&amp;display_string=Audit"}</definedName>
    <definedName name="_3072__FDSAUDITLINK__" hidden="1">{"fdsup://Directions/FactSet Auditing Viewer?action=AUDIT_VALUE&amp;DB=129&amp;ID1=82705T10&amp;VALUEID=02001&amp;SDATE=200401&amp;PERIODTYPE=QTR_STD&amp;SCFT=3&amp;window=popup_no_bar&amp;width=385&amp;height=120&amp;START_MAXIMIZED=FALSE&amp;creator=factset&amp;display_string=Audit"}</definedName>
    <definedName name="_3073__FDSAUDITLINK__" hidden="1">{"fdsup://Directions/FactSet Auditing Viewer?action=AUDIT_VALUE&amp;DB=129&amp;ID1=75091710&amp;VALUEID=02001&amp;SDATE=200401&amp;PERIODTYPE=QTR_STD&amp;SCFT=3&amp;window=popup_no_bar&amp;width=385&amp;height=120&amp;START_MAXIMIZED=FALSE&amp;creator=factset&amp;display_string=Audit"}</definedName>
    <definedName name="_3074__FDSAUDITLINK__" hidden="1">{"fdsup://Directions/FactSet Auditing Viewer?action=AUDIT_VALUE&amp;DB=129&amp;ID1=75091710&amp;VALUEID=02001&amp;SDATE=200401&amp;PERIODTYPE=QTR_STD&amp;SCFT=3&amp;window=popup_no_bar&amp;width=385&amp;height=120&amp;START_MAXIMIZED=FALSE&amp;creator=factset&amp;display_string=Audit"}</definedName>
    <definedName name="_3075__FDSAUDITLINK__" hidden="1">{"fdsup://Directions/FactSet Auditing Viewer?action=AUDIT_VALUE&amp;DB=129&amp;ID1=74752510&amp;VALUEID=02001&amp;SDATE=200402&amp;PERIODTYPE=QTR_STD&amp;SCFT=3&amp;window=popup_no_bar&amp;width=385&amp;height=120&amp;START_MAXIMIZED=FALSE&amp;creator=factset&amp;display_string=Audit"}</definedName>
    <definedName name="_3076__FDSAUDITLINK__" hidden="1">{"fdsup://Directions/FactSet Auditing Viewer?action=AUDIT_VALUE&amp;DB=129&amp;ID1=74752510&amp;VALUEID=02001&amp;SDATE=200402&amp;PERIODTYPE=QTR_STD&amp;SCFT=3&amp;window=popup_no_bar&amp;width=385&amp;height=120&amp;START_MAXIMIZED=FALSE&amp;creator=factset&amp;display_string=Audit"}</definedName>
    <definedName name="_3077__FDSAUDITLINK__" hidden="1">{"fdsup://Directions/FactSet Auditing Viewer?action=AUDIT_VALUE&amp;DB=129&amp;ID1=72581M30&amp;VALUEID=02001&amp;SDATE=200401&amp;PERIODTYPE=QTR_STD&amp;SCFT=3&amp;window=popup_no_bar&amp;width=385&amp;height=120&amp;START_MAXIMIZED=FALSE&amp;creator=factset&amp;display_string=Audit"}</definedName>
    <definedName name="_3078__FDSAUDITLINK__" hidden="1">{"fdsup://Directions/FactSet Auditing Viewer?action=AUDIT_VALUE&amp;DB=129&amp;ID1=72581M30&amp;VALUEID=02001&amp;SDATE=200401&amp;PERIODTYPE=QTR_STD&amp;SCFT=3&amp;window=popup_no_bar&amp;width=385&amp;height=120&amp;START_MAXIMIZED=FALSE&amp;creator=factset&amp;display_string=Audit"}</definedName>
    <definedName name="_3079__FDSAUDITLINK__" hidden="1">{"fdsup://Directions/FactSet Auditing Viewer?action=AUDIT_VALUE&amp;DB=129&amp;ID1=73927610&amp;VALUEID=02001&amp;SDATE=200401&amp;PERIODTYPE=QTR_STD&amp;SCFT=3&amp;window=popup_no_bar&amp;width=385&amp;height=120&amp;START_MAXIMIZED=FALSE&amp;creator=factset&amp;display_string=Audit"}</definedName>
    <definedName name="_308__FDSAUDITLINK__" hidden="1">{"fdsup://Directions/FactSet Auditing Viewer?action=AUDIT_VALUE&amp;DB=129&amp;ID1=88250810&amp;VALUEID=02001&amp;SDATE=201003&amp;PERIODTYPE=QTR_STD&amp;SCFT=3&amp;window=popup_no_bar&amp;width=385&amp;height=120&amp;START_MAXIMIZED=FALSE&amp;creator=factset&amp;display_string=Audit"}</definedName>
    <definedName name="_3080__FDSAUDITLINK__" hidden="1">{"fdsup://Directions/FactSet Auditing Viewer?action=AUDIT_VALUE&amp;DB=129&amp;ID1=73927610&amp;VALUEID=02001&amp;SDATE=200401&amp;PERIODTYPE=QTR_STD&amp;SCFT=3&amp;window=popup_no_bar&amp;width=385&amp;height=120&amp;START_MAXIMIZED=FALSE&amp;creator=factset&amp;display_string=Audit"}</definedName>
    <definedName name="_3081__FDSAUDITLINK__" hidden="1">{"fdsup://Directions/FactSet Auditing Viewer?action=AUDIT_VALUE&amp;DB=129&amp;ID1=69344F10&amp;VALUEID=02001&amp;SDATE=200401&amp;PERIODTYPE=QTR_STD&amp;SCFT=3&amp;window=popup_no_bar&amp;width=385&amp;height=120&amp;START_MAXIMIZED=FALSE&amp;creator=factset&amp;display_string=Audit"}</definedName>
    <definedName name="_3082__FDSAUDITLINK__" hidden="1">{"fdsup://Directions/FactSet Auditing Viewer?action=AUDIT_VALUE&amp;DB=129&amp;ID1=69344F10&amp;VALUEID=02001&amp;SDATE=200401&amp;PERIODTYPE=QTR_STD&amp;SCFT=3&amp;window=popup_no_bar&amp;width=385&amp;height=120&amp;START_MAXIMIZED=FALSE&amp;creator=factset&amp;display_string=Audit"}</definedName>
    <definedName name="_3083__FDSAUDITLINK__" hidden="1">{"fdsup://Directions/FactSet Auditing Viewer?action=AUDIT_VALUE&amp;DB=129&amp;ID1=69341710&amp;VALUEID=02001&amp;SDATE=200401&amp;PERIODTYPE=QTR_STD&amp;SCFT=3&amp;window=popup_no_bar&amp;width=385&amp;height=120&amp;START_MAXIMIZED=FALSE&amp;creator=factset&amp;display_string=Audit"}</definedName>
    <definedName name="_3084__FDSAUDITLINK__" hidden="1">{"fdsup://Directions/FactSet Auditing Viewer?action=AUDIT_VALUE&amp;DB=129&amp;ID1=69341710&amp;VALUEID=02001&amp;SDATE=200401&amp;PERIODTYPE=QTR_STD&amp;SCFT=3&amp;window=popup_no_bar&amp;width=385&amp;height=120&amp;START_MAXIMIZED=FALSE&amp;creator=factset&amp;display_string=Audit"}</definedName>
    <definedName name="_3085__FDSAUDITLINK__" hidden="1">{"fdsup://Directions/FactSet Auditing Viewer?action=AUDIT_VALUE&amp;DB=129&amp;ID1=68218910&amp;VALUEID=02001&amp;SDATE=200401&amp;PERIODTYPE=QTR_STD&amp;SCFT=3&amp;window=popup_no_bar&amp;width=385&amp;height=120&amp;START_MAXIMIZED=FALSE&amp;creator=factset&amp;display_string=Audit"}</definedName>
    <definedName name="_3086__FDSAUDITLINK__" hidden="1">{"fdsup://Directions/FactSet Auditing Viewer?action=AUDIT_VALUE&amp;DB=129&amp;ID1=68218910&amp;VALUEID=02001&amp;SDATE=200401&amp;PERIODTYPE=QTR_STD&amp;SCFT=3&amp;window=popup_no_bar&amp;width=385&amp;height=120&amp;START_MAXIMIZED=FALSE&amp;creator=factset&amp;display_string=Audit"}</definedName>
    <definedName name="_3087__FDSAUDITLINK__" hidden="1">{"fdsup://Directions/FactSet Auditing Viewer?action=AUDIT_VALUE&amp;DB=129&amp;ID1=67000810&amp;VALUEID=02001&amp;SDATE=200401&amp;PERIODTYPE=QTR_STD&amp;SCFT=3&amp;window=popup_no_bar&amp;width=385&amp;height=120&amp;START_MAXIMIZED=FALSE&amp;creator=factset&amp;display_string=Audit"}</definedName>
    <definedName name="_3088__FDSAUDITLINK__" hidden="1">{"fdsup://Directions/FactSet Auditing Viewer?action=AUDIT_VALUE&amp;DB=129&amp;ID1=67000810&amp;VALUEID=02001&amp;SDATE=200401&amp;PERIODTYPE=QTR_STD&amp;SCFT=3&amp;window=popup_no_bar&amp;width=385&amp;height=120&amp;START_MAXIMIZED=FALSE&amp;creator=factset&amp;display_string=Audit"}</definedName>
    <definedName name="_3089__FDSAUDITLINK__" hidden="1">{"fdsup://Directions/FactSet Auditing Viewer?action=AUDIT_VALUE&amp;DB=129&amp;ID1=67066G10&amp;VALUEID=02001&amp;SDATE=200401&amp;PERIODTYPE=QTR_STD&amp;SCFT=3&amp;window=popup_no_bar&amp;width=385&amp;height=120&amp;START_MAXIMIZED=FALSE&amp;creator=factset&amp;display_string=Audit"}</definedName>
    <definedName name="_309__FDSAUDITLINK__" hidden="1">{"fdsup://Directions/FactSet Auditing Viewer?action=AUDIT_VALUE&amp;DB=129&amp;ID1=89674K10&amp;VALUEID=02001&amp;SDATE=201003&amp;PERIODTYPE=QTR_STD&amp;SCFT=3&amp;window=popup_no_bar&amp;width=385&amp;height=120&amp;START_MAXIMIZED=FALSE&amp;creator=factset&amp;display_string=Audit"}</definedName>
    <definedName name="_3090__FDSAUDITLINK__" hidden="1">{"fdsup://Directions/FactSet Auditing Viewer?action=AUDIT_VALUE&amp;DB=129&amp;ID1=67066G10&amp;VALUEID=02001&amp;SDATE=200401&amp;PERIODTYPE=QTR_STD&amp;SCFT=3&amp;window=popup_no_bar&amp;width=385&amp;height=120&amp;START_MAXIMIZED=FALSE&amp;creator=factset&amp;display_string=Audit"}</definedName>
    <definedName name="_3091__FDSAUDITLINK__" hidden="1">{"fdsup://Directions/FactSet Auditing Viewer?action=AUDIT_VALUE&amp;DB=129&amp;ID1=63764010&amp;VALUEID=02001&amp;SDATE=200303&amp;PERIODTYPE=QTR_STD&amp;SCFT=3&amp;window=popup_no_bar&amp;width=385&amp;height=120&amp;START_MAXIMIZED=FALSE&amp;creator=factset&amp;display_string=Audit"}</definedName>
    <definedName name="_3092__FDSAUDITLINK__" hidden="1">{"fdsup://Directions/FactSet Auditing Viewer?action=AUDIT_VALUE&amp;DB=129&amp;ID1=63764010&amp;VALUEID=02001&amp;SDATE=200303&amp;PERIODTYPE=QTR_STD&amp;SCFT=3&amp;window=popup_no_bar&amp;width=385&amp;height=120&amp;START_MAXIMIZED=FALSE&amp;creator=factset&amp;display_string=Audit"}</definedName>
    <definedName name="_3093__FDSAUDITLINK__" hidden="1">{"fdsup://Directions/FactSet Auditing Viewer?action=AUDIT_VALUE&amp;DB=129&amp;ID1=57772K10&amp;VALUEID=02001&amp;SDATE=200403&amp;PERIODTYPE=QTR_STD&amp;SCFT=3&amp;window=popup_no_bar&amp;width=385&amp;height=120&amp;START_MAXIMIZED=FALSE&amp;creator=factset&amp;display_string=Audit"}</definedName>
    <definedName name="_3094__FDSAUDITLINK__" hidden="1">{"fdsup://Directions/FactSet Auditing Viewer?action=AUDIT_VALUE&amp;DB=129&amp;ID1=57772K10&amp;VALUEID=02001&amp;SDATE=200403&amp;PERIODTYPE=QTR_STD&amp;SCFT=3&amp;window=popup_no_bar&amp;width=385&amp;height=120&amp;START_MAXIMIZED=FALSE&amp;creator=factset&amp;display_string=Audit"}</definedName>
    <definedName name="_3095__FDSAUDITLINK__" hidden="1">{"fdsup://Directions/FactSet Auditing Viewer?action=AUDIT_VALUE&amp;DB=129&amp;ID1=59511210&amp;VALUEID=02001&amp;SDATE=200402&amp;PERIODTYPE=QTR_STD&amp;SCFT=3&amp;window=popup_no_bar&amp;width=385&amp;height=120&amp;START_MAXIMIZED=FALSE&amp;creator=factset&amp;display_string=Audit"}</definedName>
    <definedName name="_3096__FDSAUDITLINK__" hidden="1">{"fdsup://Directions/FactSet Auditing Viewer?action=AUDIT_VALUE&amp;DB=129&amp;ID1=59511210&amp;VALUEID=02001&amp;SDATE=200402&amp;PERIODTYPE=QTR_STD&amp;SCFT=3&amp;window=popup_no_bar&amp;width=385&amp;height=120&amp;START_MAXIMIZED=FALSE&amp;creator=factset&amp;display_string=Audit"}</definedName>
    <definedName name="_3097__FDSAUDITLINK__" hidden="1">{"fdsup://Directions/FactSet Auditing Viewer?action=AUDIT_VALUE&amp;DB=129&amp;ID1=59513710&amp;VALUEID=02001&amp;SDATE=200402&amp;PERIODTYPE=QTR_STD&amp;SCFT=3&amp;window=popup_no_bar&amp;width=385&amp;height=120&amp;START_MAXIMIZED=FALSE&amp;creator=factset&amp;display_string=Audit"}</definedName>
    <definedName name="_3098__FDSAUDITLINK__" hidden="1">{"fdsup://Directions/FactSet Auditing Viewer?action=AUDIT_VALUE&amp;DB=129&amp;ID1=59513710&amp;VALUEID=02001&amp;SDATE=200402&amp;PERIODTYPE=QTR_STD&amp;SCFT=3&amp;window=popup_no_bar&amp;width=385&amp;height=120&amp;START_MAXIMIZED=FALSE&amp;creator=factset&amp;display_string=Audit"}</definedName>
    <definedName name="_3099__FDSAUDITLINK__" hidden="1">{"fdsup://Directions/FactSet Auditing Viewer?action=AUDIT_VALUE&amp;DB=129&amp;ID1=G5876H10&amp;VALUEID=02001&amp;SDATE=200401&amp;PERIODTYPE=QTR_STD&amp;SCFT=3&amp;window=popup_no_bar&amp;width=385&amp;height=120&amp;START_MAXIMIZED=FALSE&amp;creator=factset&amp;display_string=Audit"}</definedName>
    <definedName name="_31__FDSAUDITLINK__" hidden="1">{"fdsup://directions/FAT Viewer?action=UPDATE&amp;creator=factset&amp;DYN_ARGS=TRUE&amp;DOC_NAME=FAT:FQL_AUDITING_CLIENT_TEMPLATE.FAT&amp;display_string=Audit&amp;VAR:KEY=WFYTATKXWB&amp;VAR:QUERY=RkZfU0hTX0ZMT0FUKEFOTiw0MDY2Myk=&amp;WINDOW=FIRST_POPUP&amp;HEIGHT=450&amp;WIDTH=450&amp;START_MAXIMI","ZED=FALSE&amp;VAR:CALENDAR=US&amp;VAR:SYMBOL=LAS VEGAS SANDS&amp;VAR:INDEX=0"}</definedName>
    <definedName name="_310__FDSAUDITLINK__" hidden="1">{"fdsup://Directions/FactSet Auditing Viewer?action=AUDIT_VALUE&amp;DB=129&amp;ID1=89674K10&amp;VALUEID=02001&amp;SDATE=201003&amp;PERIODTYPE=QTR_STD&amp;SCFT=3&amp;window=popup_no_bar&amp;width=385&amp;height=120&amp;START_MAXIMIZED=FALSE&amp;creator=factset&amp;display_string=Audit"}</definedName>
    <definedName name="_3100__FDSAUDITLINK__" hidden="1">{"fdsup://Directions/FactSet Auditing Viewer?action=AUDIT_VALUE&amp;DB=129&amp;ID1=G5876H10&amp;VALUEID=02001&amp;SDATE=200401&amp;PERIODTYPE=QTR_STD&amp;SCFT=3&amp;window=popup_no_bar&amp;width=385&amp;height=120&amp;START_MAXIMIZED=FALSE&amp;creator=factset&amp;display_string=Audit"}</definedName>
    <definedName name="_3101__FDSAUDITLINK__" hidden="1">{"fdsup://Directions/FactSet Auditing Viewer?action=AUDIT_VALUE&amp;DB=129&amp;ID1=62007630&amp;VALUEID=02001&amp;SDATE=200401&amp;PERIODTYPE=QTR_STD&amp;SCFT=3&amp;window=popup_no_bar&amp;width=385&amp;height=120&amp;START_MAXIMIZED=FALSE&amp;creator=factset&amp;display_string=Audit"}</definedName>
    <definedName name="_3102__FDSAUDITLINK__" hidden="1">{"fdsup://Directions/FactSet Auditing Viewer?action=AUDIT_VALUE&amp;DB=129&amp;ID1=62007630&amp;VALUEID=02001&amp;SDATE=200401&amp;PERIODTYPE=QTR_STD&amp;SCFT=3&amp;window=popup_no_bar&amp;width=385&amp;height=120&amp;START_MAXIMIZED=FALSE&amp;creator=factset&amp;display_string=Audit"}</definedName>
    <definedName name="_3103__FDSAUDITLINK__" hidden="1">{"fdsup://Directions/FactSet Auditing Viewer?action=AUDIT_VALUE&amp;DB=129&amp;ID1=60456710&amp;VALUEID=02001&amp;SDATE=200403&amp;PERIODTYPE=QTR_STD&amp;SCFT=3&amp;window=popup_no_bar&amp;width=385&amp;height=120&amp;START_MAXIMIZED=FALSE&amp;creator=factset&amp;display_string=Audit"}</definedName>
    <definedName name="_3104__FDSAUDITLINK__" hidden="1">{"fdsup://Directions/FactSet Auditing Viewer?action=AUDIT_VALUE&amp;DB=129&amp;ID1=60456710&amp;VALUEID=02001&amp;SDATE=200403&amp;PERIODTYPE=QTR_STD&amp;SCFT=3&amp;window=popup_no_bar&amp;width=385&amp;height=120&amp;START_MAXIMIZED=FALSE&amp;creator=factset&amp;display_string=Audit"}</definedName>
    <definedName name="_3105__FDSAUDITLINK__" hidden="1">{"fdsup://Directions/FactSet Auditing Viewer?action=AUDIT_VALUE&amp;DB=129&amp;ID1=59479310&amp;VALUEID=02001&amp;SDATE=200401&amp;PERIODTYPE=QTR_STD&amp;SCFT=3&amp;window=popup_no_bar&amp;width=385&amp;height=120&amp;START_MAXIMIZED=FALSE&amp;creator=factset&amp;display_string=Audit"}</definedName>
    <definedName name="_3106__FDSAUDITLINK__" hidden="1">{"fdsup://Directions/FactSet Auditing Viewer?action=AUDIT_VALUE&amp;DB=129&amp;ID1=59479310&amp;VALUEID=02001&amp;SDATE=200401&amp;PERIODTYPE=QTR_STD&amp;SCFT=3&amp;window=popup_no_bar&amp;width=385&amp;height=120&amp;START_MAXIMIZED=FALSE&amp;creator=factset&amp;display_string=Audit"}</definedName>
    <definedName name="_3107__FDSAUDITLINK__" hidden="1">{"fdsup://Directions/FactSet Auditing Viewer?action=AUDIT_VALUE&amp;DB=129&amp;ID1=50216110&amp;VALUEID=02001&amp;SDATE=200401&amp;PERIODTYPE=QTR_STD&amp;SCFT=3&amp;window=popup_no_bar&amp;width=385&amp;height=120&amp;START_MAXIMIZED=FALSE&amp;creator=factset&amp;display_string=Audit"}</definedName>
    <definedName name="_3108__FDSAUDITLINK__" hidden="1">{"fdsup://Directions/FactSet Auditing Viewer?action=AUDIT_VALUE&amp;DB=129&amp;ID1=50216110&amp;VALUEID=02001&amp;SDATE=200401&amp;PERIODTYPE=QTR_STD&amp;SCFT=3&amp;window=popup_no_bar&amp;width=385&amp;height=120&amp;START_MAXIMIZED=FALSE&amp;creator=factset&amp;display_string=Audit"}</definedName>
    <definedName name="_3109__FDSAUDITLINK__" hidden="1">{"fdsup://Directions/FactSet Auditing Viewer?action=AUDIT_VALUE&amp;DB=129&amp;ID1=51841510&amp;VALUEID=02001&amp;SDATE=200401&amp;PERIODTYPE=QTR_STD&amp;SCFT=3&amp;window=popup_no_bar&amp;width=385&amp;height=120&amp;START_MAXIMIZED=FALSE&amp;creator=factset&amp;display_string=Audit"}</definedName>
    <definedName name="_311__FDSAUDITLINK__" hidden="1">{"fdsup://Directions/FactSet Auditing Viewer?action=AUDIT_VALUE&amp;DB=129&amp;ID1=83088M10&amp;VALUEID=02001&amp;SDATE=201004&amp;PERIODTYPE=QTR_STD&amp;SCFT=3&amp;window=popup_no_bar&amp;width=385&amp;height=120&amp;START_MAXIMIZED=FALSE&amp;creator=factset&amp;display_string=Audit"}</definedName>
    <definedName name="_3110__FDSAUDITLINK__" hidden="1">{"fdsup://Directions/FactSet Auditing Viewer?action=AUDIT_VALUE&amp;DB=129&amp;ID1=51841510&amp;VALUEID=02001&amp;SDATE=200401&amp;PERIODTYPE=QTR_STD&amp;SCFT=3&amp;window=popup_no_bar&amp;width=385&amp;height=120&amp;START_MAXIMIZED=FALSE&amp;creator=factset&amp;display_string=Audit"}</definedName>
    <definedName name="_3111__FDSAUDITLINK__" hidden="1">{"fdsup://Directions/FactSet Auditing Viewer?action=AUDIT_VALUE&amp;DB=129&amp;ID1=51280710&amp;VALUEID=02001&amp;SDATE=200403&amp;PERIODTYPE=QTR_STD&amp;SCFT=3&amp;window=popup_no_bar&amp;width=385&amp;height=120&amp;START_MAXIMIZED=FALSE&amp;creator=factset&amp;display_string=Audit"}</definedName>
    <definedName name="_3112__FDSAUDITLINK__" hidden="1">{"fdsup://Directions/FactSet Auditing Viewer?action=AUDIT_VALUE&amp;DB=129&amp;ID1=51280710&amp;VALUEID=02001&amp;SDATE=200403&amp;PERIODTYPE=QTR_STD&amp;SCFT=3&amp;window=popup_no_bar&amp;width=385&amp;height=120&amp;START_MAXIMIZED=FALSE&amp;creator=factset&amp;display_string=Audit"}</definedName>
    <definedName name="_3113__FDSAUDITLINK__" hidden="1">{"fdsup://Directions/FactSet Auditing Viewer?action=AUDIT_VALUE&amp;DB=129&amp;ID1=53567810&amp;VALUEID=02001&amp;SDATE=200403&amp;PERIODTYPE=QTR_STD&amp;SCFT=3&amp;window=popup_no_bar&amp;width=385&amp;height=120&amp;START_MAXIMIZED=FALSE&amp;creator=factset&amp;display_string=Audit"}</definedName>
    <definedName name="_3114__FDSAUDITLINK__" hidden="1">{"fdsup://Directions/FactSet Auditing Viewer?action=AUDIT_VALUE&amp;DB=129&amp;ID1=53567810&amp;VALUEID=02001&amp;SDATE=200403&amp;PERIODTYPE=QTR_STD&amp;SCFT=3&amp;window=popup_no_bar&amp;width=385&amp;height=120&amp;START_MAXIMIZED=FALSE&amp;creator=factset&amp;display_string=Audit"}</definedName>
    <definedName name="_3115__FDSAUDITLINK__" hidden="1">{"fdsup://Directions/FactSet Auditing Viewer?action=AUDIT_VALUE&amp;DB=129&amp;ID1=48248010&amp;VALUEID=02001&amp;SDATE=200403&amp;PERIODTYPE=QTR_STD&amp;SCFT=3&amp;window=popup_no_bar&amp;width=385&amp;height=120&amp;START_MAXIMIZED=FALSE&amp;creator=factset&amp;display_string=Audit"}</definedName>
    <definedName name="_3116__FDSAUDITLINK__" hidden="1">{"fdsup://Directions/FactSet Auditing Viewer?action=AUDIT_VALUE&amp;DB=129&amp;ID1=48248010&amp;VALUEID=02001&amp;SDATE=200403&amp;PERIODTYPE=QTR_STD&amp;SCFT=3&amp;window=popup_no_bar&amp;width=385&amp;height=120&amp;START_MAXIMIZED=FALSE&amp;creator=factset&amp;display_string=Audit"}</definedName>
    <definedName name="_3117__FDSAUDITLINK__" hidden="1">{"fdsup://Directions/FactSet Auditing Viewer?action=AUDIT_VALUE&amp;DB=129&amp;ID1=48203R10&amp;VALUEID=02001&amp;SDATE=200401&amp;PERIODTYPE=QTR_STD&amp;SCFT=3&amp;window=popup_no_bar&amp;width=385&amp;height=120&amp;START_MAXIMIZED=FALSE&amp;creator=factset&amp;display_string=Audit"}</definedName>
    <definedName name="_3118__FDSAUDITLINK__" hidden="1">{"fdsup://Directions/FactSet Auditing Viewer?action=AUDIT_VALUE&amp;DB=129&amp;ID1=48203R10&amp;VALUEID=02001&amp;SDATE=200401&amp;PERIODTYPE=QTR_STD&amp;SCFT=3&amp;window=popup_no_bar&amp;width=385&amp;height=120&amp;START_MAXIMIZED=FALSE&amp;creator=factset&amp;display_string=Audit"}</definedName>
    <definedName name="_3119__FDSAUDITLINK__" hidden="1">{"fdsup://Directions/FactSet Auditing Viewer?action=AUDIT_VALUE&amp;DB=129&amp;ID1=86681020&amp;VALUEID=02001&amp;SDATE=200403&amp;PERIODTYPE=QTR_STD&amp;SCFT=3&amp;window=popup_no_bar&amp;width=385&amp;height=120&amp;START_MAXIMIZED=FALSE&amp;creator=factset&amp;display_string=Audit"}</definedName>
    <definedName name="_312__FDSAUDITLINK__" hidden="1">{"fdsup://Directions/FactSet Auditing Viewer?action=AUDIT_VALUE&amp;DB=129&amp;ID1=83088M10&amp;VALUEID=02001&amp;SDATE=201004&amp;PERIODTYPE=QTR_STD&amp;SCFT=3&amp;window=popup_no_bar&amp;width=385&amp;height=120&amp;START_MAXIMIZED=FALSE&amp;creator=factset&amp;display_string=Audit"}</definedName>
    <definedName name="_3120__FDSAUDITLINK__" hidden="1">{"fdsup://Directions/FactSet Auditing Viewer?action=AUDIT_VALUE&amp;DB=129&amp;ID1=86681020&amp;VALUEID=02001&amp;SDATE=200403&amp;PERIODTYPE=QTR_STD&amp;SCFT=3&amp;window=popup_no_bar&amp;width=385&amp;height=120&amp;START_MAXIMIZED=FALSE&amp;creator=factset&amp;display_string=Audit"}</definedName>
    <definedName name="_3121__FDSAUDITLINK__" hidden="1">{"fdsup://Directions/FactSet Auditing Viewer?action=AUDIT_VALUE&amp;DB=129&amp;ID1=46069S10&amp;VALUEID=02001&amp;SDATE=200401&amp;PERIODTYPE=QTR_STD&amp;SCFT=3&amp;window=popup_no_bar&amp;width=385&amp;height=120&amp;START_MAXIMIZED=FALSE&amp;creator=factset&amp;display_string=Audit"}</definedName>
    <definedName name="_3122__FDSAUDITLINK__" hidden="1">{"fdsup://Directions/FactSet Auditing Viewer?action=AUDIT_VALUE&amp;DB=129&amp;ID1=46069S10&amp;VALUEID=02001&amp;SDATE=200401&amp;PERIODTYPE=QTR_STD&amp;SCFT=3&amp;window=popup_no_bar&amp;width=385&amp;height=120&amp;START_MAXIMIZED=FALSE&amp;creator=factset&amp;display_string=Audit"}</definedName>
    <definedName name="_3123__FDSAUDITLINK__" hidden="1">{"fdsup://Directions/FactSet Auditing Viewer?action=AUDIT_VALUE&amp;DB=129&amp;ID1=45814010&amp;VALUEID=02001&amp;SDATE=200401&amp;PERIODTYPE=QTR_STD&amp;SCFT=3&amp;window=popup_no_bar&amp;width=385&amp;height=120&amp;START_MAXIMIZED=FALSE&amp;creator=factset&amp;display_string=Audit"}</definedName>
    <definedName name="_3124__FDSAUDITLINK__" hidden="1">{"fdsup://Directions/FactSet Auditing Viewer?action=AUDIT_VALUE&amp;DB=129&amp;ID1=45814010&amp;VALUEID=02001&amp;SDATE=200401&amp;PERIODTYPE=QTR_STD&amp;SCFT=3&amp;window=popup_no_bar&amp;width=385&amp;height=120&amp;START_MAXIMIZED=FALSE&amp;creator=factset&amp;display_string=Audit"}</definedName>
    <definedName name="_3125__FDSAUDITLINK__" hidden="1">{"fdsup://Directions/FactSet Auditing Viewer?action=AUDIT_VALUE&amp;DB=129&amp;ID1=42823610&amp;VALUEID=02001&amp;SDATE=200402&amp;PERIODTYPE=QTR_STD&amp;SCFT=3&amp;window=popup_no_bar&amp;width=385&amp;height=120&amp;START_MAXIMIZED=FALSE&amp;creator=factset&amp;display_string=Audit"}</definedName>
    <definedName name="_3126__FDSAUDITLINK__" hidden="1">{"fdsup://Directions/FactSet Auditing Viewer?action=AUDIT_VALUE&amp;DB=129&amp;ID1=42823610&amp;VALUEID=02001&amp;SDATE=200402&amp;PERIODTYPE=QTR_STD&amp;SCFT=3&amp;window=popup_no_bar&amp;width=385&amp;height=120&amp;START_MAXIMIZED=FALSE&amp;creator=factset&amp;display_string=Audit"}</definedName>
    <definedName name="_3127__FDSAUDITLINK__" hidden="1">{"fdsup://Directions/FactSet Auditing Viewer?action=AUDIT_VALUE&amp;DB=129&amp;ID1=34637510&amp;VALUEID=02001&amp;SDATE=200401&amp;PERIODTYPE=QTR_STD&amp;SCFT=3&amp;window=popup_no_bar&amp;width=385&amp;height=120&amp;START_MAXIMIZED=FALSE&amp;creator=factset&amp;display_string=Audit"}</definedName>
    <definedName name="_3128__FDSAUDITLINK__" hidden="1">{"fdsup://Directions/FactSet Auditing Viewer?action=AUDIT_VALUE&amp;DB=129&amp;ID1=34637510&amp;VALUEID=02001&amp;SDATE=200401&amp;PERIODTYPE=QTR_STD&amp;SCFT=3&amp;window=popup_no_bar&amp;width=385&amp;height=120&amp;START_MAXIMIZED=FALSE&amp;creator=factset&amp;display_string=Audit"}</definedName>
    <definedName name="_3129__FDSAUDITLINK__" hidden="1">{"fdsup://Directions/FactSet Auditing Viewer?action=AUDIT_VALUE&amp;DB=129&amp;ID1=31561610&amp;VALUEID=02001&amp;SDATE=200402&amp;PERIODTYPE=QTR_STD&amp;SCFT=3&amp;window=popup_no_bar&amp;width=385&amp;height=120&amp;START_MAXIMIZED=FALSE&amp;creator=factset&amp;display_string=Audit"}</definedName>
    <definedName name="_313__FDSAUDITLINK__" hidden="1">{"fdsup://Directions/FactSet Auditing Viewer?action=AUDIT_VALUE&amp;DB=129&amp;ID1=G7945M10&amp;VALUEID=02001&amp;SDATE=201101&amp;PERIODTYPE=QTR_STD&amp;SCFT=3&amp;window=popup_no_bar&amp;width=385&amp;height=120&amp;START_MAXIMIZED=FALSE&amp;creator=factset&amp;display_string=Audit"}</definedName>
    <definedName name="_3130__FDSAUDITLINK__" hidden="1">{"fdsup://Directions/FactSet Auditing Viewer?action=AUDIT_VALUE&amp;DB=129&amp;ID1=31561610&amp;VALUEID=02001&amp;SDATE=200402&amp;PERIODTYPE=QTR_STD&amp;SCFT=3&amp;window=popup_no_bar&amp;width=385&amp;height=120&amp;START_MAXIMIZED=FALSE&amp;creator=factset&amp;display_string=Audit"}</definedName>
    <definedName name="_3131__FDSAUDITLINK__" hidden="1">{"fdsup://Directions/FactSet Auditing Viewer?action=AUDIT_VALUE&amp;DB=129&amp;ID1=29247520&amp;VALUEID=02001&amp;SDATE=200403&amp;PERIODTYPE=QTR_STD&amp;SCFT=3&amp;window=popup_no_bar&amp;width=385&amp;height=120&amp;START_MAXIMIZED=FALSE&amp;creator=factset&amp;display_string=Audit"}</definedName>
    <definedName name="_3132__FDSAUDITLINK__" hidden="1">{"fdsup://Directions/FactSet Auditing Viewer?action=AUDIT_VALUE&amp;DB=129&amp;ID1=29247520&amp;VALUEID=02001&amp;SDATE=200403&amp;PERIODTYPE=QTR_STD&amp;SCFT=3&amp;window=popup_no_bar&amp;width=385&amp;height=120&amp;START_MAXIMIZED=FALSE&amp;creator=factset&amp;display_string=Audit"}</definedName>
    <definedName name="_3133__FDSAUDITLINK__" hidden="1">{"fdsup://Directions/FactSet Auditing Viewer?action=AUDIT_VALUE&amp;DB=129&amp;ID1=25454310&amp;VALUEID=02001&amp;SDATE=200401&amp;PERIODTYPE=QTR_STD&amp;SCFT=3&amp;window=popup_no_bar&amp;width=385&amp;height=120&amp;START_MAXIMIZED=FALSE&amp;creator=factset&amp;display_string=Audit"}</definedName>
    <definedName name="_3134__FDSAUDITLINK__" hidden="1">{"fdsup://Directions/FactSet Auditing Viewer?action=AUDIT_VALUE&amp;DB=129&amp;ID1=25454310&amp;VALUEID=02001&amp;SDATE=200401&amp;PERIODTYPE=QTR_STD&amp;SCFT=3&amp;window=popup_no_bar&amp;width=385&amp;height=120&amp;START_MAXIMIZED=FALSE&amp;creator=factset&amp;display_string=Audit"}</definedName>
    <definedName name="_3135__FDSAUDITLINK__" hidden="1">{"fdsup://Directions/FactSet Auditing Viewer?action=AUDIT_VALUE&amp;DB=129&amp;ID1=24702R10&amp;VALUEID=02001&amp;SDATE=200401&amp;PERIODTYPE=QTR_STD&amp;SCFT=3&amp;window=popup_no_bar&amp;width=385&amp;height=120&amp;START_MAXIMIZED=FALSE&amp;creator=factset&amp;display_string=Audit"}</definedName>
    <definedName name="_3136__FDSAUDITLINK__" hidden="1">{"fdsup://Directions/FactSet Auditing Viewer?action=AUDIT_VALUE&amp;DB=129&amp;ID1=24702R10&amp;VALUEID=02001&amp;SDATE=200401&amp;PERIODTYPE=QTR_STD&amp;SCFT=3&amp;window=popup_no_bar&amp;width=385&amp;height=120&amp;START_MAXIMIZED=FALSE&amp;creator=factset&amp;display_string=Audit"}</definedName>
    <definedName name="_3137__FDSAUDITLINK__" hidden="1">{"fdsup://Directions/FactSet Auditing Viewer?action=AUDIT_VALUE&amp;DB=129&amp;ID1=23280610&amp;VALUEID=02001&amp;SDATE=200401&amp;PERIODTYPE=QTR_STD&amp;SCFT=3&amp;window=popup_no_bar&amp;width=385&amp;height=120&amp;START_MAXIMIZED=FALSE&amp;creator=factset&amp;display_string=Audit"}</definedName>
    <definedName name="_3138__FDSAUDITLINK__" hidden="1">{"fdsup://Directions/FactSet Auditing Viewer?action=AUDIT_VALUE&amp;DB=129&amp;ID1=23280610&amp;VALUEID=02001&amp;SDATE=200401&amp;PERIODTYPE=QTR_STD&amp;SCFT=3&amp;window=popup_no_bar&amp;width=385&amp;height=120&amp;START_MAXIMIZED=FALSE&amp;creator=factset&amp;display_string=Audit"}</definedName>
    <definedName name="_3139__FDSAUDITLINK__" hidden="1">{"fdsup://Directions/FactSet Auditing Viewer?action=AUDIT_VALUE&amp;DB=129&amp;ID1=17275R10&amp;VALUEID=02001&amp;SDATE=200403&amp;PERIODTYPE=QTR_STD&amp;SCFT=3&amp;window=popup_no_bar&amp;width=385&amp;height=120&amp;START_MAXIMIZED=FALSE&amp;creator=factset&amp;display_string=Audit"}</definedName>
    <definedName name="_314__FDSAUDITLINK__" hidden="1">{"fdsup://Directions/FactSet Auditing Viewer?action=AUDIT_VALUE&amp;DB=129&amp;ID1=G7945M10&amp;VALUEID=02001&amp;SDATE=201101&amp;PERIODTYPE=QTR_STD&amp;SCFT=3&amp;window=popup_no_bar&amp;width=385&amp;height=120&amp;START_MAXIMIZED=FALSE&amp;creator=factset&amp;display_string=Audit"}</definedName>
    <definedName name="_3140__FDSAUDITLINK__" hidden="1">{"fdsup://Directions/FactSet Auditing Viewer?action=AUDIT_VALUE&amp;DB=129&amp;ID1=17275R10&amp;VALUEID=02001&amp;SDATE=200403&amp;PERIODTYPE=QTR_STD&amp;SCFT=3&amp;window=popup_no_bar&amp;width=385&amp;height=120&amp;START_MAXIMIZED=FALSE&amp;creator=factset&amp;display_string=Audit"}</definedName>
    <definedName name="_3141__FDSAUDITLINK__" hidden="1">{"fdsup://Directions/FactSet Auditing Viewer?action=AUDIT_VALUE&amp;DB=129&amp;ID1=22544710&amp;VALUEID=02001&amp;SDATE=200403&amp;PERIODTYPE=QTR_STD&amp;SCFT=3&amp;window=popup_no_bar&amp;width=385&amp;height=120&amp;START_MAXIMIZED=FALSE&amp;creator=factset&amp;display_string=Audit"}</definedName>
    <definedName name="_3142__FDSAUDITLINK__" hidden="1">{"fdsup://Directions/FactSet Auditing Viewer?action=AUDIT_VALUE&amp;DB=129&amp;ID1=22544710&amp;VALUEID=02001&amp;SDATE=200403&amp;PERIODTYPE=QTR_STD&amp;SCFT=3&amp;window=popup_no_bar&amp;width=385&amp;height=120&amp;START_MAXIMIZED=FALSE&amp;creator=factset&amp;display_string=Audit"}</definedName>
    <definedName name="_3143__FDSAUDITLINK__" hidden="1">{"fdsup://Directions/FactSet Auditing Viewer?action=AUDIT_VALUE&amp;DB=129&amp;ID1=20714230&amp;VALUEID=02001&amp;SDATE=200402&amp;PERIODTYPE=QTR_STD&amp;SCFT=3&amp;window=popup_no_bar&amp;width=385&amp;height=120&amp;START_MAXIMIZED=FALSE&amp;creator=factset&amp;display_string=Audit"}</definedName>
    <definedName name="_3144__FDSAUDITLINK__" hidden="1">{"fdsup://Directions/FactSet Auditing Viewer?action=AUDIT_VALUE&amp;DB=129&amp;ID1=20714230&amp;VALUEID=02001&amp;SDATE=200402&amp;PERIODTYPE=QTR_STD&amp;SCFT=3&amp;window=popup_no_bar&amp;width=385&amp;height=120&amp;START_MAXIMIZED=FALSE&amp;creator=factset&amp;display_string=Audit"}</definedName>
    <definedName name="_3145__FDSAUDITLINK__" hidden="1">{"fdsup://Directions/FactSet Auditing Viewer?action=AUDIT_VALUE&amp;DB=129&amp;ID1=12738710&amp;VALUEID=02001&amp;SDATE=200401&amp;PERIODTYPE=QTR_STD&amp;SCFT=3&amp;window=popup_no_bar&amp;width=385&amp;height=120&amp;START_MAXIMIZED=FALSE&amp;creator=factset&amp;display_string=Audit"}</definedName>
    <definedName name="_3146__FDSAUDITLINK__" hidden="1">{"fdsup://Directions/FactSet Auditing Viewer?action=AUDIT_VALUE&amp;DB=129&amp;ID1=12738710&amp;VALUEID=02001&amp;SDATE=200401&amp;PERIODTYPE=QTR_STD&amp;SCFT=3&amp;window=popup_no_bar&amp;width=385&amp;height=120&amp;START_MAXIMIZED=FALSE&amp;creator=factset&amp;display_string=Audit"}</definedName>
    <definedName name="_3147__FDSAUDITLINK__" hidden="1">{"fdsup://Directions/FactSet Auditing Viewer?action=AUDIT_VALUE&amp;DB=129&amp;ID1=11162130&amp;VALUEID=02001&amp;SDATE=200402&amp;PERIODTYPE=QTR_STD&amp;SCFT=3&amp;window=popup_no_bar&amp;width=385&amp;height=120&amp;START_MAXIMIZED=FALSE&amp;creator=factset&amp;display_string=Audit"}</definedName>
    <definedName name="_3148__FDSAUDITLINK__" hidden="1">{"fdsup://Directions/FactSet Auditing Viewer?action=AUDIT_VALUE&amp;DB=129&amp;ID1=11162130&amp;VALUEID=02001&amp;SDATE=200402&amp;PERIODTYPE=QTR_STD&amp;SCFT=3&amp;window=popup_no_bar&amp;width=385&amp;height=120&amp;START_MAXIMIZED=FALSE&amp;creator=factset&amp;display_string=Audit"}</definedName>
    <definedName name="_3149__FDSAUDITLINK__" hidden="1">{"fdsup://Directions/FactSet Auditing Viewer?action=AUDIT_VALUE&amp;DB=129&amp;ID1=04743P10&amp;VALUEID=02001&amp;SDATE=200401&amp;PERIODTYPE=QTR_STD&amp;SCFT=3&amp;window=popup_no_bar&amp;width=385&amp;height=120&amp;START_MAXIMIZED=FALSE&amp;creator=factset&amp;display_string=Audit"}</definedName>
    <definedName name="_315__FDSAUDITLINK__" hidden="1">{"fdsup://Directions/FactSet Auditing Viewer?action=AUDIT_VALUE&amp;DB=129&amp;ID1=78477410&amp;VALUEID=02001&amp;SDATE=201003&amp;PERIODTYPE=QTR_STD&amp;SCFT=3&amp;window=popup_no_bar&amp;width=385&amp;height=120&amp;START_MAXIMIZED=FALSE&amp;creator=factset&amp;display_string=Audit"}</definedName>
    <definedName name="_3150__FDSAUDITLINK__" hidden="1">{"fdsup://Directions/FactSet Auditing Viewer?action=AUDIT_VALUE&amp;DB=129&amp;ID1=04743P10&amp;VALUEID=02001&amp;SDATE=200401&amp;PERIODTYPE=QTR_STD&amp;SCFT=3&amp;window=popup_no_bar&amp;width=385&amp;height=120&amp;START_MAXIMIZED=FALSE&amp;creator=factset&amp;display_string=Audit"}</definedName>
    <definedName name="_3151__FDSAUDITLINK__" hidden="1">{"fdsup://Directions/FactSet Auditing Viewer?action=AUDIT_VALUE&amp;DB=129&amp;ID1=00790310&amp;VALUEID=02001&amp;SDATE=200401&amp;PERIODTYPE=QTR_STD&amp;SCFT=3&amp;window=popup_no_bar&amp;width=385&amp;height=120&amp;START_MAXIMIZED=FALSE&amp;creator=factset&amp;display_string=Audit"}</definedName>
    <definedName name="_3152__FDSAUDITLINK__" hidden="1">{"fdsup://Directions/FactSet Auditing Viewer?action=AUDIT_VALUE&amp;DB=129&amp;ID1=00790310&amp;VALUEID=02001&amp;SDATE=200401&amp;PERIODTYPE=QTR_STD&amp;SCFT=3&amp;window=popup_no_bar&amp;width=385&amp;height=120&amp;START_MAXIMIZED=FALSE&amp;creator=factset&amp;display_string=Audit"}</definedName>
    <definedName name="_3153__FDSAUDITLINK__" hidden="1">{"fdsup://Directions/FactSet Auditing Viewer?action=AUDIT_VALUE&amp;DB=129&amp;ID1=03822210&amp;VALUEID=02001&amp;SDATE=200402&amp;PERIODTYPE=QTR_STD&amp;SCFT=3&amp;window=popup_no_bar&amp;width=385&amp;height=120&amp;START_MAXIMIZED=FALSE&amp;creator=factset&amp;display_string=Audit"}</definedName>
    <definedName name="_3154__FDSAUDITLINK__" hidden="1">{"fdsup://Directions/FactSet Auditing Viewer?action=AUDIT_VALUE&amp;DB=129&amp;ID1=03822210&amp;VALUEID=02001&amp;SDATE=200402&amp;PERIODTYPE=QTR_STD&amp;SCFT=3&amp;window=popup_no_bar&amp;width=385&amp;height=120&amp;START_MAXIMIZED=FALSE&amp;creator=factset&amp;display_string=Audit"}</definedName>
    <definedName name="_3155__FDSAUDITLINK__" hidden="1">{"fdsup://Directions/FactSet Auditing Viewer?action=AUDIT_VALUE&amp;DB=129&amp;ID1=02144110&amp;VALUEID=02001&amp;SDATE=200401&amp;PERIODTYPE=QTR_STD&amp;SCFT=3&amp;window=popup_no_bar&amp;width=385&amp;height=120&amp;START_MAXIMIZED=FALSE&amp;creator=factset&amp;display_string=Audit"}</definedName>
    <definedName name="_3156__FDSAUDITLINK__" hidden="1">{"fdsup://Directions/FactSet Auditing Viewer?action=AUDIT_VALUE&amp;DB=129&amp;ID1=02144110&amp;VALUEID=02001&amp;SDATE=200401&amp;PERIODTYPE=QTR_STD&amp;SCFT=3&amp;window=popup_no_bar&amp;width=385&amp;height=120&amp;START_MAXIMIZED=FALSE&amp;creator=factset&amp;display_string=Audit"}</definedName>
    <definedName name="_3157__FDSAUDITLINK__" hidden="1">{"fdsup://Directions/FactSet Auditing Viewer?action=AUDIT_VALUE&amp;DB=129&amp;ID1=03265410&amp;VALUEID=02001&amp;SDATE=200402&amp;PERIODTYPE=QTR_STD&amp;SCFT=3&amp;window=popup_no_bar&amp;width=385&amp;height=120&amp;START_MAXIMIZED=FALSE&amp;creator=factset&amp;display_string=Audit"}</definedName>
    <definedName name="_3158__FDSAUDITLINK__" hidden="1">{"fdsup://Directions/FactSet Auditing Viewer?action=AUDIT_VALUE&amp;DB=129&amp;ID1=03265410&amp;VALUEID=02001&amp;SDATE=200402&amp;PERIODTYPE=QTR_STD&amp;SCFT=3&amp;window=popup_no_bar&amp;width=385&amp;height=120&amp;START_MAXIMIZED=FALSE&amp;creator=factset&amp;display_string=Audit"}</definedName>
    <definedName name="_3159__FDSAUDITLINK__" hidden="1">{"fdsup://Directions/FactSet Auditing Viewer?action=AUDIT_VALUE&amp;DB=129&amp;ID1=80004C10&amp;VALUEID=02001&amp;SDATE=200402&amp;PERIODTYPE=QTR_STD&amp;SCFT=3&amp;window=popup_no_bar&amp;width=385&amp;height=120&amp;START_MAXIMIZED=FALSE&amp;creator=factset&amp;display_string=Audit"}</definedName>
    <definedName name="_316__FDSAUDITLINK__" hidden="1">{"fdsup://Directions/FactSet Auditing Viewer?action=AUDIT_VALUE&amp;DB=129&amp;ID1=78477410&amp;VALUEID=02001&amp;SDATE=201003&amp;PERIODTYPE=QTR_STD&amp;SCFT=3&amp;window=popup_no_bar&amp;width=385&amp;height=120&amp;START_MAXIMIZED=FALSE&amp;creator=factset&amp;display_string=Audit"}</definedName>
    <definedName name="_3160__FDSAUDITLINK__" hidden="1">{"fdsup://Directions/FactSet Auditing Viewer?action=AUDIT_VALUE&amp;DB=129&amp;ID1=80004C10&amp;VALUEID=02001&amp;SDATE=200402&amp;PERIODTYPE=QTR_STD&amp;SCFT=3&amp;window=popup_no_bar&amp;width=385&amp;height=120&amp;START_MAXIMIZED=FALSE&amp;creator=factset&amp;display_string=Audit"}</definedName>
    <definedName name="_3161__FDSAUDITLINK__" hidden="1">{"fdsup://Directions/FactSet Auditing Viewer?action=AUDIT_VALUE&amp;DB=129&amp;ID1=80004C10&amp;VALUEID=02001&amp;SDATE=200401&amp;PERIODTYPE=QTR_STD&amp;SCFT=3&amp;window=popup_no_bar&amp;width=385&amp;height=120&amp;START_MAXIMIZED=FALSE&amp;creator=factset&amp;display_string=Audit"}</definedName>
    <definedName name="_3162__FDSAUDITLINK__" hidden="1">{"fdsup://Directions/FactSet Auditing Viewer?action=AUDIT_VALUE&amp;DB=129&amp;ID1=80004C10&amp;VALUEID=02001&amp;SDATE=200401&amp;PERIODTYPE=QTR_STD&amp;SCFT=3&amp;window=popup_no_bar&amp;width=385&amp;height=120&amp;START_MAXIMIZED=FALSE&amp;creator=factset&amp;display_string=Audit"}</definedName>
    <definedName name="_3163__FDSAUDITLINK__" hidden="1">{"fdsup://Directions/FactSet Auditing Viewer?action=AUDIT_VALUE&amp;DB=129&amp;ID1=81685010&amp;VALUEID=02001&amp;SDATE=200801&amp;PERIODTYPE=QTR_STD&amp;SCFT=3&amp;window=popup_no_bar&amp;width=385&amp;height=120&amp;START_MAXIMIZED=FALSE&amp;creator=factset&amp;display_string=Audit"}</definedName>
    <definedName name="_3164__FDSAUDITLINK__" hidden="1">{"fdsup://Directions/FactSet Auditing Viewer?action=AUDIT_VALUE&amp;DB=129&amp;ID1=81685010&amp;VALUEID=02001&amp;SDATE=200801&amp;PERIODTYPE=QTR_STD&amp;SCFT=3&amp;window=popup_no_bar&amp;width=385&amp;height=120&amp;START_MAXIMIZED=FALSE&amp;creator=factset&amp;display_string=Audit"}</definedName>
    <definedName name="_3165__FDSAUDITLINK__" hidden="1">{"fdsup://Directions/FactSet Auditing Viewer?action=AUDIT_VALUE&amp;DB=129&amp;ID1=81685010&amp;VALUEID=02001&amp;SDATE=200703&amp;PERIODTYPE=QTR_STD&amp;SCFT=3&amp;window=popup_no_bar&amp;width=385&amp;height=120&amp;START_MAXIMIZED=FALSE&amp;creator=factset&amp;display_string=Audit"}</definedName>
    <definedName name="_3166__FDSAUDITLINK__" hidden="1">{"fdsup://Directions/FactSet Auditing Viewer?action=AUDIT_VALUE&amp;DB=129&amp;ID1=81685010&amp;VALUEID=02001&amp;SDATE=200703&amp;PERIODTYPE=QTR_STD&amp;SCFT=3&amp;window=popup_no_bar&amp;width=385&amp;height=120&amp;START_MAXIMIZED=FALSE&amp;creator=factset&amp;display_string=Audit"}</definedName>
    <definedName name="_3167__FDSAUDITLINK__" hidden="1">{"fdsup://Directions/FactSet Auditing Viewer?action=AUDIT_VALUE&amp;DB=129&amp;ID1=81685010&amp;VALUEID=02001&amp;SDATE=200702&amp;PERIODTYPE=QTR_STD&amp;SCFT=3&amp;window=popup_no_bar&amp;width=385&amp;height=120&amp;START_MAXIMIZED=FALSE&amp;creator=factset&amp;display_string=Audit"}</definedName>
    <definedName name="_3168__FDSAUDITLINK__" hidden="1">{"fdsup://Directions/FactSet Auditing Viewer?action=AUDIT_VALUE&amp;DB=129&amp;ID1=81685010&amp;VALUEID=02001&amp;SDATE=200702&amp;PERIODTYPE=QTR_STD&amp;SCFT=3&amp;window=popup_no_bar&amp;width=385&amp;height=120&amp;START_MAXIMIZED=FALSE&amp;creator=factset&amp;display_string=Audit"}</definedName>
    <definedName name="_3169__FDSAUDITLINK__" hidden="1">{"fdsup://Directions/FactSet Auditing Viewer?action=AUDIT_VALUE&amp;DB=129&amp;ID1=81685010&amp;VALUEID=02001&amp;SDATE=200701&amp;PERIODTYPE=QTR_STD&amp;SCFT=3&amp;window=popup_no_bar&amp;width=385&amp;height=120&amp;START_MAXIMIZED=FALSE&amp;creator=factset&amp;display_string=Audit"}</definedName>
    <definedName name="_317__FDSAUDITLINK__" hidden="1">{"fdsup://Directions/FactSet Auditing Viewer?action=AUDIT_VALUE&amp;DB=129&amp;ID1=87160710&amp;VALUEID=02001&amp;SDATE=201004&amp;PERIODTYPE=QTR_STD&amp;SCFT=3&amp;window=popup_no_bar&amp;width=385&amp;height=120&amp;START_MAXIMIZED=FALSE&amp;creator=factset&amp;display_string=Audit"}</definedName>
    <definedName name="_3170__FDSAUDITLINK__" hidden="1">{"fdsup://Directions/FactSet Auditing Viewer?action=AUDIT_VALUE&amp;DB=129&amp;ID1=81685010&amp;VALUEID=02001&amp;SDATE=200701&amp;PERIODTYPE=QTR_STD&amp;SCFT=3&amp;window=popup_no_bar&amp;width=385&amp;height=120&amp;START_MAXIMIZED=FALSE&amp;creator=factset&amp;display_string=Audit"}</definedName>
    <definedName name="_3171__FDSAUDITLINK__" hidden="1">{"fdsup://Directions/FactSet Auditing Viewer?action=AUDIT_VALUE&amp;DB=129&amp;ID1=81685010&amp;VALUEID=02001&amp;SDATE=200603&amp;PERIODTYPE=QTR_STD&amp;SCFT=3&amp;window=popup_no_bar&amp;width=385&amp;height=120&amp;START_MAXIMIZED=FALSE&amp;creator=factset&amp;display_string=Audit"}</definedName>
    <definedName name="_3172__FDSAUDITLINK__" hidden="1">{"fdsup://Directions/FactSet Auditing Viewer?action=AUDIT_VALUE&amp;DB=129&amp;ID1=81685010&amp;VALUEID=02001&amp;SDATE=200603&amp;PERIODTYPE=QTR_STD&amp;SCFT=3&amp;window=popup_no_bar&amp;width=385&amp;height=120&amp;START_MAXIMIZED=FALSE&amp;creator=factset&amp;display_string=Audit"}</definedName>
    <definedName name="_3173__FDSAUDITLINK__" hidden="1">{"fdsup://Directions/FactSet Auditing Viewer?action=AUDIT_VALUE&amp;DB=129&amp;ID1=81685010&amp;VALUEID=02001&amp;SDATE=200602&amp;PERIODTYPE=QTR_STD&amp;SCFT=3&amp;window=popup_no_bar&amp;width=385&amp;height=120&amp;START_MAXIMIZED=FALSE&amp;creator=factset&amp;display_string=Audit"}</definedName>
    <definedName name="_3174__FDSAUDITLINK__" hidden="1">{"fdsup://Directions/FactSet Auditing Viewer?action=AUDIT_VALUE&amp;DB=129&amp;ID1=81685010&amp;VALUEID=02001&amp;SDATE=200602&amp;PERIODTYPE=QTR_STD&amp;SCFT=3&amp;window=popup_no_bar&amp;width=385&amp;height=120&amp;START_MAXIMIZED=FALSE&amp;creator=factset&amp;display_string=Audit"}</definedName>
    <definedName name="_3175__FDSAUDITLINK__" hidden="1">{"fdsup://Directions/FactSet Auditing Viewer?action=AUDIT_VALUE&amp;DB=129&amp;ID1=81685010&amp;VALUEID=02001&amp;SDATE=200601&amp;PERIODTYPE=QTR_STD&amp;SCFT=3&amp;window=popup_no_bar&amp;width=385&amp;height=120&amp;START_MAXIMIZED=FALSE&amp;creator=factset&amp;display_string=Audit"}</definedName>
    <definedName name="_3176__FDSAUDITLINK__" hidden="1">{"fdsup://Directions/FactSet Auditing Viewer?action=AUDIT_VALUE&amp;DB=129&amp;ID1=81685010&amp;VALUEID=02001&amp;SDATE=200601&amp;PERIODTYPE=QTR_STD&amp;SCFT=3&amp;window=popup_no_bar&amp;width=385&amp;height=120&amp;START_MAXIMIZED=FALSE&amp;creator=factset&amp;display_string=Audit"}</definedName>
    <definedName name="_3177__FDSAUDITLINK__" hidden="1">{"fdsup://Directions/FactSet Auditing Viewer?action=AUDIT_VALUE&amp;DB=129&amp;ID1=81685010&amp;VALUEID=02001&amp;SDATE=200503&amp;PERIODTYPE=QTR_STD&amp;SCFT=3&amp;window=popup_no_bar&amp;width=385&amp;height=120&amp;START_MAXIMIZED=FALSE&amp;creator=factset&amp;display_string=Audit"}</definedName>
    <definedName name="_3178__FDSAUDITLINK__" hidden="1">{"fdsup://Directions/FactSet Auditing Viewer?action=AUDIT_VALUE&amp;DB=129&amp;ID1=81685010&amp;VALUEID=02001&amp;SDATE=200503&amp;PERIODTYPE=QTR_STD&amp;SCFT=3&amp;window=popup_no_bar&amp;width=385&amp;height=120&amp;START_MAXIMIZED=FALSE&amp;creator=factset&amp;display_string=Audit"}</definedName>
    <definedName name="_3179__FDSAUDITLINK__" hidden="1">{"fdsup://Directions/FactSet Auditing Viewer?action=AUDIT_VALUE&amp;DB=129&amp;ID1=81685010&amp;VALUEID=02001&amp;SDATE=200502&amp;PERIODTYPE=QTR_STD&amp;SCFT=3&amp;window=popup_no_bar&amp;width=385&amp;height=120&amp;START_MAXIMIZED=FALSE&amp;creator=factset&amp;display_string=Audit"}</definedName>
    <definedName name="_318__FDSAUDITLINK__" hidden="1">{"fdsup://Directions/FactSet Auditing Viewer?action=AUDIT_VALUE&amp;DB=129&amp;ID1=87160710&amp;VALUEID=02001&amp;SDATE=201004&amp;PERIODTYPE=QTR_STD&amp;SCFT=3&amp;window=popup_no_bar&amp;width=385&amp;height=120&amp;START_MAXIMIZED=FALSE&amp;creator=factset&amp;display_string=Audit"}</definedName>
    <definedName name="_3180__FDSAUDITLINK__" hidden="1">{"fdsup://Directions/FactSet Auditing Viewer?action=AUDIT_VALUE&amp;DB=129&amp;ID1=81685010&amp;VALUEID=02001&amp;SDATE=200502&amp;PERIODTYPE=QTR_STD&amp;SCFT=3&amp;window=popup_no_bar&amp;width=385&amp;height=120&amp;START_MAXIMIZED=FALSE&amp;creator=factset&amp;display_string=Audit"}</definedName>
    <definedName name="_3181__FDSAUDITLINK__" hidden="1">{"fdsup://Directions/FactSet Auditing Viewer?action=AUDIT_VALUE&amp;DB=129&amp;ID1=81685010&amp;VALUEID=02001&amp;SDATE=200501&amp;PERIODTYPE=QTR_STD&amp;SCFT=3&amp;window=popup_no_bar&amp;width=385&amp;height=120&amp;START_MAXIMIZED=FALSE&amp;creator=factset&amp;display_string=Audit"}</definedName>
    <definedName name="_3182__FDSAUDITLINK__" hidden="1">{"fdsup://Directions/FactSet Auditing Viewer?action=AUDIT_VALUE&amp;DB=129&amp;ID1=81685010&amp;VALUEID=02001&amp;SDATE=200501&amp;PERIODTYPE=QTR_STD&amp;SCFT=3&amp;window=popup_no_bar&amp;width=385&amp;height=120&amp;START_MAXIMIZED=FALSE&amp;creator=factset&amp;display_string=Audit"}</definedName>
    <definedName name="_3183__FDSAUDITLINK__" hidden="1">{"fdsup://Directions/FactSet Auditing Viewer?action=AUDIT_VALUE&amp;DB=129&amp;ID1=81685010&amp;VALUEID=02001&amp;SDATE=200403&amp;PERIODTYPE=QTR_STD&amp;SCFT=3&amp;window=popup_no_bar&amp;width=385&amp;height=120&amp;START_MAXIMIZED=FALSE&amp;creator=factset&amp;display_string=Audit"}</definedName>
    <definedName name="_3184__FDSAUDITLINK__" hidden="1">{"fdsup://Directions/FactSet Auditing Viewer?action=AUDIT_VALUE&amp;DB=129&amp;ID1=81685010&amp;VALUEID=02001&amp;SDATE=200403&amp;PERIODTYPE=QTR_STD&amp;SCFT=3&amp;window=popup_no_bar&amp;width=385&amp;height=120&amp;START_MAXIMIZED=FALSE&amp;creator=factset&amp;display_string=Audit"}</definedName>
    <definedName name="_3185__FDSAUDITLINK__" hidden="1">{"fdsup://Directions/FactSet Auditing Viewer?action=AUDIT_VALUE&amp;DB=129&amp;ID1=81685010&amp;VALUEID=02001&amp;SDATE=200402&amp;PERIODTYPE=QTR_STD&amp;SCFT=3&amp;window=popup_no_bar&amp;width=385&amp;height=120&amp;START_MAXIMIZED=FALSE&amp;creator=factset&amp;display_string=Audit"}</definedName>
    <definedName name="_3186__FDSAUDITLINK__" hidden="1">{"fdsup://Directions/FactSet Auditing Viewer?action=AUDIT_VALUE&amp;DB=129&amp;ID1=81685010&amp;VALUEID=02001&amp;SDATE=200402&amp;PERIODTYPE=QTR_STD&amp;SCFT=3&amp;window=popup_no_bar&amp;width=385&amp;height=120&amp;START_MAXIMIZED=FALSE&amp;creator=factset&amp;display_string=Audit"}</definedName>
    <definedName name="_3187__FDSAUDITLINK__" hidden="1">{"fdsup://Directions/FactSet Auditing Viewer?action=AUDIT_VALUE&amp;DB=129&amp;ID1=81685010&amp;VALUEID=02001&amp;SDATE=200401&amp;PERIODTYPE=QTR_STD&amp;SCFT=3&amp;window=popup_no_bar&amp;width=385&amp;height=120&amp;START_MAXIMIZED=FALSE&amp;creator=factset&amp;display_string=Audit"}</definedName>
    <definedName name="_3188__FDSAUDITLINK__" hidden="1">{"fdsup://Directions/FactSet Auditing Viewer?action=AUDIT_VALUE&amp;DB=129&amp;ID1=81685010&amp;VALUEID=02001&amp;SDATE=200401&amp;PERIODTYPE=QTR_STD&amp;SCFT=3&amp;window=popup_no_bar&amp;width=385&amp;height=120&amp;START_MAXIMIZED=FALSE&amp;creator=factset&amp;display_string=Audit"}</definedName>
    <definedName name="_3189__FDSAUDITLINK__" hidden="1">{"fdsup://Directions/FactSet Auditing Viewer?action=AUDIT_VALUE&amp;DB=129&amp;ID1=82691910&amp;VALUEID=02001&amp;SDATE=200801&amp;PERIODTYPE=QTR_STD&amp;SCFT=3&amp;window=popup_no_bar&amp;width=385&amp;height=120&amp;START_MAXIMIZED=FALSE&amp;creator=factset&amp;display_string=Audit"}</definedName>
    <definedName name="_319__FDSAUDITLINK__" hidden="1">{"fdsup://Directions/FactSet Auditing Viewer?action=AUDIT_VALUE&amp;DB=129&amp;ID1=80004C10&amp;VALUEID=02001&amp;SDATE=201003&amp;PERIODTYPE=QTR_STD&amp;SCFT=3&amp;window=popup_no_bar&amp;width=385&amp;height=120&amp;START_MAXIMIZED=FALSE&amp;creator=factset&amp;display_string=Audit"}</definedName>
    <definedName name="_3190__FDSAUDITLINK__" hidden="1">{"fdsup://Directions/FactSet Auditing Viewer?action=AUDIT_VALUE&amp;DB=129&amp;ID1=82691910&amp;VALUEID=02001&amp;SDATE=200801&amp;PERIODTYPE=QTR_STD&amp;SCFT=3&amp;window=popup_no_bar&amp;width=385&amp;height=120&amp;START_MAXIMIZED=FALSE&amp;creator=factset&amp;display_string=Audit"}</definedName>
    <definedName name="_3191__FDSAUDITLINK__" hidden="1">{"fdsup://Directions/FactSet Auditing Viewer?action=AUDIT_VALUE&amp;DB=129&amp;ID1=82691910&amp;VALUEID=02001&amp;SDATE=200703&amp;PERIODTYPE=QTR_STD&amp;SCFT=3&amp;window=popup_no_bar&amp;width=385&amp;height=120&amp;START_MAXIMIZED=FALSE&amp;creator=factset&amp;display_string=Audit"}</definedName>
    <definedName name="_3192__FDSAUDITLINK__" hidden="1">{"fdsup://Directions/FactSet Auditing Viewer?action=AUDIT_VALUE&amp;DB=129&amp;ID1=82691910&amp;VALUEID=02001&amp;SDATE=200703&amp;PERIODTYPE=QTR_STD&amp;SCFT=3&amp;window=popup_no_bar&amp;width=385&amp;height=120&amp;START_MAXIMIZED=FALSE&amp;creator=factset&amp;display_string=Audit"}</definedName>
    <definedName name="_3193__FDSAUDITLINK__" hidden="1">{"fdsup://Directions/FactSet Auditing Viewer?action=AUDIT_VALUE&amp;DB=129&amp;ID1=82691910&amp;VALUEID=02001&amp;SDATE=200702&amp;PERIODTYPE=QTR_STD&amp;SCFT=3&amp;window=popup_no_bar&amp;width=385&amp;height=120&amp;START_MAXIMIZED=FALSE&amp;creator=factset&amp;display_string=Audit"}</definedName>
    <definedName name="_3194__FDSAUDITLINK__" hidden="1">{"fdsup://Directions/FactSet Auditing Viewer?action=AUDIT_VALUE&amp;DB=129&amp;ID1=82691910&amp;VALUEID=02001&amp;SDATE=200702&amp;PERIODTYPE=QTR_STD&amp;SCFT=3&amp;window=popup_no_bar&amp;width=385&amp;height=120&amp;START_MAXIMIZED=FALSE&amp;creator=factset&amp;display_string=Audit"}</definedName>
    <definedName name="_3195__FDSAUDITLINK__" hidden="1">{"fdsup://Directions/FactSet Auditing Viewer?action=AUDIT_VALUE&amp;DB=129&amp;ID1=82691910&amp;VALUEID=02001&amp;SDATE=200701&amp;PERIODTYPE=QTR_STD&amp;SCFT=3&amp;window=popup_no_bar&amp;width=385&amp;height=120&amp;START_MAXIMIZED=FALSE&amp;creator=factset&amp;display_string=Audit"}</definedName>
    <definedName name="_3196__FDSAUDITLINK__" hidden="1">{"fdsup://Directions/FactSet Auditing Viewer?action=AUDIT_VALUE&amp;DB=129&amp;ID1=82691910&amp;VALUEID=02001&amp;SDATE=200701&amp;PERIODTYPE=QTR_STD&amp;SCFT=3&amp;window=popup_no_bar&amp;width=385&amp;height=120&amp;START_MAXIMIZED=FALSE&amp;creator=factset&amp;display_string=Audit"}</definedName>
    <definedName name="_3197__FDSAUDITLINK__" hidden="1">{"fdsup://Directions/FactSet Auditing Viewer?action=AUDIT_VALUE&amp;DB=129&amp;ID1=82691910&amp;VALUEID=02001&amp;SDATE=200603&amp;PERIODTYPE=QTR_STD&amp;SCFT=3&amp;window=popup_no_bar&amp;width=385&amp;height=120&amp;START_MAXIMIZED=FALSE&amp;creator=factset&amp;display_string=Audit"}</definedName>
    <definedName name="_3198__FDSAUDITLINK__" hidden="1">{"fdsup://Directions/FactSet Auditing Viewer?action=AUDIT_VALUE&amp;DB=129&amp;ID1=82691910&amp;VALUEID=02001&amp;SDATE=200603&amp;PERIODTYPE=QTR_STD&amp;SCFT=3&amp;window=popup_no_bar&amp;width=385&amp;height=120&amp;START_MAXIMIZED=FALSE&amp;creator=factset&amp;display_string=Audit"}</definedName>
    <definedName name="_3199__FDSAUDITLINK__" hidden="1">{"fdsup://Directions/FactSet Auditing Viewer?action=AUDIT_VALUE&amp;DB=129&amp;ID1=82691910&amp;VALUEID=02001&amp;SDATE=200602&amp;PERIODTYPE=QTR_STD&amp;SCFT=3&amp;window=popup_no_bar&amp;width=385&amp;height=120&amp;START_MAXIMIZED=FALSE&amp;creator=factset&amp;display_string=Audit"}</definedName>
    <definedName name="_32__FDSAUDITLINK__" hidden="1">{"fdsup://directions/FAT Viewer?action=UPDATE&amp;creator=factset&amp;DYN_ARGS=TRUE&amp;DOC_NAME=FAT:FQL_AUDITING_CLIENT_TEMPLATE.FAT&amp;display_string=Audit&amp;VAR:KEY=ERQDOTENQH&amp;VAR:QUERY=RkZfU0hTX0ZMT0FUKEFOTiw0MDYzMyk=&amp;WINDOW=FIRST_POPUP&amp;HEIGHT=450&amp;WIDTH=450&amp;START_MAXIMI","ZED=FALSE&amp;VAR:CALENDAR=US&amp;VAR:SYMBOL=LAS VEGAS SANDS&amp;VAR:INDEX=0"}</definedName>
    <definedName name="_320__FDSAUDITLINK__" hidden="1">{"fdsup://Directions/FactSet Auditing Viewer?action=AUDIT_VALUE&amp;DB=129&amp;ID1=80004C10&amp;VALUEID=02001&amp;SDATE=201003&amp;PERIODTYPE=QTR_STD&amp;SCFT=3&amp;window=popup_no_bar&amp;width=385&amp;height=120&amp;START_MAXIMIZED=FALSE&amp;creator=factset&amp;display_string=Audit"}</definedName>
    <definedName name="_3200__FDSAUDITLINK__" hidden="1">{"fdsup://Directions/FactSet Auditing Viewer?action=AUDIT_VALUE&amp;DB=129&amp;ID1=82691910&amp;VALUEID=02001&amp;SDATE=200602&amp;PERIODTYPE=QTR_STD&amp;SCFT=3&amp;window=popup_no_bar&amp;width=385&amp;height=120&amp;START_MAXIMIZED=FALSE&amp;creator=factset&amp;display_string=Audit"}</definedName>
    <definedName name="_3201__FDSAUDITLINK__" hidden="1">{"fdsup://Directions/FactSet Auditing Viewer?action=AUDIT_VALUE&amp;DB=129&amp;ID1=82691910&amp;VALUEID=02001&amp;SDATE=200601&amp;PERIODTYPE=QTR_STD&amp;SCFT=3&amp;window=popup_no_bar&amp;width=385&amp;height=120&amp;START_MAXIMIZED=FALSE&amp;creator=factset&amp;display_string=Audit"}</definedName>
    <definedName name="_3202__FDSAUDITLINK__" hidden="1">{"fdsup://Directions/FactSet Auditing Viewer?action=AUDIT_VALUE&amp;DB=129&amp;ID1=82691910&amp;VALUEID=02001&amp;SDATE=200601&amp;PERIODTYPE=QTR_STD&amp;SCFT=3&amp;window=popup_no_bar&amp;width=385&amp;height=120&amp;START_MAXIMIZED=FALSE&amp;creator=factset&amp;display_string=Audit"}</definedName>
    <definedName name="_3203__FDSAUDITLINK__" hidden="1">{"fdsup://Directions/FactSet Auditing Viewer?action=AUDIT_VALUE&amp;DB=129&amp;ID1=82691910&amp;VALUEID=02001&amp;SDATE=200503&amp;PERIODTYPE=QTR_STD&amp;SCFT=3&amp;window=popup_no_bar&amp;width=385&amp;height=120&amp;START_MAXIMIZED=FALSE&amp;creator=factset&amp;display_string=Audit"}</definedName>
    <definedName name="_3204__FDSAUDITLINK__" hidden="1">{"fdsup://Directions/FactSet Auditing Viewer?action=AUDIT_VALUE&amp;DB=129&amp;ID1=82691910&amp;VALUEID=02001&amp;SDATE=200503&amp;PERIODTYPE=QTR_STD&amp;SCFT=3&amp;window=popup_no_bar&amp;width=385&amp;height=120&amp;START_MAXIMIZED=FALSE&amp;creator=factset&amp;display_string=Audit"}</definedName>
    <definedName name="_3205__FDSAUDITLINK__" hidden="1">{"fdsup://Directions/FactSet Auditing Viewer?action=AUDIT_VALUE&amp;DB=129&amp;ID1=82691910&amp;VALUEID=02001&amp;SDATE=200502&amp;PERIODTYPE=QTR_STD&amp;SCFT=3&amp;window=popup_no_bar&amp;width=385&amp;height=120&amp;START_MAXIMIZED=FALSE&amp;creator=factset&amp;display_string=Audit"}</definedName>
    <definedName name="_3206__FDSAUDITLINK__" hidden="1">{"fdsup://Directions/FactSet Auditing Viewer?action=AUDIT_VALUE&amp;DB=129&amp;ID1=82691910&amp;VALUEID=02001&amp;SDATE=200502&amp;PERIODTYPE=QTR_STD&amp;SCFT=3&amp;window=popup_no_bar&amp;width=385&amp;height=120&amp;START_MAXIMIZED=FALSE&amp;creator=factset&amp;display_string=Audit"}</definedName>
    <definedName name="_3207__FDSAUDITLINK__" hidden="1">{"fdsup://Directions/FactSet Auditing Viewer?action=AUDIT_VALUE&amp;DB=129&amp;ID1=82691910&amp;VALUEID=02001&amp;SDATE=200501&amp;PERIODTYPE=QTR_STD&amp;SCFT=3&amp;window=popup_no_bar&amp;width=385&amp;height=120&amp;START_MAXIMIZED=FALSE&amp;creator=factset&amp;display_string=Audit"}</definedName>
    <definedName name="_3208__FDSAUDITLINK__" hidden="1">{"fdsup://Directions/FactSet Auditing Viewer?action=AUDIT_VALUE&amp;DB=129&amp;ID1=82691910&amp;VALUEID=02001&amp;SDATE=200501&amp;PERIODTYPE=QTR_STD&amp;SCFT=3&amp;window=popup_no_bar&amp;width=385&amp;height=120&amp;START_MAXIMIZED=FALSE&amp;creator=factset&amp;display_string=Audit"}</definedName>
    <definedName name="_3209__FDSAUDITLINK__" hidden="1">{"fdsup://Directions/FactSet Auditing Viewer?action=AUDIT_VALUE&amp;DB=129&amp;ID1=82691910&amp;VALUEID=02001&amp;SDATE=200403&amp;PERIODTYPE=QTR_STD&amp;SCFT=3&amp;window=popup_no_bar&amp;width=385&amp;height=120&amp;START_MAXIMIZED=FALSE&amp;creator=factset&amp;display_string=Audit"}</definedName>
    <definedName name="_321__FDSAUDITLINK__" hidden="1">{"fdsup://Directions/FactSet Auditing Viewer?action=AUDIT_VALUE&amp;DB=129&amp;ID1=81685010&amp;VALUEID=02001&amp;SDATE=201003&amp;PERIODTYPE=QTR_STD&amp;SCFT=3&amp;window=popup_no_bar&amp;width=385&amp;height=120&amp;START_MAXIMIZED=FALSE&amp;creator=factset&amp;display_string=Audit"}</definedName>
    <definedName name="_3210__FDSAUDITLINK__" hidden="1">{"fdsup://Directions/FactSet Auditing Viewer?action=AUDIT_VALUE&amp;DB=129&amp;ID1=82691910&amp;VALUEID=02001&amp;SDATE=200403&amp;PERIODTYPE=QTR_STD&amp;SCFT=3&amp;window=popup_no_bar&amp;width=385&amp;height=120&amp;START_MAXIMIZED=FALSE&amp;creator=factset&amp;display_string=Audit"}</definedName>
    <definedName name="_3211__FDSAUDITLINK__" hidden="1">{"fdsup://Directions/FactSet Auditing Viewer?action=AUDIT_VALUE&amp;DB=129&amp;ID1=82691910&amp;VALUEID=02001&amp;SDATE=200402&amp;PERIODTYPE=QTR_STD&amp;SCFT=3&amp;window=popup_no_bar&amp;width=385&amp;height=120&amp;START_MAXIMIZED=FALSE&amp;creator=factset&amp;display_string=Audit"}</definedName>
    <definedName name="_3212__FDSAUDITLINK__" hidden="1">{"fdsup://Directions/FactSet Auditing Viewer?action=AUDIT_VALUE&amp;DB=129&amp;ID1=82691910&amp;VALUEID=02001&amp;SDATE=200402&amp;PERIODTYPE=QTR_STD&amp;SCFT=3&amp;window=popup_no_bar&amp;width=385&amp;height=120&amp;START_MAXIMIZED=FALSE&amp;creator=factset&amp;display_string=Audit"}</definedName>
    <definedName name="_3213__FDSAUDITLINK__" hidden="1">{"fdsup://Directions/FactSet Auditing Viewer?action=AUDIT_VALUE&amp;DB=129&amp;ID1=82691910&amp;VALUEID=02001&amp;SDATE=200401&amp;PERIODTYPE=QTR_STD&amp;SCFT=3&amp;window=popup_no_bar&amp;width=385&amp;height=120&amp;START_MAXIMIZED=FALSE&amp;creator=factset&amp;display_string=Audit"}</definedName>
    <definedName name="_3214__FDSAUDITLINK__" hidden="1">{"fdsup://Directions/FactSet Auditing Viewer?action=AUDIT_VALUE&amp;DB=129&amp;ID1=82691910&amp;VALUEID=02001&amp;SDATE=200401&amp;PERIODTYPE=QTR_STD&amp;SCFT=3&amp;window=popup_no_bar&amp;width=385&amp;height=120&amp;START_MAXIMIZED=FALSE&amp;creator=factset&amp;display_string=Audit"}</definedName>
    <definedName name="_3215__FDSAUDITLINK__" hidden="1">{"fdsup://Directions/FactSet Auditing Viewer?action=AUDIT_VALUE&amp;DB=129&amp;ID1=82705T10&amp;VALUEID=02001&amp;SDATE=200801&amp;PERIODTYPE=QTR_STD&amp;SCFT=3&amp;window=popup_no_bar&amp;width=385&amp;height=120&amp;START_MAXIMIZED=FALSE&amp;creator=factset&amp;display_string=Audit"}</definedName>
    <definedName name="_3216__FDSAUDITLINK__" hidden="1">{"fdsup://Directions/FactSet Auditing Viewer?action=AUDIT_VALUE&amp;DB=129&amp;ID1=82705T10&amp;VALUEID=02001&amp;SDATE=200801&amp;PERIODTYPE=QTR_STD&amp;SCFT=3&amp;window=popup_no_bar&amp;width=385&amp;height=120&amp;START_MAXIMIZED=FALSE&amp;creator=factset&amp;display_string=Audit"}</definedName>
    <definedName name="_3217__FDSAUDITLINK__" hidden="1">{"fdsup://Directions/FactSet Auditing Viewer?action=AUDIT_VALUE&amp;DB=129&amp;ID1=82705T10&amp;VALUEID=02001&amp;SDATE=200703&amp;PERIODTYPE=QTR_STD&amp;SCFT=3&amp;window=popup_no_bar&amp;width=385&amp;height=120&amp;START_MAXIMIZED=FALSE&amp;creator=factset&amp;display_string=Audit"}</definedName>
    <definedName name="_3218__FDSAUDITLINK__" hidden="1">{"fdsup://Directions/FactSet Auditing Viewer?action=AUDIT_VALUE&amp;DB=129&amp;ID1=82705T10&amp;VALUEID=02001&amp;SDATE=200703&amp;PERIODTYPE=QTR_STD&amp;SCFT=3&amp;window=popup_no_bar&amp;width=385&amp;height=120&amp;START_MAXIMIZED=FALSE&amp;creator=factset&amp;display_string=Audit"}</definedName>
    <definedName name="_3219__FDSAUDITLINK__" hidden="1">{"fdsup://Directions/FactSet Auditing Viewer?action=AUDIT_VALUE&amp;DB=129&amp;ID1=82705T10&amp;VALUEID=02001&amp;SDATE=200702&amp;PERIODTYPE=QTR_STD&amp;SCFT=3&amp;window=popup_no_bar&amp;width=385&amp;height=120&amp;START_MAXIMIZED=FALSE&amp;creator=factset&amp;display_string=Audit"}</definedName>
    <definedName name="_322__FDSAUDITLINK__" hidden="1">{"fdsup://Directions/FactSet Auditing Viewer?action=AUDIT_VALUE&amp;DB=129&amp;ID1=81685010&amp;VALUEID=02001&amp;SDATE=201003&amp;PERIODTYPE=QTR_STD&amp;SCFT=3&amp;window=popup_no_bar&amp;width=385&amp;height=120&amp;START_MAXIMIZED=FALSE&amp;creator=factset&amp;display_string=Audit"}</definedName>
    <definedName name="_3220__FDSAUDITLINK__" hidden="1">{"fdsup://Directions/FactSet Auditing Viewer?action=AUDIT_VALUE&amp;DB=129&amp;ID1=82705T10&amp;VALUEID=02001&amp;SDATE=200702&amp;PERIODTYPE=QTR_STD&amp;SCFT=3&amp;window=popup_no_bar&amp;width=385&amp;height=120&amp;START_MAXIMIZED=FALSE&amp;creator=factset&amp;display_string=Audit"}</definedName>
    <definedName name="_3221__FDSAUDITLINK__" hidden="1">{"fdsup://Directions/FactSet Auditing Viewer?action=AUDIT_VALUE&amp;DB=129&amp;ID1=82705T10&amp;VALUEID=02001&amp;SDATE=200701&amp;PERIODTYPE=QTR_STD&amp;SCFT=3&amp;window=popup_no_bar&amp;width=385&amp;height=120&amp;START_MAXIMIZED=FALSE&amp;creator=factset&amp;display_string=Audit"}</definedName>
    <definedName name="_3222__FDSAUDITLINK__" hidden="1">{"fdsup://Directions/FactSet Auditing Viewer?action=AUDIT_VALUE&amp;DB=129&amp;ID1=82705T10&amp;VALUEID=02001&amp;SDATE=200701&amp;PERIODTYPE=QTR_STD&amp;SCFT=3&amp;window=popup_no_bar&amp;width=385&amp;height=120&amp;START_MAXIMIZED=FALSE&amp;creator=factset&amp;display_string=Audit"}</definedName>
    <definedName name="_3223__FDSAUDITLINK__" hidden="1">{"fdsup://Directions/FactSet Auditing Viewer?action=AUDIT_VALUE&amp;DB=129&amp;ID1=82705T10&amp;VALUEID=02001&amp;SDATE=200603&amp;PERIODTYPE=QTR_STD&amp;SCFT=3&amp;window=popup_no_bar&amp;width=385&amp;height=120&amp;START_MAXIMIZED=FALSE&amp;creator=factset&amp;display_string=Audit"}</definedName>
    <definedName name="_3224__FDSAUDITLINK__" hidden="1">{"fdsup://Directions/FactSet Auditing Viewer?action=AUDIT_VALUE&amp;DB=129&amp;ID1=82705T10&amp;VALUEID=02001&amp;SDATE=200603&amp;PERIODTYPE=QTR_STD&amp;SCFT=3&amp;window=popup_no_bar&amp;width=385&amp;height=120&amp;START_MAXIMIZED=FALSE&amp;creator=factset&amp;display_string=Audit"}</definedName>
    <definedName name="_3225__FDSAUDITLINK__" hidden="1">{"fdsup://Directions/FactSet Auditing Viewer?action=AUDIT_VALUE&amp;DB=129&amp;ID1=82705T10&amp;VALUEID=02001&amp;SDATE=200602&amp;PERIODTYPE=QTR_STD&amp;SCFT=3&amp;window=popup_no_bar&amp;width=385&amp;height=120&amp;START_MAXIMIZED=FALSE&amp;creator=factset&amp;display_string=Audit"}</definedName>
    <definedName name="_3226__FDSAUDITLINK__" hidden="1">{"fdsup://Directions/FactSet Auditing Viewer?action=AUDIT_VALUE&amp;DB=129&amp;ID1=82705T10&amp;VALUEID=02001&amp;SDATE=200602&amp;PERIODTYPE=QTR_STD&amp;SCFT=3&amp;window=popup_no_bar&amp;width=385&amp;height=120&amp;START_MAXIMIZED=FALSE&amp;creator=factset&amp;display_string=Audit"}</definedName>
    <definedName name="_3227__FDSAUDITLINK__" hidden="1">{"fdsup://Directions/FactSet Auditing Viewer?action=AUDIT_VALUE&amp;DB=129&amp;ID1=82705T10&amp;VALUEID=02001&amp;SDATE=200601&amp;PERIODTYPE=QTR_STD&amp;SCFT=3&amp;window=popup_no_bar&amp;width=385&amp;height=120&amp;START_MAXIMIZED=FALSE&amp;creator=factset&amp;display_string=Audit"}</definedName>
    <definedName name="_3228__FDSAUDITLINK__" hidden="1">{"fdsup://Directions/FactSet Auditing Viewer?action=AUDIT_VALUE&amp;DB=129&amp;ID1=82705T10&amp;VALUEID=02001&amp;SDATE=200601&amp;PERIODTYPE=QTR_STD&amp;SCFT=3&amp;window=popup_no_bar&amp;width=385&amp;height=120&amp;START_MAXIMIZED=FALSE&amp;creator=factset&amp;display_string=Audit"}</definedName>
    <definedName name="_3229__FDSAUDITLINK__" hidden="1">{"fdsup://Directions/FactSet Auditing Viewer?action=AUDIT_VALUE&amp;DB=129&amp;ID1=82705T10&amp;VALUEID=02001&amp;SDATE=200503&amp;PERIODTYPE=QTR_STD&amp;SCFT=3&amp;window=popup_no_bar&amp;width=385&amp;height=120&amp;START_MAXIMIZED=FALSE&amp;creator=factset&amp;display_string=Audit"}</definedName>
    <definedName name="_323__FDSAUDITLINK__" hidden="1">{"fdsup://Directions/FactSet Auditing Viewer?action=AUDIT_VALUE&amp;DB=129&amp;ID1=82691910&amp;VALUEID=02001&amp;SDATE=201003&amp;PERIODTYPE=QTR_STD&amp;SCFT=3&amp;window=popup_no_bar&amp;width=385&amp;height=120&amp;START_MAXIMIZED=FALSE&amp;creator=factset&amp;display_string=Audit"}</definedName>
    <definedName name="_3230__FDSAUDITLINK__" hidden="1">{"fdsup://Directions/FactSet Auditing Viewer?action=AUDIT_VALUE&amp;DB=129&amp;ID1=82705T10&amp;VALUEID=02001&amp;SDATE=200503&amp;PERIODTYPE=QTR_STD&amp;SCFT=3&amp;window=popup_no_bar&amp;width=385&amp;height=120&amp;START_MAXIMIZED=FALSE&amp;creator=factset&amp;display_string=Audit"}</definedName>
    <definedName name="_3231__FDSAUDITLINK__" hidden="1">{"fdsup://Directions/FactSet Auditing Viewer?action=AUDIT_VALUE&amp;DB=129&amp;ID1=82705T10&amp;VALUEID=02001&amp;SDATE=200502&amp;PERIODTYPE=QTR_STD&amp;SCFT=3&amp;window=popup_no_bar&amp;width=385&amp;height=120&amp;START_MAXIMIZED=FALSE&amp;creator=factset&amp;display_string=Audit"}</definedName>
    <definedName name="_3232__FDSAUDITLINK__" hidden="1">{"fdsup://Directions/FactSet Auditing Viewer?action=AUDIT_VALUE&amp;DB=129&amp;ID1=82705T10&amp;VALUEID=02001&amp;SDATE=200502&amp;PERIODTYPE=QTR_STD&amp;SCFT=3&amp;window=popup_no_bar&amp;width=385&amp;height=120&amp;START_MAXIMIZED=FALSE&amp;creator=factset&amp;display_string=Audit"}</definedName>
    <definedName name="_3233__FDSAUDITLINK__" hidden="1">{"fdsup://Directions/FactSet Auditing Viewer?action=AUDIT_VALUE&amp;DB=129&amp;ID1=82705T10&amp;VALUEID=02001&amp;SDATE=200501&amp;PERIODTYPE=QTR_STD&amp;SCFT=3&amp;window=popup_no_bar&amp;width=385&amp;height=120&amp;START_MAXIMIZED=FALSE&amp;creator=factset&amp;display_string=Audit"}</definedName>
    <definedName name="_3234__FDSAUDITLINK__" hidden="1">{"fdsup://Directions/FactSet Auditing Viewer?action=AUDIT_VALUE&amp;DB=129&amp;ID1=82705T10&amp;VALUEID=02001&amp;SDATE=200501&amp;PERIODTYPE=QTR_STD&amp;SCFT=3&amp;window=popup_no_bar&amp;width=385&amp;height=120&amp;START_MAXIMIZED=FALSE&amp;creator=factset&amp;display_string=Audit"}</definedName>
    <definedName name="_3235__FDSAUDITLINK__" hidden="1">{"fdsup://Directions/FactSet Auditing Viewer?action=AUDIT_VALUE&amp;DB=129&amp;ID1=82705T10&amp;VALUEID=02001&amp;SDATE=200403&amp;PERIODTYPE=QTR_STD&amp;SCFT=3&amp;window=popup_no_bar&amp;width=385&amp;height=120&amp;START_MAXIMIZED=FALSE&amp;creator=factset&amp;display_string=Audit"}</definedName>
    <definedName name="_3236__FDSAUDITLINK__" hidden="1">{"fdsup://Directions/FactSet Auditing Viewer?action=AUDIT_VALUE&amp;DB=129&amp;ID1=82705T10&amp;VALUEID=02001&amp;SDATE=200403&amp;PERIODTYPE=QTR_STD&amp;SCFT=3&amp;window=popup_no_bar&amp;width=385&amp;height=120&amp;START_MAXIMIZED=FALSE&amp;creator=factset&amp;display_string=Audit"}</definedName>
    <definedName name="_3237__FDSAUDITLINK__" hidden="1">{"fdsup://Directions/FactSet Auditing Viewer?action=AUDIT_VALUE&amp;DB=129&amp;ID1=82705T10&amp;VALUEID=02001&amp;SDATE=200402&amp;PERIODTYPE=QTR_STD&amp;SCFT=3&amp;window=popup_no_bar&amp;width=385&amp;height=120&amp;START_MAXIMIZED=FALSE&amp;creator=factset&amp;display_string=Audit"}</definedName>
    <definedName name="_3238__FDSAUDITLINK__" hidden="1">{"fdsup://Directions/FactSet Auditing Viewer?action=AUDIT_VALUE&amp;DB=129&amp;ID1=82705T10&amp;VALUEID=02001&amp;SDATE=200402&amp;PERIODTYPE=QTR_STD&amp;SCFT=3&amp;window=popup_no_bar&amp;width=385&amp;height=120&amp;START_MAXIMIZED=FALSE&amp;creator=factset&amp;display_string=Audit"}</definedName>
    <definedName name="_3239__FDSAUDITLINK__" hidden="1">{"fdsup://Directions/FactSet Auditing Viewer?action=AUDIT_VALUE&amp;DB=129&amp;ID1=82705T10&amp;VALUEID=02001&amp;SDATE=200401&amp;PERIODTYPE=QTR_STD&amp;SCFT=3&amp;window=popup_no_bar&amp;width=385&amp;height=120&amp;START_MAXIMIZED=FALSE&amp;creator=factset&amp;display_string=Audit"}</definedName>
    <definedName name="_324__FDSAUDITLINK__" hidden="1">{"fdsup://Directions/FactSet Auditing Viewer?action=AUDIT_VALUE&amp;DB=129&amp;ID1=82691910&amp;VALUEID=02001&amp;SDATE=201003&amp;PERIODTYPE=QTR_STD&amp;SCFT=3&amp;window=popup_no_bar&amp;width=385&amp;height=120&amp;START_MAXIMIZED=FALSE&amp;creator=factset&amp;display_string=Audit"}</definedName>
    <definedName name="_3240__FDSAUDITLINK__" hidden="1">{"fdsup://Directions/FactSet Auditing Viewer?action=AUDIT_VALUE&amp;DB=129&amp;ID1=82705T10&amp;VALUEID=02001&amp;SDATE=200401&amp;PERIODTYPE=QTR_STD&amp;SCFT=3&amp;window=popup_no_bar&amp;width=385&amp;height=120&amp;START_MAXIMIZED=FALSE&amp;creator=factset&amp;display_string=Audit"}</definedName>
    <definedName name="_3241__FDSAUDITLINK__" hidden="1">{"fdsup://Directions/FactSet Auditing Viewer?action=AUDIT_VALUE&amp;DB=129&amp;ID1=75091710&amp;VALUEID=02001&amp;SDATE=200801&amp;PERIODTYPE=QTR_STD&amp;SCFT=3&amp;window=popup_no_bar&amp;width=385&amp;height=120&amp;START_MAXIMIZED=FALSE&amp;creator=factset&amp;display_string=Audit"}</definedName>
    <definedName name="_3242__FDSAUDITLINK__" hidden="1">{"fdsup://Directions/FactSet Auditing Viewer?action=AUDIT_VALUE&amp;DB=129&amp;ID1=75091710&amp;VALUEID=02001&amp;SDATE=200801&amp;PERIODTYPE=QTR_STD&amp;SCFT=3&amp;window=popup_no_bar&amp;width=385&amp;height=120&amp;START_MAXIMIZED=FALSE&amp;creator=factset&amp;display_string=Audit"}</definedName>
    <definedName name="_3243__FDSAUDITLINK__" hidden="1">{"fdsup://Directions/FactSet Auditing Viewer?action=AUDIT_VALUE&amp;DB=129&amp;ID1=75091710&amp;VALUEID=02001&amp;SDATE=200703&amp;PERIODTYPE=QTR_STD&amp;SCFT=3&amp;window=popup_no_bar&amp;width=385&amp;height=120&amp;START_MAXIMIZED=FALSE&amp;creator=factset&amp;display_string=Audit"}</definedName>
    <definedName name="_3244__FDSAUDITLINK__" hidden="1">{"fdsup://Directions/FactSet Auditing Viewer?action=AUDIT_VALUE&amp;DB=129&amp;ID1=75091710&amp;VALUEID=02001&amp;SDATE=200703&amp;PERIODTYPE=QTR_STD&amp;SCFT=3&amp;window=popup_no_bar&amp;width=385&amp;height=120&amp;START_MAXIMIZED=FALSE&amp;creator=factset&amp;display_string=Audit"}</definedName>
    <definedName name="_3245__FDSAUDITLINK__" hidden="1">{"fdsup://Directions/FactSet Auditing Viewer?action=AUDIT_VALUE&amp;DB=129&amp;ID1=75091710&amp;VALUEID=02001&amp;SDATE=200702&amp;PERIODTYPE=QTR_STD&amp;SCFT=3&amp;window=popup_no_bar&amp;width=385&amp;height=120&amp;START_MAXIMIZED=FALSE&amp;creator=factset&amp;display_string=Audit"}</definedName>
    <definedName name="_3246__FDSAUDITLINK__" hidden="1">{"fdsup://Directions/FactSet Auditing Viewer?action=AUDIT_VALUE&amp;DB=129&amp;ID1=75091710&amp;VALUEID=02001&amp;SDATE=200702&amp;PERIODTYPE=QTR_STD&amp;SCFT=3&amp;window=popup_no_bar&amp;width=385&amp;height=120&amp;START_MAXIMIZED=FALSE&amp;creator=factset&amp;display_string=Audit"}</definedName>
    <definedName name="_3247__FDSAUDITLINK__" hidden="1">{"fdsup://Directions/FactSet Auditing Viewer?action=AUDIT_VALUE&amp;DB=129&amp;ID1=75091710&amp;VALUEID=02001&amp;SDATE=200701&amp;PERIODTYPE=QTR_STD&amp;SCFT=3&amp;window=popup_no_bar&amp;width=385&amp;height=120&amp;START_MAXIMIZED=FALSE&amp;creator=factset&amp;display_string=Audit"}</definedName>
    <definedName name="_3248__FDSAUDITLINK__" hidden="1">{"fdsup://Directions/FactSet Auditing Viewer?action=AUDIT_VALUE&amp;DB=129&amp;ID1=75091710&amp;VALUEID=02001&amp;SDATE=200701&amp;PERIODTYPE=QTR_STD&amp;SCFT=3&amp;window=popup_no_bar&amp;width=385&amp;height=120&amp;START_MAXIMIZED=FALSE&amp;creator=factset&amp;display_string=Audit"}</definedName>
    <definedName name="_3249__FDSAUDITLINK__" hidden="1">{"fdsup://Directions/FactSet Auditing Viewer?action=AUDIT_VALUE&amp;DB=129&amp;ID1=75091710&amp;VALUEID=02001&amp;SDATE=200603&amp;PERIODTYPE=QTR_STD&amp;SCFT=3&amp;window=popup_no_bar&amp;width=385&amp;height=120&amp;START_MAXIMIZED=FALSE&amp;creator=factset&amp;display_string=Audit"}</definedName>
    <definedName name="_325__FDSAUDITLINK__" hidden="1">{"fdsup://Directions/FactSet Auditing Viewer?action=AUDIT_VALUE&amp;DB=129&amp;ID1=82705T10&amp;VALUEID=02001&amp;SDATE=201003&amp;PERIODTYPE=QTR_STD&amp;SCFT=3&amp;window=popup_no_bar&amp;width=385&amp;height=120&amp;START_MAXIMIZED=FALSE&amp;creator=factset&amp;display_string=Audit"}</definedName>
    <definedName name="_3250__FDSAUDITLINK__" hidden="1">{"fdsup://Directions/FactSet Auditing Viewer?action=AUDIT_VALUE&amp;DB=129&amp;ID1=75091710&amp;VALUEID=02001&amp;SDATE=200603&amp;PERIODTYPE=QTR_STD&amp;SCFT=3&amp;window=popup_no_bar&amp;width=385&amp;height=120&amp;START_MAXIMIZED=FALSE&amp;creator=factset&amp;display_string=Audit"}</definedName>
    <definedName name="_3251__FDSAUDITLINK__" hidden="1">{"fdsup://Directions/FactSet Auditing Viewer?action=AUDIT_VALUE&amp;DB=129&amp;ID1=75091710&amp;VALUEID=02001&amp;SDATE=200602&amp;PERIODTYPE=QTR_STD&amp;SCFT=3&amp;window=popup_no_bar&amp;width=385&amp;height=120&amp;START_MAXIMIZED=FALSE&amp;creator=factset&amp;display_string=Audit"}</definedName>
    <definedName name="_3252__FDSAUDITLINK__" hidden="1">{"fdsup://Directions/FactSet Auditing Viewer?action=AUDIT_VALUE&amp;DB=129&amp;ID1=75091710&amp;VALUEID=02001&amp;SDATE=200602&amp;PERIODTYPE=QTR_STD&amp;SCFT=3&amp;window=popup_no_bar&amp;width=385&amp;height=120&amp;START_MAXIMIZED=FALSE&amp;creator=factset&amp;display_string=Audit"}</definedName>
    <definedName name="_3253__FDSAUDITLINK__" hidden="1">{"fdsup://Directions/FactSet Auditing Viewer?action=AUDIT_VALUE&amp;DB=129&amp;ID1=75091710&amp;VALUEID=02001&amp;SDATE=200601&amp;PERIODTYPE=QTR_STD&amp;SCFT=3&amp;window=popup_no_bar&amp;width=385&amp;height=120&amp;START_MAXIMIZED=FALSE&amp;creator=factset&amp;display_string=Audit"}</definedName>
    <definedName name="_3254__FDSAUDITLINK__" hidden="1">{"fdsup://Directions/FactSet Auditing Viewer?action=AUDIT_VALUE&amp;DB=129&amp;ID1=75091710&amp;VALUEID=02001&amp;SDATE=200601&amp;PERIODTYPE=QTR_STD&amp;SCFT=3&amp;window=popup_no_bar&amp;width=385&amp;height=120&amp;START_MAXIMIZED=FALSE&amp;creator=factset&amp;display_string=Audit"}</definedName>
    <definedName name="_3255__FDSAUDITLINK__" hidden="1">{"fdsup://Directions/FactSet Auditing Viewer?action=AUDIT_VALUE&amp;DB=129&amp;ID1=75091710&amp;VALUEID=02001&amp;SDATE=200503&amp;PERIODTYPE=QTR_STD&amp;SCFT=3&amp;window=popup_no_bar&amp;width=385&amp;height=120&amp;START_MAXIMIZED=FALSE&amp;creator=factset&amp;display_string=Audit"}</definedName>
    <definedName name="_3256__FDSAUDITLINK__" hidden="1">{"fdsup://Directions/FactSet Auditing Viewer?action=AUDIT_VALUE&amp;DB=129&amp;ID1=75091710&amp;VALUEID=02001&amp;SDATE=200503&amp;PERIODTYPE=QTR_STD&amp;SCFT=3&amp;window=popup_no_bar&amp;width=385&amp;height=120&amp;START_MAXIMIZED=FALSE&amp;creator=factset&amp;display_string=Audit"}</definedName>
    <definedName name="_3257__FDSAUDITLINK__" hidden="1">{"fdsup://Directions/FactSet Auditing Viewer?action=AUDIT_VALUE&amp;DB=129&amp;ID1=75091710&amp;VALUEID=02001&amp;SDATE=200502&amp;PERIODTYPE=QTR_STD&amp;SCFT=3&amp;window=popup_no_bar&amp;width=385&amp;height=120&amp;START_MAXIMIZED=FALSE&amp;creator=factset&amp;display_string=Audit"}</definedName>
    <definedName name="_3258__FDSAUDITLINK__" hidden="1">{"fdsup://Directions/FactSet Auditing Viewer?action=AUDIT_VALUE&amp;DB=129&amp;ID1=75091710&amp;VALUEID=02001&amp;SDATE=200502&amp;PERIODTYPE=QTR_STD&amp;SCFT=3&amp;window=popup_no_bar&amp;width=385&amp;height=120&amp;START_MAXIMIZED=FALSE&amp;creator=factset&amp;display_string=Audit"}</definedName>
    <definedName name="_3259__FDSAUDITLINK__" hidden="1">{"fdsup://Directions/FactSet Auditing Viewer?action=AUDIT_VALUE&amp;DB=129&amp;ID1=75091710&amp;VALUEID=02001&amp;SDATE=200501&amp;PERIODTYPE=QTR_STD&amp;SCFT=3&amp;window=popup_no_bar&amp;width=385&amp;height=120&amp;START_MAXIMIZED=FALSE&amp;creator=factset&amp;display_string=Audit"}</definedName>
    <definedName name="_326__FDSAUDITLINK__" hidden="1">{"fdsup://Directions/FactSet Auditing Viewer?action=AUDIT_VALUE&amp;DB=129&amp;ID1=82705T10&amp;VALUEID=02001&amp;SDATE=201003&amp;PERIODTYPE=QTR_STD&amp;SCFT=3&amp;window=popup_no_bar&amp;width=385&amp;height=120&amp;START_MAXIMIZED=FALSE&amp;creator=factset&amp;display_string=Audit"}</definedName>
    <definedName name="_3260__FDSAUDITLINK__" hidden="1">{"fdsup://Directions/FactSet Auditing Viewer?action=AUDIT_VALUE&amp;DB=129&amp;ID1=75091710&amp;VALUEID=02001&amp;SDATE=200501&amp;PERIODTYPE=QTR_STD&amp;SCFT=3&amp;window=popup_no_bar&amp;width=385&amp;height=120&amp;START_MAXIMIZED=FALSE&amp;creator=factset&amp;display_string=Audit"}</definedName>
    <definedName name="_3261__FDSAUDITLINK__" hidden="1">{"fdsup://Directions/FactSet Auditing Viewer?action=AUDIT_VALUE&amp;DB=129&amp;ID1=75091710&amp;VALUEID=02001&amp;SDATE=200403&amp;PERIODTYPE=QTR_STD&amp;SCFT=3&amp;window=popup_no_bar&amp;width=385&amp;height=120&amp;START_MAXIMIZED=FALSE&amp;creator=factset&amp;display_string=Audit"}</definedName>
    <definedName name="_3262__FDSAUDITLINK__" hidden="1">{"fdsup://Directions/FactSet Auditing Viewer?action=AUDIT_VALUE&amp;DB=129&amp;ID1=75091710&amp;VALUEID=02001&amp;SDATE=200403&amp;PERIODTYPE=QTR_STD&amp;SCFT=3&amp;window=popup_no_bar&amp;width=385&amp;height=120&amp;START_MAXIMIZED=FALSE&amp;creator=factset&amp;display_string=Audit"}</definedName>
    <definedName name="_3263__FDSAUDITLINK__" hidden="1">{"fdsup://Directions/FactSet Auditing Viewer?action=AUDIT_VALUE&amp;DB=129&amp;ID1=75091710&amp;VALUEID=02001&amp;SDATE=200402&amp;PERIODTYPE=QTR_STD&amp;SCFT=3&amp;window=popup_no_bar&amp;width=385&amp;height=120&amp;START_MAXIMIZED=FALSE&amp;creator=factset&amp;display_string=Audit"}</definedName>
    <definedName name="_3264__FDSAUDITLINK__" hidden="1">{"fdsup://Directions/FactSet Auditing Viewer?action=AUDIT_VALUE&amp;DB=129&amp;ID1=75091710&amp;VALUEID=02001&amp;SDATE=200402&amp;PERIODTYPE=QTR_STD&amp;SCFT=3&amp;window=popup_no_bar&amp;width=385&amp;height=120&amp;START_MAXIMIZED=FALSE&amp;creator=factset&amp;display_string=Audit"}</definedName>
    <definedName name="_3265__FDSAUDITLINK__" hidden="1">{"fdsup://Directions/FactSet Auditing Viewer?action=AUDIT_VALUE&amp;DB=129&amp;ID1=75091710&amp;VALUEID=02001&amp;SDATE=200401&amp;PERIODTYPE=QTR_STD&amp;SCFT=3&amp;window=popup_no_bar&amp;width=385&amp;height=120&amp;START_MAXIMIZED=FALSE&amp;creator=factset&amp;display_string=Audit"}</definedName>
    <definedName name="_3266__FDSAUDITLINK__" hidden="1">{"fdsup://Directions/FactSet Auditing Viewer?action=AUDIT_VALUE&amp;DB=129&amp;ID1=75091710&amp;VALUEID=02001&amp;SDATE=200401&amp;PERIODTYPE=QTR_STD&amp;SCFT=3&amp;window=popup_no_bar&amp;width=385&amp;height=120&amp;START_MAXIMIZED=FALSE&amp;creator=factset&amp;display_string=Audit"}</definedName>
    <definedName name="_3267__FDSAUDITLINK__" hidden="1">{"fdsup://Directions/FactSet Auditing Viewer?action=AUDIT_VALUE&amp;DB=129&amp;ID1=74994110&amp;VALUEID=02001&amp;SDATE=200703&amp;PERIODTYPE=QTR_STD&amp;SCFT=3&amp;window=popup_no_bar&amp;width=385&amp;height=120&amp;START_MAXIMIZED=FALSE&amp;creator=factset&amp;display_string=Audit"}</definedName>
    <definedName name="_3268__FDSAUDITLINK__" hidden="1">{"fdsup://Directions/FactSet Auditing Viewer?action=AUDIT_VALUE&amp;DB=129&amp;ID1=74994110&amp;VALUEID=02001&amp;SDATE=200703&amp;PERIODTYPE=QTR_STD&amp;SCFT=3&amp;window=popup_no_bar&amp;width=385&amp;height=120&amp;START_MAXIMIZED=FALSE&amp;creator=factset&amp;display_string=Audit"}</definedName>
    <definedName name="_3269__FDSAUDITLINK__" hidden="1">{"fdsup://Directions/FactSet Auditing Viewer?action=AUDIT_VALUE&amp;DB=129&amp;ID1=74994110&amp;VALUEID=02001&amp;SDATE=200702&amp;PERIODTYPE=QTR_STD&amp;SCFT=3&amp;window=popup_no_bar&amp;width=385&amp;height=120&amp;START_MAXIMIZED=FALSE&amp;creator=factset&amp;display_string=Audit"}</definedName>
    <definedName name="_327__FDSAUDITLINK__" hidden="1">{"fdsup://Directions/FactSet Auditing Viewer?action=AUDIT_VALUE&amp;DB=129&amp;ID1=75091710&amp;VALUEID=02001&amp;SDATE=201003&amp;PERIODTYPE=QTR_STD&amp;SCFT=3&amp;window=popup_no_bar&amp;width=385&amp;height=120&amp;START_MAXIMIZED=FALSE&amp;creator=factset&amp;display_string=Audit"}</definedName>
    <definedName name="_3270__FDSAUDITLINK__" hidden="1">{"fdsup://Directions/FactSet Auditing Viewer?action=AUDIT_VALUE&amp;DB=129&amp;ID1=74994110&amp;VALUEID=02001&amp;SDATE=200702&amp;PERIODTYPE=QTR_STD&amp;SCFT=3&amp;window=popup_no_bar&amp;width=385&amp;height=120&amp;START_MAXIMIZED=FALSE&amp;creator=factset&amp;display_string=Audit"}</definedName>
    <definedName name="_3271__FDSAUDITLINK__" hidden="1">{"fdsup://Directions/FactSet Auditing Viewer?action=AUDIT_VALUE&amp;DB=129&amp;ID1=74994110&amp;VALUEID=02001&amp;SDATE=200701&amp;PERIODTYPE=QTR_STD&amp;SCFT=3&amp;window=popup_no_bar&amp;width=385&amp;height=120&amp;START_MAXIMIZED=FALSE&amp;creator=factset&amp;display_string=Audit"}</definedName>
    <definedName name="_3272__FDSAUDITLINK__" hidden="1">{"fdsup://Directions/FactSet Auditing Viewer?action=AUDIT_VALUE&amp;DB=129&amp;ID1=74994110&amp;VALUEID=02001&amp;SDATE=200701&amp;PERIODTYPE=QTR_STD&amp;SCFT=3&amp;window=popup_no_bar&amp;width=385&amp;height=120&amp;START_MAXIMIZED=FALSE&amp;creator=factset&amp;display_string=Audit"}</definedName>
    <definedName name="_3273__FDSAUDITLINK__" hidden="1">{"fdsup://Directions/FactSet Auditing Viewer?action=AUDIT_VALUE&amp;DB=129&amp;ID1=74994110&amp;VALUEID=02001&amp;SDATE=200603&amp;PERIODTYPE=QTR_STD&amp;SCFT=3&amp;window=popup_no_bar&amp;width=385&amp;height=120&amp;START_MAXIMIZED=FALSE&amp;creator=factset&amp;display_string=Audit"}</definedName>
    <definedName name="_3274__FDSAUDITLINK__" hidden="1">{"fdsup://Directions/FactSet Auditing Viewer?action=AUDIT_VALUE&amp;DB=129&amp;ID1=74994110&amp;VALUEID=02001&amp;SDATE=200603&amp;PERIODTYPE=QTR_STD&amp;SCFT=3&amp;window=popup_no_bar&amp;width=385&amp;height=120&amp;START_MAXIMIZED=FALSE&amp;creator=factset&amp;display_string=Audit"}</definedName>
    <definedName name="_3275__FDSAUDITLINK__" hidden="1">{"fdsup://Directions/FactSet Auditing Viewer?action=AUDIT_VALUE&amp;DB=129&amp;ID1=74994110&amp;VALUEID=02001&amp;SDATE=200602&amp;PERIODTYPE=QTR_STD&amp;SCFT=3&amp;window=popup_no_bar&amp;width=385&amp;height=120&amp;START_MAXIMIZED=FALSE&amp;creator=factset&amp;display_string=Audit"}</definedName>
    <definedName name="_3276__FDSAUDITLINK__" hidden="1">{"fdsup://Directions/FactSet Auditing Viewer?action=AUDIT_VALUE&amp;DB=129&amp;ID1=74994110&amp;VALUEID=02001&amp;SDATE=200602&amp;PERIODTYPE=QTR_STD&amp;SCFT=3&amp;window=popup_no_bar&amp;width=385&amp;height=120&amp;START_MAXIMIZED=FALSE&amp;creator=factset&amp;display_string=Audit"}</definedName>
    <definedName name="_3277__FDSAUDITLINK__" hidden="1">{"fdsup://Directions/FactSet Auditing Viewer?action=AUDIT_VALUE&amp;DB=129&amp;ID1=74994110&amp;VALUEID=02001&amp;SDATE=200601&amp;PERIODTYPE=QTR_STD&amp;SCFT=3&amp;window=popup_no_bar&amp;width=385&amp;height=120&amp;START_MAXIMIZED=FALSE&amp;creator=factset&amp;display_string=Audit"}</definedName>
    <definedName name="_3278__FDSAUDITLINK__" hidden="1">{"fdsup://Directions/FactSet Auditing Viewer?action=AUDIT_VALUE&amp;DB=129&amp;ID1=74994110&amp;VALUEID=02001&amp;SDATE=200601&amp;PERIODTYPE=QTR_STD&amp;SCFT=3&amp;window=popup_no_bar&amp;width=385&amp;height=120&amp;START_MAXIMIZED=FALSE&amp;creator=factset&amp;display_string=Audit"}</definedName>
    <definedName name="_3279__FDSAUDITLINK__" hidden="1">{"fdsup://Directions/FactSet Auditing Viewer?action=AUDIT_VALUE&amp;DB=129&amp;ID1=74994110&amp;VALUEID=02001&amp;SDATE=200503&amp;PERIODTYPE=QTR_STD&amp;SCFT=3&amp;window=popup_no_bar&amp;width=385&amp;height=120&amp;START_MAXIMIZED=FALSE&amp;creator=factset&amp;display_string=Audit"}</definedName>
    <definedName name="_328__FDSAUDITLINK__" hidden="1">{"fdsup://Directions/FactSet Auditing Viewer?action=AUDIT_VALUE&amp;DB=129&amp;ID1=75091710&amp;VALUEID=02001&amp;SDATE=201003&amp;PERIODTYPE=QTR_STD&amp;SCFT=3&amp;window=popup_no_bar&amp;width=385&amp;height=120&amp;START_MAXIMIZED=FALSE&amp;creator=factset&amp;display_string=Audit"}</definedName>
    <definedName name="_3280__FDSAUDITLINK__" hidden="1">{"fdsup://Directions/FactSet Auditing Viewer?action=AUDIT_VALUE&amp;DB=129&amp;ID1=74994110&amp;VALUEID=02001&amp;SDATE=200503&amp;PERIODTYPE=QTR_STD&amp;SCFT=3&amp;window=popup_no_bar&amp;width=385&amp;height=120&amp;START_MAXIMIZED=FALSE&amp;creator=factset&amp;display_string=Audit"}</definedName>
    <definedName name="_3281__FDSAUDITLINK__" hidden="1">{"fdsup://Directions/FactSet Auditing Viewer?action=AUDIT_VALUE&amp;DB=129&amp;ID1=74994110&amp;VALUEID=02001&amp;SDATE=200502&amp;PERIODTYPE=QTR_STD&amp;SCFT=3&amp;window=popup_no_bar&amp;width=385&amp;height=120&amp;START_MAXIMIZED=FALSE&amp;creator=factset&amp;display_string=Audit"}</definedName>
    <definedName name="_3282__FDSAUDITLINK__" hidden="1">{"fdsup://Directions/FactSet Auditing Viewer?action=AUDIT_VALUE&amp;DB=129&amp;ID1=74994110&amp;VALUEID=02001&amp;SDATE=200502&amp;PERIODTYPE=QTR_STD&amp;SCFT=3&amp;window=popup_no_bar&amp;width=385&amp;height=120&amp;START_MAXIMIZED=FALSE&amp;creator=factset&amp;display_string=Audit"}</definedName>
    <definedName name="_3283__FDSAUDITLINK__" hidden="1">{"fdsup://Directions/FactSet Auditing Viewer?action=AUDIT_VALUE&amp;DB=129&amp;ID1=74994110&amp;VALUEID=02001&amp;SDATE=200501&amp;PERIODTYPE=QTR_STD&amp;SCFT=3&amp;window=popup_no_bar&amp;width=385&amp;height=120&amp;START_MAXIMIZED=FALSE&amp;creator=factset&amp;display_string=Audit"}</definedName>
    <definedName name="_3284__FDSAUDITLINK__" hidden="1">{"fdsup://Directions/FactSet Auditing Viewer?action=AUDIT_VALUE&amp;DB=129&amp;ID1=74994110&amp;VALUEID=02001&amp;SDATE=200501&amp;PERIODTYPE=QTR_STD&amp;SCFT=3&amp;window=popup_no_bar&amp;width=385&amp;height=120&amp;START_MAXIMIZED=FALSE&amp;creator=factset&amp;display_string=Audit"}</definedName>
    <definedName name="_3285__FDSAUDITLINK__" hidden="1">{"fdsup://Directions/FactSet Auditing Viewer?action=AUDIT_VALUE&amp;DB=129&amp;ID1=74994110&amp;VALUEID=02001&amp;SDATE=200403&amp;PERIODTYPE=QTR_STD&amp;SCFT=3&amp;window=popup_no_bar&amp;width=385&amp;height=120&amp;START_MAXIMIZED=FALSE&amp;creator=factset&amp;display_string=Audit"}</definedName>
    <definedName name="_3286__FDSAUDITLINK__" hidden="1">{"fdsup://Directions/FactSet Auditing Viewer?action=AUDIT_VALUE&amp;DB=129&amp;ID1=74994110&amp;VALUEID=02001&amp;SDATE=200403&amp;PERIODTYPE=QTR_STD&amp;SCFT=3&amp;window=popup_no_bar&amp;width=385&amp;height=120&amp;START_MAXIMIZED=FALSE&amp;creator=factset&amp;display_string=Audit"}</definedName>
    <definedName name="_3287__FDSAUDITLINK__" hidden="1">{"fdsup://Directions/FactSet Auditing Viewer?action=AUDIT_VALUE&amp;DB=129&amp;ID1=74994110&amp;VALUEID=02001&amp;SDATE=200402&amp;PERIODTYPE=QTR_STD&amp;SCFT=3&amp;window=popup_no_bar&amp;width=385&amp;height=120&amp;START_MAXIMIZED=FALSE&amp;creator=factset&amp;display_string=Audit"}</definedName>
    <definedName name="_3288__FDSAUDITLINK__" hidden="1">{"fdsup://Directions/FactSet Auditing Viewer?action=AUDIT_VALUE&amp;DB=129&amp;ID1=74994110&amp;VALUEID=02001&amp;SDATE=200402&amp;PERIODTYPE=QTR_STD&amp;SCFT=3&amp;window=popup_no_bar&amp;width=385&amp;height=120&amp;START_MAXIMIZED=FALSE&amp;creator=factset&amp;display_string=Audit"}</definedName>
    <definedName name="_3289__FDSAUDITLINK__" hidden="1">{"fdsup://Directions/FactSet Auditing Viewer?action=AUDIT_VALUE&amp;DB=129&amp;ID1=74994110&amp;VALUEID=02001&amp;SDATE=200401&amp;PERIODTYPE=QTR_STD&amp;SCFT=3&amp;window=popup_no_bar&amp;width=385&amp;height=120&amp;START_MAXIMIZED=FALSE&amp;creator=factset&amp;display_string=Audit"}</definedName>
    <definedName name="_329__FDSAUDITLINK__" hidden="1">{"fdsup://Directions/FactSet Auditing Viewer?action=AUDIT_VALUE&amp;DB=129&amp;ID1=74994110&amp;VALUEID=02001&amp;SDATE=201002&amp;PERIODTYPE=QTR_STD&amp;SCFT=3&amp;window=popup_no_bar&amp;width=385&amp;height=120&amp;START_MAXIMIZED=FALSE&amp;creator=factset&amp;display_string=Audit"}</definedName>
    <definedName name="_3290__FDSAUDITLINK__" hidden="1">{"fdsup://Directions/FactSet Auditing Viewer?action=AUDIT_VALUE&amp;DB=129&amp;ID1=74994110&amp;VALUEID=02001&amp;SDATE=200401&amp;PERIODTYPE=QTR_STD&amp;SCFT=3&amp;window=popup_no_bar&amp;width=385&amp;height=120&amp;START_MAXIMIZED=FALSE&amp;creator=factset&amp;display_string=Audit"}</definedName>
    <definedName name="_3291__FDSAUDITLINK__" hidden="1">{"fdsup://Directions/FactSet Auditing Viewer?action=AUDIT_VALUE&amp;DB=129&amp;ID1=74727710&amp;VALUEID=02001&amp;SDATE=200704&amp;PERIODTYPE=QTR_STD&amp;SCFT=3&amp;window=popup_no_bar&amp;width=385&amp;height=120&amp;START_MAXIMIZED=FALSE&amp;creator=factset&amp;display_string=Audit"}</definedName>
    <definedName name="_3292__FDSAUDITLINK__" hidden="1">{"fdsup://Directions/FactSet Auditing Viewer?action=AUDIT_VALUE&amp;DB=129&amp;ID1=74727710&amp;VALUEID=02001&amp;SDATE=200704&amp;PERIODTYPE=QTR_STD&amp;SCFT=3&amp;window=popup_no_bar&amp;width=385&amp;height=120&amp;START_MAXIMIZED=FALSE&amp;creator=factset&amp;display_string=Audit"}</definedName>
    <definedName name="_3293__FDSAUDITLINK__" hidden="1">{"fdsup://Directions/FactSet Auditing Viewer?action=AUDIT_VALUE&amp;DB=129&amp;ID1=74727710&amp;VALUEID=02001&amp;SDATE=200703&amp;PERIODTYPE=QTR_STD&amp;SCFT=3&amp;window=popup_no_bar&amp;width=385&amp;height=120&amp;START_MAXIMIZED=FALSE&amp;creator=factset&amp;display_string=Audit"}</definedName>
    <definedName name="_3294__FDSAUDITLINK__" hidden="1">{"fdsup://Directions/FactSet Auditing Viewer?action=AUDIT_VALUE&amp;DB=129&amp;ID1=74727710&amp;VALUEID=02001&amp;SDATE=200703&amp;PERIODTYPE=QTR_STD&amp;SCFT=3&amp;window=popup_no_bar&amp;width=385&amp;height=120&amp;START_MAXIMIZED=FALSE&amp;creator=factset&amp;display_string=Audit"}</definedName>
    <definedName name="_3295__FDSAUDITLINK__" hidden="1">{"fdsup://Directions/FactSet Auditing Viewer?action=AUDIT_VALUE&amp;DB=129&amp;ID1=74727710&amp;VALUEID=02001&amp;SDATE=200702&amp;PERIODTYPE=QTR_STD&amp;SCFT=3&amp;window=popup_no_bar&amp;width=385&amp;height=120&amp;START_MAXIMIZED=FALSE&amp;creator=factset&amp;display_string=Audit"}</definedName>
    <definedName name="_3296__FDSAUDITLINK__" hidden="1">{"fdsup://Directions/FactSet Auditing Viewer?action=AUDIT_VALUE&amp;DB=129&amp;ID1=74727710&amp;VALUEID=02001&amp;SDATE=200702&amp;PERIODTYPE=QTR_STD&amp;SCFT=3&amp;window=popup_no_bar&amp;width=385&amp;height=120&amp;START_MAXIMIZED=FALSE&amp;creator=factset&amp;display_string=Audit"}</definedName>
    <definedName name="_3297__FDSAUDITLINK__" hidden="1">{"fdsup://Directions/FactSet Auditing Viewer?action=AUDIT_VALUE&amp;DB=129&amp;ID1=74727710&amp;VALUEID=02001&amp;SDATE=200701&amp;PERIODTYPE=QTR_STD&amp;SCFT=3&amp;window=popup_no_bar&amp;width=385&amp;height=120&amp;START_MAXIMIZED=FALSE&amp;creator=factset&amp;display_string=Audit"}</definedName>
    <definedName name="_3298__FDSAUDITLINK__" hidden="1">{"fdsup://Directions/FactSet Auditing Viewer?action=AUDIT_VALUE&amp;DB=129&amp;ID1=74727710&amp;VALUEID=02001&amp;SDATE=200701&amp;PERIODTYPE=QTR_STD&amp;SCFT=3&amp;window=popup_no_bar&amp;width=385&amp;height=120&amp;START_MAXIMIZED=FALSE&amp;creator=factset&amp;display_string=Audit"}</definedName>
    <definedName name="_3299__FDSAUDITLINK__" hidden="1">{"fdsup://Directions/FactSet Auditing Viewer?action=AUDIT_VALUE&amp;DB=129&amp;ID1=74727710&amp;VALUEID=02001&amp;SDATE=200603&amp;PERIODTYPE=QTR_STD&amp;SCFT=3&amp;window=popup_no_bar&amp;width=385&amp;height=120&amp;START_MAXIMIZED=FALSE&amp;creator=factset&amp;display_string=Audit"}</definedName>
    <definedName name="_33__FDSAUDITLINK__" hidden="1">{"fdsup://directions/FAT Viewer?action=UPDATE&amp;creator=factset&amp;DYN_ARGS=TRUE&amp;DOC_NAME=FAT:FQL_AUDITING_CLIENT_TEMPLATE.FAT&amp;display_string=Audit&amp;VAR:KEY=ALEHCNUHCJ&amp;VAR:QUERY=RkZfU0hTX0ZMT0FUKEFOTiw0MDYwMik=&amp;WINDOW=FIRST_POPUP&amp;HEIGHT=450&amp;WIDTH=450&amp;START_MAXIMI","ZED=FALSE&amp;VAR:CALENDAR=US&amp;VAR:SYMBOL=LAS VEGAS SANDS&amp;VAR:INDEX=0"}</definedName>
    <definedName name="_330__FDSAUDITLINK__" hidden="1">{"fdsup://Directions/FactSet Auditing Viewer?action=AUDIT_VALUE&amp;DB=129&amp;ID1=74994110&amp;VALUEID=02001&amp;SDATE=201002&amp;PERIODTYPE=QTR_STD&amp;SCFT=3&amp;window=popup_no_bar&amp;width=385&amp;height=120&amp;START_MAXIMIZED=FALSE&amp;creator=factset&amp;display_string=Audit"}</definedName>
    <definedName name="_3300__FDSAUDITLINK__" hidden="1">{"fdsup://Directions/FactSet Auditing Viewer?action=AUDIT_VALUE&amp;DB=129&amp;ID1=74727710&amp;VALUEID=02001&amp;SDATE=200603&amp;PERIODTYPE=QTR_STD&amp;SCFT=3&amp;window=popup_no_bar&amp;width=385&amp;height=120&amp;START_MAXIMIZED=FALSE&amp;creator=factset&amp;display_string=Audit"}</definedName>
    <definedName name="_3301__FDSAUDITLINK__" hidden="1">{"fdsup://Directions/FactSet Auditing Viewer?action=AUDIT_VALUE&amp;DB=129&amp;ID1=74727710&amp;VALUEID=02001&amp;SDATE=200602&amp;PERIODTYPE=QTR_STD&amp;SCFT=3&amp;window=popup_no_bar&amp;width=385&amp;height=120&amp;START_MAXIMIZED=FALSE&amp;creator=factset&amp;display_string=Audit"}</definedName>
    <definedName name="_3302__FDSAUDITLINK__" hidden="1">{"fdsup://Directions/FactSet Auditing Viewer?action=AUDIT_VALUE&amp;DB=129&amp;ID1=74727710&amp;VALUEID=02001&amp;SDATE=200602&amp;PERIODTYPE=QTR_STD&amp;SCFT=3&amp;window=popup_no_bar&amp;width=385&amp;height=120&amp;START_MAXIMIZED=FALSE&amp;creator=factset&amp;display_string=Audit"}</definedName>
    <definedName name="_3303__FDSAUDITLINK__" hidden="1">{"fdsup://Directions/FactSet Auditing Viewer?action=AUDIT_VALUE&amp;DB=129&amp;ID1=74727710&amp;VALUEID=02001&amp;SDATE=200601&amp;PERIODTYPE=QTR_STD&amp;SCFT=3&amp;window=popup_no_bar&amp;width=385&amp;height=120&amp;START_MAXIMIZED=FALSE&amp;creator=factset&amp;display_string=Audit"}</definedName>
    <definedName name="_3304__FDSAUDITLINK__" hidden="1">{"fdsup://Directions/FactSet Auditing Viewer?action=AUDIT_VALUE&amp;DB=129&amp;ID1=74727710&amp;VALUEID=02001&amp;SDATE=200601&amp;PERIODTYPE=QTR_STD&amp;SCFT=3&amp;window=popup_no_bar&amp;width=385&amp;height=120&amp;START_MAXIMIZED=FALSE&amp;creator=factset&amp;display_string=Audit"}</definedName>
    <definedName name="_3305__FDSAUDITLINK__" hidden="1">{"fdsup://Directions/FactSet Auditing Viewer?action=AUDIT_VALUE&amp;DB=129&amp;ID1=74727710&amp;VALUEID=02001&amp;SDATE=200503&amp;PERIODTYPE=QTR_STD&amp;SCFT=3&amp;window=popup_no_bar&amp;width=385&amp;height=120&amp;START_MAXIMIZED=FALSE&amp;creator=factset&amp;display_string=Audit"}</definedName>
    <definedName name="_3306__FDSAUDITLINK__" hidden="1">{"fdsup://Directions/FactSet Auditing Viewer?action=AUDIT_VALUE&amp;DB=129&amp;ID1=74727710&amp;VALUEID=02001&amp;SDATE=200503&amp;PERIODTYPE=QTR_STD&amp;SCFT=3&amp;window=popup_no_bar&amp;width=385&amp;height=120&amp;START_MAXIMIZED=FALSE&amp;creator=factset&amp;display_string=Audit"}</definedName>
    <definedName name="_3307__FDSAUDITLINK__" hidden="1">{"fdsup://Directions/FactSet Auditing Viewer?action=AUDIT_VALUE&amp;DB=129&amp;ID1=74727710&amp;VALUEID=02001&amp;SDATE=200502&amp;PERIODTYPE=QTR_STD&amp;SCFT=3&amp;window=popup_no_bar&amp;width=385&amp;height=120&amp;START_MAXIMIZED=FALSE&amp;creator=factset&amp;display_string=Audit"}</definedName>
    <definedName name="_3308__FDSAUDITLINK__" hidden="1">{"fdsup://Directions/FactSet Auditing Viewer?action=AUDIT_VALUE&amp;DB=129&amp;ID1=74727710&amp;VALUEID=02001&amp;SDATE=200502&amp;PERIODTYPE=QTR_STD&amp;SCFT=3&amp;window=popup_no_bar&amp;width=385&amp;height=120&amp;START_MAXIMIZED=FALSE&amp;creator=factset&amp;display_string=Audit"}</definedName>
    <definedName name="_3309__FDSAUDITLINK__" hidden="1">{"fdsup://Directions/FactSet Auditing Viewer?action=AUDIT_VALUE&amp;DB=129&amp;ID1=74727710&amp;VALUEID=02001&amp;SDATE=200501&amp;PERIODTYPE=QTR_STD&amp;SCFT=3&amp;window=popup_no_bar&amp;width=385&amp;height=120&amp;START_MAXIMIZED=FALSE&amp;creator=factset&amp;display_string=Audit"}</definedName>
    <definedName name="_331__FDSAUDITLINK__" hidden="1">{"fdsup://Directions/FactSet Auditing Viewer?action=AUDIT_VALUE&amp;DB=129&amp;ID1=74727710&amp;VALUEID=02001&amp;SDATE=201002&amp;PERIODTYPE=QTR_STD&amp;SCFT=3&amp;window=popup_no_bar&amp;width=385&amp;height=120&amp;START_MAXIMIZED=FALSE&amp;creator=factset&amp;display_string=Audit"}</definedName>
    <definedName name="_3310__FDSAUDITLINK__" hidden="1">{"fdsup://Directions/FactSet Auditing Viewer?action=AUDIT_VALUE&amp;DB=129&amp;ID1=74727710&amp;VALUEID=02001&amp;SDATE=200501&amp;PERIODTYPE=QTR_STD&amp;SCFT=3&amp;window=popup_no_bar&amp;width=385&amp;height=120&amp;START_MAXIMIZED=FALSE&amp;creator=factset&amp;display_string=Audit"}</definedName>
    <definedName name="_3311__FDSAUDITLINK__" hidden="1">{"fdsup://Directions/FactSet Auditing Viewer?action=AUDIT_VALUE&amp;DB=129&amp;ID1=74727710&amp;VALUEID=02001&amp;SDATE=200403&amp;PERIODTYPE=QTR_STD&amp;SCFT=3&amp;window=popup_no_bar&amp;width=385&amp;height=120&amp;START_MAXIMIZED=FALSE&amp;creator=factset&amp;display_string=Audit"}</definedName>
    <definedName name="_3312__FDSAUDITLINK__" hidden="1">{"fdsup://Directions/FactSet Auditing Viewer?action=AUDIT_VALUE&amp;DB=129&amp;ID1=74727710&amp;VALUEID=02001&amp;SDATE=200403&amp;PERIODTYPE=QTR_STD&amp;SCFT=3&amp;window=popup_no_bar&amp;width=385&amp;height=120&amp;START_MAXIMIZED=FALSE&amp;creator=factset&amp;display_string=Audit"}</definedName>
    <definedName name="_3313__FDSAUDITLINK__" hidden="1">{"fdsup://Directions/FactSet Auditing Viewer?action=AUDIT_VALUE&amp;DB=129&amp;ID1=74727710&amp;VALUEID=02001&amp;SDATE=200402&amp;PERIODTYPE=QTR_STD&amp;SCFT=3&amp;window=popup_no_bar&amp;width=385&amp;height=120&amp;START_MAXIMIZED=FALSE&amp;creator=factset&amp;display_string=Audit"}</definedName>
    <definedName name="_3314__FDSAUDITLINK__" hidden="1">{"fdsup://Directions/FactSet Auditing Viewer?action=AUDIT_VALUE&amp;DB=129&amp;ID1=74727710&amp;VALUEID=02001&amp;SDATE=200402&amp;PERIODTYPE=QTR_STD&amp;SCFT=3&amp;window=popup_no_bar&amp;width=385&amp;height=120&amp;START_MAXIMIZED=FALSE&amp;creator=factset&amp;display_string=Audit"}</definedName>
    <definedName name="_3315__FDSAUDITLINK__" hidden="1">{"fdsup://Directions/FactSet Auditing Viewer?action=AUDIT_VALUE&amp;DB=129&amp;ID1=74727710&amp;VALUEID=02001&amp;SDATE=200401&amp;PERIODTYPE=QTR_STD&amp;SCFT=3&amp;window=popup_no_bar&amp;width=385&amp;height=120&amp;START_MAXIMIZED=FALSE&amp;creator=factset&amp;display_string=Audit"}</definedName>
    <definedName name="_3316__FDSAUDITLINK__" hidden="1">{"fdsup://Directions/FactSet Auditing Viewer?action=AUDIT_VALUE&amp;DB=129&amp;ID1=74727710&amp;VALUEID=02001&amp;SDATE=200401&amp;PERIODTYPE=QTR_STD&amp;SCFT=3&amp;window=popup_no_bar&amp;width=385&amp;height=120&amp;START_MAXIMIZED=FALSE&amp;creator=factset&amp;display_string=Audit"}</definedName>
    <definedName name="_3317__FDSAUDITLINK__" hidden="1">{"fdsup://Directions/FactSet Auditing Viewer?action=AUDIT_VALUE&amp;DB=129&amp;ID1=74752510&amp;VALUEID=02001&amp;SDATE=200802&amp;PERIODTYPE=QTR_STD&amp;SCFT=3&amp;window=popup_no_bar&amp;width=385&amp;height=120&amp;START_MAXIMIZED=FALSE&amp;creator=factset&amp;display_string=Audit"}</definedName>
    <definedName name="_3318__FDSAUDITLINK__" hidden="1">{"fdsup://Directions/FactSet Auditing Viewer?action=AUDIT_VALUE&amp;DB=129&amp;ID1=74752510&amp;VALUEID=02001&amp;SDATE=200802&amp;PERIODTYPE=QTR_STD&amp;SCFT=3&amp;window=popup_no_bar&amp;width=385&amp;height=120&amp;START_MAXIMIZED=FALSE&amp;creator=factset&amp;display_string=Audit"}</definedName>
    <definedName name="_3319__FDSAUDITLINK__" hidden="1">{"fdsup://Directions/FactSet Auditing Viewer?action=AUDIT_VALUE&amp;DB=129&amp;ID1=74752510&amp;VALUEID=02001&amp;SDATE=200801&amp;PERIODTYPE=QTR_STD&amp;SCFT=3&amp;window=popup_no_bar&amp;width=385&amp;height=120&amp;START_MAXIMIZED=FALSE&amp;creator=factset&amp;display_string=Audit"}</definedName>
    <definedName name="_332__FDSAUDITLINK__" hidden="1">{"fdsup://Directions/FactSet Auditing Viewer?action=AUDIT_VALUE&amp;DB=129&amp;ID1=74727710&amp;VALUEID=02001&amp;SDATE=201002&amp;PERIODTYPE=QTR_STD&amp;SCFT=3&amp;window=popup_no_bar&amp;width=385&amp;height=120&amp;START_MAXIMIZED=FALSE&amp;creator=factset&amp;display_string=Audit"}</definedName>
    <definedName name="_3320__FDSAUDITLINK__" hidden="1">{"fdsup://Directions/FactSet Auditing Viewer?action=AUDIT_VALUE&amp;DB=129&amp;ID1=74752510&amp;VALUEID=02001&amp;SDATE=200801&amp;PERIODTYPE=QTR_STD&amp;SCFT=3&amp;window=popup_no_bar&amp;width=385&amp;height=120&amp;START_MAXIMIZED=FALSE&amp;creator=factset&amp;display_string=Audit"}</definedName>
    <definedName name="_3321__FDSAUDITLINK__" hidden="1">{"fdsup://Directions/FactSet Auditing Viewer?action=AUDIT_VALUE&amp;DB=129&amp;ID1=74752510&amp;VALUEID=02001&amp;SDATE=200703&amp;PERIODTYPE=QTR_STD&amp;SCFT=3&amp;window=popup_no_bar&amp;width=385&amp;height=120&amp;START_MAXIMIZED=FALSE&amp;creator=factset&amp;display_string=Audit"}</definedName>
    <definedName name="_3322__FDSAUDITLINK__" hidden="1">{"fdsup://Directions/FactSet Auditing Viewer?action=AUDIT_VALUE&amp;DB=129&amp;ID1=74752510&amp;VALUEID=02001&amp;SDATE=200703&amp;PERIODTYPE=QTR_STD&amp;SCFT=3&amp;window=popup_no_bar&amp;width=385&amp;height=120&amp;START_MAXIMIZED=FALSE&amp;creator=factset&amp;display_string=Audit"}</definedName>
    <definedName name="_3323__FDSAUDITLINK__" hidden="1">{"fdsup://Directions/FactSet Auditing Viewer?action=AUDIT_VALUE&amp;DB=129&amp;ID1=74752510&amp;VALUEID=02001&amp;SDATE=200702&amp;PERIODTYPE=QTR_STD&amp;SCFT=3&amp;window=popup_no_bar&amp;width=385&amp;height=120&amp;START_MAXIMIZED=FALSE&amp;creator=factset&amp;display_string=Audit"}</definedName>
    <definedName name="_3324__FDSAUDITLINK__" hidden="1">{"fdsup://Directions/FactSet Auditing Viewer?action=AUDIT_VALUE&amp;DB=129&amp;ID1=74752510&amp;VALUEID=02001&amp;SDATE=200702&amp;PERIODTYPE=QTR_STD&amp;SCFT=3&amp;window=popup_no_bar&amp;width=385&amp;height=120&amp;START_MAXIMIZED=FALSE&amp;creator=factset&amp;display_string=Audit"}</definedName>
    <definedName name="_3325__FDSAUDITLINK__" hidden="1">{"fdsup://Directions/FactSet Auditing Viewer?action=AUDIT_VALUE&amp;DB=129&amp;ID1=74752510&amp;VALUEID=02001&amp;SDATE=200701&amp;PERIODTYPE=QTR_STD&amp;SCFT=3&amp;window=popup_no_bar&amp;width=385&amp;height=120&amp;START_MAXIMIZED=FALSE&amp;creator=factset&amp;display_string=Audit"}</definedName>
    <definedName name="_3326__FDSAUDITLINK__" hidden="1">{"fdsup://Directions/FactSet Auditing Viewer?action=AUDIT_VALUE&amp;DB=129&amp;ID1=74752510&amp;VALUEID=02001&amp;SDATE=200701&amp;PERIODTYPE=QTR_STD&amp;SCFT=3&amp;window=popup_no_bar&amp;width=385&amp;height=120&amp;START_MAXIMIZED=FALSE&amp;creator=factset&amp;display_string=Audit"}</definedName>
    <definedName name="_3327__FDSAUDITLINK__" hidden="1">{"fdsup://Directions/FactSet Auditing Viewer?action=AUDIT_VALUE&amp;DB=129&amp;ID1=74752510&amp;VALUEID=02001&amp;SDATE=200603&amp;PERIODTYPE=QTR_STD&amp;SCFT=3&amp;window=popup_no_bar&amp;width=385&amp;height=120&amp;START_MAXIMIZED=FALSE&amp;creator=factset&amp;display_string=Audit"}</definedName>
    <definedName name="_3328__FDSAUDITLINK__" hidden="1">{"fdsup://Directions/FactSet Auditing Viewer?action=AUDIT_VALUE&amp;DB=129&amp;ID1=74752510&amp;VALUEID=02001&amp;SDATE=200603&amp;PERIODTYPE=QTR_STD&amp;SCFT=3&amp;window=popup_no_bar&amp;width=385&amp;height=120&amp;START_MAXIMIZED=FALSE&amp;creator=factset&amp;display_string=Audit"}</definedName>
    <definedName name="_3329__FDSAUDITLINK__" hidden="1">{"fdsup://Directions/FactSet Auditing Viewer?action=AUDIT_VALUE&amp;DB=129&amp;ID1=74752510&amp;VALUEID=02001&amp;SDATE=200602&amp;PERIODTYPE=QTR_STD&amp;SCFT=3&amp;window=popup_no_bar&amp;width=385&amp;height=120&amp;START_MAXIMIZED=FALSE&amp;creator=factset&amp;display_string=Audit"}</definedName>
    <definedName name="_333__FDSAUDITLINK__" hidden="1">{"fdsup://Directions/FactSet Auditing Viewer?action=AUDIT_VALUE&amp;DB=129&amp;ID1=74752510&amp;VALUEID=02001&amp;SDATE=201004&amp;PERIODTYPE=QTR_STD&amp;SCFT=3&amp;window=popup_no_bar&amp;width=385&amp;height=120&amp;START_MAXIMIZED=FALSE&amp;creator=factset&amp;display_string=Audit"}</definedName>
    <definedName name="_3330__FDSAUDITLINK__" hidden="1">{"fdsup://Directions/FactSet Auditing Viewer?action=AUDIT_VALUE&amp;DB=129&amp;ID1=74752510&amp;VALUEID=02001&amp;SDATE=200602&amp;PERIODTYPE=QTR_STD&amp;SCFT=3&amp;window=popup_no_bar&amp;width=385&amp;height=120&amp;START_MAXIMIZED=FALSE&amp;creator=factset&amp;display_string=Audit"}</definedName>
    <definedName name="_3331__FDSAUDITLINK__" hidden="1">{"fdsup://Directions/FactSet Auditing Viewer?action=AUDIT_VALUE&amp;DB=129&amp;ID1=74752510&amp;VALUEID=02001&amp;SDATE=200601&amp;PERIODTYPE=QTR_STD&amp;SCFT=3&amp;window=popup_no_bar&amp;width=385&amp;height=120&amp;START_MAXIMIZED=FALSE&amp;creator=factset&amp;display_string=Audit"}</definedName>
    <definedName name="_3332__FDSAUDITLINK__" hidden="1">{"fdsup://Directions/FactSet Auditing Viewer?action=AUDIT_VALUE&amp;DB=129&amp;ID1=74752510&amp;VALUEID=02001&amp;SDATE=200601&amp;PERIODTYPE=QTR_STD&amp;SCFT=3&amp;window=popup_no_bar&amp;width=385&amp;height=120&amp;START_MAXIMIZED=FALSE&amp;creator=factset&amp;display_string=Audit"}</definedName>
    <definedName name="_3333__FDSAUDITLINK__" hidden="1">{"fdsup://Directions/FactSet Auditing Viewer?action=AUDIT_VALUE&amp;DB=129&amp;ID1=74752510&amp;VALUEID=02001&amp;SDATE=200503&amp;PERIODTYPE=QTR_STD&amp;SCFT=3&amp;window=popup_no_bar&amp;width=385&amp;height=120&amp;START_MAXIMIZED=FALSE&amp;creator=factset&amp;display_string=Audit"}</definedName>
    <definedName name="_3334__FDSAUDITLINK__" hidden="1">{"fdsup://Directions/FactSet Auditing Viewer?action=AUDIT_VALUE&amp;DB=129&amp;ID1=74752510&amp;VALUEID=02001&amp;SDATE=200503&amp;PERIODTYPE=QTR_STD&amp;SCFT=3&amp;window=popup_no_bar&amp;width=385&amp;height=120&amp;START_MAXIMIZED=FALSE&amp;creator=factset&amp;display_string=Audit"}</definedName>
    <definedName name="_3335__FDSAUDITLINK__" hidden="1">{"fdsup://Directions/FactSet Auditing Viewer?action=AUDIT_VALUE&amp;DB=129&amp;ID1=74752510&amp;VALUEID=02001&amp;SDATE=200502&amp;PERIODTYPE=QTR_STD&amp;SCFT=3&amp;window=popup_no_bar&amp;width=385&amp;height=120&amp;START_MAXIMIZED=FALSE&amp;creator=factset&amp;display_string=Audit"}</definedName>
    <definedName name="_3336__FDSAUDITLINK__" hidden="1">{"fdsup://Directions/FactSet Auditing Viewer?action=AUDIT_VALUE&amp;DB=129&amp;ID1=74752510&amp;VALUEID=02001&amp;SDATE=200502&amp;PERIODTYPE=QTR_STD&amp;SCFT=3&amp;window=popup_no_bar&amp;width=385&amp;height=120&amp;START_MAXIMIZED=FALSE&amp;creator=factset&amp;display_string=Audit"}</definedName>
    <definedName name="_3337__FDSAUDITLINK__" hidden="1">{"fdsup://Directions/FactSet Auditing Viewer?action=AUDIT_VALUE&amp;DB=129&amp;ID1=74752510&amp;VALUEID=02001&amp;SDATE=200501&amp;PERIODTYPE=QTR_STD&amp;SCFT=3&amp;window=popup_no_bar&amp;width=385&amp;height=120&amp;START_MAXIMIZED=FALSE&amp;creator=factset&amp;display_string=Audit"}</definedName>
    <definedName name="_3338__FDSAUDITLINK__" hidden="1">{"fdsup://Directions/FactSet Auditing Viewer?action=AUDIT_VALUE&amp;DB=129&amp;ID1=74752510&amp;VALUEID=02001&amp;SDATE=200501&amp;PERIODTYPE=QTR_STD&amp;SCFT=3&amp;window=popup_no_bar&amp;width=385&amp;height=120&amp;START_MAXIMIZED=FALSE&amp;creator=factset&amp;display_string=Audit"}</definedName>
    <definedName name="_3339__FDSAUDITLINK__" hidden="1">{"fdsup://Directions/FactSet Auditing Viewer?action=AUDIT_VALUE&amp;DB=129&amp;ID1=74752510&amp;VALUEID=02001&amp;SDATE=200403&amp;PERIODTYPE=QTR_STD&amp;SCFT=3&amp;window=popup_no_bar&amp;width=385&amp;height=120&amp;START_MAXIMIZED=FALSE&amp;creator=factset&amp;display_string=Audit"}</definedName>
    <definedName name="_334__FDSAUDITLINK__" hidden="1">{"fdsup://Directions/FactSet Auditing Viewer?action=AUDIT_VALUE&amp;DB=129&amp;ID1=74752510&amp;VALUEID=02001&amp;SDATE=201004&amp;PERIODTYPE=QTR_STD&amp;SCFT=3&amp;window=popup_no_bar&amp;width=385&amp;height=120&amp;START_MAXIMIZED=FALSE&amp;creator=factset&amp;display_string=Audit"}</definedName>
    <definedName name="_3340__FDSAUDITLINK__" hidden="1">{"fdsup://Directions/FactSet Auditing Viewer?action=AUDIT_VALUE&amp;DB=129&amp;ID1=74752510&amp;VALUEID=02001&amp;SDATE=200403&amp;PERIODTYPE=QTR_STD&amp;SCFT=3&amp;window=popup_no_bar&amp;width=385&amp;height=120&amp;START_MAXIMIZED=FALSE&amp;creator=factset&amp;display_string=Audit"}</definedName>
    <definedName name="_3341__FDSAUDITLINK__" hidden="1">{"fdsup://Directions/FactSet Auditing Viewer?action=AUDIT_VALUE&amp;DB=129&amp;ID1=74752510&amp;VALUEID=02001&amp;SDATE=200402&amp;PERIODTYPE=QTR_STD&amp;SCFT=3&amp;window=popup_no_bar&amp;width=385&amp;height=120&amp;START_MAXIMIZED=FALSE&amp;creator=factset&amp;display_string=Audit"}</definedName>
    <definedName name="_3342__FDSAUDITLINK__" hidden="1">{"fdsup://Directions/FactSet Auditing Viewer?action=AUDIT_VALUE&amp;DB=129&amp;ID1=74752510&amp;VALUEID=02001&amp;SDATE=200402&amp;PERIODTYPE=QTR_STD&amp;SCFT=3&amp;window=popup_no_bar&amp;width=385&amp;height=120&amp;START_MAXIMIZED=FALSE&amp;creator=factset&amp;display_string=Audit"}</definedName>
    <definedName name="_3343__FDSAUDITLINK__" hidden="1">{"fdsup://Directions/FactSet Auditing Viewer?action=AUDIT_VALUE&amp;DB=129&amp;ID1=72581M30&amp;VALUEID=02001&amp;SDATE=200801&amp;PERIODTYPE=QTR_STD&amp;SCFT=3&amp;window=popup_no_bar&amp;width=385&amp;height=120&amp;START_MAXIMIZED=FALSE&amp;creator=factset&amp;display_string=Audit"}</definedName>
    <definedName name="_3344__FDSAUDITLINK__" hidden="1">{"fdsup://Directions/FactSet Auditing Viewer?action=AUDIT_VALUE&amp;DB=129&amp;ID1=72581M30&amp;VALUEID=02001&amp;SDATE=200801&amp;PERIODTYPE=QTR_STD&amp;SCFT=3&amp;window=popup_no_bar&amp;width=385&amp;height=120&amp;START_MAXIMIZED=FALSE&amp;creator=factset&amp;display_string=Audit"}</definedName>
    <definedName name="_3345__FDSAUDITLINK__" hidden="1">{"fdsup://Directions/FactSet Auditing Viewer?action=AUDIT_VALUE&amp;DB=129&amp;ID1=72581M30&amp;VALUEID=02001&amp;SDATE=200703&amp;PERIODTYPE=QTR_STD&amp;SCFT=3&amp;window=popup_no_bar&amp;width=385&amp;height=120&amp;START_MAXIMIZED=FALSE&amp;creator=factset&amp;display_string=Audit"}</definedName>
    <definedName name="_3346__FDSAUDITLINK__" hidden="1">{"fdsup://Directions/FactSet Auditing Viewer?action=AUDIT_VALUE&amp;DB=129&amp;ID1=72581M30&amp;VALUEID=02001&amp;SDATE=200703&amp;PERIODTYPE=QTR_STD&amp;SCFT=3&amp;window=popup_no_bar&amp;width=385&amp;height=120&amp;START_MAXIMIZED=FALSE&amp;creator=factset&amp;display_string=Audit"}</definedName>
    <definedName name="_3347__FDSAUDITLINK__" hidden="1">{"fdsup://Directions/FactSet Auditing Viewer?action=AUDIT_VALUE&amp;DB=129&amp;ID1=72581M30&amp;VALUEID=02001&amp;SDATE=200702&amp;PERIODTYPE=QTR_STD&amp;SCFT=3&amp;window=popup_no_bar&amp;width=385&amp;height=120&amp;START_MAXIMIZED=FALSE&amp;creator=factset&amp;display_string=Audit"}</definedName>
    <definedName name="_3348__FDSAUDITLINK__" hidden="1">{"fdsup://Directions/FactSet Auditing Viewer?action=AUDIT_VALUE&amp;DB=129&amp;ID1=72581M30&amp;VALUEID=02001&amp;SDATE=200702&amp;PERIODTYPE=QTR_STD&amp;SCFT=3&amp;window=popup_no_bar&amp;width=385&amp;height=120&amp;START_MAXIMIZED=FALSE&amp;creator=factset&amp;display_string=Audit"}</definedName>
    <definedName name="_3349__FDSAUDITLINK__" hidden="1">{"fdsup://Directions/FactSet Auditing Viewer?action=AUDIT_VALUE&amp;DB=129&amp;ID1=72581M30&amp;VALUEID=02001&amp;SDATE=200701&amp;PERIODTYPE=QTR_STD&amp;SCFT=3&amp;window=popup_no_bar&amp;width=385&amp;height=120&amp;START_MAXIMIZED=FALSE&amp;creator=factset&amp;display_string=Audit"}</definedName>
    <definedName name="_335__FDSAUDITLINK__" hidden="1">{"fdsup://Directions/FactSet Auditing Viewer?action=AUDIT_VALUE&amp;DB=129&amp;ID1=72581M30&amp;VALUEID=02001&amp;SDATE=201003&amp;PERIODTYPE=QTR_STD&amp;SCFT=3&amp;window=popup_no_bar&amp;width=385&amp;height=120&amp;START_MAXIMIZED=FALSE&amp;creator=factset&amp;display_string=Audit"}</definedName>
    <definedName name="_3350__FDSAUDITLINK__" hidden="1">{"fdsup://Directions/FactSet Auditing Viewer?action=AUDIT_VALUE&amp;DB=129&amp;ID1=72581M30&amp;VALUEID=02001&amp;SDATE=200701&amp;PERIODTYPE=QTR_STD&amp;SCFT=3&amp;window=popup_no_bar&amp;width=385&amp;height=120&amp;START_MAXIMIZED=FALSE&amp;creator=factset&amp;display_string=Audit"}</definedName>
    <definedName name="_3351__FDSAUDITLINK__" hidden="1">{"fdsup://Directions/FactSet Auditing Viewer?action=AUDIT_VALUE&amp;DB=129&amp;ID1=72581M30&amp;VALUEID=02001&amp;SDATE=200603&amp;PERIODTYPE=QTR_STD&amp;SCFT=3&amp;window=popup_no_bar&amp;width=385&amp;height=120&amp;START_MAXIMIZED=FALSE&amp;creator=factset&amp;display_string=Audit"}</definedName>
    <definedName name="_3352__FDSAUDITLINK__" hidden="1">{"fdsup://Directions/FactSet Auditing Viewer?action=AUDIT_VALUE&amp;DB=129&amp;ID1=72581M30&amp;VALUEID=02001&amp;SDATE=200603&amp;PERIODTYPE=QTR_STD&amp;SCFT=3&amp;window=popup_no_bar&amp;width=385&amp;height=120&amp;START_MAXIMIZED=FALSE&amp;creator=factset&amp;display_string=Audit"}</definedName>
    <definedName name="_3353__FDSAUDITLINK__" hidden="1">{"fdsup://Directions/FactSet Auditing Viewer?action=AUDIT_VALUE&amp;DB=129&amp;ID1=72581M30&amp;VALUEID=02001&amp;SDATE=200602&amp;PERIODTYPE=QTR_STD&amp;SCFT=3&amp;window=popup_no_bar&amp;width=385&amp;height=120&amp;START_MAXIMIZED=FALSE&amp;creator=factset&amp;display_string=Audit"}</definedName>
    <definedName name="_3354__FDSAUDITLINK__" hidden="1">{"fdsup://Directions/FactSet Auditing Viewer?action=AUDIT_VALUE&amp;DB=129&amp;ID1=72581M30&amp;VALUEID=02001&amp;SDATE=200602&amp;PERIODTYPE=QTR_STD&amp;SCFT=3&amp;window=popup_no_bar&amp;width=385&amp;height=120&amp;START_MAXIMIZED=FALSE&amp;creator=factset&amp;display_string=Audit"}</definedName>
    <definedName name="_3355__FDSAUDITLINK__" hidden="1">{"fdsup://Directions/FactSet Auditing Viewer?action=AUDIT_VALUE&amp;DB=129&amp;ID1=72581M30&amp;VALUEID=02001&amp;SDATE=200601&amp;PERIODTYPE=QTR_STD&amp;SCFT=3&amp;window=popup_no_bar&amp;width=385&amp;height=120&amp;START_MAXIMIZED=FALSE&amp;creator=factset&amp;display_string=Audit"}</definedName>
    <definedName name="_3356__FDSAUDITLINK__" hidden="1">{"fdsup://Directions/FactSet Auditing Viewer?action=AUDIT_VALUE&amp;DB=129&amp;ID1=72581M30&amp;VALUEID=02001&amp;SDATE=200601&amp;PERIODTYPE=QTR_STD&amp;SCFT=3&amp;window=popup_no_bar&amp;width=385&amp;height=120&amp;START_MAXIMIZED=FALSE&amp;creator=factset&amp;display_string=Audit"}</definedName>
    <definedName name="_3357__FDSAUDITLINK__" hidden="1">{"fdsup://Directions/FactSet Auditing Viewer?action=AUDIT_VALUE&amp;DB=129&amp;ID1=72581M30&amp;VALUEID=02001&amp;SDATE=200503&amp;PERIODTYPE=QTR_STD&amp;SCFT=3&amp;window=popup_no_bar&amp;width=385&amp;height=120&amp;START_MAXIMIZED=FALSE&amp;creator=factset&amp;display_string=Audit"}</definedName>
    <definedName name="_3358__FDSAUDITLINK__" hidden="1">{"fdsup://Directions/FactSet Auditing Viewer?action=AUDIT_VALUE&amp;DB=129&amp;ID1=72581M30&amp;VALUEID=02001&amp;SDATE=200503&amp;PERIODTYPE=QTR_STD&amp;SCFT=3&amp;window=popup_no_bar&amp;width=385&amp;height=120&amp;START_MAXIMIZED=FALSE&amp;creator=factset&amp;display_string=Audit"}</definedName>
    <definedName name="_3359__FDSAUDITLINK__" hidden="1">{"fdsup://Directions/FactSet Auditing Viewer?action=AUDIT_VALUE&amp;DB=129&amp;ID1=72581M30&amp;VALUEID=02001&amp;SDATE=200502&amp;PERIODTYPE=QTR_STD&amp;SCFT=3&amp;window=popup_no_bar&amp;width=385&amp;height=120&amp;START_MAXIMIZED=FALSE&amp;creator=factset&amp;display_string=Audit"}</definedName>
    <definedName name="_336__FDSAUDITLINK__" hidden="1">{"fdsup://Directions/FactSet Auditing Viewer?action=AUDIT_VALUE&amp;DB=129&amp;ID1=72581M30&amp;VALUEID=02001&amp;SDATE=201003&amp;PERIODTYPE=QTR_STD&amp;SCFT=3&amp;window=popup_no_bar&amp;width=385&amp;height=120&amp;START_MAXIMIZED=FALSE&amp;creator=factset&amp;display_string=Audit"}</definedName>
    <definedName name="_3360__FDSAUDITLINK__" hidden="1">{"fdsup://Directions/FactSet Auditing Viewer?action=AUDIT_VALUE&amp;DB=129&amp;ID1=72581M30&amp;VALUEID=02001&amp;SDATE=200502&amp;PERIODTYPE=QTR_STD&amp;SCFT=3&amp;window=popup_no_bar&amp;width=385&amp;height=120&amp;START_MAXIMIZED=FALSE&amp;creator=factset&amp;display_string=Audit"}</definedName>
    <definedName name="_3361__FDSAUDITLINK__" hidden="1">{"fdsup://Directions/FactSet Auditing Viewer?action=AUDIT_VALUE&amp;DB=129&amp;ID1=72581M30&amp;VALUEID=02001&amp;SDATE=200501&amp;PERIODTYPE=QTR_STD&amp;SCFT=3&amp;window=popup_no_bar&amp;width=385&amp;height=120&amp;START_MAXIMIZED=FALSE&amp;creator=factset&amp;display_string=Audit"}</definedName>
    <definedName name="_3362__FDSAUDITLINK__" hidden="1">{"fdsup://Directions/FactSet Auditing Viewer?action=AUDIT_VALUE&amp;DB=129&amp;ID1=72581M30&amp;VALUEID=02001&amp;SDATE=200501&amp;PERIODTYPE=QTR_STD&amp;SCFT=3&amp;window=popup_no_bar&amp;width=385&amp;height=120&amp;START_MAXIMIZED=FALSE&amp;creator=factset&amp;display_string=Audit"}</definedName>
    <definedName name="_3363__FDSAUDITLINK__" hidden="1">{"fdsup://Directions/FactSet Auditing Viewer?action=AUDIT_VALUE&amp;DB=129&amp;ID1=72581M30&amp;VALUEID=02001&amp;SDATE=200403&amp;PERIODTYPE=QTR_STD&amp;SCFT=3&amp;window=popup_no_bar&amp;width=385&amp;height=120&amp;START_MAXIMIZED=FALSE&amp;creator=factset&amp;display_string=Audit"}</definedName>
    <definedName name="_3364__FDSAUDITLINK__" hidden="1">{"fdsup://Directions/FactSet Auditing Viewer?action=AUDIT_VALUE&amp;DB=129&amp;ID1=72581M30&amp;VALUEID=02001&amp;SDATE=200403&amp;PERIODTYPE=QTR_STD&amp;SCFT=3&amp;window=popup_no_bar&amp;width=385&amp;height=120&amp;START_MAXIMIZED=FALSE&amp;creator=factset&amp;display_string=Audit"}</definedName>
    <definedName name="_3365__FDSAUDITLINK__" hidden="1">{"fdsup://Directions/FactSet Auditing Viewer?action=AUDIT_VALUE&amp;DB=129&amp;ID1=72581M30&amp;VALUEID=02001&amp;SDATE=200402&amp;PERIODTYPE=QTR_STD&amp;SCFT=3&amp;window=popup_no_bar&amp;width=385&amp;height=120&amp;START_MAXIMIZED=FALSE&amp;creator=factset&amp;display_string=Audit"}</definedName>
    <definedName name="_3366__FDSAUDITLINK__" hidden="1">{"fdsup://Directions/FactSet Auditing Viewer?action=AUDIT_VALUE&amp;DB=129&amp;ID1=72581M30&amp;VALUEID=02001&amp;SDATE=200402&amp;PERIODTYPE=QTR_STD&amp;SCFT=3&amp;window=popup_no_bar&amp;width=385&amp;height=120&amp;START_MAXIMIZED=FALSE&amp;creator=factset&amp;display_string=Audit"}</definedName>
    <definedName name="_3367__FDSAUDITLINK__" hidden="1">{"fdsup://Directions/FactSet Auditing Viewer?action=AUDIT_VALUE&amp;DB=129&amp;ID1=72581M30&amp;VALUEID=02001&amp;SDATE=200401&amp;PERIODTYPE=QTR_STD&amp;SCFT=3&amp;window=popup_no_bar&amp;width=385&amp;height=120&amp;START_MAXIMIZED=FALSE&amp;creator=factset&amp;display_string=Audit"}</definedName>
    <definedName name="_3368__FDSAUDITLINK__" hidden="1">{"fdsup://Directions/FactSet Auditing Viewer?action=AUDIT_VALUE&amp;DB=129&amp;ID1=72581M30&amp;VALUEID=02001&amp;SDATE=200401&amp;PERIODTYPE=QTR_STD&amp;SCFT=3&amp;window=popup_no_bar&amp;width=385&amp;height=120&amp;START_MAXIMIZED=FALSE&amp;creator=factset&amp;display_string=Audit"}</definedName>
    <definedName name="_3369__FDSAUDITLINK__" hidden="1">{"fdsup://Directions/FactSet Auditing Viewer?action=AUDIT_VALUE&amp;DB=129&amp;ID1=73927610&amp;VALUEID=02001&amp;SDATE=200801&amp;PERIODTYPE=QTR_STD&amp;SCFT=3&amp;window=popup_no_bar&amp;width=385&amp;height=120&amp;START_MAXIMIZED=FALSE&amp;creator=factset&amp;display_string=Audit"}</definedName>
    <definedName name="_337__FDSAUDITLINK__" hidden="1">{"fdsup://Directions/FactSet Auditing Viewer?action=AUDIT_VALUE&amp;DB=129&amp;ID1=73927610&amp;VALUEID=02001&amp;SDATE=201003&amp;PERIODTYPE=QTR_STD&amp;SCFT=3&amp;window=popup_no_bar&amp;width=385&amp;height=120&amp;START_MAXIMIZED=FALSE&amp;creator=factset&amp;display_string=Audit"}</definedName>
    <definedName name="_3370__FDSAUDITLINK__" hidden="1">{"fdsup://Directions/FactSet Auditing Viewer?action=AUDIT_VALUE&amp;DB=129&amp;ID1=73927610&amp;VALUEID=02001&amp;SDATE=200801&amp;PERIODTYPE=QTR_STD&amp;SCFT=3&amp;window=popup_no_bar&amp;width=385&amp;height=120&amp;START_MAXIMIZED=FALSE&amp;creator=factset&amp;display_string=Audit"}</definedName>
    <definedName name="_3371__FDSAUDITLINK__" hidden="1">{"fdsup://Directions/FactSet Auditing Viewer?action=AUDIT_VALUE&amp;DB=129&amp;ID1=73927610&amp;VALUEID=02001&amp;SDATE=200703&amp;PERIODTYPE=QTR_STD&amp;SCFT=3&amp;window=popup_no_bar&amp;width=385&amp;height=120&amp;START_MAXIMIZED=FALSE&amp;creator=factset&amp;display_string=Audit"}</definedName>
    <definedName name="_3372__FDSAUDITLINK__" hidden="1">{"fdsup://Directions/FactSet Auditing Viewer?action=AUDIT_VALUE&amp;DB=129&amp;ID1=73927610&amp;VALUEID=02001&amp;SDATE=200703&amp;PERIODTYPE=QTR_STD&amp;SCFT=3&amp;window=popup_no_bar&amp;width=385&amp;height=120&amp;START_MAXIMIZED=FALSE&amp;creator=factset&amp;display_string=Audit"}</definedName>
    <definedName name="_3373__FDSAUDITLINK__" hidden="1">{"fdsup://Directions/FactSet Auditing Viewer?action=AUDIT_VALUE&amp;DB=129&amp;ID1=73927610&amp;VALUEID=02001&amp;SDATE=200702&amp;PERIODTYPE=QTR_STD&amp;SCFT=3&amp;window=popup_no_bar&amp;width=385&amp;height=120&amp;START_MAXIMIZED=FALSE&amp;creator=factset&amp;display_string=Audit"}</definedName>
    <definedName name="_3374__FDSAUDITLINK__" hidden="1">{"fdsup://Directions/FactSet Auditing Viewer?action=AUDIT_VALUE&amp;DB=129&amp;ID1=73927610&amp;VALUEID=02001&amp;SDATE=200702&amp;PERIODTYPE=QTR_STD&amp;SCFT=3&amp;window=popup_no_bar&amp;width=385&amp;height=120&amp;START_MAXIMIZED=FALSE&amp;creator=factset&amp;display_string=Audit"}</definedName>
    <definedName name="_3375__FDSAUDITLINK__" hidden="1">{"fdsup://Directions/FactSet Auditing Viewer?action=AUDIT_VALUE&amp;DB=129&amp;ID1=73927610&amp;VALUEID=02001&amp;SDATE=200701&amp;PERIODTYPE=QTR_STD&amp;SCFT=3&amp;window=popup_no_bar&amp;width=385&amp;height=120&amp;START_MAXIMIZED=FALSE&amp;creator=factset&amp;display_string=Audit"}</definedName>
    <definedName name="_3376__FDSAUDITLINK__" hidden="1">{"fdsup://Directions/FactSet Auditing Viewer?action=AUDIT_VALUE&amp;DB=129&amp;ID1=73927610&amp;VALUEID=02001&amp;SDATE=200701&amp;PERIODTYPE=QTR_STD&amp;SCFT=3&amp;window=popup_no_bar&amp;width=385&amp;height=120&amp;START_MAXIMIZED=FALSE&amp;creator=factset&amp;display_string=Audit"}</definedName>
    <definedName name="_3377__FDSAUDITLINK__" hidden="1">{"fdsup://Directions/FactSet Auditing Viewer?action=AUDIT_VALUE&amp;DB=129&amp;ID1=73927610&amp;VALUEID=02001&amp;SDATE=200603&amp;PERIODTYPE=QTR_STD&amp;SCFT=3&amp;window=popup_no_bar&amp;width=385&amp;height=120&amp;START_MAXIMIZED=FALSE&amp;creator=factset&amp;display_string=Audit"}</definedName>
    <definedName name="_3378__FDSAUDITLINK__" hidden="1">{"fdsup://Directions/FactSet Auditing Viewer?action=AUDIT_VALUE&amp;DB=129&amp;ID1=73927610&amp;VALUEID=02001&amp;SDATE=200603&amp;PERIODTYPE=QTR_STD&amp;SCFT=3&amp;window=popup_no_bar&amp;width=385&amp;height=120&amp;START_MAXIMIZED=FALSE&amp;creator=factset&amp;display_string=Audit"}</definedName>
    <definedName name="_3379__FDSAUDITLINK__" hidden="1">{"fdsup://Directions/FactSet Auditing Viewer?action=AUDIT_VALUE&amp;DB=129&amp;ID1=73927610&amp;VALUEID=02001&amp;SDATE=200602&amp;PERIODTYPE=QTR_STD&amp;SCFT=3&amp;window=popup_no_bar&amp;width=385&amp;height=120&amp;START_MAXIMIZED=FALSE&amp;creator=factset&amp;display_string=Audit"}</definedName>
    <definedName name="_338__FDSAUDITLINK__" hidden="1">{"fdsup://Directions/FactSet Auditing Viewer?action=AUDIT_VALUE&amp;DB=129&amp;ID1=73927610&amp;VALUEID=02001&amp;SDATE=201003&amp;PERIODTYPE=QTR_STD&amp;SCFT=3&amp;window=popup_no_bar&amp;width=385&amp;height=120&amp;START_MAXIMIZED=FALSE&amp;creator=factset&amp;display_string=Audit"}</definedName>
    <definedName name="_3380__FDSAUDITLINK__" hidden="1">{"fdsup://Directions/FactSet Auditing Viewer?action=AUDIT_VALUE&amp;DB=129&amp;ID1=73927610&amp;VALUEID=02001&amp;SDATE=200602&amp;PERIODTYPE=QTR_STD&amp;SCFT=3&amp;window=popup_no_bar&amp;width=385&amp;height=120&amp;START_MAXIMIZED=FALSE&amp;creator=factset&amp;display_string=Audit"}</definedName>
    <definedName name="_3381__FDSAUDITLINK__" hidden="1">{"fdsup://Directions/FactSet Auditing Viewer?action=AUDIT_VALUE&amp;DB=129&amp;ID1=73927610&amp;VALUEID=02001&amp;SDATE=200601&amp;PERIODTYPE=QTR_STD&amp;SCFT=3&amp;window=popup_no_bar&amp;width=385&amp;height=120&amp;START_MAXIMIZED=FALSE&amp;creator=factset&amp;display_string=Audit"}</definedName>
    <definedName name="_3382__FDSAUDITLINK__" hidden="1">{"fdsup://Directions/FactSet Auditing Viewer?action=AUDIT_VALUE&amp;DB=129&amp;ID1=73927610&amp;VALUEID=02001&amp;SDATE=200601&amp;PERIODTYPE=QTR_STD&amp;SCFT=3&amp;window=popup_no_bar&amp;width=385&amp;height=120&amp;START_MAXIMIZED=FALSE&amp;creator=factset&amp;display_string=Audit"}</definedName>
    <definedName name="_3383__FDSAUDITLINK__" hidden="1">{"fdsup://Directions/FactSet Auditing Viewer?action=AUDIT_VALUE&amp;DB=129&amp;ID1=73927610&amp;VALUEID=02001&amp;SDATE=200503&amp;PERIODTYPE=QTR_STD&amp;SCFT=3&amp;window=popup_no_bar&amp;width=385&amp;height=120&amp;START_MAXIMIZED=FALSE&amp;creator=factset&amp;display_string=Audit"}</definedName>
    <definedName name="_3384__FDSAUDITLINK__" hidden="1">{"fdsup://Directions/FactSet Auditing Viewer?action=AUDIT_VALUE&amp;DB=129&amp;ID1=73927610&amp;VALUEID=02001&amp;SDATE=200503&amp;PERIODTYPE=QTR_STD&amp;SCFT=3&amp;window=popup_no_bar&amp;width=385&amp;height=120&amp;START_MAXIMIZED=FALSE&amp;creator=factset&amp;display_string=Audit"}</definedName>
    <definedName name="_3385__FDSAUDITLINK__" hidden="1">{"fdsup://Directions/FactSet Auditing Viewer?action=AUDIT_VALUE&amp;DB=129&amp;ID1=73927610&amp;VALUEID=02001&amp;SDATE=200502&amp;PERIODTYPE=QTR_STD&amp;SCFT=3&amp;window=popup_no_bar&amp;width=385&amp;height=120&amp;START_MAXIMIZED=FALSE&amp;creator=factset&amp;display_string=Audit"}</definedName>
    <definedName name="_3386__FDSAUDITLINK__" hidden="1">{"fdsup://Directions/FactSet Auditing Viewer?action=AUDIT_VALUE&amp;DB=129&amp;ID1=73927610&amp;VALUEID=02001&amp;SDATE=200502&amp;PERIODTYPE=QTR_STD&amp;SCFT=3&amp;window=popup_no_bar&amp;width=385&amp;height=120&amp;START_MAXIMIZED=FALSE&amp;creator=factset&amp;display_string=Audit"}</definedName>
    <definedName name="_3387__FDSAUDITLINK__" hidden="1">{"fdsup://Directions/FactSet Auditing Viewer?action=AUDIT_VALUE&amp;DB=129&amp;ID1=73927610&amp;VALUEID=02001&amp;SDATE=200501&amp;PERIODTYPE=QTR_STD&amp;SCFT=3&amp;window=popup_no_bar&amp;width=385&amp;height=120&amp;START_MAXIMIZED=FALSE&amp;creator=factset&amp;display_string=Audit"}</definedName>
    <definedName name="_3388__FDSAUDITLINK__" hidden="1">{"fdsup://Directions/FactSet Auditing Viewer?action=AUDIT_VALUE&amp;DB=129&amp;ID1=73927610&amp;VALUEID=02001&amp;SDATE=200501&amp;PERIODTYPE=QTR_STD&amp;SCFT=3&amp;window=popup_no_bar&amp;width=385&amp;height=120&amp;START_MAXIMIZED=FALSE&amp;creator=factset&amp;display_string=Audit"}</definedName>
    <definedName name="_3389__FDSAUDITLINK__" hidden="1">{"fdsup://Directions/FactSet Auditing Viewer?action=AUDIT_VALUE&amp;DB=129&amp;ID1=73927610&amp;VALUEID=02001&amp;SDATE=200403&amp;PERIODTYPE=QTR_STD&amp;SCFT=3&amp;window=popup_no_bar&amp;width=385&amp;height=120&amp;START_MAXIMIZED=FALSE&amp;creator=factset&amp;display_string=Audit"}</definedName>
    <definedName name="_339__FDSAUDITLINK__" hidden="1">{"fdsup://Directions/FactSet Auditing Viewer?action=AUDIT_VALUE&amp;DB=129&amp;ID1=69344F10&amp;VALUEID=02001&amp;SDATE=201003&amp;PERIODTYPE=QTR_STD&amp;SCFT=3&amp;window=popup_no_bar&amp;width=385&amp;height=120&amp;START_MAXIMIZED=FALSE&amp;creator=factset&amp;display_string=Audit"}</definedName>
    <definedName name="_3390__FDSAUDITLINK__" hidden="1">{"fdsup://Directions/FactSet Auditing Viewer?action=AUDIT_VALUE&amp;DB=129&amp;ID1=73927610&amp;VALUEID=02001&amp;SDATE=200403&amp;PERIODTYPE=QTR_STD&amp;SCFT=3&amp;window=popup_no_bar&amp;width=385&amp;height=120&amp;START_MAXIMIZED=FALSE&amp;creator=factset&amp;display_string=Audit"}</definedName>
    <definedName name="_3391__FDSAUDITLINK__" hidden="1">{"fdsup://Directions/FactSet Auditing Viewer?action=AUDIT_VALUE&amp;DB=129&amp;ID1=73927610&amp;VALUEID=02001&amp;SDATE=200402&amp;PERIODTYPE=QTR_STD&amp;SCFT=3&amp;window=popup_no_bar&amp;width=385&amp;height=120&amp;START_MAXIMIZED=FALSE&amp;creator=factset&amp;display_string=Audit"}</definedName>
    <definedName name="_3392__FDSAUDITLINK__" hidden="1">{"fdsup://Directions/FactSet Auditing Viewer?action=AUDIT_VALUE&amp;DB=129&amp;ID1=73927610&amp;VALUEID=02001&amp;SDATE=200402&amp;PERIODTYPE=QTR_STD&amp;SCFT=3&amp;window=popup_no_bar&amp;width=385&amp;height=120&amp;START_MAXIMIZED=FALSE&amp;creator=factset&amp;display_string=Audit"}</definedName>
    <definedName name="_3393__FDSAUDITLINK__" hidden="1">{"fdsup://Directions/FactSet Auditing Viewer?action=AUDIT_VALUE&amp;DB=129&amp;ID1=73927610&amp;VALUEID=02001&amp;SDATE=200401&amp;PERIODTYPE=QTR_STD&amp;SCFT=3&amp;window=popup_no_bar&amp;width=385&amp;height=120&amp;START_MAXIMIZED=FALSE&amp;creator=factset&amp;display_string=Audit"}</definedName>
    <definedName name="_3394__FDSAUDITLINK__" hidden="1">{"fdsup://Directions/FactSet Auditing Viewer?action=AUDIT_VALUE&amp;DB=129&amp;ID1=73927610&amp;VALUEID=02001&amp;SDATE=200401&amp;PERIODTYPE=QTR_STD&amp;SCFT=3&amp;window=popup_no_bar&amp;width=385&amp;height=120&amp;START_MAXIMIZED=FALSE&amp;creator=factset&amp;display_string=Audit"}</definedName>
    <definedName name="_3395__FDSAUDITLINK__" hidden="1">{"fdsup://Directions/FactSet Auditing Viewer?action=AUDIT_VALUE&amp;DB=129&amp;ID1=69344F10&amp;VALUEID=02001&amp;SDATE=200801&amp;PERIODTYPE=QTR_STD&amp;SCFT=3&amp;window=popup_no_bar&amp;width=385&amp;height=120&amp;START_MAXIMIZED=FALSE&amp;creator=factset&amp;display_string=Audit"}</definedName>
    <definedName name="_3396__FDSAUDITLINK__" hidden="1">{"fdsup://Directions/FactSet Auditing Viewer?action=AUDIT_VALUE&amp;DB=129&amp;ID1=69344F10&amp;VALUEID=02001&amp;SDATE=200801&amp;PERIODTYPE=QTR_STD&amp;SCFT=3&amp;window=popup_no_bar&amp;width=385&amp;height=120&amp;START_MAXIMIZED=FALSE&amp;creator=factset&amp;display_string=Audit"}</definedName>
    <definedName name="_3397__FDSAUDITLINK__" hidden="1">{"fdsup://Directions/FactSet Auditing Viewer?action=AUDIT_VALUE&amp;DB=129&amp;ID1=69344F10&amp;VALUEID=02001&amp;SDATE=200703&amp;PERIODTYPE=QTR_STD&amp;SCFT=3&amp;window=popup_no_bar&amp;width=385&amp;height=120&amp;START_MAXIMIZED=FALSE&amp;creator=factset&amp;display_string=Audit"}</definedName>
    <definedName name="_3398__FDSAUDITLINK__" hidden="1">{"fdsup://Directions/FactSet Auditing Viewer?action=AUDIT_VALUE&amp;DB=129&amp;ID1=69344F10&amp;VALUEID=02001&amp;SDATE=200703&amp;PERIODTYPE=QTR_STD&amp;SCFT=3&amp;window=popup_no_bar&amp;width=385&amp;height=120&amp;START_MAXIMIZED=FALSE&amp;creator=factset&amp;display_string=Audit"}</definedName>
    <definedName name="_3399__FDSAUDITLINK__" hidden="1">{"fdsup://Directions/FactSet Auditing Viewer?action=AUDIT_VALUE&amp;DB=129&amp;ID1=69344F10&amp;VALUEID=02001&amp;SDATE=200702&amp;PERIODTYPE=QTR_STD&amp;SCFT=3&amp;window=popup_no_bar&amp;width=385&amp;height=120&amp;START_MAXIMIZED=FALSE&amp;creator=factset&amp;display_string=Audit"}</definedName>
    <definedName name="_34__FDSAUDITLINK__" hidden="1">{"fdsup://directions/FAT Viewer?action=UPDATE&amp;creator=factset&amp;DYN_ARGS=TRUE&amp;DOC_NAME=FAT:FQL_AUDITING_CLIENT_TEMPLATE.FAT&amp;display_string=Audit&amp;VAR:KEY=KXSJQDUVSZ&amp;VAR:QUERY=RkZfU0hTX0ZMT0FUKEFOTiw0MDU3NCk=&amp;WINDOW=FIRST_POPUP&amp;HEIGHT=450&amp;WIDTH=450&amp;START_MAXIMI","ZED=FALSE&amp;VAR:CALENDAR=US&amp;VAR:SYMBOL=LAS VEGAS SANDS&amp;VAR:INDEX=0"}</definedName>
    <definedName name="_340__FDSAUDITLINK__" hidden="1">{"fdsup://Directions/FactSet Auditing Viewer?action=AUDIT_VALUE&amp;DB=129&amp;ID1=69344F10&amp;VALUEID=02001&amp;SDATE=201003&amp;PERIODTYPE=QTR_STD&amp;SCFT=3&amp;window=popup_no_bar&amp;width=385&amp;height=120&amp;START_MAXIMIZED=FALSE&amp;creator=factset&amp;display_string=Audit"}</definedName>
    <definedName name="_3400__FDSAUDITLINK__" hidden="1">{"fdsup://Directions/FactSet Auditing Viewer?action=AUDIT_VALUE&amp;DB=129&amp;ID1=69344F10&amp;VALUEID=02001&amp;SDATE=200702&amp;PERIODTYPE=QTR_STD&amp;SCFT=3&amp;window=popup_no_bar&amp;width=385&amp;height=120&amp;START_MAXIMIZED=FALSE&amp;creator=factset&amp;display_string=Audit"}</definedName>
    <definedName name="_3401__FDSAUDITLINK__" hidden="1">{"fdsup://Directions/FactSet Auditing Viewer?action=AUDIT_VALUE&amp;DB=129&amp;ID1=69344F10&amp;VALUEID=02001&amp;SDATE=200701&amp;PERIODTYPE=QTR_STD&amp;SCFT=3&amp;window=popup_no_bar&amp;width=385&amp;height=120&amp;START_MAXIMIZED=FALSE&amp;creator=factset&amp;display_string=Audit"}</definedName>
    <definedName name="_3402__FDSAUDITLINK__" hidden="1">{"fdsup://Directions/FactSet Auditing Viewer?action=AUDIT_VALUE&amp;DB=129&amp;ID1=69344F10&amp;VALUEID=02001&amp;SDATE=200701&amp;PERIODTYPE=QTR_STD&amp;SCFT=3&amp;window=popup_no_bar&amp;width=385&amp;height=120&amp;START_MAXIMIZED=FALSE&amp;creator=factset&amp;display_string=Audit"}</definedName>
    <definedName name="_3403__FDSAUDITLINK__" hidden="1">{"fdsup://Directions/FactSet Auditing Viewer?action=AUDIT_VALUE&amp;DB=129&amp;ID1=69344F10&amp;VALUEID=02001&amp;SDATE=200603&amp;PERIODTYPE=QTR_STD&amp;SCFT=3&amp;window=popup_no_bar&amp;width=385&amp;height=120&amp;START_MAXIMIZED=FALSE&amp;creator=factset&amp;display_string=Audit"}</definedName>
    <definedName name="_3404__FDSAUDITLINK__" hidden="1">{"fdsup://Directions/FactSet Auditing Viewer?action=AUDIT_VALUE&amp;DB=129&amp;ID1=69344F10&amp;VALUEID=02001&amp;SDATE=200603&amp;PERIODTYPE=QTR_STD&amp;SCFT=3&amp;window=popup_no_bar&amp;width=385&amp;height=120&amp;START_MAXIMIZED=FALSE&amp;creator=factset&amp;display_string=Audit"}</definedName>
    <definedName name="_3405__FDSAUDITLINK__" hidden="1">{"fdsup://Directions/FactSet Auditing Viewer?action=AUDIT_VALUE&amp;DB=129&amp;ID1=69344F10&amp;VALUEID=02001&amp;SDATE=200602&amp;PERIODTYPE=QTR_STD&amp;SCFT=3&amp;window=popup_no_bar&amp;width=385&amp;height=120&amp;START_MAXIMIZED=FALSE&amp;creator=factset&amp;display_string=Audit"}</definedName>
    <definedName name="_3406__FDSAUDITLINK__" hidden="1">{"fdsup://Directions/FactSet Auditing Viewer?action=AUDIT_VALUE&amp;DB=129&amp;ID1=69344F10&amp;VALUEID=02001&amp;SDATE=200602&amp;PERIODTYPE=QTR_STD&amp;SCFT=3&amp;window=popup_no_bar&amp;width=385&amp;height=120&amp;START_MAXIMIZED=FALSE&amp;creator=factset&amp;display_string=Audit"}</definedName>
    <definedName name="_3407__FDSAUDITLINK__" hidden="1">{"fdsup://Directions/FactSet Auditing Viewer?action=AUDIT_VALUE&amp;DB=129&amp;ID1=69344F10&amp;VALUEID=02001&amp;SDATE=200601&amp;PERIODTYPE=QTR_STD&amp;SCFT=3&amp;window=popup_no_bar&amp;width=385&amp;height=120&amp;START_MAXIMIZED=FALSE&amp;creator=factset&amp;display_string=Audit"}</definedName>
    <definedName name="_3408__FDSAUDITLINK__" hidden="1">{"fdsup://Directions/FactSet Auditing Viewer?action=AUDIT_VALUE&amp;DB=129&amp;ID1=69344F10&amp;VALUEID=02001&amp;SDATE=200601&amp;PERIODTYPE=QTR_STD&amp;SCFT=3&amp;window=popup_no_bar&amp;width=385&amp;height=120&amp;START_MAXIMIZED=FALSE&amp;creator=factset&amp;display_string=Audit"}</definedName>
    <definedName name="_3409__FDSAUDITLINK__" hidden="1">{"fdsup://Directions/FactSet Auditing Viewer?action=AUDIT_VALUE&amp;DB=129&amp;ID1=69344F10&amp;VALUEID=02001&amp;SDATE=200503&amp;PERIODTYPE=QTR_STD&amp;SCFT=3&amp;window=popup_no_bar&amp;width=385&amp;height=120&amp;START_MAXIMIZED=FALSE&amp;creator=factset&amp;display_string=Audit"}</definedName>
    <definedName name="_341__FDSAUDITLINK__" hidden="1">{"fdsup://Directions/FactSet Auditing Viewer?action=AUDIT_VALUE&amp;DB=129&amp;ID1=69341710&amp;VALUEID=02001&amp;SDATE=201003&amp;PERIODTYPE=QTR_STD&amp;SCFT=3&amp;window=popup_no_bar&amp;width=385&amp;height=120&amp;START_MAXIMIZED=FALSE&amp;creator=factset&amp;display_string=Audit"}</definedName>
    <definedName name="_3410__FDSAUDITLINK__" hidden="1">{"fdsup://Directions/FactSet Auditing Viewer?action=AUDIT_VALUE&amp;DB=129&amp;ID1=69344F10&amp;VALUEID=02001&amp;SDATE=200503&amp;PERIODTYPE=QTR_STD&amp;SCFT=3&amp;window=popup_no_bar&amp;width=385&amp;height=120&amp;START_MAXIMIZED=FALSE&amp;creator=factset&amp;display_string=Audit"}</definedName>
    <definedName name="_3411__FDSAUDITLINK__" hidden="1">{"fdsup://Directions/FactSet Auditing Viewer?action=AUDIT_VALUE&amp;DB=129&amp;ID1=69344F10&amp;VALUEID=02001&amp;SDATE=200502&amp;PERIODTYPE=QTR_STD&amp;SCFT=3&amp;window=popup_no_bar&amp;width=385&amp;height=120&amp;START_MAXIMIZED=FALSE&amp;creator=factset&amp;display_string=Audit"}</definedName>
    <definedName name="_3412__FDSAUDITLINK__" hidden="1">{"fdsup://Directions/FactSet Auditing Viewer?action=AUDIT_VALUE&amp;DB=129&amp;ID1=69344F10&amp;VALUEID=02001&amp;SDATE=200502&amp;PERIODTYPE=QTR_STD&amp;SCFT=3&amp;window=popup_no_bar&amp;width=385&amp;height=120&amp;START_MAXIMIZED=FALSE&amp;creator=factset&amp;display_string=Audit"}</definedName>
    <definedName name="_3413__FDSAUDITLINK__" hidden="1">{"fdsup://Directions/FactSet Auditing Viewer?action=AUDIT_VALUE&amp;DB=129&amp;ID1=69344F10&amp;VALUEID=02001&amp;SDATE=200501&amp;PERIODTYPE=QTR_STD&amp;SCFT=3&amp;window=popup_no_bar&amp;width=385&amp;height=120&amp;START_MAXIMIZED=FALSE&amp;creator=factset&amp;display_string=Audit"}</definedName>
    <definedName name="_3414__FDSAUDITLINK__" hidden="1">{"fdsup://Directions/FactSet Auditing Viewer?action=AUDIT_VALUE&amp;DB=129&amp;ID1=69344F10&amp;VALUEID=02001&amp;SDATE=200501&amp;PERIODTYPE=QTR_STD&amp;SCFT=3&amp;window=popup_no_bar&amp;width=385&amp;height=120&amp;START_MAXIMIZED=FALSE&amp;creator=factset&amp;display_string=Audit"}</definedName>
    <definedName name="_3415__FDSAUDITLINK__" hidden="1">{"fdsup://Directions/FactSet Auditing Viewer?action=AUDIT_VALUE&amp;DB=129&amp;ID1=69344F10&amp;VALUEID=02001&amp;SDATE=200403&amp;PERIODTYPE=QTR_STD&amp;SCFT=3&amp;window=popup_no_bar&amp;width=385&amp;height=120&amp;START_MAXIMIZED=FALSE&amp;creator=factset&amp;display_string=Audit"}</definedName>
    <definedName name="_3416__FDSAUDITLINK__" hidden="1">{"fdsup://Directions/FactSet Auditing Viewer?action=AUDIT_VALUE&amp;DB=129&amp;ID1=69344F10&amp;VALUEID=02001&amp;SDATE=200403&amp;PERIODTYPE=QTR_STD&amp;SCFT=3&amp;window=popup_no_bar&amp;width=385&amp;height=120&amp;START_MAXIMIZED=FALSE&amp;creator=factset&amp;display_string=Audit"}</definedName>
    <definedName name="_3417__FDSAUDITLINK__" hidden="1">{"fdsup://Directions/FactSet Auditing Viewer?action=AUDIT_VALUE&amp;DB=129&amp;ID1=69344F10&amp;VALUEID=02001&amp;SDATE=200402&amp;PERIODTYPE=QTR_STD&amp;SCFT=3&amp;window=popup_no_bar&amp;width=385&amp;height=120&amp;START_MAXIMIZED=FALSE&amp;creator=factset&amp;display_string=Audit"}</definedName>
    <definedName name="_3418__FDSAUDITLINK__" hidden="1">{"fdsup://Directions/FactSet Auditing Viewer?action=AUDIT_VALUE&amp;DB=129&amp;ID1=69344F10&amp;VALUEID=02001&amp;SDATE=200402&amp;PERIODTYPE=QTR_STD&amp;SCFT=3&amp;window=popup_no_bar&amp;width=385&amp;height=120&amp;START_MAXIMIZED=FALSE&amp;creator=factset&amp;display_string=Audit"}</definedName>
    <definedName name="_3419__FDSAUDITLINK__" hidden="1">{"fdsup://Directions/FactSet Auditing Viewer?action=AUDIT_VALUE&amp;DB=129&amp;ID1=69344F10&amp;VALUEID=02001&amp;SDATE=200401&amp;PERIODTYPE=QTR_STD&amp;SCFT=3&amp;window=popup_no_bar&amp;width=385&amp;height=120&amp;START_MAXIMIZED=FALSE&amp;creator=factset&amp;display_string=Audit"}</definedName>
    <definedName name="_342__FDSAUDITLINK__" hidden="1">{"fdsup://Directions/FactSet Auditing Viewer?action=AUDIT_VALUE&amp;DB=129&amp;ID1=69341710&amp;VALUEID=02001&amp;SDATE=201003&amp;PERIODTYPE=QTR_STD&amp;SCFT=3&amp;window=popup_no_bar&amp;width=385&amp;height=120&amp;START_MAXIMIZED=FALSE&amp;creator=factset&amp;display_string=Audit"}</definedName>
    <definedName name="_3420__FDSAUDITLINK__" hidden="1">{"fdsup://Directions/FactSet Auditing Viewer?action=AUDIT_VALUE&amp;DB=129&amp;ID1=69344F10&amp;VALUEID=02001&amp;SDATE=200401&amp;PERIODTYPE=QTR_STD&amp;SCFT=3&amp;window=popup_no_bar&amp;width=385&amp;height=120&amp;START_MAXIMIZED=FALSE&amp;creator=factset&amp;display_string=Audit"}</definedName>
    <definedName name="_3421__FDSAUDITLINK__" hidden="1">{"fdsup://Directions/FactSet Auditing Viewer?action=AUDIT_VALUE&amp;DB=129&amp;ID1=69341710&amp;VALUEID=02001&amp;SDATE=200801&amp;PERIODTYPE=QTR_STD&amp;SCFT=3&amp;window=popup_no_bar&amp;width=385&amp;height=120&amp;START_MAXIMIZED=FALSE&amp;creator=factset&amp;display_string=Audit"}</definedName>
    <definedName name="_3422__FDSAUDITLINK__" hidden="1">{"fdsup://Directions/FactSet Auditing Viewer?action=AUDIT_VALUE&amp;DB=129&amp;ID1=69341710&amp;VALUEID=02001&amp;SDATE=200801&amp;PERIODTYPE=QTR_STD&amp;SCFT=3&amp;window=popup_no_bar&amp;width=385&amp;height=120&amp;START_MAXIMIZED=FALSE&amp;creator=factset&amp;display_string=Audit"}</definedName>
    <definedName name="_3423__FDSAUDITLINK__" hidden="1">{"fdsup://Directions/FactSet Auditing Viewer?action=AUDIT_VALUE&amp;DB=129&amp;ID1=69341710&amp;VALUEID=02001&amp;SDATE=200703&amp;PERIODTYPE=QTR_STD&amp;SCFT=3&amp;window=popup_no_bar&amp;width=385&amp;height=120&amp;START_MAXIMIZED=FALSE&amp;creator=factset&amp;display_string=Audit"}</definedName>
    <definedName name="_3424__FDSAUDITLINK__" hidden="1">{"fdsup://Directions/FactSet Auditing Viewer?action=AUDIT_VALUE&amp;DB=129&amp;ID1=69341710&amp;VALUEID=02001&amp;SDATE=200703&amp;PERIODTYPE=QTR_STD&amp;SCFT=3&amp;window=popup_no_bar&amp;width=385&amp;height=120&amp;START_MAXIMIZED=FALSE&amp;creator=factset&amp;display_string=Audit"}</definedName>
    <definedName name="_3425__FDSAUDITLINK__" hidden="1">{"fdsup://Directions/FactSet Auditing Viewer?action=AUDIT_VALUE&amp;DB=129&amp;ID1=69341710&amp;VALUEID=02001&amp;SDATE=200702&amp;PERIODTYPE=QTR_STD&amp;SCFT=3&amp;window=popup_no_bar&amp;width=385&amp;height=120&amp;START_MAXIMIZED=FALSE&amp;creator=factset&amp;display_string=Audit"}</definedName>
    <definedName name="_3426__FDSAUDITLINK__" hidden="1">{"fdsup://Directions/FactSet Auditing Viewer?action=AUDIT_VALUE&amp;DB=129&amp;ID1=69341710&amp;VALUEID=02001&amp;SDATE=200702&amp;PERIODTYPE=QTR_STD&amp;SCFT=3&amp;window=popup_no_bar&amp;width=385&amp;height=120&amp;START_MAXIMIZED=FALSE&amp;creator=factset&amp;display_string=Audit"}</definedName>
    <definedName name="_3427__FDSAUDITLINK__" hidden="1">{"fdsup://Directions/FactSet Auditing Viewer?action=AUDIT_VALUE&amp;DB=129&amp;ID1=69341710&amp;VALUEID=02001&amp;SDATE=200701&amp;PERIODTYPE=QTR_STD&amp;SCFT=3&amp;window=popup_no_bar&amp;width=385&amp;height=120&amp;START_MAXIMIZED=FALSE&amp;creator=factset&amp;display_string=Audit"}</definedName>
    <definedName name="_3428__FDSAUDITLINK__" hidden="1">{"fdsup://Directions/FactSet Auditing Viewer?action=AUDIT_VALUE&amp;DB=129&amp;ID1=69341710&amp;VALUEID=02001&amp;SDATE=200701&amp;PERIODTYPE=QTR_STD&amp;SCFT=3&amp;window=popup_no_bar&amp;width=385&amp;height=120&amp;START_MAXIMIZED=FALSE&amp;creator=factset&amp;display_string=Audit"}</definedName>
    <definedName name="_3429__FDSAUDITLINK__" hidden="1">{"fdsup://Directions/FactSet Auditing Viewer?action=AUDIT_VALUE&amp;DB=129&amp;ID1=69341710&amp;VALUEID=02001&amp;SDATE=200603&amp;PERIODTYPE=QTR_STD&amp;SCFT=3&amp;window=popup_no_bar&amp;width=385&amp;height=120&amp;START_MAXIMIZED=FALSE&amp;creator=factset&amp;display_string=Audit"}</definedName>
    <definedName name="_343__FDSAUDITLINK__" hidden="1">{"fdsup://Directions/FactSet Auditing Viewer?action=AUDIT_VALUE&amp;DB=129&amp;ID1=68218910&amp;VALUEID=02001&amp;SDATE=201003&amp;PERIODTYPE=QTR_STD&amp;SCFT=3&amp;window=popup_no_bar&amp;width=385&amp;height=120&amp;START_MAXIMIZED=FALSE&amp;creator=factset&amp;display_string=Audit"}</definedName>
    <definedName name="_3430__FDSAUDITLINK__" hidden="1">{"fdsup://Directions/FactSet Auditing Viewer?action=AUDIT_VALUE&amp;DB=129&amp;ID1=69341710&amp;VALUEID=02001&amp;SDATE=200603&amp;PERIODTYPE=QTR_STD&amp;SCFT=3&amp;window=popup_no_bar&amp;width=385&amp;height=120&amp;START_MAXIMIZED=FALSE&amp;creator=factset&amp;display_string=Audit"}</definedName>
    <definedName name="_3431__FDSAUDITLINK__" hidden="1">{"fdsup://Directions/FactSet Auditing Viewer?action=AUDIT_VALUE&amp;DB=129&amp;ID1=69341710&amp;VALUEID=02001&amp;SDATE=200602&amp;PERIODTYPE=QTR_STD&amp;SCFT=3&amp;window=popup_no_bar&amp;width=385&amp;height=120&amp;START_MAXIMIZED=FALSE&amp;creator=factset&amp;display_string=Audit"}</definedName>
    <definedName name="_3432__FDSAUDITLINK__" hidden="1">{"fdsup://Directions/FactSet Auditing Viewer?action=AUDIT_VALUE&amp;DB=129&amp;ID1=69341710&amp;VALUEID=02001&amp;SDATE=200602&amp;PERIODTYPE=QTR_STD&amp;SCFT=3&amp;window=popup_no_bar&amp;width=385&amp;height=120&amp;START_MAXIMIZED=FALSE&amp;creator=factset&amp;display_string=Audit"}</definedName>
    <definedName name="_3433__FDSAUDITLINK__" hidden="1">{"fdsup://Directions/FactSet Auditing Viewer?action=AUDIT_VALUE&amp;DB=129&amp;ID1=69341710&amp;VALUEID=02001&amp;SDATE=200601&amp;PERIODTYPE=QTR_STD&amp;SCFT=3&amp;window=popup_no_bar&amp;width=385&amp;height=120&amp;START_MAXIMIZED=FALSE&amp;creator=factset&amp;display_string=Audit"}</definedName>
    <definedName name="_3434__FDSAUDITLINK__" hidden="1">{"fdsup://Directions/FactSet Auditing Viewer?action=AUDIT_VALUE&amp;DB=129&amp;ID1=69341710&amp;VALUEID=02001&amp;SDATE=200601&amp;PERIODTYPE=QTR_STD&amp;SCFT=3&amp;window=popup_no_bar&amp;width=385&amp;height=120&amp;START_MAXIMIZED=FALSE&amp;creator=factset&amp;display_string=Audit"}</definedName>
    <definedName name="_3435__FDSAUDITLINK__" hidden="1">{"fdsup://Directions/FactSet Auditing Viewer?action=AUDIT_VALUE&amp;DB=129&amp;ID1=69341710&amp;VALUEID=02001&amp;SDATE=200503&amp;PERIODTYPE=QTR_STD&amp;SCFT=3&amp;window=popup_no_bar&amp;width=385&amp;height=120&amp;START_MAXIMIZED=FALSE&amp;creator=factset&amp;display_string=Audit"}</definedName>
    <definedName name="_3436__FDSAUDITLINK__" hidden="1">{"fdsup://Directions/FactSet Auditing Viewer?action=AUDIT_VALUE&amp;DB=129&amp;ID1=69341710&amp;VALUEID=02001&amp;SDATE=200503&amp;PERIODTYPE=QTR_STD&amp;SCFT=3&amp;window=popup_no_bar&amp;width=385&amp;height=120&amp;START_MAXIMIZED=FALSE&amp;creator=factset&amp;display_string=Audit"}</definedName>
    <definedName name="_3437__FDSAUDITLINK__" hidden="1">{"fdsup://Directions/FactSet Auditing Viewer?action=AUDIT_VALUE&amp;DB=129&amp;ID1=69341710&amp;VALUEID=02001&amp;SDATE=200502&amp;PERIODTYPE=QTR_STD&amp;SCFT=3&amp;window=popup_no_bar&amp;width=385&amp;height=120&amp;START_MAXIMIZED=FALSE&amp;creator=factset&amp;display_string=Audit"}</definedName>
    <definedName name="_3438__FDSAUDITLINK__" hidden="1">{"fdsup://Directions/FactSet Auditing Viewer?action=AUDIT_VALUE&amp;DB=129&amp;ID1=69341710&amp;VALUEID=02001&amp;SDATE=200502&amp;PERIODTYPE=QTR_STD&amp;SCFT=3&amp;window=popup_no_bar&amp;width=385&amp;height=120&amp;START_MAXIMIZED=FALSE&amp;creator=factset&amp;display_string=Audit"}</definedName>
    <definedName name="_3439__FDSAUDITLINK__" hidden="1">{"fdsup://Directions/FactSet Auditing Viewer?action=AUDIT_VALUE&amp;DB=129&amp;ID1=69341710&amp;VALUEID=02001&amp;SDATE=200501&amp;PERIODTYPE=QTR_STD&amp;SCFT=3&amp;window=popup_no_bar&amp;width=385&amp;height=120&amp;START_MAXIMIZED=FALSE&amp;creator=factset&amp;display_string=Audit"}</definedName>
    <definedName name="_344__FDSAUDITLINK__" hidden="1">{"fdsup://Directions/FactSet Auditing Viewer?action=AUDIT_VALUE&amp;DB=129&amp;ID1=68218910&amp;VALUEID=02001&amp;SDATE=201003&amp;PERIODTYPE=QTR_STD&amp;SCFT=3&amp;window=popup_no_bar&amp;width=385&amp;height=120&amp;START_MAXIMIZED=FALSE&amp;creator=factset&amp;display_string=Audit"}</definedName>
    <definedName name="_3440__FDSAUDITLINK__" hidden="1">{"fdsup://Directions/FactSet Auditing Viewer?action=AUDIT_VALUE&amp;DB=129&amp;ID1=69341710&amp;VALUEID=02001&amp;SDATE=200501&amp;PERIODTYPE=QTR_STD&amp;SCFT=3&amp;window=popup_no_bar&amp;width=385&amp;height=120&amp;START_MAXIMIZED=FALSE&amp;creator=factset&amp;display_string=Audit"}</definedName>
    <definedName name="_3441__FDSAUDITLINK__" hidden="1">{"fdsup://Directions/FactSet Auditing Viewer?action=AUDIT_VALUE&amp;DB=129&amp;ID1=69341710&amp;VALUEID=02001&amp;SDATE=200403&amp;PERIODTYPE=QTR_STD&amp;SCFT=3&amp;window=popup_no_bar&amp;width=385&amp;height=120&amp;START_MAXIMIZED=FALSE&amp;creator=factset&amp;display_string=Audit"}</definedName>
    <definedName name="_3442__FDSAUDITLINK__" hidden="1">{"fdsup://Directions/FactSet Auditing Viewer?action=AUDIT_VALUE&amp;DB=129&amp;ID1=69341710&amp;VALUEID=02001&amp;SDATE=200403&amp;PERIODTYPE=QTR_STD&amp;SCFT=3&amp;window=popup_no_bar&amp;width=385&amp;height=120&amp;START_MAXIMIZED=FALSE&amp;creator=factset&amp;display_string=Audit"}</definedName>
    <definedName name="_3443__FDSAUDITLINK__" hidden="1">{"fdsup://Directions/FactSet Auditing Viewer?action=AUDIT_VALUE&amp;DB=129&amp;ID1=69341710&amp;VALUEID=02001&amp;SDATE=200402&amp;PERIODTYPE=QTR_STD&amp;SCFT=3&amp;window=popup_no_bar&amp;width=385&amp;height=120&amp;START_MAXIMIZED=FALSE&amp;creator=factset&amp;display_string=Audit"}</definedName>
    <definedName name="_3444__FDSAUDITLINK__" hidden="1">{"fdsup://Directions/FactSet Auditing Viewer?action=AUDIT_VALUE&amp;DB=129&amp;ID1=69341710&amp;VALUEID=02001&amp;SDATE=200402&amp;PERIODTYPE=QTR_STD&amp;SCFT=3&amp;window=popup_no_bar&amp;width=385&amp;height=120&amp;START_MAXIMIZED=FALSE&amp;creator=factset&amp;display_string=Audit"}</definedName>
    <definedName name="_3445__FDSAUDITLINK__" hidden="1">{"fdsup://Directions/FactSet Auditing Viewer?action=AUDIT_VALUE&amp;DB=129&amp;ID1=69341710&amp;VALUEID=02001&amp;SDATE=200401&amp;PERIODTYPE=QTR_STD&amp;SCFT=3&amp;window=popup_no_bar&amp;width=385&amp;height=120&amp;START_MAXIMIZED=FALSE&amp;creator=factset&amp;display_string=Audit"}</definedName>
    <definedName name="_3446__FDSAUDITLINK__" hidden="1">{"fdsup://Directions/FactSet Auditing Viewer?action=AUDIT_VALUE&amp;DB=129&amp;ID1=69341710&amp;VALUEID=02001&amp;SDATE=200401&amp;PERIODTYPE=QTR_STD&amp;SCFT=3&amp;window=popup_no_bar&amp;width=385&amp;height=120&amp;START_MAXIMIZED=FALSE&amp;creator=factset&amp;display_string=Audit"}</definedName>
    <definedName name="_3447__FDSAUDITLINK__" hidden="1">{"fdsup://Directions/FactSet Auditing Viewer?action=AUDIT_VALUE&amp;DB=129&amp;ID1=68218910&amp;VALUEID=02001&amp;SDATE=200801&amp;PERIODTYPE=QTR_STD&amp;SCFT=3&amp;window=popup_no_bar&amp;width=385&amp;height=120&amp;START_MAXIMIZED=FALSE&amp;creator=factset&amp;display_string=Audit"}</definedName>
    <definedName name="_3448__FDSAUDITLINK__" hidden="1">{"fdsup://Directions/FactSet Auditing Viewer?action=AUDIT_VALUE&amp;DB=129&amp;ID1=68218910&amp;VALUEID=02001&amp;SDATE=200801&amp;PERIODTYPE=QTR_STD&amp;SCFT=3&amp;window=popup_no_bar&amp;width=385&amp;height=120&amp;START_MAXIMIZED=FALSE&amp;creator=factset&amp;display_string=Audit"}</definedName>
    <definedName name="_3449__FDSAUDITLINK__" hidden="1">{"fdsup://Directions/FactSet Auditing Viewer?action=AUDIT_VALUE&amp;DB=129&amp;ID1=68218910&amp;VALUEID=02001&amp;SDATE=200703&amp;PERIODTYPE=QTR_STD&amp;SCFT=3&amp;window=popup_no_bar&amp;width=385&amp;height=120&amp;START_MAXIMIZED=FALSE&amp;creator=factset&amp;display_string=Audit"}</definedName>
    <definedName name="_345__FDSAUDITLINK__" hidden="1">{"fdsup://Directions/FactSet Auditing Viewer?action=AUDIT_VALUE&amp;DB=129&amp;ID1=B505PN&amp;VALUEID=02001&amp;SDATE=201003&amp;PERIODTYPE=QTR_STD&amp;SCFT=3&amp;window=popup_no_bar&amp;width=385&amp;height=120&amp;START_MAXIMIZED=FALSE&amp;creator=factset&amp;display_string=Audit"}</definedName>
    <definedName name="_3450__FDSAUDITLINK__" hidden="1">{"fdsup://Directions/FactSet Auditing Viewer?action=AUDIT_VALUE&amp;DB=129&amp;ID1=68218910&amp;VALUEID=02001&amp;SDATE=200703&amp;PERIODTYPE=QTR_STD&amp;SCFT=3&amp;window=popup_no_bar&amp;width=385&amp;height=120&amp;START_MAXIMIZED=FALSE&amp;creator=factset&amp;display_string=Audit"}</definedName>
    <definedName name="_3451__FDSAUDITLINK__" hidden="1">{"fdsup://Directions/FactSet Auditing Viewer?action=AUDIT_VALUE&amp;DB=129&amp;ID1=68218910&amp;VALUEID=02001&amp;SDATE=200702&amp;PERIODTYPE=QTR_STD&amp;SCFT=3&amp;window=popup_no_bar&amp;width=385&amp;height=120&amp;START_MAXIMIZED=FALSE&amp;creator=factset&amp;display_string=Audit"}</definedName>
    <definedName name="_3452__FDSAUDITLINK__" hidden="1">{"fdsup://Directions/FactSet Auditing Viewer?action=AUDIT_VALUE&amp;DB=129&amp;ID1=68218910&amp;VALUEID=02001&amp;SDATE=200702&amp;PERIODTYPE=QTR_STD&amp;SCFT=3&amp;window=popup_no_bar&amp;width=385&amp;height=120&amp;START_MAXIMIZED=FALSE&amp;creator=factset&amp;display_string=Audit"}</definedName>
    <definedName name="_3453__FDSAUDITLINK__" hidden="1">{"fdsup://Directions/FactSet Auditing Viewer?action=AUDIT_VALUE&amp;DB=129&amp;ID1=68218910&amp;VALUEID=02001&amp;SDATE=200701&amp;PERIODTYPE=QTR_STD&amp;SCFT=3&amp;window=popup_no_bar&amp;width=385&amp;height=120&amp;START_MAXIMIZED=FALSE&amp;creator=factset&amp;display_string=Audit"}</definedName>
    <definedName name="_3454__FDSAUDITLINK__" hidden="1">{"fdsup://Directions/FactSet Auditing Viewer?action=AUDIT_VALUE&amp;DB=129&amp;ID1=68218910&amp;VALUEID=02001&amp;SDATE=200701&amp;PERIODTYPE=QTR_STD&amp;SCFT=3&amp;window=popup_no_bar&amp;width=385&amp;height=120&amp;START_MAXIMIZED=FALSE&amp;creator=factset&amp;display_string=Audit"}</definedName>
    <definedName name="_3455__FDSAUDITLINK__" hidden="1">{"fdsup://Directions/FactSet Auditing Viewer?action=AUDIT_VALUE&amp;DB=129&amp;ID1=68218910&amp;VALUEID=02001&amp;SDATE=200603&amp;PERIODTYPE=QTR_STD&amp;SCFT=3&amp;window=popup_no_bar&amp;width=385&amp;height=120&amp;START_MAXIMIZED=FALSE&amp;creator=factset&amp;display_string=Audit"}</definedName>
    <definedName name="_3456__FDSAUDITLINK__" hidden="1">{"fdsup://Directions/FactSet Auditing Viewer?action=AUDIT_VALUE&amp;DB=129&amp;ID1=68218910&amp;VALUEID=02001&amp;SDATE=200603&amp;PERIODTYPE=QTR_STD&amp;SCFT=3&amp;window=popup_no_bar&amp;width=385&amp;height=120&amp;START_MAXIMIZED=FALSE&amp;creator=factset&amp;display_string=Audit"}</definedName>
    <definedName name="_3457__FDSAUDITLINK__" hidden="1">{"fdsup://Directions/FactSet Auditing Viewer?action=AUDIT_VALUE&amp;DB=129&amp;ID1=68218910&amp;VALUEID=02001&amp;SDATE=200602&amp;PERIODTYPE=QTR_STD&amp;SCFT=3&amp;window=popup_no_bar&amp;width=385&amp;height=120&amp;START_MAXIMIZED=FALSE&amp;creator=factset&amp;display_string=Audit"}</definedName>
    <definedName name="_3458__FDSAUDITLINK__" hidden="1">{"fdsup://Directions/FactSet Auditing Viewer?action=AUDIT_VALUE&amp;DB=129&amp;ID1=68218910&amp;VALUEID=02001&amp;SDATE=200602&amp;PERIODTYPE=QTR_STD&amp;SCFT=3&amp;window=popup_no_bar&amp;width=385&amp;height=120&amp;START_MAXIMIZED=FALSE&amp;creator=factset&amp;display_string=Audit"}</definedName>
    <definedName name="_3459__FDSAUDITLINK__" hidden="1">{"fdsup://Directions/FactSet Auditing Viewer?action=AUDIT_VALUE&amp;DB=129&amp;ID1=68218910&amp;VALUEID=02001&amp;SDATE=200601&amp;PERIODTYPE=QTR_STD&amp;SCFT=3&amp;window=popup_no_bar&amp;width=385&amp;height=120&amp;START_MAXIMIZED=FALSE&amp;creator=factset&amp;display_string=Audit"}</definedName>
    <definedName name="_346__FDSAUDITLINK__" hidden="1">{"fdsup://Directions/FactSet Auditing Viewer?action=AUDIT_VALUE&amp;DB=129&amp;ID1=B505PN&amp;VALUEID=02001&amp;SDATE=201003&amp;PERIODTYPE=QTR_STD&amp;SCFT=3&amp;window=popup_no_bar&amp;width=385&amp;height=120&amp;START_MAXIMIZED=FALSE&amp;creator=factset&amp;display_string=Audit"}</definedName>
    <definedName name="_3460__FDSAUDITLINK__" hidden="1">{"fdsup://Directions/FactSet Auditing Viewer?action=AUDIT_VALUE&amp;DB=129&amp;ID1=68218910&amp;VALUEID=02001&amp;SDATE=200601&amp;PERIODTYPE=QTR_STD&amp;SCFT=3&amp;window=popup_no_bar&amp;width=385&amp;height=120&amp;START_MAXIMIZED=FALSE&amp;creator=factset&amp;display_string=Audit"}</definedName>
    <definedName name="_3461__FDSAUDITLINK__" hidden="1">{"fdsup://Directions/FactSet Auditing Viewer?action=AUDIT_VALUE&amp;DB=129&amp;ID1=68218910&amp;VALUEID=02001&amp;SDATE=200503&amp;PERIODTYPE=QTR_STD&amp;SCFT=3&amp;window=popup_no_bar&amp;width=385&amp;height=120&amp;START_MAXIMIZED=FALSE&amp;creator=factset&amp;display_string=Audit"}</definedName>
    <definedName name="_3462__FDSAUDITLINK__" hidden="1">{"fdsup://Directions/FactSet Auditing Viewer?action=AUDIT_VALUE&amp;DB=129&amp;ID1=68218910&amp;VALUEID=02001&amp;SDATE=200503&amp;PERIODTYPE=QTR_STD&amp;SCFT=3&amp;window=popup_no_bar&amp;width=385&amp;height=120&amp;START_MAXIMIZED=FALSE&amp;creator=factset&amp;display_string=Audit"}</definedName>
    <definedName name="_3463__FDSAUDITLINK__" hidden="1">{"fdsup://Directions/FactSet Auditing Viewer?action=AUDIT_VALUE&amp;DB=129&amp;ID1=68218910&amp;VALUEID=02001&amp;SDATE=200502&amp;PERIODTYPE=QTR_STD&amp;SCFT=3&amp;window=popup_no_bar&amp;width=385&amp;height=120&amp;START_MAXIMIZED=FALSE&amp;creator=factset&amp;display_string=Audit"}</definedName>
    <definedName name="_3464__FDSAUDITLINK__" hidden="1">{"fdsup://Directions/FactSet Auditing Viewer?action=AUDIT_VALUE&amp;DB=129&amp;ID1=68218910&amp;VALUEID=02001&amp;SDATE=200502&amp;PERIODTYPE=QTR_STD&amp;SCFT=3&amp;window=popup_no_bar&amp;width=385&amp;height=120&amp;START_MAXIMIZED=FALSE&amp;creator=factset&amp;display_string=Audit"}</definedName>
    <definedName name="_3465__FDSAUDITLINK__" hidden="1">{"fdsup://Directions/FactSet Auditing Viewer?action=AUDIT_VALUE&amp;DB=129&amp;ID1=68218910&amp;VALUEID=02001&amp;SDATE=200403&amp;PERIODTYPE=QTR_STD&amp;SCFT=3&amp;window=popup_no_bar&amp;width=385&amp;height=120&amp;START_MAXIMIZED=FALSE&amp;creator=factset&amp;display_string=Audit"}</definedName>
    <definedName name="_3466__FDSAUDITLINK__" hidden="1">{"fdsup://Directions/FactSet Auditing Viewer?action=AUDIT_VALUE&amp;DB=129&amp;ID1=68218910&amp;VALUEID=02001&amp;SDATE=200403&amp;PERIODTYPE=QTR_STD&amp;SCFT=3&amp;window=popup_no_bar&amp;width=385&amp;height=120&amp;START_MAXIMIZED=FALSE&amp;creator=factset&amp;display_string=Audit"}</definedName>
    <definedName name="_3467__FDSAUDITLINK__" hidden="1">{"fdsup://Directions/FactSet Auditing Viewer?action=AUDIT_VALUE&amp;DB=129&amp;ID1=68218910&amp;VALUEID=02001&amp;SDATE=200402&amp;PERIODTYPE=QTR_STD&amp;SCFT=3&amp;window=popup_no_bar&amp;width=385&amp;height=120&amp;START_MAXIMIZED=FALSE&amp;creator=factset&amp;display_string=Audit"}</definedName>
    <definedName name="_3468__FDSAUDITLINK__" hidden="1">{"fdsup://Directions/FactSet Auditing Viewer?action=AUDIT_VALUE&amp;DB=129&amp;ID1=68218910&amp;VALUEID=02001&amp;SDATE=200402&amp;PERIODTYPE=QTR_STD&amp;SCFT=3&amp;window=popup_no_bar&amp;width=385&amp;height=120&amp;START_MAXIMIZED=FALSE&amp;creator=factset&amp;display_string=Audit"}</definedName>
    <definedName name="_3469__FDSAUDITLINK__" hidden="1">{"fdsup://Directions/FactSet Auditing Viewer?action=AUDIT_VALUE&amp;DB=129&amp;ID1=68218910&amp;VALUEID=02001&amp;SDATE=200401&amp;PERIODTYPE=QTR_STD&amp;SCFT=3&amp;window=popup_no_bar&amp;width=385&amp;height=120&amp;START_MAXIMIZED=FALSE&amp;creator=factset&amp;display_string=Audit"}</definedName>
    <definedName name="_347__FDSAUDITLINK__" hidden="1">{"fdsup://Directions/FactSet Auditing Viewer?action=AUDIT_VALUE&amp;DB=129&amp;ID1=67000810&amp;VALUEID=02001&amp;SDATE=201003&amp;PERIODTYPE=QTR_STD&amp;SCFT=3&amp;window=popup_no_bar&amp;width=385&amp;height=120&amp;START_MAXIMIZED=FALSE&amp;creator=factset&amp;display_string=Audit"}</definedName>
    <definedName name="_3470__FDSAUDITLINK__" hidden="1">{"fdsup://Directions/FactSet Auditing Viewer?action=AUDIT_VALUE&amp;DB=129&amp;ID1=68218910&amp;VALUEID=02001&amp;SDATE=200401&amp;PERIODTYPE=QTR_STD&amp;SCFT=3&amp;window=popup_no_bar&amp;width=385&amp;height=120&amp;START_MAXIMIZED=FALSE&amp;creator=factset&amp;display_string=Audit"}</definedName>
    <definedName name="_3471__FDSAUDITLINK__" hidden="1">{"fdsup://Directions/FactSet Auditing Viewer?action=AUDIT_VALUE&amp;DB=129&amp;ID1=B505PN&amp;VALUEID=02001&amp;SDATE=200801&amp;PERIODTYPE=QTR_STD&amp;SCFT=3&amp;window=popup_no_bar&amp;width=385&amp;height=120&amp;START_MAXIMIZED=FALSE&amp;creator=factset&amp;display_string=Audit"}</definedName>
    <definedName name="_3472__FDSAUDITLINK__" hidden="1">{"fdsup://Directions/FactSet Auditing Viewer?action=AUDIT_VALUE&amp;DB=129&amp;ID1=B505PN&amp;VALUEID=02001&amp;SDATE=200801&amp;PERIODTYPE=QTR_STD&amp;SCFT=3&amp;window=popup_no_bar&amp;width=385&amp;height=120&amp;START_MAXIMIZED=FALSE&amp;creator=factset&amp;display_string=Audit"}</definedName>
    <definedName name="_3473__FDSAUDITLINK__" hidden="1">{"fdsup://Directions/FactSet Auditing Viewer?action=AUDIT_VALUE&amp;DB=129&amp;ID1=67000810&amp;VALUEID=02001&amp;SDATE=200801&amp;PERIODTYPE=QTR_STD&amp;SCFT=3&amp;window=popup_no_bar&amp;width=385&amp;height=120&amp;START_MAXIMIZED=FALSE&amp;creator=factset&amp;display_string=Audit"}</definedName>
    <definedName name="_3474__FDSAUDITLINK__" hidden="1">{"fdsup://Directions/FactSet Auditing Viewer?action=AUDIT_VALUE&amp;DB=129&amp;ID1=67000810&amp;VALUEID=02001&amp;SDATE=200801&amp;PERIODTYPE=QTR_STD&amp;SCFT=3&amp;window=popup_no_bar&amp;width=385&amp;height=120&amp;START_MAXIMIZED=FALSE&amp;creator=factset&amp;display_string=Audit"}</definedName>
    <definedName name="_3475__FDSAUDITLINK__" hidden="1">{"fdsup://Directions/FactSet Auditing Viewer?action=AUDIT_VALUE&amp;DB=129&amp;ID1=67000810&amp;VALUEID=02001&amp;SDATE=200703&amp;PERIODTYPE=QTR_STD&amp;SCFT=3&amp;window=popup_no_bar&amp;width=385&amp;height=120&amp;START_MAXIMIZED=FALSE&amp;creator=factset&amp;display_string=Audit"}</definedName>
    <definedName name="_3476__FDSAUDITLINK__" hidden="1">{"fdsup://Directions/FactSet Auditing Viewer?action=AUDIT_VALUE&amp;DB=129&amp;ID1=67000810&amp;VALUEID=02001&amp;SDATE=200703&amp;PERIODTYPE=QTR_STD&amp;SCFT=3&amp;window=popup_no_bar&amp;width=385&amp;height=120&amp;START_MAXIMIZED=FALSE&amp;creator=factset&amp;display_string=Audit"}</definedName>
    <definedName name="_3477__FDSAUDITLINK__" hidden="1">{"fdsup://Directions/FactSet Auditing Viewer?action=AUDIT_VALUE&amp;DB=129&amp;ID1=67000810&amp;VALUEID=02001&amp;SDATE=200702&amp;PERIODTYPE=QTR_STD&amp;SCFT=3&amp;window=popup_no_bar&amp;width=385&amp;height=120&amp;START_MAXIMIZED=FALSE&amp;creator=factset&amp;display_string=Audit"}</definedName>
    <definedName name="_3478__FDSAUDITLINK__" hidden="1">{"fdsup://Directions/FactSet Auditing Viewer?action=AUDIT_VALUE&amp;DB=129&amp;ID1=67000810&amp;VALUEID=02001&amp;SDATE=200702&amp;PERIODTYPE=QTR_STD&amp;SCFT=3&amp;window=popup_no_bar&amp;width=385&amp;height=120&amp;START_MAXIMIZED=FALSE&amp;creator=factset&amp;display_string=Audit"}</definedName>
    <definedName name="_3479__FDSAUDITLINK__" hidden="1">{"fdsup://Directions/FactSet Auditing Viewer?action=AUDIT_VALUE&amp;DB=129&amp;ID1=67000810&amp;VALUEID=02001&amp;SDATE=200701&amp;PERIODTYPE=QTR_STD&amp;SCFT=3&amp;window=popup_no_bar&amp;width=385&amp;height=120&amp;START_MAXIMIZED=FALSE&amp;creator=factset&amp;display_string=Audit"}</definedName>
    <definedName name="_348__FDSAUDITLINK__" hidden="1">{"fdsup://Directions/FactSet Auditing Viewer?action=AUDIT_VALUE&amp;DB=129&amp;ID1=67000810&amp;VALUEID=02001&amp;SDATE=201003&amp;PERIODTYPE=QTR_STD&amp;SCFT=3&amp;window=popup_no_bar&amp;width=385&amp;height=120&amp;START_MAXIMIZED=FALSE&amp;creator=factset&amp;display_string=Audit"}</definedName>
    <definedName name="_3480__FDSAUDITLINK__" hidden="1">{"fdsup://Directions/FactSet Auditing Viewer?action=AUDIT_VALUE&amp;DB=129&amp;ID1=67000810&amp;VALUEID=02001&amp;SDATE=200701&amp;PERIODTYPE=QTR_STD&amp;SCFT=3&amp;window=popup_no_bar&amp;width=385&amp;height=120&amp;START_MAXIMIZED=FALSE&amp;creator=factset&amp;display_string=Audit"}</definedName>
    <definedName name="_3481__FDSAUDITLINK__" hidden="1">{"fdsup://Directions/FactSet Auditing Viewer?action=AUDIT_VALUE&amp;DB=129&amp;ID1=67000810&amp;VALUEID=02001&amp;SDATE=200603&amp;PERIODTYPE=QTR_STD&amp;SCFT=3&amp;window=popup_no_bar&amp;width=385&amp;height=120&amp;START_MAXIMIZED=FALSE&amp;creator=factset&amp;display_string=Audit"}</definedName>
    <definedName name="_3482__FDSAUDITLINK__" hidden="1">{"fdsup://Directions/FactSet Auditing Viewer?action=AUDIT_VALUE&amp;DB=129&amp;ID1=67000810&amp;VALUEID=02001&amp;SDATE=200603&amp;PERIODTYPE=QTR_STD&amp;SCFT=3&amp;window=popup_no_bar&amp;width=385&amp;height=120&amp;START_MAXIMIZED=FALSE&amp;creator=factset&amp;display_string=Audit"}</definedName>
    <definedName name="_3483__FDSAUDITLINK__" hidden="1">{"fdsup://Directions/FactSet Auditing Viewer?action=AUDIT_VALUE&amp;DB=129&amp;ID1=67000810&amp;VALUEID=02001&amp;SDATE=200602&amp;PERIODTYPE=QTR_STD&amp;SCFT=3&amp;window=popup_no_bar&amp;width=385&amp;height=120&amp;START_MAXIMIZED=FALSE&amp;creator=factset&amp;display_string=Audit"}</definedName>
    <definedName name="_3484__FDSAUDITLINK__" hidden="1">{"fdsup://Directions/FactSet Auditing Viewer?action=AUDIT_VALUE&amp;DB=129&amp;ID1=67000810&amp;VALUEID=02001&amp;SDATE=200602&amp;PERIODTYPE=QTR_STD&amp;SCFT=3&amp;window=popup_no_bar&amp;width=385&amp;height=120&amp;START_MAXIMIZED=FALSE&amp;creator=factset&amp;display_string=Audit"}</definedName>
    <definedName name="_3485__FDSAUDITLINK__" hidden="1">{"fdsup://Directions/FactSet Auditing Viewer?action=AUDIT_VALUE&amp;DB=129&amp;ID1=67000810&amp;VALUEID=02001&amp;SDATE=200601&amp;PERIODTYPE=QTR_STD&amp;SCFT=3&amp;window=popup_no_bar&amp;width=385&amp;height=120&amp;START_MAXIMIZED=FALSE&amp;creator=factset&amp;display_string=Audit"}</definedName>
    <definedName name="_3486__FDSAUDITLINK__" hidden="1">{"fdsup://Directions/FactSet Auditing Viewer?action=AUDIT_VALUE&amp;DB=129&amp;ID1=67000810&amp;VALUEID=02001&amp;SDATE=200601&amp;PERIODTYPE=QTR_STD&amp;SCFT=3&amp;window=popup_no_bar&amp;width=385&amp;height=120&amp;START_MAXIMIZED=FALSE&amp;creator=factset&amp;display_string=Audit"}</definedName>
    <definedName name="_3487__FDSAUDITLINK__" hidden="1">{"fdsup://Directions/FactSet Auditing Viewer?action=AUDIT_VALUE&amp;DB=129&amp;ID1=67000810&amp;VALUEID=02001&amp;SDATE=200503&amp;PERIODTYPE=QTR_STD&amp;SCFT=3&amp;window=popup_no_bar&amp;width=385&amp;height=120&amp;START_MAXIMIZED=FALSE&amp;creator=factset&amp;display_string=Audit"}</definedName>
    <definedName name="_3488__FDSAUDITLINK__" hidden="1">{"fdsup://Directions/FactSet Auditing Viewer?action=AUDIT_VALUE&amp;DB=129&amp;ID1=67000810&amp;VALUEID=02001&amp;SDATE=200503&amp;PERIODTYPE=QTR_STD&amp;SCFT=3&amp;window=popup_no_bar&amp;width=385&amp;height=120&amp;START_MAXIMIZED=FALSE&amp;creator=factset&amp;display_string=Audit"}</definedName>
    <definedName name="_3489__FDSAUDITLINK__" hidden="1">{"fdsup://Directions/FactSet Auditing Viewer?action=AUDIT_VALUE&amp;DB=129&amp;ID1=67000810&amp;VALUEID=02001&amp;SDATE=200502&amp;PERIODTYPE=QTR_STD&amp;SCFT=3&amp;window=popup_no_bar&amp;width=385&amp;height=120&amp;START_MAXIMIZED=FALSE&amp;creator=factset&amp;display_string=Audit"}</definedName>
    <definedName name="_349__FDSAUDITLINK__" hidden="1">{"fdsup://Directions/FactSet Auditing Viewer?action=AUDIT_VALUE&amp;DB=129&amp;ID1=67066G10&amp;VALUEID=02001&amp;SDATE=201003&amp;PERIODTYPE=QTR_STD&amp;SCFT=3&amp;window=popup_no_bar&amp;width=385&amp;height=120&amp;START_MAXIMIZED=FALSE&amp;creator=factset&amp;display_string=Audit"}</definedName>
    <definedName name="_3490__FDSAUDITLINK__" hidden="1">{"fdsup://Directions/FactSet Auditing Viewer?action=AUDIT_VALUE&amp;DB=129&amp;ID1=67000810&amp;VALUEID=02001&amp;SDATE=200502&amp;PERIODTYPE=QTR_STD&amp;SCFT=3&amp;window=popup_no_bar&amp;width=385&amp;height=120&amp;START_MAXIMIZED=FALSE&amp;creator=factset&amp;display_string=Audit"}</definedName>
    <definedName name="_3491__FDSAUDITLINK__" hidden="1">{"fdsup://Directions/FactSet Auditing Viewer?action=AUDIT_VALUE&amp;DB=129&amp;ID1=67000810&amp;VALUEID=02001&amp;SDATE=200501&amp;PERIODTYPE=QTR_STD&amp;SCFT=3&amp;window=popup_no_bar&amp;width=385&amp;height=120&amp;START_MAXIMIZED=FALSE&amp;creator=factset&amp;display_string=Audit"}</definedName>
    <definedName name="_3492__FDSAUDITLINK__" hidden="1">{"fdsup://Directions/FactSet Auditing Viewer?action=AUDIT_VALUE&amp;DB=129&amp;ID1=67000810&amp;VALUEID=02001&amp;SDATE=200501&amp;PERIODTYPE=QTR_STD&amp;SCFT=3&amp;window=popup_no_bar&amp;width=385&amp;height=120&amp;START_MAXIMIZED=FALSE&amp;creator=factset&amp;display_string=Audit"}</definedName>
    <definedName name="_3493__FDSAUDITLINK__" hidden="1">{"fdsup://Directions/FactSet Auditing Viewer?action=AUDIT_VALUE&amp;DB=129&amp;ID1=67000810&amp;VALUEID=02001&amp;SDATE=200403&amp;PERIODTYPE=QTR_STD&amp;SCFT=3&amp;window=popup_no_bar&amp;width=385&amp;height=120&amp;START_MAXIMIZED=FALSE&amp;creator=factset&amp;display_string=Audit"}</definedName>
    <definedName name="_3494__FDSAUDITLINK__" hidden="1">{"fdsup://Directions/FactSet Auditing Viewer?action=AUDIT_VALUE&amp;DB=129&amp;ID1=67000810&amp;VALUEID=02001&amp;SDATE=200403&amp;PERIODTYPE=QTR_STD&amp;SCFT=3&amp;window=popup_no_bar&amp;width=385&amp;height=120&amp;START_MAXIMIZED=FALSE&amp;creator=factset&amp;display_string=Audit"}</definedName>
    <definedName name="_3495__FDSAUDITLINK__" hidden="1">{"fdsup://Directions/FactSet Auditing Viewer?action=AUDIT_VALUE&amp;DB=129&amp;ID1=67000810&amp;VALUEID=02001&amp;SDATE=200402&amp;PERIODTYPE=QTR_STD&amp;SCFT=3&amp;window=popup_no_bar&amp;width=385&amp;height=120&amp;START_MAXIMIZED=FALSE&amp;creator=factset&amp;display_string=Audit"}</definedName>
    <definedName name="_3496__FDSAUDITLINK__" hidden="1">{"fdsup://Directions/FactSet Auditing Viewer?action=AUDIT_VALUE&amp;DB=129&amp;ID1=67000810&amp;VALUEID=02001&amp;SDATE=200402&amp;PERIODTYPE=QTR_STD&amp;SCFT=3&amp;window=popup_no_bar&amp;width=385&amp;height=120&amp;START_MAXIMIZED=FALSE&amp;creator=factset&amp;display_string=Audit"}</definedName>
    <definedName name="_3497__FDSAUDITLINK__" hidden="1">{"fdsup://Directions/FactSet Auditing Viewer?action=AUDIT_VALUE&amp;DB=129&amp;ID1=67000810&amp;VALUEID=02001&amp;SDATE=200401&amp;PERIODTYPE=QTR_STD&amp;SCFT=3&amp;window=popup_no_bar&amp;width=385&amp;height=120&amp;START_MAXIMIZED=FALSE&amp;creator=factset&amp;display_string=Audit"}</definedName>
    <definedName name="_3498__FDSAUDITLINK__" hidden="1">{"fdsup://Directions/FactSet Auditing Viewer?action=AUDIT_VALUE&amp;DB=129&amp;ID1=67000810&amp;VALUEID=02001&amp;SDATE=200401&amp;PERIODTYPE=QTR_STD&amp;SCFT=3&amp;window=popup_no_bar&amp;width=385&amp;height=120&amp;START_MAXIMIZED=FALSE&amp;creator=factset&amp;display_string=Audit"}</definedName>
    <definedName name="_3499__FDSAUDITLINK__" hidden="1">{"fdsup://Directions/FactSet Auditing Viewer?action=AUDIT_VALUE&amp;DB=129&amp;ID1=67066G10&amp;VALUEID=02001&amp;SDATE=200801&amp;PERIODTYPE=QTR_STD&amp;SCFT=3&amp;window=popup_no_bar&amp;width=385&amp;height=120&amp;START_MAXIMIZED=FALSE&amp;creator=factset&amp;display_string=Audit"}</definedName>
    <definedName name="_35__FDSAUDITLINK__" hidden="1">{"fdsup://directions/FAT Viewer?action=UPDATE&amp;creator=factset&amp;DYN_ARGS=TRUE&amp;DOC_NAME=FAT:FQL_AUDITING_CLIENT_TEMPLATE.FAT&amp;display_string=Audit&amp;VAR:KEY=AJAVYHOBQR&amp;VAR:QUERY=RkZfU0hTX0ZMT0FUKEFOTiw0MDU3NCk=&amp;WINDOW=FIRST_POPUP&amp;HEIGHT=450&amp;WIDTH=450&amp;START_MAXIMI","ZED=FALSE&amp;VAR:CALENDAR=US&amp;VAR:SYMBOL=LVS&amp;VAR:INDEX=0"}</definedName>
    <definedName name="_350__FDSAUDITLINK__" hidden="1">{"fdsup://Directions/FactSet Auditing Viewer?action=AUDIT_VALUE&amp;DB=129&amp;ID1=67066G10&amp;VALUEID=02001&amp;SDATE=201003&amp;PERIODTYPE=QTR_STD&amp;SCFT=3&amp;window=popup_no_bar&amp;width=385&amp;height=120&amp;START_MAXIMIZED=FALSE&amp;creator=factset&amp;display_string=Audit"}</definedName>
    <definedName name="_3500__FDSAUDITLINK__" hidden="1">{"fdsup://Directions/FactSet Auditing Viewer?action=AUDIT_VALUE&amp;DB=129&amp;ID1=67066G10&amp;VALUEID=02001&amp;SDATE=200801&amp;PERIODTYPE=QTR_STD&amp;SCFT=3&amp;window=popup_no_bar&amp;width=385&amp;height=120&amp;START_MAXIMIZED=FALSE&amp;creator=factset&amp;display_string=Audit"}</definedName>
    <definedName name="_3501__FDSAUDITLINK__" hidden="1">{"fdsup://Directions/FactSet Auditing Viewer?action=AUDIT_VALUE&amp;DB=129&amp;ID1=67066G10&amp;VALUEID=02001&amp;SDATE=200703&amp;PERIODTYPE=QTR_STD&amp;SCFT=3&amp;window=popup_no_bar&amp;width=385&amp;height=120&amp;START_MAXIMIZED=FALSE&amp;creator=factset&amp;display_string=Audit"}</definedName>
    <definedName name="_3502__FDSAUDITLINK__" hidden="1">{"fdsup://Directions/FactSet Auditing Viewer?action=AUDIT_VALUE&amp;DB=129&amp;ID1=67066G10&amp;VALUEID=02001&amp;SDATE=200703&amp;PERIODTYPE=QTR_STD&amp;SCFT=3&amp;window=popup_no_bar&amp;width=385&amp;height=120&amp;START_MAXIMIZED=FALSE&amp;creator=factset&amp;display_string=Audit"}</definedName>
    <definedName name="_3503__FDSAUDITLINK__" hidden="1">{"fdsup://Directions/FactSet Auditing Viewer?action=AUDIT_VALUE&amp;DB=129&amp;ID1=67066G10&amp;VALUEID=02001&amp;SDATE=200702&amp;PERIODTYPE=QTR_STD&amp;SCFT=3&amp;window=popup_no_bar&amp;width=385&amp;height=120&amp;START_MAXIMIZED=FALSE&amp;creator=factset&amp;display_string=Audit"}</definedName>
    <definedName name="_3504__FDSAUDITLINK__" hidden="1">{"fdsup://Directions/FactSet Auditing Viewer?action=AUDIT_VALUE&amp;DB=129&amp;ID1=67066G10&amp;VALUEID=02001&amp;SDATE=200702&amp;PERIODTYPE=QTR_STD&amp;SCFT=3&amp;window=popup_no_bar&amp;width=385&amp;height=120&amp;START_MAXIMIZED=FALSE&amp;creator=factset&amp;display_string=Audit"}</definedName>
    <definedName name="_3505__FDSAUDITLINK__" hidden="1">{"fdsup://Directions/FactSet Auditing Viewer?action=AUDIT_VALUE&amp;DB=129&amp;ID1=67066G10&amp;VALUEID=02001&amp;SDATE=200701&amp;PERIODTYPE=QTR_STD&amp;SCFT=3&amp;window=popup_no_bar&amp;width=385&amp;height=120&amp;START_MAXIMIZED=FALSE&amp;creator=factset&amp;display_string=Audit"}</definedName>
    <definedName name="_3506__FDSAUDITLINK__" hidden="1">{"fdsup://Directions/FactSet Auditing Viewer?action=AUDIT_VALUE&amp;DB=129&amp;ID1=67066G10&amp;VALUEID=02001&amp;SDATE=200701&amp;PERIODTYPE=QTR_STD&amp;SCFT=3&amp;window=popup_no_bar&amp;width=385&amp;height=120&amp;START_MAXIMIZED=FALSE&amp;creator=factset&amp;display_string=Audit"}</definedName>
    <definedName name="_3507__FDSAUDITLINK__" hidden="1">{"fdsup://Directions/FactSet Auditing Viewer?action=AUDIT_VALUE&amp;DB=129&amp;ID1=67066G10&amp;VALUEID=02001&amp;SDATE=200603&amp;PERIODTYPE=QTR_STD&amp;SCFT=3&amp;window=popup_no_bar&amp;width=385&amp;height=120&amp;START_MAXIMIZED=FALSE&amp;creator=factset&amp;display_string=Audit"}</definedName>
    <definedName name="_3508__FDSAUDITLINK__" hidden="1">{"fdsup://Directions/FactSet Auditing Viewer?action=AUDIT_VALUE&amp;DB=129&amp;ID1=67066G10&amp;VALUEID=02001&amp;SDATE=200603&amp;PERIODTYPE=QTR_STD&amp;SCFT=3&amp;window=popup_no_bar&amp;width=385&amp;height=120&amp;START_MAXIMIZED=FALSE&amp;creator=factset&amp;display_string=Audit"}</definedName>
    <definedName name="_3509__FDSAUDITLINK__" hidden="1">{"fdsup://Directions/FactSet Auditing Viewer?action=AUDIT_VALUE&amp;DB=129&amp;ID1=67066G10&amp;VALUEID=02001&amp;SDATE=200602&amp;PERIODTYPE=QTR_STD&amp;SCFT=3&amp;window=popup_no_bar&amp;width=385&amp;height=120&amp;START_MAXIMIZED=FALSE&amp;creator=factset&amp;display_string=Audit"}</definedName>
    <definedName name="_351__FDSAUDITLINK__" hidden="1">{"fdsup://Directions/FactSet Auditing Viewer?action=AUDIT_VALUE&amp;DB=129&amp;ID1=63764010&amp;VALUEID=02001&amp;SDATE=201001&amp;PERIODTYPE=QTR_STD&amp;SCFT=3&amp;window=popup_no_bar&amp;width=385&amp;height=120&amp;START_MAXIMIZED=FALSE&amp;creator=factset&amp;display_string=Audit"}</definedName>
    <definedName name="_3510__FDSAUDITLINK__" hidden="1">{"fdsup://Directions/FactSet Auditing Viewer?action=AUDIT_VALUE&amp;DB=129&amp;ID1=67066G10&amp;VALUEID=02001&amp;SDATE=200602&amp;PERIODTYPE=QTR_STD&amp;SCFT=3&amp;window=popup_no_bar&amp;width=385&amp;height=120&amp;START_MAXIMIZED=FALSE&amp;creator=factset&amp;display_string=Audit"}</definedName>
    <definedName name="_3511__FDSAUDITLINK__" hidden="1">{"fdsup://Directions/FactSet Auditing Viewer?action=AUDIT_VALUE&amp;DB=129&amp;ID1=67066G10&amp;VALUEID=02001&amp;SDATE=200601&amp;PERIODTYPE=QTR_STD&amp;SCFT=3&amp;window=popup_no_bar&amp;width=385&amp;height=120&amp;START_MAXIMIZED=FALSE&amp;creator=factset&amp;display_string=Audit"}</definedName>
    <definedName name="_3512__FDSAUDITLINK__" hidden="1">{"fdsup://Directions/FactSet Auditing Viewer?action=AUDIT_VALUE&amp;DB=129&amp;ID1=67066G10&amp;VALUEID=02001&amp;SDATE=200601&amp;PERIODTYPE=QTR_STD&amp;SCFT=3&amp;window=popup_no_bar&amp;width=385&amp;height=120&amp;START_MAXIMIZED=FALSE&amp;creator=factset&amp;display_string=Audit"}</definedName>
    <definedName name="_3513__FDSAUDITLINK__" hidden="1">{"fdsup://Directions/FactSet Auditing Viewer?action=AUDIT_VALUE&amp;DB=129&amp;ID1=67066G10&amp;VALUEID=02001&amp;SDATE=200503&amp;PERIODTYPE=QTR_STD&amp;SCFT=3&amp;window=popup_no_bar&amp;width=385&amp;height=120&amp;START_MAXIMIZED=FALSE&amp;creator=factset&amp;display_string=Audit"}</definedName>
    <definedName name="_3514__FDSAUDITLINK__" hidden="1">{"fdsup://Directions/FactSet Auditing Viewer?action=AUDIT_VALUE&amp;DB=129&amp;ID1=67066G10&amp;VALUEID=02001&amp;SDATE=200503&amp;PERIODTYPE=QTR_STD&amp;SCFT=3&amp;window=popup_no_bar&amp;width=385&amp;height=120&amp;START_MAXIMIZED=FALSE&amp;creator=factset&amp;display_string=Audit"}</definedName>
    <definedName name="_3515__FDSAUDITLINK__" hidden="1">{"fdsup://Directions/FactSet Auditing Viewer?action=AUDIT_VALUE&amp;DB=129&amp;ID1=67066G10&amp;VALUEID=02001&amp;SDATE=200502&amp;PERIODTYPE=QTR_STD&amp;SCFT=3&amp;window=popup_no_bar&amp;width=385&amp;height=120&amp;START_MAXIMIZED=FALSE&amp;creator=factset&amp;display_string=Audit"}</definedName>
    <definedName name="_3516__FDSAUDITLINK__" hidden="1">{"fdsup://Directions/FactSet Auditing Viewer?action=AUDIT_VALUE&amp;DB=129&amp;ID1=67066G10&amp;VALUEID=02001&amp;SDATE=200502&amp;PERIODTYPE=QTR_STD&amp;SCFT=3&amp;window=popup_no_bar&amp;width=385&amp;height=120&amp;START_MAXIMIZED=FALSE&amp;creator=factset&amp;display_string=Audit"}</definedName>
    <definedName name="_3517__FDSAUDITLINK__" hidden="1">{"fdsup://Directions/FactSet Auditing Viewer?action=AUDIT_VALUE&amp;DB=129&amp;ID1=67066G10&amp;VALUEID=02001&amp;SDATE=200501&amp;PERIODTYPE=QTR_STD&amp;SCFT=3&amp;window=popup_no_bar&amp;width=385&amp;height=120&amp;START_MAXIMIZED=FALSE&amp;creator=factset&amp;display_string=Audit"}</definedName>
    <definedName name="_3518__FDSAUDITLINK__" hidden="1">{"fdsup://Directions/FactSet Auditing Viewer?action=AUDIT_VALUE&amp;DB=129&amp;ID1=67066G10&amp;VALUEID=02001&amp;SDATE=200501&amp;PERIODTYPE=QTR_STD&amp;SCFT=3&amp;window=popup_no_bar&amp;width=385&amp;height=120&amp;START_MAXIMIZED=FALSE&amp;creator=factset&amp;display_string=Audit"}</definedName>
    <definedName name="_3519__FDSAUDITLINK__" hidden="1">{"fdsup://Directions/FactSet Auditing Viewer?action=AUDIT_VALUE&amp;DB=129&amp;ID1=67066G10&amp;VALUEID=02001&amp;SDATE=200403&amp;PERIODTYPE=QTR_STD&amp;SCFT=3&amp;window=popup_no_bar&amp;width=385&amp;height=120&amp;START_MAXIMIZED=FALSE&amp;creator=factset&amp;display_string=Audit"}</definedName>
    <definedName name="_352__FDSAUDITLINK__" hidden="1">{"fdsup://Directions/FactSet Auditing Viewer?action=AUDIT_VALUE&amp;DB=129&amp;ID1=63764010&amp;VALUEID=02001&amp;SDATE=201001&amp;PERIODTYPE=QTR_STD&amp;SCFT=3&amp;window=popup_no_bar&amp;width=385&amp;height=120&amp;START_MAXIMIZED=FALSE&amp;creator=factset&amp;display_string=Audit"}</definedName>
    <definedName name="_3520__FDSAUDITLINK__" hidden="1">{"fdsup://Directions/FactSet Auditing Viewer?action=AUDIT_VALUE&amp;DB=129&amp;ID1=67066G10&amp;VALUEID=02001&amp;SDATE=200403&amp;PERIODTYPE=QTR_STD&amp;SCFT=3&amp;window=popup_no_bar&amp;width=385&amp;height=120&amp;START_MAXIMIZED=FALSE&amp;creator=factset&amp;display_string=Audit"}</definedName>
    <definedName name="_3521__FDSAUDITLINK__" hidden="1">{"fdsup://Directions/FactSet Auditing Viewer?action=AUDIT_VALUE&amp;DB=129&amp;ID1=67066G10&amp;VALUEID=02001&amp;SDATE=200402&amp;PERIODTYPE=QTR_STD&amp;SCFT=3&amp;window=popup_no_bar&amp;width=385&amp;height=120&amp;START_MAXIMIZED=FALSE&amp;creator=factset&amp;display_string=Audit"}</definedName>
    <definedName name="_3522__FDSAUDITLINK__" hidden="1">{"fdsup://Directions/FactSet Auditing Viewer?action=AUDIT_VALUE&amp;DB=129&amp;ID1=67066G10&amp;VALUEID=02001&amp;SDATE=200402&amp;PERIODTYPE=QTR_STD&amp;SCFT=3&amp;window=popup_no_bar&amp;width=385&amp;height=120&amp;START_MAXIMIZED=FALSE&amp;creator=factset&amp;display_string=Audit"}</definedName>
    <definedName name="_3523__FDSAUDITLINK__" hidden="1">{"fdsup://Directions/FactSet Auditing Viewer?action=AUDIT_VALUE&amp;DB=129&amp;ID1=67066G10&amp;VALUEID=02001&amp;SDATE=200401&amp;PERIODTYPE=QTR_STD&amp;SCFT=3&amp;window=popup_no_bar&amp;width=385&amp;height=120&amp;START_MAXIMIZED=FALSE&amp;creator=factset&amp;display_string=Audit"}</definedName>
    <definedName name="_3524__FDSAUDITLINK__" hidden="1">{"fdsup://Directions/FactSet Auditing Viewer?action=AUDIT_VALUE&amp;DB=129&amp;ID1=67066G10&amp;VALUEID=02001&amp;SDATE=200401&amp;PERIODTYPE=QTR_STD&amp;SCFT=3&amp;window=popup_no_bar&amp;width=385&amp;height=120&amp;START_MAXIMIZED=FALSE&amp;creator=factset&amp;display_string=Audit"}</definedName>
    <definedName name="_3525__FDSAUDITLINK__" hidden="1">{"fdsup://Directions/FactSet Auditing Viewer?action=AUDIT_VALUE&amp;DB=129&amp;ID1=63764010&amp;VALUEID=02001&amp;SDATE=200703&amp;PERIODTYPE=QTR_STD&amp;SCFT=3&amp;window=popup_no_bar&amp;width=385&amp;height=120&amp;START_MAXIMIZED=FALSE&amp;creator=factset&amp;display_string=Audit"}</definedName>
    <definedName name="_3526__FDSAUDITLINK__" hidden="1">{"fdsup://Directions/FactSet Auditing Viewer?action=AUDIT_VALUE&amp;DB=129&amp;ID1=63764010&amp;VALUEID=02001&amp;SDATE=200703&amp;PERIODTYPE=QTR_STD&amp;SCFT=3&amp;window=popup_no_bar&amp;width=385&amp;height=120&amp;START_MAXIMIZED=FALSE&amp;creator=factset&amp;display_string=Audit"}</definedName>
    <definedName name="_3527__FDSAUDITLINK__" hidden="1">{"fdsup://Directions/FactSet Auditing Viewer?action=AUDIT_VALUE&amp;DB=129&amp;ID1=63764010&amp;VALUEID=02001&amp;SDATE=200702&amp;PERIODTYPE=QTR_STD&amp;SCFT=3&amp;window=popup_no_bar&amp;width=385&amp;height=120&amp;START_MAXIMIZED=FALSE&amp;creator=factset&amp;display_string=Audit"}</definedName>
    <definedName name="_3528__FDSAUDITLINK__" hidden="1">{"fdsup://Directions/FactSet Auditing Viewer?action=AUDIT_VALUE&amp;DB=129&amp;ID1=63764010&amp;VALUEID=02001&amp;SDATE=200702&amp;PERIODTYPE=QTR_STD&amp;SCFT=3&amp;window=popup_no_bar&amp;width=385&amp;height=120&amp;START_MAXIMIZED=FALSE&amp;creator=factset&amp;display_string=Audit"}</definedName>
    <definedName name="_3529__FDSAUDITLINK__" hidden="1">{"fdsup://Directions/FactSet Auditing Viewer?action=AUDIT_VALUE&amp;DB=129&amp;ID1=63764010&amp;VALUEID=02001&amp;SDATE=200701&amp;PERIODTYPE=QTR_STD&amp;SCFT=3&amp;window=popup_no_bar&amp;width=385&amp;height=120&amp;START_MAXIMIZED=FALSE&amp;creator=factset&amp;display_string=Audit"}</definedName>
    <definedName name="_353__FDSAUDITLINK__" hidden="1">{"fdsup://Directions/FactSet Auditing Viewer?action=AUDIT_VALUE&amp;DB=129&amp;ID1=64118B10&amp;VALUEID=02001&amp;SDATE=201003&amp;PERIODTYPE=QTR_STD&amp;SCFT=3&amp;window=popup_no_bar&amp;width=385&amp;height=120&amp;START_MAXIMIZED=FALSE&amp;creator=factset&amp;display_string=Audit"}</definedName>
    <definedName name="_3530__FDSAUDITLINK__" hidden="1">{"fdsup://Directions/FactSet Auditing Viewer?action=AUDIT_VALUE&amp;DB=129&amp;ID1=63764010&amp;VALUEID=02001&amp;SDATE=200701&amp;PERIODTYPE=QTR_STD&amp;SCFT=3&amp;window=popup_no_bar&amp;width=385&amp;height=120&amp;START_MAXIMIZED=FALSE&amp;creator=factset&amp;display_string=Audit"}</definedName>
    <definedName name="_3531__FDSAUDITLINK__" hidden="1">{"fdsup://Directions/FactSet Auditing Viewer?action=AUDIT_VALUE&amp;DB=129&amp;ID1=63764010&amp;VALUEID=02001&amp;SDATE=200603&amp;PERIODTYPE=QTR_STD&amp;SCFT=3&amp;window=popup_no_bar&amp;width=385&amp;height=120&amp;START_MAXIMIZED=FALSE&amp;creator=factset&amp;display_string=Audit"}</definedName>
    <definedName name="_3532__FDSAUDITLINK__" hidden="1">{"fdsup://Directions/FactSet Auditing Viewer?action=AUDIT_VALUE&amp;DB=129&amp;ID1=63764010&amp;VALUEID=02001&amp;SDATE=200603&amp;PERIODTYPE=QTR_STD&amp;SCFT=3&amp;window=popup_no_bar&amp;width=385&amp;height=120&amp;START_MAXIMIZED=FALSE&amp;creator=factset&amp;display_string=Audit"}</definedName>
    <definedName name="_3533__FDSAUDITLINK__" hidden="1">{"fdsup://Directions/FactSet Auditing Viewer?action=AUDIT_VALUE&amp;DB=129&amp;ID1=63764010&amp;VALUEID=02001&amp;SDATE=200602&amp;PERIODTYPE=QTR_STD&amp;SCFT=3&amp;window=popup_no_bar&amp;width=385&amp;height=120&amp;START_MAXIMIZED=FALSE&amp;creator=factset&amp;display_string=Audit"}</definedName>
    <definedName name="_3534__FDSAUDITLINK__" hidden="1">{"fdsup://Directions/FactSet Auditing Viewer?action=AUDIT_VALUE&amp;DB=129&amp;ID1=63764010&amp;VALUEID=02001&amp;SDATE=200602&amp;PERIODTYPE=QTR_STD&amp;SCFT=3&amp;window=popup_no_bar&amp;width=385&amp;height=120&amp;START_MAXIMIZED=FALSE&amp;creator=factset&amp;display_string=Audit"}</definedName>
    <definedName name="_3535__FDSAUDITLINK__" hidden="1">{"fdsup://Directions/FactSet Auditing Viewer?action=AUDIT_VALUE&amp;DB=129&amp;ID1=63764010&amp;VALUEID=02001&amp;SDATE=200601&amp;PERIODTYPE=QTR_STD&amp;SCFT=3&amp;window=popup_no_bar&amp;width=385&amp;height=120&amp;START_MAXIMIZED=FALSE&amp;creator=factset&amp;display_string=Audit"}</definedName>
    <definedName name="_3536__FDSAUDITLINK__" hidden="1">{"fdsup://Directions/FactSet Auditing Viewer?action=AUDIT_VALUE&amp;DB=129&amp;ID1=63764010&amp;VALUEID=02001&amp;SDATE=200601&amp;PERIODTYPE=QTR_STD&amp;SCFT=3&amp;window=popup_no_bar&amp;width=385&amp;height=120&amp;START_MAXIMIZED=FALSE&amp;creator=factset&amp;display_string=Audit"}</definedName>
    <definedName name="_3537__FDSAUDITLINK__" hidden="1">{"fdsup://Directions/FactSet Auditing Viewer?action=AUDIT_VALUE&amp;DB=129&amp;ID1=63764010&amp;VALUEID=02001&amp;SDATE=200503&amp;PERIODTYPE=QTR_STD&amp;SCFT=3&amp;window=popup_no_bar&amp;width=385&amp;height=120&amp;START_MAXIMIZED=FALSE&amp;creator=factset&amp;display_string=Audit"}</definedName>
    <definedName name="_3538__FDSAUDITLINK__" hidden="1">{"fdsup://Directions/FactSet Auditing Viewer?action=AUDIT_VALUE&amp;DB=129&amp;ID1=63764010&amp;VALUEID=02001&amp;SDATE=200503&amp;PERIODTYPE=QTR_STD&amp;SCFT=3&amp;window=popup_no_bar&amp;width=385&amp;height=120&amp;START_MAXIMIZED=FALSE&amp;creator=factset&amp;display_string=Audit"}</definedName>
    <definedName name="_3539__FDSAUDITLINK__" hidden="1">{"fdsup://Directions/FactSet Auditing Viewer?action=AUDIT_VALUE&amp;DB=129&amp;ID1=63764010&amp;VALUEID=02001&amp;SDATE=200502&amp;PERIODTYPE=QTR_STD&amp;SCFT=3&amp;window=popup_no_bar&amp;width=385&amp;height=120&amp;START_MAXIMIZED=FALSE&amp;creator=factset&amp;display_string=Audit"}</definedName>
    <definedName name="_354__FDSAUDITLINK__" hidden="1">{"fdsup://Directions/FactSet Auditing Viewer?action=AUDIT_VALUE&amp;DB=129&amp;ID1=64118B10&amp;VALUEID=02001&amp;SDATE=201003&amp;PERIODTYPE=QTR_STD&amp;SCFT=3&amp;window=popup_no_bar&amp;width=385&amp;height=120&amp;START_MAXIMIZED=FALSE&amp;creator=factset&amp;display_string=Audit"}</definedName>
    <definedName name="_3540__FDSAUDITLINK__" hidden="1">{"fdsup://Directions/FactSet Auditing Viewer?action=AUDIT_VALUE&amp;DB=129&amp;ID1=63764010&amp;VALUEID=02001&amp;SDATE=200502&amp;PERIODTYPE=QTR_STD&amp;SCFT=3&amp;window=popup_no_bar&amp;width=385&amp;height=120&amp;START_MAXIMIZED=FALSE&amp;creator=factset&amp;display_string=Audit"}</definedName>
    <definedName name="_3541__FDSAUDITLINK__" hidden="1">{"fdsup://Directions/FactSet Auditing Viewer?action=AUDIT_VALUE&amp;DB=129&amp;ID1=63764010&amp;VALUEID=02001&amp;SDATE=200501&amp;PERIODTYPE=QTR_STD&amp;SCFT=3&amp;window=popup_no_bar&amp;width=385&amp;height=120&amp;START_MAXIMIZED=FALSE&amp;creator=factset&amp;display_string=Audit"}</definedName>
    <definedName name="_3542__FDSAUDITLINK__" hidden="1">{"fdsup://Directions/FactSet Auditing Viewer?action=AUDIT_VALUE&amp;DB=129&amp;ID1=63764010&amp;VALUEID=02001&amp;SDATE=200501&amp;PERIODTYPE=QTR_STD&amp;SCFT=3&amp;window=popup_no_bar&amp;width=385&amp;height=120&amp;START_MAXIMIZED=FALSE&amp;creator=factset&amp;display_string=Audit"}</definedName>
    <definedName name="_3543__FDSAUDITLINK__" hidden="1">{"fdsup://Directions/FactSet Auditing Viewer?action=AUDIT_VALUE&amp;DB=129&amp;ID1=63764010&amp;VALUEID=02001&amp;SDATE=200403&amp;PERIODTYPE=QTR_STD&amp;SCFT=3&amp;window=popup_no_bar&amp;width=385&amp;height=120&amp;START_MAXIMIZED=FALSE&amp;creator=factset&amp;display_string=Audit"}</definedName>
    <definedName name="_3544__FDSAUDITLINK__" hidden="1">{"fdsup://Directions/FactSet Auditing Viewer?action=AUDIT_VALUE&amp;DB=129&amp;ID1=63764010&amp;VALUEID=02001&amp;SDATE=200403&amp;PERIODTYPE=QTR_STD&amp;SCFT=3&amp;window=popup_no_bar&amp;width=385&amp;height=120&amp;START_MAXIMIZED=FALSE&amp;creator=factset&amp;display_string=Audit"}</definedName>
    <definedName name="_3545__FDSAUDITLINK__" hidden="1">{"fdsup://Directions/FactSet Auditing Viewer?action=AUDIT_VALUE&amp;DB=129&amp;ID1=63764010&amp;VALUEID=02001&amp;SDATE=200402&amp;PERIODTYPE=QTR_STD&amp;SCFT=3&amp;window=popup_no_bar&amp;width=385&amp;height=120&amp;START_MAXIMIZED=FALSE&amp;creator=factset&amp;display_string=Audit"}</definedName>
    <definedName name="_3546__FDSAUDITLINK__" hidden="1">{"fdsup://Directions/FactSet Auditing Viewer?action=AUDIT_VALUE&amp;DB=129&amp;ID1=63764010&amp;VALUEID=02001&amp;SDATE=200402&amp;PERIODTYPE=QTR_STD&amp;SCFT=3&amp;window=popup_no_bar&amp;width=385&amp;height=120&amp;START_MAXIMIZED=FALSE&amp;creator=factset&amp;display_string=Audit"}</definedName>
    <definedName name="_3547__FDSAUDITLINK__" hidden="1">{"fdsup://Directions/FactSet Auditing Viewer?action=AUDIT_VALUE&amp;DB=129&amp;ID1=63764010&amp;VALUEID=02001&amp;SDATE=200401&amp;PERIODTYPE=QTR_STD&amp;SCFT=3&amp;window=popup_no_bar&amp;width=385&amp;height=120&amp;START_MAXIMIZED=FALSE&amp;creator=factset&amp;display_string=Audit"}</definedName>
    <definedName name="_3548__FDSAUDITLINK__" hidden="1">{"fdsup://Directions/FactSet Auditing Viewer?action=AUDIT_VALUE&amp;DB=129&amp;ID1=63764010&amp;VALUEID=02001&amp;SDATE=200401&amp;PERIODTYPE=QTR_STD&amp;SCFT=3&amp;window=popup_no_bar&amp;width=385&amp;height=120&amp;START_MAXIMIZED=FALSE&amp;creator=factset&amp;display_string=Audit"}</definedName>
    <definedName name="_3549__FDSAUDITLINK__" hidden="1">{"fdsup://Directions/FactSet Auditing Viewer?action=AUDIT_VALUE&amp;DB=129&amp;ID1=63764010&amp;VALUEID=02001&amp;SDATE=200303&amp;PERIODTYPE=QTR_STD&amp;SCFT=3&amp;window=popup_no_bar&amp;width=385&amp;height=120&amp;START_MAXIMIZED=FALSE&amp;creator=factset&amp;display_string=Audit"}</definedName>
    <definedName name="_355__FDSAUDITLINK__" hidden="1">{"fdsup://Directions/FactSet Auditing Viewer?action=AUDIT_VALUE&amp;DB=129&amp;ID1=57772K10&amp;VALUEID=02001&amp;SDATE=201101&amp;PERIODTYPE=QTR_STD&amp;SCFT=3&amp;window=popup_no_bar&amp;width=385&amp;height=120&amp;START_MAXIMIZED=FALSE&amp;creator=factset&amp;display_string=Audit"}</definedName>
    <definedName name="_3550__FDSAUDITLINK__" hidden="1">{"fdsup://Directions/FactSet Auditing Viewer?action=AUDIT_VALUE&amp;DB=129&amp;ID1=63764010&amp;VALUEID=02001&amp;SDATE=200303&amp;PERIODTYPE=QTR_STD&amp;SCFT=3&amp;window=popup_no_bar&amp;width=385&amp;height=120&amp;START_MAXIMIZED=FALSE&amp;creator=factset&amp;display_string=Audit"}</definedName>
    <definedName name="_3551__FDSAUDITLINK__" hidden="1">{"fdsup://Directions/FactSet Auditing Viewer?action=AUDIT_VALUE&amp;DB=129&amp;ID1=64118B10&amp;VALUEID=02001&amp;SDATE=200801&amp;PERIODTYPE=QTR_STD&amp;SCFT=3&amp;window=popup_no_bar&amp;width=385&amp;height=120&amp;START_MAXIMIZED=FALSE&amp;creator=factset&amp;display_string=Audit"}</definedName>
    <definedName name="_3552__FDSAUDITLINK__" hidden="1">{"fdsup://Directions/FactSet Auditing Viewer?action=AUDIT_VALUE&amp;DB=129&amp;ID1=64118B10&amp;VALUEID=02001&amp;SDATE=200801&amp;PERIODTYPE=QTR_STD&amp;SCFT=3&amp;window=popup_no_bar&amp;width=385&amp;height=120&amp;START_MAXIMIZED=FALSE&amp;creator=factset&amp;display_string=Audit"}</definedName>
    <definedName name="_3553__FDSAUDITLINK__" hidden="1">{"fdsup://Directions/FactSet Auditing Viewer?action=AUDIT_VALUE&amp;DB=129&amp;ID1=64118B10&amp;VALUEID=02001&amp;SDATE=200703&amp;PERIODTYPE=QTR_STD&amp;SCFT=3&amp;window=popup_no_bar&amp;width=385&amp;height=120&amp;START_MAXIMIZED=FALSE&amp;creator=factset&amp;display_string=Audit"}</definedName>
    <definedName name="_3554__FDSAUDITLINK__" hidden="1">{"fdsup://Directions/FactSet Auditing Viewer?action=AUDIT_VALUE&amp;DB=129&amp;ID1=64118B10&amp;VALUEID=02001&amp;SDATE=200703&amp;PERIODTYPE=QTR_STD&amp;SCFT=3&amp;window=popup_no_bar&amp;width=385&amp;height=120&amp;START_MAXIMIZED=FALSE&amp;creator=factset&amp;display_string=Audit"}</definedName>
    <definedName name="_3555__FDSAUDITLINK__" hidden="1">{"fdsup://Directions/FactSet Auditing Viewer?action=AUDIT_VALUE&amp;DB=129&amp;ID1=64118B10&amp;VALUEID=02001&amp;SDATE=200702&amp;PERIODTYPE=QTR_STD&amp;SCFT=3&amp;window=popup_no_bar&amp;width=385&amp;height=120&amp;START_MAXIMIZED=FALSE&amp;creator=factset&amp;display_string=Audit"}</definedName>
    <definedName name="_3556__FDSAUDITLINK__" hidden="1">{"fdsup://Directions/FactSet Auditing Viewer?action=AUDIT_VALUE&amp;DB=129&amp;ID1=64118B10&amp;VALUEID=02001&amp;SDATE=200702&amp;PERIODTYPE=QTR_STD&amp;SCFT=3&amp;window=popup_no_bar&amp;width=385&amp;height=120&amp;START_MAXIMIZED=FALSE&amp;creator=factset&amp;display_string=Audit"}</definedName>
    <definedName name="_3557__FDSAUDITLINK__" hidden="1">{"fdsup://Directions/FactSet Auditing Viewer?action=AUDIT_VALUE&amp;DB=129&amp;ID1=64118B10&amp;VALUEID=02001&amp;SDATE=200701&amp;PERIODTYPE=QTR_STD&amp;SCFT=3&amp;window=popup_no_bar&amp;width=385&amp;height=120&amp;START_MAXIMIZED=FALSE&amp;creator=factset&amp;display_string=Audit"}</definedName>
    <definedName name="_3558__FDSAUDITLINK__" hidden="1">{"fdsup://Directions/FactSet Auditing Viewer?action=AUDIT_VALUE&amp;DB=129&amp;ID1=64118B10&amp;VALUEID=02001&amp;SDATE=200701&amp;PERIODTYPE=QTR_STD&amp;SCFT=3&amp;window=popup_no_bar&amp;width=385&amp;height=120&amp;START_MAXIMIZED=FALSE&amp;creator=factset&amp;display_string=Audit"}</definedName>
    <definedName name="_3559__FDSAUDITLINK__" hidden="1">{"fdsup://Directions/FactSet Auditing Viewer?action=AUDIT_VALUE&amp;DB=129&amp;ID1=64118B10&amp;VALUEID=02001&amp;SDATE=200603&amp;PERIODTYPE=QTR_STD&amp;SCFT=3&amp;window=popup_no_bar&amp;width=385&amp;height=120&amp;START_MAXIMIZED=FALSE&amp;creator=factset&amp;display_string=Audit"}</definedName>
    <definedName name="_356__FDSAUDITLINK__" hidden="1">{"fdsup://Directions/FactSet Auditing Viewer?action=AUDIT_VALUE&amp;DB=129&amp;ID1=57772K10&amp;VALUEID=02001&amp;SDATE=201101&amp;PERIODTYPE=QTR_STD&amp;SCFT=3&amp;window=popup_no_bar&amp;width=385&amp;height=120&amp;START_MAXIMIZED=FALSE&amp;creator=factset&amp;display_string=Audit"}</definedName>
    <definedName name="_3560__FDSAUDITLINK__" hidden="1">{"fdsup://Directions/FactSet Auditing Viewer?action=AUDIT_VALUE&amp;DB=129&amp;ID1=64118B10&amp;VALUEID=02001&amp;SDATE=200603&amp;PERIODTYPE=QTR_STD&amp;SCFT=3&amp;window=popup_no_bar&amp;width=385&amp;height=120&amp;START_MAXIMIZED=FALSE&amp;creator=factset&amp;display_string=Audit"}</definedName>
    <definedName name="_3561__FDSAUDITLINK__" hidden="1">{"fdsup://Directions/FactSet Auditing Viewer?action=AUDIT_VALUE&amp;DB=129&amp;ID1=64118B10&amp;VALUEID=02001&amp;SDATE=200602&amp;PERIODTYPE=QTR_STD&amp;SCFT=3&amp;window=popup_no_bar&amp;width=385&amp;height=120&amp;START_MAXIMIZED=FALSE&amp;creator=factset&amp;display_string=Audit"}</definedName>
    <definedName name="_3562__FDSAUDITLINK__" hidden="1">{"fdsup://Directions/FactSet Auditing Viewer?action=AUDIT_VALUE&amp;DB=129&amp;ID1=64118B10&amp;VALUEID=02001&amp;SDATE=200602&amp;PERIODTYPE=QTR_STD&amp;SCFT=3&amp;window=popup_no_bar&amp;width=385&amp;height=120&amp;START_MAXIMIZED=FALSE&amp;creator=factset&amp;display_string=Audit"}</definedName>
    <definedName name="_3563__FDSAUDITLINK__" hidden="1">{"fdsup://Directions/FactSet Auditing Viewer?action=AUDIT_VALUE&amp;DB=129&amp;ID1=64118B10&amp;VALUEID=02001&amp;SDATE=200601&amp;PERIODTYPE=QTR_STD&amp;SCFT=3&amp;window=popup_no_bar&amp;width=385&amp;height=120&amp;START_MAXIMIZED=FALSE&amp;creator=factset&amp;display_string=Audit"}</definedName>
    <definedName name="_3564__FDSAUDITLINK__" hidden="1">{"fdsup://Directions/FactSet Auditing Viewer?action=AUDIT_VALUE&amp;DB=129&amp;ID1=64118B10&amp;VALUEID=02001&amp;SDATE=200601&amp;PERIODTYPE=QTR_STD&amp;SCFT=3&amp;window=popup_no_bar&amp;width=385&amp;height=120&amp;START_MAXIMIZED=FALSE&amp;creator=factset&amp;display_string=Audit"}</definedName>
    <definedName name="_3565__FDSAUDITLINK__" hidden="1">{"fdsup://Directions/FactSet Auditing Viewer?action=AUDIT_VALUE&amp;DB=129&amp;ID1=64118B10&amp;VALUEID=02001&amp;SDATE=200503&amp;PERIODTYPE=QTR_STD&amp;SCFT=3&amp;window=popup_no_bar&amp;width=385&amp;height=120&amp;START_MAXIMIZED=FALSE&amp;creator=factset&amp;display_string=Audit"}</definedName>
    <definedName name="_3566__FDSAUDITLINK__" hidden="1">{"fdsup://Directions/FactSet Auditing Viewer?action=AUDIT_VALUE&amp;DB=129&amp;ID1=64118B10&amp;VALUEID=02001&amp;SDATE=200503&amp;PERIODTYPE=QTR_STD&amp;SCFT=3&amp;window=popup_no_bar&amp;width=385&amp;height=120&amp;START_MAXIMIZED=FALSE&amp;creator=factset&amp;display_string=Audit"}</definedName>
    <definedName name="_3567__FDSAUDITLINK__" hidden="1">{"fdsup://Directions/FactSet Auditing Viewer?action=AUDIT_VALUE&amp;DB=129&amp;ID1=64118B10&amp;VALUEID=02001&amp;SDATE=200502&amp;PERIODTYPE=QTR_STD&amp;SCFT=3&amp;window=popup_no_bar&amp;width=385&amp;height=120&amp;START_MAXIMIZED=FALSE&amp;creator=factset&amp;display_string=Audit"}</definedName>
    <definedName name="_3568__FDSAUDITLINK__" hidden="1">{"fdsup://Directions/FactSet Auditing Viewer?action=AUDIT_VALUE&amp;DB=129&amp;ID1=64118B10&amp;VALUEID=02001&amp;SDATE=200502&amp;PERIODTYPE=QTR_STD&amp;SCFT=3&amp;window=popup_no_bar&amp;width=385&amp;height=120&amp;START_MAXIMIZED=FALSE&amp;creator=factset&amp;display_string=Audit"}</definedName>
    <definedName name="_3569__FDSAUDITLINK__" hidden="1">{"fdsup://Directions/FactSet Auditing Viewer?action=AUDIT_VALUE&amp;DB=129&amp;ID1=64118B10&amp;VALUEID=02001&amp;SDATE=200501&amp;PERIODTYPE=QTR_STD&amp;SCFT=3&amp;window=popup_no_bar&amp;width=385&amp;height=120&amp;START_MAXIMIZED=FALSE&amp;creator=factset&amp;display_string=Audit"}</definedName>
    <definedName name="_357__FDSAUDITLINK__" hidden="1">{"fdsup://Directions/FactSet Auditing Viewer?action=AUDIT_VALUE&amp;DB=129&amp;ID1=59511210&amp;VALUEID=02001&amp;SDATE=201004&amp;PERIODTYPE=QTR_STD&amp;SCFT=3&amp;window=popup_no_bar&amp;width=385&amp;height=120&amp;START_MAXIMIZED=FALSE&amp;creator=factset&amp;display_string=Audit"}</definedName>
    <definedName name="_3570__FDSAUDITLINK__" hidden="1">{"fdsup://Directions/FactSet Auditing Viewer?action=AUDIT_VALUE&amp;DB=129&amp;ID1=64118B10&amp;VALUEID=02001&amp;SDATE=200501&amp;PERIODTYPE=QTR_STD&amp;SCFT=3&amp;window=popup_no_bar&amp;width=385&amp;height=120&amp;START_MAXIMIZED=FALSE&amp;creator=factset&amp;display_string=Audit"}</definedName>
    <definedName name="_3571__FDSAUDITLINK__" hidden="1">{"fdsup://Directions/FactSet Auditing Viewer?action=AUDIT_VALUE&amp;DB=129&amp;ID1=64118B10&amp;VALUEID=02001&amp;SDATE=200403&amp;PERIODTYPE=QTR_STD&amp;SCFT=3&amp;window=popup_no_bar&amp;width=385&amp;height=120&amp;START_MAXIMIZED=FALSE&amp;creator=factset&amp;display_string=Audit"}</definedName>
    <definedName name="_3572__FDSAUDITLINK__" hidden="1">{"fdsup://Directions/FactSet Auditing Viewer?action=AUDIT_VALUE&amp;DB=129&amp;ID1=64118B10&amp;VALUEID=02001&amp;SDATE=200403&amp;PERIODTYPE=QTR_STD&amp;SCFT=3&amp;window=popup_no_bar&amp;width=385&amp;height=120&amp;START_MAXIMIZED=FALSE&amp;creator=factset&amp;display_string=Audit"}</definedName>
    <definedName name="_3573__FDSAUDITLINK__" hidden="1">{"fdsup://Directions/FactSet Auditing Viewer?action=AUDIT_VALUE&amp;DB=129&amp;ID1=64118B10&amp;VALUEID=02001&amp;SDATE=200402&amp;PERIODTYPE=QTR_STD&amp;SCFT=3&amp;window=popup_no_bar&amp;width=385&amp;height=120&amp;START_MAXIMIZED=FALSE&amp;creator=factset&amp;display_string=Audit"}</definedName>
    <definedName name="_3574__FDSAUDITLINK__" hidden="1">{"fdsup://Directions/FactSet Auditing Viewer?action=AUDIT_VALUE&amp;DB=129&amp;ID1=64118B10&amp;VALUEID=02001&amp;SDATE=200402&amp;PERIODTYPE=QTR_STD&amp;SCFT=3&amp;window=popup_no_bar&amp;width=385&amp;height=120&amp;START_MAXIMIZED=FALSE&amp;creator=factset&amp;display_string=Audit"}</definedName>
    <definedName name="_3575__FDSAUDITLINK__" hidden="1">{"fdsup://Directions/FactSet Auditing Viewer?action=AUDIT_VALUE&amp;DB=129&amp;ID1=57772K10&amp;VALUEID=02001&amp;SDATE=200803&amp;PERIODTYPE=QTR_STD&amp;SCFT=3&amp;window=popup_no_bar&amp;width=385&amp;height=120&amp;START_MAXIMIZED=FALSE&amp;creator=factset&amp;display_string=Audit"}</definedName>
    <definedName name="_3576__FDSAUDITLINK__" hidden="1">{"fdsup://Directions/FactSet Auditing Viewer?action=AUDIT_VALUE&amp;DB=129&amp;ID1=57772K10&amp;VALUEID=02001&amp;SDATE=200803&amp;PERIODTYPE=QTR_STD&amp;SCFT=3&amp;window=popup_no_bar&amp;width=385&amp;height=120&amp;START_MAXIMIZED=FALSE&amp;creator=factset&amp;display_string=Audit"}</definedName>
    <definedName name="_3577__FDSAUDITLINK__" hidden="1">{"fdsup://Directions/FactSet Auditing Viewer?action=AUDIT_VALUE&amp;DB=129&amp;ID1=57772K10&amp;VALUEID=02001&amp;SDATE=200802&amp;PERIODTYPE=QTR_STD&amp;SCFT=3&amp;window=popup_no_bar&amp;width=385&amp;height=120&amp;START_MAXIMIZED=FALSE&amp;creator=factset&amp;display_string=Audit"}</definedName>
    <definedName name="_3578__FDSAUDITLINK__" hidden="1">{"fdsup://Directions/FactSet Auditing Viewer?action=AUDIT_VALUE&amp;DB=129&amp;ID1=57772K10&amp;VALUEID=02001&amp;SDATE=200802&amp;PERIODTYPE=QTR_STD&amp;SCFT=3&amp;window=popup_no_bar&amp;width=385&amp;height=120&amp;START_MAXIMIZED=FALSE&amp;creator=factset&amp;display_string=Audit"}</definedName>
    <definedName name="_3579__FDSAUDITLINK__" hidden="1">{"fdsup://Directions/FactSet Auditing Viewer?action=AUDIT_VALUE&amp;DB=129&amp;ID1=57772K10&amp;VALUEID=02001&amp;SDATE=200801&amp;PERIODTYPE=QTR_STD&amp;SCFT=3&amp;window=popup_no_bar&amp;width=385&amp;height=120&amp;START_MAXIMIZED=FALSE&amp;creator=factset&amp;display_string=Audit"}</definedName>
    <definedName name="_358__FDSAUDITLINK__" hidden="1">{"fdsup://Directions/FactSet Auditing Viewer?action=AUDIT_VALUE&amp;DB=129&amp;ID1=59511210&amp;VALUEID=02001&amp;SDATE=201004&amp;PERIODTYPE=QTR_STD&amp;SCFT=3&amp;window=popup_no_bar&amp;width=385&amp;height=120&amp;START_MAXIMIZED=FALSE&amp;creator=factset&amp;display_string=Audit"}</definedName>
    <definedName name="_3580__FDSAUDITLINK__" hidden="1">{"fdsup://Directions/FactSet Auditing Viewer?action=AUDIT_VALUE&amp;DB=129&amp;ID1=57772K10&amp;VALUEID=02001&amp;SDATE=200801&amp;PERIODTYPE=QTR_STD&amp;SCFT=3&amp;window=popup_no_bar&amp;width=385&amp;height=120&amp;START_MAXIMIZED=FALSE&amp;creator=factset&amp;display_string=Audit"}</definedName>
    <definedName name="_3581__FDSAUDITLINK__" hidden="1">{"fdsup://Directions/FactSet Auditing Viewer?action=AUDIT_VALUE&amp;DB=129&amp;ID1=57772K10&amp;VALUEID=02001&amp;SDATE=200703&amp;PERIODTYPE=QTR_STD&amp;SCFT=3&amp;window=popup_no_bar&amp;width=385&amp;height=120&amp;START_MAXIMIZED=FALSE&amp;creator=factset&amp;display_string=Audit"}</definedName>
    <definedName name="_3582__FDSAUDITLINK__" hidden="1">{"fdsup://Directions/FactSet Auditing Viewer?action=AUDIT_VALUE&amp;DB=129&amp;ID1=57772K10&amp;VALUEID=02001&amp;SDATE=200703&amp;PERIODTYPE=QTR_STD&amp;SCFT=3&amp;window=popup_no_bar&amp;width=385&amp;height=120&amp;START_MAXIMIZED=FALSE&amp;creator=factset&amp;display_string=Audit"}</definedName>
    <definedName name="_3583__FDSAUDITLINK__" hidden="1">{"fdsup://Directions/FactSet Auditing Viewer?action=AUDIT_VALUE&amp;DB=129&amp;ID1=57772K10&amp;VALUEID=02001&amp;SDATE=200702&amp;PERIODTYPE=QTR_STD&amp;SCFT=3&amp;window=popup_no_bar&amp;width=385&amp;height=120&amp;START_MAXIMIZED=FALSE&amp;creator=factset&amp;display_string=Audit"}</definedName>
    <definedName name="_3584__FDSAUDITLINK__" hidden="1">{"fdsup://Directions/FactSet Auditing Viewer?action=AUDIT_VALUE&amp;DB=129&amp;ID1=57772K10&amp;VALUEID=02001&amp;SDATE=200702&amp;PERIODTYPE=QTR_STD&amp;SCFT=3&amp;window=popup_no_bar&amp;width=385&amp;height=120&amp;START_MAXIMIZED=FALSE&amp;creator=factset&amp;display_string=Audit"}</definedName>
    <definedName name="_3585__FDSAUDITLINK__" hidden="1">{"fdsup://Directions/FactSet Auditing Viewer?action=AUDIT_VALUE&amp;DB=129&amp;ID1=57772K10&amp;VALUEID=02001&amp;SDATE=200701&amp;PERIODTYPE=QTR_STD&amp;SCFT=3&amp;window=popup_no_bar&amp;width=385&amp;height=120&amp;START_MAXIMIZED=FALSE&amp;creator=factset&amp;display_string=Audit"}</definedName>
    <definedName name="_3586__FDSAUDITLINK__" hidden="1">{"fdsup://Directions/FactSet Auditing Viewer?action=AUDIT_VALUE&amp;DB=129&amp;ID1=57772K10&amp;VALUEID=02001&amp;SDATE=200701&amp;PERIODTYPE=QTR_STD&amp;SCFT=3&amp;window=popup_no_bar&amp;width=385&amp;height=120&amp;START_MAXIMIZED=FALSE&amp;creator=factset&amp;display_string=Audit"}</definedName>
    <definedName name="_3587__FDSAUDITLINK__" hidden="1">{"fdsup://Directions/FactSet Auditing Viewer?action=AUDIT_VALUE&amp;DB=129&amp;ID1=57772K10&amp;VALUEID=02001&amp;SDATE=200603&amp;PERIODTYPE=QTR_STD&amp;SCFT=3&amp;window=popup_no_bar&amp;width=385&amp;height=120&amp;START_MAXIMIZED=FALSE&amp;creator=factset&amp;display_string=Audit"}</definedName>
    <definedName name="_3588__FDSAUDITLINK__" hidden="1">{"fdsup://Directions/FactSet Auditing Viewer?action=AUDIT_VALUE&amp;DB=129&amp;ID1=57772K10&amp;VALUEID=02001&amp;SDATE=200603&amp;PERIODTYPE=QTR_STD&amp;SCFT=3&amp;window=popup_no_bar&amp;width=385&amp;height=120&amp;START_MAXIMIZED=FALSE&amp;creator=factset&amp;display_string=Audit"}</definedName>
    <definedName name="_3589__FDSAUDITLINK__" hidden="1">{"fdsup://Directions/FactSet Auditing Viewer?action=AUDIT_VALUE&amp;DB=129&amp;ID1=57772K10&amp;VALUEID=02001&amp;SDATE=200602&amp;PERIODTYPE=QTR_STD&amp;SCFT=3&amp;window=popup_no_bar&amp;width=385&amp;height=120&amp;START_MAXIMIZED=FALSE&amp;creator=factset&amp;display_string=Audit"}</definedName>
    <definedName name="_359__FDSAUDITLINK__" hidden="1">{"fdsup://Directions/FactSet Auditing Viewer?action=AUDIT_VALUE&amp;DB=129&amp;ID1=59513710&amp;VALUEID=02001&amp;SDATE=201004&amp;PERIODTYPE=QTR_STD&amp;SCFT=3&amp;window=popup_no_bar&amp;width=385&amp;height=120&amp;START_MAXIMIZED=FALSE&amp;creator=factset&amp;display_string=Audit"}</definedName>
    <definedName name="_3590__FDSAUDITLINK__" hidden="1">{"fdsup://Directions/FactSet Auditing Viewer?action=AUDIT_VALUE&amp;DB=129&amp;ID1=57772K10&amp;VALUEID=02001&amp;SDATE=200602&amp;PERIODTYPE=QTR_STD&amp;SCFT=3&amp;window=popup_no_bar&amp;width=385&amp;height=120&amp;START_MAXIMIZED=FALSE&amp;creator=factset&amp;display_string=Audit"}</definedName>
    <definedName name="_3591__FDSAUDITLINK__" hidden="1">{"fdsup://Directions/FactSet Auditing Viewer?action=AUDIT_VALUE&amp;DB=129&amp;ID1=57772K10&amp;VALUEID=02001&amp;SDATE=200601&amp;PERIODTYPE=QTR_STD&amp;SCFT=3&amp;window=popup_no_bar&amp;width=385&amp;height=120&amp;START_MAXIMIZED=FALSE&amp;creator=factset&amp;display_string=Audit"}</definedName>
    <definedName name="_3592__FDSAUDITLINK__" hidden="1">{"fdsup://Directions/FactSet Auditing Viewer?action=AUDIT_VALUE&amp;DB=129&amp;ID1=57772K10&amp;VALUEID=02001&amp;SDATE=200601&amp;PERIODTYPE=QTR_STD&amp;SCFT=3&amp;window=popup_no_bar&amp;width=385&amp;height=120&amp;START_MAXIMIZED=FALSE&amp;creator=factset&amp;display_string=Audit"}</definedName>
    <definedName name="_3593__FDSAUDITLINK__" hidden="1">{"fdsup://Directions/FactSet Auditing Viewer?action=AUDIT_VALUE&amp;DB=129&amp;ID1=57772K10&amp;VALUEID=02001&amp;SDATE=200503&amp;PERIODTYPE=QTR_STD&amp;SCFT=3&amp;window=popup_no_bar&amp;width=385&amp;height=120&amp;START_MAXIMIZED=FALSE&amp;creator=factset&amp;display_string=Audit"}</definedName>
    <definedName name="_3594__FDSAUDITLINK__" hidden="1">{"fdsup://Directions/FactSet Auditing Viewer?action=AUDIT_VALUE&amp;DB=129&amp;ID1=57772K10&amp;VALUEID=02001&amp;SDATE=200503&amp;PERIODTYPE=QTR_STD&amp;SCFT=3&amp;window=popup_no_bar&amp;width=385&amp;height=120&amp;START_MAXIMIZED=FALSE&amp;creator=factset&amp;display_string=Audit"}</definedName>
    <definedName name="_3595__FDSAUDITLINK__" hidden="1">{"fdsup://Directions/FactSet Auditing Viewer?action=AUDIT_VALUE&amp;DB=129&amp;ID1=57772K10&amp;VALUEID=02001&amp;SDATE=200502&amp;PERIODTYPE=QTR_STD&amp;SCFT=3&amp;window=popup_no_bar&amp;width=385&amp;height=120&amp;START_MAXIMIZED=FALSE&amp;creator=factset&amp;display_string=Audit"}</definedName>
    <definedName name="_3596__FDSAUDITLINK__" hidden="1">{"fdsup://Directions/FactSet Auditing Viewer?action=AUDIT_VALUE&amp;DB=129&amp;ID1=57772K10&amp;VALUEID=02001&amp;SDATE=200502&amp;PERIODTYPE=QTR_STD&amp;SCFT=3&amp;window=popup_no_bar&amp;width=385&amp;height=120&amp;START_MAXIMIZED=FALSE&amp;creator=factset&amp;display_string=Audit"}</definedName>
    <definedName name="_3597__FDSAUDITLINK__" hidden="1">{"fdsup://Directions/FactSet Auditing Viewer?action=AUDIT_VALUE&amp;DB=129&amp;ID1=57772K10&amp;VALUEID=02001&amp;SDATE=200501&amp;PERIODTYPE=QTR_STD&amp;SCFT=3&amp;window=popup_no_bar&amp;width=385&amp;height=120&amp;START_MAXIMIZED=FALSE&amp;creator=factset&amp;display_string=Audit"}</definedName>
    <definedName name="_3598__FDSAUDITLINK__" hidden="1">{"fdsup://Directions/FactSet Auditing Viewer?action=AUDIT_VALUE&amp;DB=129&amp;ID1=57772K10&amp;VALUEID=02001&amp;SDATE=200501&amp;PERIODTYPE=QTR_STD&amp;SCFT=3&amp;window=popup_no_bar&amp;width=385&amp;height=120&amp;START_MAXIMIZED=FALSE&amp;creator=factset&amp;display_string=Audit"}</definedName>
    <definedName name="_3599__FDSAUDITLINK__" hidden="1">{"fdsup://Directions/FactSet Auditing Viewer?action=AUDIT_VALUE&amp;DB=129&amp;ID1=57772K10&amp;VALUEID=02001&amp;SDATE=200403&amp;PERIODTYPE=QTR_STD&amp;SCFT=3&amp;window=popup_no_bar&amp;width=385&amp;height=120&amp;START_MAXIMIZED=FALSE&amp;creator=factset&amp;display_string=Audit"}</definedName>
    <definedName name="_36__FDSAUDITLINK__" hidden="1">{"fdsup://directions/FAT Viewer?action=UPDATE&amp;creator=factset&amp;DYN_ARGS=TRUE&amp;DOC_NAME=FAT:FQL_AUDITING_CLIENT_TEMPLATE.FAT&amp;display_string=Audit&amp;VAR:KEY=OBCFUFCHWV&amp;VAR:QUERY=RkZfU0hTX0ZMT0FUKEFOTiw0MDg2Nik=&amp;WINDOW=FIRST_POPUP&amp;HEIGHT=450&amp;WIDTH=450&amp;START_MAXIMI","ZED=FALSE&amp;VAR:CALENDAR=US&amp;VAR:SYMBOL=LVS&amp;VAR:INDEX=0"}</definedName>
    <definedName name="_360__FDSAUDITLINK__" hidden="1">{"fdsup://Directions/FactSet Auditing Viewer?action=AUDIT_VALUE&amp;DB=129&amp;ID1=59513710&amp;VALUEID=02001&amp;SDATE=201004&amp;PERIODTYPE=QTR_STD&amp;SCFT=3&amp;window=popup_no_bar&amp;width=385&amp;height=120&amp;START_MAXIMIZED=FALSE&amp;creator=factset&amp;display_string=Audit"}</definedName>
    <definedName name="_3600__FDSAUDITLINK__" hidden="1">{"fdsup://Directions/FactSet Auditing Viewer?action=AUDIT_VALUE&amp;DB=129&amp;ID1=57772K10&amp;VALUEID=02001&amp;SDATE=200403&amp;PERIODTYPE=QTR_STD&amp;SCFT=3&amp;window=popup_no_bar&amp;width=385&amp;height=120&amp;START_MAXIMIZED=FALSE&amp;creator=factset&amp;display_string=Audit"}</definedName>
    <definedName name="_3601__FDSAUDITLINK__" hidden="1">{"fdsup://Directions/FactSet Auditing Viewer?action=AUDIT_VALUE&amp;DB=129&amp;ID1=59511210&amp;VALUEID=02001&amp;SDATE=200802&amp;PERIODTYPE=QTR_STD&amp;SCFT=3&amp;window=popup_no_bar&amp;width=385&amp;height=120&amp;START_MAXIMIZED=FALSE&amp;creator=factset&amp;display_string=Audit"}</definedName>
    <definedName name="_3602__FDSAUDITLINK__" hidden="1">{"fdsup://Directions/FactSet Auditing Viewer?action=AUDIT_VALUE&amp;DB=129&amp;ID1=59511210&amp;VALUEID=02001&amp;SDATE=200802&amp;PERIODTYPE=QTR_STD&amp;SCFT=3&amp;window=popup_no_bar&amp;width=385&amp;height=120&amp;START_MAXIMIZED=FALSE&amp;creator=factset&amp;display_string=Audit"}</definedName>
    <definedName name="_3603__FDSAUDITLINK__" hidden="1">{"fdsup://Directions/FactSet Auditing Viewer?action=AUDIT_VALUE&amp;DB=129&amp;ID1=59511210&amp;VALUEID=02001&amp;SDATE=200801&amp;PERIODTYPE=QTR_STD&amp;SCFT=3&amp;window=popup_no_bar&amp;width=385&amp;height=120&amp;START_MAXIMIZED=FALSE&amp;creator=factset&amp;display_string=Audit"}</definedName>
    <definedName name="_3604__FDSAUDITLINK__" hidden="1">{"fdsup://Directions/FactSet Auditing Viewer?action=AUDIT_VALUE&amp;DB=129&amp;ID1=59511210&amp;VALUEID=02001&amp;SDATE=200801&amp;PERIODTYPE=QTR_STD&amp;SCFT=3&amp;window=popup_no_bar&amp;width=385&amp;height=120&amp;START_MAXIMIZED=FALSE&amp;creator=factset&amp;display_string=Audit"}</definedName>
    <definedName name="_3605__FDSAUDITLINK__" hidden="1">{"fdsup://Directions/FactSet Auditing Viewer?action=AUDIT_VALUE&amp;DB=129&amp;ID1=59511210&amp;VALUEID=02001&amp;SDATE=200703&amp;PERIODTYPE=QTR_STD&amp;SCFT=3&amp;window=popup_no_bar&amp;width=385&amp;height=120&amp;START_MAXIMIZED=FALSE&amp;creator=factset&amp;display_string=Audit"}</definedName>
    <definedName name="_3606__FDSAUDITLINK__" hidden="1">{"fdsup://Directions/FactSet Auditing Viewer?action=AUDIT_VALUE&amp;DB=129&amp;ID1=59511210&amp;VALUEID=02001&amp;SDATE=200703&amp;PERIODTYPE=QTR_STD&amp;SCFT=3&amp;window=popup_no_bar&amp;width=385&amp;height=120&amp;START_MAXIMIZED=FALSE&amp;creator=factset&amp;display_string=Audit"}</definedName>
    <definedName name="_3607__FDSAUDITLINK__" hidden="1">{"fdsup://Directions/FactSet Auditing Viewer?action=AUDIT_VALUE&amp;DB=129&amp;ID1=59511210&amp;VALUEID=02001&amp;SDATE=200702&amp;PERIODTYPE=QTR_STD&amp;SCFT=3&amp;window=popup_no_bar&amp;width=385&amp;height=120&amp;START_MAXIMIZED=FALSE&amp;creator=factset&amp;display_string=Audit"}</definedName>
    <definedName name="_3608__FDSAUDITLINK__" hidden="1">{"fdsup://Directions/FactSet Auditing Viewer?action=AUDIT_VALUE&amp;DB=129&amp;ID1=59511210&amp;VALUEID=02001&amp;SDATE=200702&amp;PERIODTYPE=QTR_STD&amp;SCFT=3&amp;window=popup_no_bar&amp;width=385&amp;height=120&amp;START_MAXIMIZED=FALSE&amp;creator=factset&amp;display_string=Audit"}</definedName>
    <definedName name="_3609__FDSAUDITLINK__" hidden="1">{"fdsup://Directions/FactSet Auditing Viewer?action=AUDIT_VALUE&amp;DB=129&amp;ID1=59511210&amp;VALUEID=02001&amp;SDATE=200701&amp;PERIODTYPE=QTR_STD&amp;SCFT=3&amp;window=popup_no_bar&amp;width=385&amp;height=120&amp;START_MAXIMIZED=FALSE&amp;creator=factset&amp;display_string=Audit"}</definedName>
    <definedName name="_361__FDSAUDITLINK__" hidden="1">{"fdsup://Directions/FactSet Auditing Viewer?action=AUDIT_VALUE&amp;DB=129&amp;ID1=G5876H10&amp;VALUEID=02001&amp;SDATE=201003&amp;PERIODTYPE=QTR_STD&amp;SCFT=3&amp;window=popup_no_bar&amp;width=385&amp;height=120&amp;START_MAXIMIZED=FALSE&amp;creator=factset&amp;display_string=Audit"}</definedName>
    <definedName name="_3610__FDSAUDITLINK__" hidden="1">{"fdsup://Directions/FactSet Auditing Viewer?action=AUDIT_VALUE&amp;DB=129&amp;ID1=59511210&amp;VALUEID=02001&amp;SDATE=200701&amp;PERIODTYPE=QTR_STD&amp;SCFT=3&amp;window=popup_no_bar&amp;width=385&amp;height=120&amp;START_MAXIMIZED=FALSE&amp;creator=factset&amp;display_string=Audit"}</definedName>
    <definedName name="_3611__FDSAUDITLINK__" hidden="1">{"fdsup://Directions/FactSet Auditing Viewer?action=AUDIT_VALUE&amp;DB=129&amp;ID1=59511210&amp;VALUEID=02001&amp;SDATE=200603&amp;PERIODTYPE=QTR_STD&amp;SCFT=3&amp;window=popup_no_bar&amp;width=385&amp;height=120&amp;START_MAXIMIZED=FALSE&amp;creator=factset&amp;display_string=Audit"}</definedName>
    <definedName name="_3612__FDSAUDITLINK__" hidden="1">{"fdsup://Directions/FactSet Auditing Viewer?action=AUDIT_VALUE&amp;DB=129&amp;ID1=59511210&amp;VALUEID=02001&amp;SDATE=200603&amp;PERIODTYPE=QTR_STD&amp;SCFT=3&amp;window=popup_no_bar&amp;width=385&amp;height=120&amp;START_MAXIMIZED=FALSE&amp;creator=factset&amp;display_string=Audit"}</definedName>
    <definedName name="_3613__FDSAUDITLINK__" hidden="1">{"fdsup://Directions/FactSet Auditing Viewer?action=AUDIT_VALUE&amp;DB=129&amp;ID1=59511210&amp;VALUEID=02001&amp;SDATE=200602&amp;PERIODTYPE=QTR_STD&amp;SCFT=3&amp;window=popup_no_bar&amp;width=385&amp;height=120&amp;START_MAXIMIZED=FALSE&amp;creator=factset&amp;display_string=Audit"}</definedName>
    <definedName name="_3614__FDSAUDITLINK__" hidden="1">{"fdsup://Directions/FactSet Auditing Viewer?action=AUDIT_VALUE&amp;DB=129&amp;ID1=59511210&amp;VALUEID=02001&amp;SDATE=200602&amp;PERIODTYPE=QTR_STD&amp;SCFT=3&amp;window=popup_no_bar&amp;width=385&amp;height=120&amp;START_MAXIMIZED=FALSE&amp;creator=factset&amp;display_string=Audit"}</definedName>
    <definedName name="_3615__FDSAUDITLINK__" hidden="1">{"fdsup://Directions/FactSet Auditing Viewer?action=AUDIT_VALUE&amp;DB=129&amp;ID1=59511210&amp;VALUEID=02001&amp;SDATE=200601&amp;PERIODTYPE=QTR_STD&amp;SCFT=3&amp;window=popup_no_bar&amp;width=385&amp;height=120&amp;START_MAXIMIZED=FALSE&amp;creator=factset&amp;display_string=Audit"}</definedName>
    <definedName name="_3616__FDSAUDITLINK__" hidden="1">{"fdsup://Directions/FactSet Auditing Viewer?action=AUDIT_VALUE&amp;DB=129&amp;ID1=59511210&amp;VALUEID=02001&amp;SDATE=200601&amp;PERIODTYPE=QTR_STD&amp;SCFT=3&amp;window=popup_no_bar&amp;width=385&amp;height=120&amp;START_MAXIMIZED=FALSE&amp;creator=factset&amp;display_string=Audit"}</definedName>
    <definedName name="_3617__FDSAUDITLINK__" hidden="1">{"fdsup://Directions/FactSet Auditing Viewer?action=AUDIT_VALUE&amp;DB=129&amp;ID1=59511210&amp;VALUEID=02001&amp;SDATE=200503&amp;PERIODTYPE=QTR_STD&amp;SCFT=3&amp;window=popup_no_bar&amp;width=385&amp;height=120&amp;START_MAXIMIZED=FALSE&amp;creator=factset&amp;display_string=Audit"}</definedName>
    <definedName name="_3618__FDSAUDITLINK__" hidden="1">{"fdsup://Directions/FactSet Auditing Viewer?action=AUDIT_VALUE&amp;DB=129&amp;ID1=59511210&amp;VALUEID=02001&amp;SDATE=200503&amp;PERIODTYPE=QTR_STD&amp;SCFT=3&amp;window=popup_no_bar&amp;width=385&amp;height=120&amp;START_MAXIMIZED=FALSE&amp;creator=factset&amp;display_string=Audit"}</definedName>
    <definedName name="_3619__FDSAUDITLINK__" hidden="1">{"fdsup://Directions/FactSet Auditing Viewer?action=AUDIT_VALUE&amp;DB=129&amp;ID1=59511210&amp;VALUEID=02001&amp;SDATE=200502&amp;PERIODTYPE=QTR_STD&amp;SCFT=3&amp;window=popup_no_bar&amp;width=385&amp;height=120&amp;START_MAXIMIZED=FALSE&amp;creator=factset&amp;display_string=Audit"}</definedName>
    <definedName name="_362__FDSAUDITLINK__" hidden="1">{"fdsup://Directions/FactSet Auditing Viewer?action=AUDIT_VALUE&amp;DB=129&amp;ID1=G5876H10&amp;VALUEID=02001&amp;SDATE=201003&amp;PERIODTYPE=QTR_STD&amp;SCFT=3&amp;window=popup_no_bar&amp;width=385&amp;height=120&amp;START_MAXIMIZED=FALSE&amp;creator=factset&amp;display_string=Audit"}</definedName>
    <definedName name="_3620__FDSAUDITLINK__" hidden="1">{"fdsup://Directions/FactSet Auditing Viewer?action=AUDIT_VALUE&amp;DB=129&amp;ID1=59511210&amp;VALUEID=02001&amp;SDATE=200502&amp;PERIODTYPE=QTR_STD&amp;SCFT=3&amp;window=popup_no_bar&amp;width=385&amp;height=120&amp;START_MAXIMIZED=FALSE&amp;creator=factset&amp;display_string=Audit"}</definedName>
    <definedName name="_3621__FDSAUDITLINK__" hidden="1">{"fdsup://Directions/FactSet Auditing Viewer?action=AUDIT_VALUE&amp;DB=129&amp;ID1=59511210&amp;VALUEID=02001&amp;SDATE=200501&amp;PERIODTYPE=QTR_STD&amp;SCFT=3&amp;window=popup_no_bar&amp;width=385&amp;height=120&amp;START_MAXIMIZED=FALSE&amp;creator=factset&amp;display_string=Audit"}</definedName>
    <definedName name="_3622__FDSAUDITLINK__" hidden="1">{"fdsup://Directions/FactSet Auditing Viewer?action=AUDIT_VALUE&amp;DB=129&amp;ID1=59511210&amp;VALUEID=02001&amp;SDATE=200501&amp;PERIODTYPE=QTR_STD&amp;SCFT=3&amp;window=popup_no_bar&amp;width=385&amp;height=120&amp;START_MAXIMIZED=FALSE&amp;creator=factset&amp;display_string=Audit"}</definedName>
    <definedName name="_3623__FDSAUDITLINK__" hidden="1">{"fdsup://Directions/FactSet Auditing Viewer?action=AUDIT_VALUE&amp;DB=129&amp;ID1=59511210&amp;VALUEID=02001&amp;SDATE=200403&amp;PERIODTYPE=QTR_STD&amp;SCFT=3&amp;window=popup_no_bar&amp;width=385&amp;height=120&amp;START_MAXIMIZED=FALSE&amp;creator=factset&amp;display_string=Audit"}</definedName>
    <definedName name="_3624__FDSAUDITLINK__" hidden="1">{"fdsup://Directions/FactSet Auditing Viewer?action=AUDIT_VALUE&amp;DB=129&amp;ID1=59511210&amp;VALUEID=02001&amp;SDATE=200403&amp;PERIODTYPE=QTR_STD&amp;SCFT=3&amp;window=popup_no_bar&amp;width=385&amp;height=120&amp;START_MAXIMIZED=FALSE&amp;creator=factset&amp;display_string=Audit"}</definedName>
    <definedName name="_3625__FDSAUDITLINK__" hidden="1">{"fdsup://Directions/FactSet Auditing Viewer?action=AUDIT_VALUE&amp;DB=129&amp;ID1=59511210&amp;VALUEID=02001&amp;SDATE=200402&amp;PERIODTYPE=QTR_STD&amp;SCFT=3&amp;window=popup_no_bar&amp;width=385&amp;height=120&amp;START_MAXIMIZED=FALSE&amp;creator=factset&amp;display_string=Audit"}</definedName>
    <definedName name="_3626__FDSAUDITLINK__" hidden="1">{"fdsup://Directions/FactSet Auditing Viewer?action=AUDIT_VALUE&amp;DB=129&amp;ID1=59511210&amp;VALUEID=02001&amp;SDATE=200402&amp;PERIODTYPE=QTR_STD&amp;SCFT=3&amp;window=popup_no_bar&amp;width=385&amp;height=120&amp;START_MAXIMIZED=FALSE&amp;creator=factset&amp;display_string=Audit"}</definedName>
    <definedName name="_3627__FDSAUDITLINK__" hidden="1">{"fdsup://Directions/FactSet Auditing Viewer?action=AUDIT_VALUE&amp;DB=129&amp;ID1=59513710&amp;VALUEID=02001&amp;SDATE=200802&amp;PERIODTYPE=QTR_STD&amp;SCFT=3&amp;window=popup_no_bar&amp;width=385&amp;height=120&amp;START_MAXIMIZED=FALSE&amp;creator=factset&amp;display_string=Audit"}</definedName>
    <definedName name="_3628__FDSAUDITLINK__" hidden="1">{"fdsup://Directions/FactSet Auditing Viewer?action=AUDIT_VALUE&amp;DB=129&amp;ID1=59513710&amp;VALUEID=02001&amp;SDATE=200802&amp;PERIODTYPE=QTR_STD&amp;SCFT=3&amp;window=popup_no_bar&amp;width=385&amp;height=120&amp;START_MAXIMIZED=FALSE&amp;creator=factset&amp;display_string=Audit"}</definedName>
    <definedName name="_3629__FDSAUDITLINK__" hidden="1">{"fdsup://Directions/FactSet Auditing Viewer?action=AUDIT_VALUE&amp;DB=129&amp;ID1=59513710&amp;VALUEID=02001&amp;SDATE=200801&amp;PERIODTYPE=QTR_STD&amp;SCFT=3&amp;window=popup_no_bar&amp;width=385&amp;height=120&amp;START_MAXIMIZED=FALSE&amp;creator=factset&amp;display_string=Audit"}</definedName>
    <definedName name="_363__FDSAUDITLINK__" hidden="1">{"fdsup://Directions/FactSet Auditing Viewer?action=AUDIT_VALUE&amp;DB=129&amp;ID1=62007630&amp;VALUEID=02001&amp;SDATE=201003&amp;PERIODTYPE=QTR_STD&amp;SCFT=3&amp;window=popup_no_bar&amp;width=385&amp;height=120&amp;START_MAXIMIZED=FALSE&amp;creator=factset&amp;display_string=Audit"}</definedName>
    <definedName name="_3630__FDSAUDITLINK__" hidden="1">{"fdsup://Directions/FactSet Auditing Viewer?action=AUDIT_VALUE&amp;DB=129&amp;ID1=59513710&amp;VALUEID=02001&amp;SDATE=200801&amp;PERIODTYPE=QTR_STD&amp;SCFT=3&amp;window=popup_no_bar&amp;width=385&amp;height=120&amp;START_MAXIMIZED=FALSE&amp;creator=factset&amp;display_string=Audit"}</definedName>
    <definedName name="_3631__FDSAUDITLINK__" hidden="1">{"fdsup://Directions/FactSet Auditing Viewer?action=AUDIT_VALUE&amp;DB=129&amp;ID1=59513710&amp;VALUEID=02001&amp;SDATE=200703&amp;PERIODTYPE=QTR_STD&amp;SCFT=3&amp;window=popup_no_bar&amp;width=385&amp;height=120&amp;START_MAXIMIZED=FALSE&amp;creator=factset&amp;display_string=Audit"}</definedName>
    <definedName name="_3632__FDSAUDITLINK__" hidden="1">{"fdsup://Directions/FactSet Auditing Viewer?action=AUDIT_VALUE&amp;DB=129&amp;ID1=59513710&amp;VALUEID=02001&amp;SDATE=200703&amp;PERIODTYPE=QTR_STD&amp;SCFT=3&amp;window=popup_no_bar&amp;width=385&amp;height=120&amp;START_MAXIMIZED=FALSE&amp;creator=factset&amp;display_string=Audit"}</definedName>
    <definedName name="_3633__FDSAUDITLINK__" hidden="1">{"fdsup://Directions/FactSet Auditing Viewer?action=AUDIT_VALUE&amp;DB=129&amp;ID1=59513710&amp;VALUEID=02001&amp;SDATE=200702&amp;PERIODTYPE=QTR_STD&amp;SCFT=3&amp;window=popup_no_bar&amp;width=385&amp;height=120&amp;START_MAXIMIZED=FALSE&amp;creator=factset&amp;display_string=Audit"}</definedName>
    <definedName name="_3634__FDSAUDITLINK__" hidden="1">{"fdsup://Directions/FactSet Auditing Viewer?action=AUDIT_VALUE&amp;DB=129&amp;ID1=59513710&amp;VALUEID=02001&amp;SDATE=200702&amp;PERIODTYPE=QTR_STD&amp;SCFT=3&amp;window=popup_no_bar&amp;width=385&amp;height=120&amp;START_MAXIMIZED=FALSE&amp;creator=factset&amp;display_string=Audit"}</definedName>
    <definedName name="_3635__FDSAUDITLINK__" hidden="1">{"fdsup://Directions/FactSet Auditing Viewer?action=AUDIT_VALUE&amp;DB=129&amp;ID1=59513710&amp;VALUEID=02001&amp;SDATE=200701&amp;PERIODTYPE=QTR_STD&amp;SCFT=3&amp;window=popup_no_bar&amp;width=385&amp;height=120&amp;START_MAXIMIZED=FALSE&amp;creator=factset&amp;display_string=Audit"}</definedName>
    <definedName name="_3636__FDSAUDITLINK__" hidden="1">{"fdsup://Directions/FactSet Auditing Viewer?action=AUDIT_VALUE&amp;DB=129&amp;ID1=59513710&amp;VALUEID=02001&amp;SDATE=200701&amp;PERIODTYPE=QTR_STD&amp;SCFT=3&amp;window=popup_no_bar&amp;width=385&amp;height=120&amp;START_MAXIMIZED=FALSE&amp;creator=factset&amp;display_string=Audit"}</definedName>
    <definedName name="_3637__FDSAUDITLINK__" hidden="1">{"fdsup://Directions/FactSet Auditing Viewer?action=AUDIT_VALUE&amp;DB=129&amp;ID1=59513710&amp;VALUEID=02001&amp;SDATE=200603&amp;PERIODTYPE=QTR_STD&amp;SCFT=3&amp;window=popup_no_bar&amp;width=385&amp;height=120&amp;START_MAXIMIZED=FALSE&amp;creator=factset&amp;display_string=Audit"}</definedName>
    <definedName name="_3638__FDSAUDITLINK__" hidden="1">{"fdsup://Directions/FactSet Auditing Viewer?action=AUDIT_VALUE&amp;DB=129&amp;ID1=59513710&amp;VALUEID=02001&amp;SDATE=200603&amp;PERIODTYPE=QTR_STD&amp;SCFT=3&amp;window=popup_no_bar&amp;width=385&amp;height=120&amp;START_MAXIMIZED=FALSE&amp;creator=factset&amp;display_string=Audit"}</definedName>
    <definedName name="_3639__FDSAUDITLINK__" hidden="1">{"fdsup://Directions/FactSet Auditing Viewer?action=AUDIT_VALUE&amp;DB=129&amp;ID1=59513710&amp;VALUEID=02001&amp;SDATE=200602&amp;PERIODTYPE=QTR_STD&amp;SCFT=3&amp;window=popup_no_bar&amp;width=385&amp;height=120&amp;START_MAXIMIZED=FALSE&amp;creator=factset&amp;display_string=Audit"}</definedName>
    <definedName name="_364__FDSAUDITLINK__" hidden="1">{"fdsup://Directions/FactSet Auditing Viewer?action=AUDIT_VALUE&amp;DB=129&amp;ID1=62007630&amp;VALUEID=02001&amp;SDATE=201003&amp;PERIODTYPE=QTR_STD&amp;SCFT=3&amp;window=popup_no_bar&amp;width=385&amp;height=120&amp;START_MAXIMIZED=FALSE&amp;creator=factset&amp;display_string=Audit"}</definedName>
    <definedName name="_3640__FDSAUDITLINK__" hidden="1">{"fdsup://Directions/FactSet Auditing Viewer?action=AUDIT_VALUE&amp;DB=129&amp;ID1=59513710&amp;VALUEID=02001&amp;SDATE=200602&amp;PERIODTYPE=QTR_STD&amp;SCFT=3&amp;window=popup_no_bar&amp;width=385&amp;height=120&amp;START_MAXIMIZED=FALSE&amp;creator=factset&amp;display_string=Audit"}</definedName>
    <definedName name="_3641__FDSAUDITLINK__" hidden="1">{"fdsup://Directions/FactSet Auditing Viewer?action=AUDIT_VALUE&amp;DB=129&amp;ID1=59513710&amp;VALUEID=02001&amp;SDATE=200601&amp;PERIODTYPE=QTR_STD&amp;SCFT=3&amp;window=popup_no_bar&amp;width=385&amp;height=120&amp;START_MAXIMIZED=FALSE&amp;creator=factset&amp;display_string=Audit"}</definedName>
    <definedName name="_3642__FDSAUDITLINK__" hidden="1">{"fdsup://Directions/FactSet Auditing Viewer?action=AUDIT_VALUE&amp;DB=129&amp;ID1=59513710&amp;VALUEID=02001&amp;SDATE=200601&amp;PERIODTYPE=QTR_STD&amp;SCFT=3&amp;window=popup_no_bar&amp;width=385&amp;height=120&amp;START_MAXIMIZED=FALSE&amp;creator=factset&amp;display_string=Audit"}</definedName>
    <definedName name="_3643__FDSAUDITLINK__" hidden="1">{"fdsup://Directions/FactSet Auditing Viewer?action=AUDIT_VALUE&amp;DB=129&amp;ID1=59513710&amp;VALUEID=02001&amp;SDATE=200503&amp;PERIODTYPE=QTR_STD&amp;SCFT=3&amp;window=popup_no_bar&amp;width=385&amp;height=120&amp;START_MAXIMIZED=FALSE&amp;creator=factset&amp;display_string=Audit"}</definedName>
    <definedName name="_3644__FDSAUDITLINK__" hidden="1">{"fdsup://Directions/FactSet Auditing Viewer?action=AUDIT_VALUE&amp;DB=129&amp;ID1=59513710&amp;VALUEID=02001&amp;SDATE=200503&amp;PERIODTYPE=QTR_STD&amp;SCFT=3&amp;window=popup_no_bar&amp;width=385&amp;height=120&amp;START_MAXIMIZED=FALSE&amp;creator=factset&amp;display_string=Audit"}</definedName>
    <definedName name="_3645__FDSAUDITLINK__" hidden="1">{"fdsup://Directions/FactSet Auditing Viewer?action=AUDIT_VALUE&amp;DB=129&amp;ID1=59513710&amp;VALUEID=02001&amp;SDATE=200502&amp;PERIODTYPE=QTR_STD&amp;SCFT=3&amp;window=popup_no_bar&amp;width=385&amp;height=120&amp;START_MAXIMIZED=FALSE&amp;creator=factset&amp;display_string=Audit"}</definedName>
    <definedName name="_3646__FDSAUDITLINK__" hidden="1">{"fdsup://Directions/FactSet Auditing Viewer?action=AUDIT_VALUE&amp;DB=129&amp;ID1=59513710&amp;VALUEID=02001&amp;SDATE=200502&amp;PERIODTYPE=QTR_STD&amp;SCFT=3&amp;window=popup_no_bar&amp;width=385&amp;height=120&amp;START_MAXIMIZED=FALSE&amp;creator=factset&amp;display_string=Audit"}</definedName>
    <definedName name="_3647__FDSAUDITLINK__" hidden="1">{"fdsup://Directions/FactSet Auditing Viewer?action=AUDIT_VALUE&amp;DB=129&amp;ID1=59513710&amp;VALUEID=02001&amp;SDATE=200501&amp;PERIODTYPE=QTR_STD&amp;SCFT=3&amp;window=popup_no_bar&amp;width=385&amp;height=120&amp;START_MAXIMIZED=FALSE&amp;creator=factset&amp;display_string=Audit"}</definedName>
    <definedName name="_3648__FDSAUDITLINK__" hidden="1">{"fdsup://Directions/FactSet Auditing Viewer?action=AUDIT_VALUE&amp;DB=129&amp;ID1=59513710&amp;VALUEID=02001&amp;SDATE=200501&amp;PERIODTYPE=QTR_STD&amp;SCFT=3&amp;window=popup_no_bar&amp;width=385&amp;height=120&amp;START_MAXIMIZED=FALSE&amp;creator=factset&amp;display_string=Audit"}</definedName>
    <definedName name="_3649__FDSAUDITLINK__" hidden="1">{"fdsup://Directions/FactSet Auditing Viewer?action=AUDIT_VALUE&amp;DB=129&amp;ID1=59513710&amp;VALUEID=02001&amp;SDATE=200403&amp;PERIODTYPE=QTR_STD&amp;SCFT=3&amp;window=popup_no_bar&amp;width=385&amp;height=120&amp;START_MAXIMIZED=FALSE&amp;creator=factset&amp;display_string=Audit"}</definedName>
    <definedName name="_365__FDSAUDITLINK__" hidden="1">{"fdsup://Directions/FactSet Auditing Viewer?action=AUDIT_VALUE&amp;DB=129&amp;ID1=60456710&amp;VALUEID=02001&amp;SDATE=201101&amp;PERIODTYPE=QTR_STD&amp;SCFT=3&amp;window=popup_no_bar&amp;width=385&amp;height=120&amp;START_MAXIMIZED=FALSE&amp;creator=factset&amp;display_string=Audit"}</definedName>
    <definedName name="_3650__FDSAUDITLINK__" hidden="1">{"fdsup://Directions/FactSet Auditing Viewer?action=AUDIT_VALUE&amp;DB=129&amp;ID1=59513710&amp;VALUEID=02001&amp;SDATE=200403&amp;PERIODTYPE=QTR_STD&amp;SCFT=3&amp;window=popup_no_bar&amp;width=385&amp;height=120&amp;START_MAXIMIZED=FALSE&amp;creator=factset&amp;display_string=Audit"}</definedName>
    <definedName name="_3651__FDSAUDITLINK__" hidden="1">{"fdsup://Directions/FactSet Auditing Viewer?action=AUDIT_VALUE&amp;DB=129&amp;ID1=59513710&amp;VALUEID=02001&amp;SDATE=200402&amp;PERIODTYPE=QTR_STD&amp;SCFT=3&amp;window=popup_no_bar&amp;width=385&amp;height=120&amp;START_MAXIMIZED=FALSE&amp;creator=factset&amp;display_string=Audit"}</definedName>
    <definedName name="_3652__FDSAUDITLINK__" hidden="1">{"fdsup://Directions/FactSet Auditing Viewer?action=AUDIT_VALUE&amp;DB=129&amp;ID1=59513710&amp;VALUEID=02001&amp;SDATE=200402&amp;PERIODTYPE=QTR_STD&amp;SCFT=3&amp;window=popup_no_bar&amp;width=385&amp;height=120&amp;START_MAXIMIZED=FALSE&amp;creator=factset&amp;display_string=Audit"}</definedName>
    <definedName name="_3653__FDSAUDITLINK__" hidden="1">{"fdsup://Directions/FactSet Auditing Viewer?action=AUDIT_VALUE&amp;DB=129&amp;ID1=G5876H10&amp;VALUEID=02001&amp;SDATE=200801&amp;PERIODTYPE=QTR_STD&amp;SCFT=3&amp;window=popup_no_bar&amp;width=385&amp;height=120&amp;START_MAXIMIZED=FALSE&amp;creator=factset&amp;display_string=Audit"}</definedName>
    <definedName name="_3654__FDSAUDITLINK__" hidden="1">{"fdsup://Directions/FactSet Auditing Viewer?action=AUDIT_VALUE&amp;DB=129&amp;ID1=G5876H10&amp;VALUEID=02001&amp;SDATE=200801&amp;PERIODTYPE=QTR_STD&amp;SCFT=3&amp;window=popup_no_bar&amp;width=385&amp;height=120&amp;START_MAXIMIZED=FALSE&amp;creator=factset&amp;display_string=Audit"}</definedName>
    <definedName name="_3655__FDSAUDITLINK__" hidden="1">{"fdsup://Directions/FactSet Auditing Viewer?action=AUDIT_VALUE&amp;DB=129&amp;ID1=G5876H10&amp;VALUEID=02001&amp;SDATE=200703&amp;PERIODTYPE=QTR_STD&amp;SCFT=3&amp;window=popup_no_bar&amp;width=385&amp;height=120&amp;START_MAXIMIZED=FALSE&amp;creator=factset&amp;display_string=Audit"}</definedName>
    <definedName name="_3656__FDSAUDITLINK__" hidden="1">{"fdsup://Directions/FactSet Auditing Viewer?action=AUDIT_VALUE&amp;DB=129&amp;ID1=G5876H10&amp;VALUEID=02001&amp;SDATE=200703&amp;PERIODTYPE=QTR_STD&amp;SCFT=3&amp;window=popup_no_bar&amp;width=385&amp;height=120&amp;START_MAXIMIZED=FALSE&amp;creator=factset&amp;display_string=Audit"}</definedName>
    <definedName name="_3657__FDSAUDITLINK__" hidden="1">{"fdsup://Directions/FactSet Auditing Viewer?action=AUDIT_VALUE&amp;DB=129&amp;ID1=G5876H10&amp;VALUEID=02001&amp;SDATE=200702&amp;PERIODTYPE=QTR_STD&amp;SCFT=3&amp;window=popup_no_bar&amp;width=385&amp;height=120&amp;START_MAXIMIZED=FALSE&amp;creator=factset&amp;display_string=Audit"}</definedName>
    <definedName name="_3658__FDSAUDITLINK__" hidden="1">{"fdsup://Directions/FactSet Auditing Viewer?action=AUDIT_VALUE&amp;DB=129&amp;ID1=G5876H10&amp;VALUEID=02001&amp;SDATE=200702&amp;PERIODTYPE=QTR_STD&amp;SCFT=3&amp;window=popup_no_bar&amp;width=385&amp;height=120&amp;START_MAXIMIZED=FALSE&amp;creator=factset&amp;display_string=Audit"}</definedName>
    <definedName name="_3659__FDSAUDITLINK__" hidden="1">{"fdsup://Directions/FactSet Auditing Viewer?action=AUDIT_VALUE&amp;DB=129&amp;ID1=G5876H10&amp;VALUEID=02001&amp;SDATE=200701&amp;PERIODTYPE=QTR_STD&amp;SCFT=3&amp;window=popup_no_bar&amp;width=385&amp;height=120&amp;START_MAXIMIZED=FALSE&amp;creator=factset&amp;display_string=Audit"}</definedName>
    <definedName name="_366__FDSAUDITLINK__" hidden="1">{"fdsup://Directions/FactSet Auditing Viewer?action=AUDIT_VALUE&amp;DB=129&amp;ID1=60456710&amp;VALUEID=02001&amp;SDATE=201101&amp;PERIODTYPE=QTR_STD&amp;SCFT=3&amp;window=popup_no_bar&amp;width=385&amp;height=120&amp;START_MAXIMIZED=FALSE&amp;creator=factset&amp;display_string=Audit"}</definedName>
    <definedName name="_3660__FDSAUDITLINK__" hidden="1">{"fdsup://Directions/FactSet Auditing Viewer?action=AUDIT_VALUE&amp;DB=129&amp;ID1=G5876H10&amp;VALUEID=02001&amp;SDATE=200701&amp;PERIODTYPE=QTR_STD&amp;SCFT=3&amp;window=popup_no_bar&amp;width=385&amp;height=120&amp;START_MAXIMIZED=FALSE&amp;creator=factset&amp;display_string=Audit"}</definedName>
    <definedName name="_3661__FDSAUDITLINK__" hidden="1">{"fdsup://Directions/FactSet Auditing Viewer?action=AUDIT_VALUE&amp;DB=129&amp;ID1=G5876H10&amp;VALUEID=02001&amp;SDATE=200603&amp;PERIODTYPE=QTR_STD&amp;SCFT=3&amp;window=popup_no_bar&amp;width=385&amp;height=120&amp;START_MAXIMIZED=FALSE&amp;creator=factset&amp;display_string=Audit"}</definedName>
    <definedName name="_3662__FDSAUDITLINK__" hidden="1">{"fdsup://Directions/FactSet Auditing Viewer?action=AUDIT_VALUE&amp;DB=129&amp;ID1=G5876H10&amp;VALUEID=02001&amp;SDATE=200603&amp;PERIODTYPE=QTR_STD&amp;SCFT=3&amp;window=popup_no_bar&amp;width=385&amp;height=120&amp;START_MAXIMIZED=FALSE&amp;creator=factset&amp;display_string=Audit"}</definedName>
    <definedName name="_3663__FDSAUDITLINK__" hidden="1">{"fdsup://Directions/FactSet Auditing Viewer?action=AUDIT_VALUE&amp;DB=129&amp;ID1=G5876H10&amp;VALUEID=02001&amp;SDATE=200602&amp;PERIODTYPE=QTR_STD&amp;SCFT=3&amp;window=popup_no_bar&amp;width=385&amp;height=120&amp;START_MAXIMIZED=FALSE&amp;creator=factset&amp;display_string=Audit"}</definedName>
    <definedName name="_3664__FDSAUDITLINK__" hidden="1">{"fdsup://Directions/FactSet Auditing Viewer?action=AUDIT_VALUE&amp;DB=129&amp;ID1=G5876H10&amp;VALUEID=02001&amp;SDATE=200602&amp;PERIODTYPE=QTR_STD&amp;SCFT=3&amp;window=popup_no_bar&amp;width=385&amp;height=120&amp;START_MAXIMIZED=FALSE&amp;creator=factset&amp;display_string=Audit"}</definedName>
    <definedName name="_3665__FDSAUDITLINK__" hidden="1">{"fdsup://Directions/FactSet Auditing Viewer?action=AUDIT_VALUE&amp;DB=129&amp;ID1=G5876H10&amp;VALUEID=02001&amp;SDATE=200601&amp;PERIODTYPE=QTR_STD&amp;SCFT=3&amp;window=popup_no_bar&amp;width=385&amp;height=120&amp;START_MAXIMIZED=FALSE&amp;creator=factset&amp;display_string=Audit"}</definedName>
    <definedName name="_3666__FDSAUDITLINK__" hidden="1">{"fdsup://Directions/FactSet Auditing Viewer?action=AUDIT_VALUE&amp;DB=129&amp;ID1=G5876H10&amp;VALUEID=02001&amp;SDATE=200601&amp;PERIODTYPE=QTR_STD&amp;SCFT=3&amp;window=popup_no_bar&amp;width=385&amp;height=120&amp;START_MAXIMIZED=FALSE&amp;creator=factset&amp;display_string=Audit"}</definedName>
    <definedName name="_3667__FDSAUDITLINK__" hidden="1">{"fdsup://Directions/FactSet Auditing Viewer?action=AUDIT_VALUE&amp;DB=129&amp;ID1=G5876H10&amp;VALUEID=02001&amp;SDATE=200503&amp;PERIODTYPE=QTR_STD&amp;SCFT=3&amp;window=popup_no_bar&amp;width=385&amp;height=120&amp;START_MAXIMIZED=FALSE&amp;creator=factset&amp;display_string=Audit"}</definedName>
    <definedName name="_3668__FDSAUDITLINK__" hidden="1">{"fdsup://Directions/FactSet Auditing Viewer?action=AUDIT_VALUE&amp;DB=129&amp;ID1=G5876H10&amp;VALUEID=02001&amp;SDATE=200503&amp;PERIODTYPE=QTR_STD&amp;SCFT=3&amp;window=popup_no_bar&amp;width=385&amp;height=120&amp;START_MAXIMIZED=FALSE&amp;creator=factset&amp;display_string=Audit"}</definedName>
    <definedName name="_3669__FDSAUDITLINK__" hidden="1">{"fdsup://Directions/FactSet Auditing Viewer?action=AUDIT_VALUE&amp;DB=129&amp;ID1=G5876H10&amp;VALUEID=02001&amp;SDATE=200502&amp;PERIODTYPE=QTR_STD&amp;SCFT=3&amp;window=popup_no_bar&amp;width=385&amp;height=120&amp;START_MAXIMIZED=FALSE&amp;creator=factset&amp;display_string=Audit"}</definedName>
    <definedName name="_367__FDSAUDITLINK__" hidden="1">{"fdsup://Directions/FactSet Auditing Viewer?action=AUDIT_VALUE&amp;DB=129&amp;ID1=59479310&amp;VALUEID=02001&amp;SDATE=201003&amp;PERIODTYPE=QTR_STD&amp;SCFT=3&amp;window=popup_no_bar&amp;width=385&amp;height=120&amp;START_MAXIMIZED=FALSE&amp;creator=factset&amp;display_string=Audit"}</definedName>
    <definedName name="_3670__FDSAUDITLINK__" hidden="1">{"fdsup://Directions/FactSet Auditing Viewer?action=AUDIT_VALUE&amp;DB=129&amp;ID1=G5876H10&amp;VALUEID=02001&amp;SDATE=200502&amp;PERIODTYPE=QTR_STD&amp;SCFT=3&amp;window=popup_no_bar&amp;width=385&amp;height=120&amp;START_MAXIMIZED=FALSE&amp;creator=factset&amp;display_string=Audit"}</definedName>
    <definedName name="_3671__FDSAUDITLINK__" hidden="1">{"fdsup://Directions/FactSet Auditing Viewer?action=AUDIT_VALUE&amp;DB=129&amp;ID1=G5876H10&amp;VALUEID=02001&amp;SDATE=200501&amp;PERIODTYPE=QTR_STD&amp;SCFT=3&amp;window=popup_no_bar&amp;width=385&amp;height=120&amp;START_MAXIMIZED=FALSE&amp;creator=factset&amp;display_string=Audit"}</definedName>
    <definedName name="_3672__FDSAUDITLINK__" hidden="1">{"fdsup://Directions/FactSet Auditing Viewer?action=AUDIT_VALUE&amp;DB=129&amp;ID1=G5876H10&amp;VALUEID=02001&amp;SDATE=200501&amp;PERIODTYPE=QTR_STD&amp;SCFT=3&amp;window=popup_no_bar&amp;width=385&amp;height=120&amp;START_MAXIMIZED=FALSE&amp;creator=factset&amp;display_string=Audit"}</definedName>
    <definedName name="_3673__FDSAUDITLINK__" hidden="1">{"fdsup://Directions/FactSet Auditing Viewer?action=AUDIT_VALUE&amp;DB=129&amp;ID1=G5876H10&amp;VALUEID=02001&amp;SDATE=200403&amp;PERIODTYPE=QTR_STD&amp;SCFT=3&amp;window=popup_no_bar&amp;width=385&amp;height=120&amp;START_MAXIMIZED=FALSE&amp;creator=factset&amp;display_string=Audit"}</definedName>
    <definedName name="_3674__FDSAUDITLINK__" hidden="1">{"fdsup://Directions/FactSet Auditing Viewer?action=AUDIT_VALUE&amp;DB=129&amp;ID1=G5876H10&amp;VALUEID=02001&amp;SDATE=200403&amp;PERIODTYPE=QTR_STD&amp;SCFT=3&amp;window=popup_no_bar&amp;width=385&amp;height=120&amp;START_MAXIMIZED=FALSE&amp;creator=factset&amp;display_string=Audit"}</definedName>
    <definedName name="_3675__FDSAUDITLINK__" hidden="1">{"fdsup://Directions/FactSet Auditing Viewer?action=AUDIT_VALUE&amp;DB=129&amp;ID1=G5876H10&amp;VALUEID=02001&amp;SDATE=200402&amp;PERIODTYPE=QTR_STD&amp;SCFT=3&amp;window=popup_no_bar&amp;width=385&amp;height=120&amp;START_MAXIMIZED=FALSE&amp;creator=factset&amp;display_string=Audit"}</definedName>
    <definedName name="_3676__FDSAUDITLINK__" hidden="1">{"fdsup://Directions/FactSet Auditing Viewer?action=AUDIT_VALUE&amp;DB=129&amp;ID1=G5876H10&amp;VALUEID=02001&amp;SDATE=200402&amp;PERIODTYPE=QTR_STD&amp;SCFT=3&amp;window=popup_no_bar&amp;width=385&amp;height=120&amp;START_MAXIMIZED=FALSE&amp;creator=factset&amp;display_string=Audit"}</definedName>
    <definedName name="_3677__FDSAUDITLINK__" hidden="1">{"fdsup://Directions/FactSet Auditing Viewer?action=AUDIT_VALUE&amp;DB=129&amp;ID1=G5876H10&amp;VALUEID=02001&amp;SDATE=200401&amp;PERIODTYPE=QTR_STD&amp;SCFT=3&amp;window=popup_no_bar&amp;width=385&amp;height=120&amp;START_MAXIMIZED=FALSE&amp;creator=factset&amp;display_string=Audit"}</definedName>
    <definedName name="_3678__FDSAUDITLINK__" hidden="1">{"fdsup://Directions/FactSet Auditing Viewer?action=AUDIT_VALUE&amp;DB=129&amp;ID1=G5876H10&amp;VALUEID=02001&amp;SDATE=200401&amp;PERIODTYPE=QTR_STD&amp;SCFT=3&amp;window=popup_no_bar&amp;width=385&amp;height=120&amp;START_MAXIMIZED=FALSE&amp;creator=factset&amp;display_string=Audit"}</definedName>
    <definedName name="_3679__FDSAUDITLINK__" hidden="1">{"fdsup://Directions/FactSet Auditing Viewer?action=AUDIT_VALUE&amp;DB=129&amp;ID1=62007630&amp;VALUEID=02001&amp;SDATE=200801&amp;PERIODTYPE=QTR_STD&amp;SCFT=3&amp;window=popup_no_bar&amp;width=385&amp;height=120&amp;START_MAXIMIZED=FALSE&amp;creator=factset&amp;display_string=Audit"}</definedName>
    <definedName name="_368__FDSAUDITLINK__" hidden="1">{"fdsup://Directions/FactSet Auditing Viewer?action=AUDIT_VALUE&amp;DB=129&amp;ID1=59479310&amp;VALUEID=02001&amp;SDATE=201003&amp;PERIODTYPE=QTR_STD&amp;SCFT=3&amp;window=popup_no_bar&amp;width=385&amp;height=120&amp;START_MAXIMIZED=FALSE&amp;creator=factset&amp;display_string=Audit"}</definedName>
    <definedName name="_3680__FDSAUDITLINK__" hidden="1">{"fdsup://Directions/FactSet Auditing Viewer?action=AUDIT_VALUE&amp;DB=129&amp;ID1=62007630&amp;VALUEID=02001&amp;SDATE=200801&amp;PERIODTYPE=QTR_STD&amp;SCFT=3&amp;window=popup_no_bar&amp;width=385&amp;height=120&amp;START_MAXIMIZED=FALSE&amp;creator=factset&amp;display_string=Audit"}</definedName>
    <definedName name="_3681__FDSAUDITLINK__" hidden="1">{"fdsup://Directions/FactSet Auditing Viewer?action=AUDIT_VALUE&amp;DB=129&amp;ID1=62007630&amp;VALUEID=02001&amp;SDATE=200703&amp;PERIODTYPE=QTR_STD&amp;SCFT=3&amp;window=popup_no_bar&amp;width=385&amp;height=120&amp;START_MAXIMIZED=FALSE&amp;creator=factset&amp;display_string=Audit"}</definedName>
    <definedName name="_3682__FDSAUDITLINK__" hidden="1">{"fdsup://Directions/FactSet Auditing Viewer?action=AUDIT_VALUE&amp;DB=129&amp;ID1=62007630&amp;VALUEID=02001&amp;SDATE=200703&amp;PERIODTYPE=QTR_STD&amp;SCFT=3&amp;window=popup_no_bar&amp;width=385&amp;height=120&amp;START_MAXIMIZED=FALSE&amp;creator=factset&amp;display_string=Audit"}</definedName>
    <definedName name="_3683__FDSAUDITLINK__" hidden="1">{"fdsup://Directions/FactSet Auditing Viewer?action=AUDIT_VALUE&amp;DB=129&amp;ID1=62007630&amp;VALUEID=02001&amp;SDATE=200702&amp;PERIODTYPE=QTR_STD&amp;SCFT=3&amp;window=popup_no_bar&amp;width=385&amp;height=120&amp;START_MAXIMIZED=FALSE&amp;creator=factset&amp;display_string=Audit"}</definedName>
    <definedName name="_3684__FDSAUDITLINK__" hidden="1">{"fdsup://Directions/FactSet Auditing Viewer?action=AUDIT_VALUE&amp;DB=129&amp;ID1=62007630&amp;VALUEID=02001&amp;SDATE=200702&amp;PERIODTYPE=QTR_STD&amp;SCFT=3&amp;window=popup_no_bar&amp;width=385&amp;height=120&amp;START_MAXIMIZED=FALSE&amp;creator=factset&amp;display_string=Audit"}</definedName>
    <definedName name="_3685__FDSAUDITLINK__" hidden="1">{"fdsup://Directions/FactSet Auditing Viewer?action=AUDIT_VALUE&amp;DB=129&amp;ID1=62007630&amp;VALUEID=02001&amp;SDATE=200701&amp;PERIODTYPE=QTR_STD&amp;SCFT=3&amp;window=popup_no_bar&amp;width=385&amp;height=120&amp;START_MAXIMIZED=FALSE&amp;creator=factset&amp;display_string=Audit"}</definedName>
    <definedName name="_3686__FDSAUDITLINK__" hidden="1">{"fdsup://Directions/FactSet Auditing Viewer?action=AUDIT_VALUE&amp;DB=129&amp;ID1=62007630&amp;VALUEID=02001&amp;SDATE=200701&amp;PERIODTYPE=QTR_STD&amp;SCFT=3&amp;window=popup_no_bar&amp;width=385&amp;height=120&amp;START_MAXIMIZED=FALSE&amp;creator=factset&amp;display_string=Audit"}</definedName>
    <definedName name="_3687__FDSAUDITLINK__" hidden="1">{"fdsup://Directions/FactSet Auditing Viewer?action=AUDIT_VALUE&amp;DB=129&amp;ID1=62007630&amp;VALUEID=02001&amp;SDATE=200603&amp;PERIODTYPE=QTR_STD&amp;SCFT=3&amp;window=popup_no_bar&amp;width=385&amp;height=120&amp;START_MAXIMIZED=FALSE&amp;creator=factset&amp;display_string=Audit"}</definedName>
    <definedName name="_3688__FDSAUDITLINK__" hidden="1">{"fdsup://Directions/FactSet Auditing Viewer?action=AUDIT_VALUE&amp;DB=129&amp;ID1=62007630&amp;VALUEID=02001&amp;SDATE=200603&amp;PERIODTYPE=QTR_STD&amp;SCFT=3&amp;window=popup_no_bar&amp;width=385&amp;height=120&amp;START_MAXIMIZED=FALSE&amp;creator=factset&amp;display_string=Audit"}</definedName>
    <definedName name="_3689__FDSAUDITLINK__" hidden="1">{"fdsup://Directions/FactSet Auditing Viewer?action=AUDIT_VALUE&amp;DB=129&amp;ID1=62007630&amp;VALUEID=02001&amp;SDATE=200602&amp;PERIODTYPE=QTR_STD&amp;SCFT=3&amp;window=popup_no_bar&amp;width=385&amp;height=120&amp;START_MAXIMIZED=FALSE&amp;creator=factset&amp;display_string=Audit"}</definedName>
    <definedName name="_369__FDSAUDITLINK__" hidden="1">{"fdsup://Directions/FactSet Auditing Viewer?action=AUDIT_VALUE&amp;DB=129&amp;ID1=59501710&amp;VALUEID=02001&amp;SDATE=201002&amp;PERIODTYPE=QTR_STD&amp;SCFT=3&amp;window=popup_no_bar&amp;width=385&amp;height=120&amp;START_MAXIMIZED=FALSE&amp;creator=factset&amp;display_string=Audit"}</definedName>
    <definedName name="_3690__FDSAUDITLINK__" hidden="1">{"fdsup://Directions/FactSet Auditing Viewer?action=AUDIT_VALUE&amp;DB=129&amp;ID1=62007630&amp;VALUEID=02001&amp;SDATE=200602&amp;PERIODTYPE=QTR_STD&amp;SCFT=3&amp;window=popup_no_bar&amp;width=385&amp;height=120&amp;START_MAXIMIZED=FALSE&amp;creator=factset&amp;display_string=Audit"}</definedName>
    <definedName name="_3691__FDSAUDITLINK__" hidden="1">{"fdsup://Directions/FactSet Auditing Viewer?action=AUDIT_VALUE&amp;DB=129&amp;ID1=62007630&amp;VALUEID=02001&amp;SDATE=200601&amp;PERIODTYPE=QTR_STD&amp;SCFT=3&amp;window=popup_no_bar&amp;width=385&amp;height=120&amp;START_MAXIMIZED=FALSE&amp;creator=factset&amp;display_string=Audit"}</definedName>
    <definedName name="_3692__FDSAUDITLINK__" hidden="1">{"fdsup://Directions/FactSet Auditing Viewer?action=AUDIT_VALUE&amp;DB=129&amp;ID1=62007630&amp;VALUEID=02001&amp;SDATE=200601&amp;PERIODTYPE=QTR_STD&amp;SCFT=3&amp;window=popup_no_bar&amp;width=385&amp;height=120&amp;START_MAXIMIZED=FALSE&amp;creator=factset&amp;display_string=Audit"}</definedName>
    <definedName name="_3693__FDSAUDITLINK__" hidden="1">{"fdsup://Directions/FactSet Auditing Viewer?action=AUDIT_VALUE&amp;DB=129&amp;ID1=62007630&amp;VALUEID=02001&amp;SDATE=200503&amp;PERIODTYPE=QTR_STD&amp;SCFT=3&amp;window=popup_no_bar&amp;width=385&amp;height=120&amp;START_MAXIMIZED=FALSE&amp;creator=factset&amp;display_string=Audit"}</definedName>
    <definedName name="_3694__FDSAUDITLINK__" hidden="1">{"fdsup://Directions/FactSet Auditing Viewer?action=AUDIT_VALUE&amp;DB=129&amp;ID1=62007630&amp;VALUEID=02001&amp;SDATE=200503&amp;PERIODTYPE=QTR_STD&amp;SCFT=3&amp;window=popup_no_bar&amp;width=385&amp;height=120&amp;START_MAXIMIZED=FALSE&amp;creator=factset&amp;display_string=Audit"}</definedName>
    <definedName name="_3695__FDSAUDITLINK__" hidden="1">{"fdsup://Directions/FactSet Auditing Viewer?action=AUDIT_VALUE&amp;DB=129&amp;ID1=62007630&amp;VALUEID=02001&amp;SDATE=200502&amp;PERIODTYPE=QTR_STD&amp;SCFT=3&amp;window=popup_no_bar&amp;width=385&amp;height=120&amp;START_MAXIMIZED=FALSE&amp;creator=factset&amp;display_string=Audit"}</definedName>
    <definedName name="_3696__FDSAUDITLINK__" hidden="1">{"fdsup://Directions/FactSet Auditing Viewer?action=AUDIT_VALUE&amp;DB=129&amp;ID1=62007630&amp;VALUEID=02001&amp;SDATE=200502&amp;PERIODTYPE=QTR_STD&amp;SCFT=3&amp;window=popup_no_bar&amp;width=385&amp;height=120&amp;START_MAXIMIZED=FALSE&amp;creator=factset&amp;display_string=Audit"}</definedName>
    <definedName name="_3697__FDSAUDITLINK__" hidden="1">{"fdsup://Directions/FactSet Auditing Viewer?action=AUDIT_VALUE&amp;DB=129&amp;ID1=62007630&amp;VALUEID=02001&amp;SDATE=200403&amp;PERIODTYPE=QTR_STD&amp;SCFT=3&amp;window=popup_no_bar&amp;width=385&amp;height=120&amp;START_MAXIMIZED=FALSE&amp;creator=factset&amp;display_string=Audit"}</definedName>
    <definedName name="_3698__FDSAUDITLINK__" hidden="1">{"fdsup://Directions/FactSet Auditing Viewer?action=AUDIT_VALUE&amp;DB=129&amp;ID1=62007630&amp;VALUEID=02001&amp;SDATE=200403&amp;PERIODTYPE=QTR_STD&amp;SCFT=3&amp;window=popup_no_bar&amp;width=385&amp;height=120&amp;START_MAXIMIZED=FALSE&amp;creator=factset&amp;display_string=Audit"}</definedName>
    <definedName name="_3699__FDSAUDITLINK__" hidden="1">{"fdsup://Directions/FactSet Auditing Viewer?action=AUDIT_VALUE&amp;DB=129&amp;ID1=62007630&amp;VALUEID=02001&amp;SDATE=200402&amp;PERIODTYPE=QTR_STD&amp;SCFT=3&amp;window=popup_no_bar&amp;width=385&amp;height=120&amp;START_MAXIMIZED=FALSE&amp;creator=factset&amp;display_string=Audit"}</definedName>
    <definedName name="_37__FDSAUDITLINK__" hidden="1">{"fdsup://directions/FAT Viewer?action=UPDATE&amp;creator=factset&amp;DYN_ARGS=TRUE&amp;DOC_NAME=FAT:FQL_AUDITING_CLIENT_TEMPLATE.FAT&amp;display_string=Audit&amp;VAR:KEY=GBGLCTYFGP&amp;VAR:QUERY=RkZfU0hTX0ZMT0FUKEFOTiw0MDg0Nyk=&amp;WINDOW=FIRST_POPUP&amp;HEIGHT=450&amp;WIDTH=450&amp;START_MAXIMI","ZED=FALSE&amp;VAR:CALENDAR=US&amp;VAR:SYMBOL=LVS&amp;VAR:INDEX=0"}</definedName>
    <definedName name="_370__FDSAUDITLINK__" hidden="1">{"fdsup://Directions/FactSet Auditing Viewer?action=AUDIT_VALUE&amp;DB=129&amp;ID1=59501710&amp;VALUEID=02001&amp;SDATE=201002&amp;PERIODTYPE=QTR_STD&amp;SCFT=3&amp;window=popup_no_bar&amp;width=385&amp;height=120&amp;START_MAXIMIZED=FALSE&amp;creator=factset&amp;display_string=Audit"}</definedName>
    <definedName name="_3700__FDSAUDITLINK__" hidden="1">{"fdsup://Directions/FactSet Auditing Viewer?action=AUDIT_VALUE&amp;DB=129&amp;ID1=62007630&amp;VALUEID=02001&amp;SDATE=200402&amp;PERIODTYPE=QTR_STD&amp;SCFT=3&amp;window=popup_no_bar&amp;width=385&amp;height=120&amp;START_MAXIMIZED=FALSE&amp;creator=factset&amp;display_string=Audit"}</definedName>
    <definedName name="_3701__FDSAUDITLINK__" hidden="1">{"fdsup://Directions/FactSet Auditing Viewer?action=AUDIT_VALUE&amp;DB=129&amp;ID1=62007630&amp;VALUEID=02001&amp;SDATE=200401&amp;PERIODTYPE=QTR_STD&amp;SCFT=3&amp;window=popup_no_bar&amp;width=385&amp;height=120&amp;START_MAXIMIZED=FALSE&amp;creator=factset&amp;display_string=Audit"}</definedName>
    <definedName name="_3702__FDSAUDITLINK__" hidden="1">{"fdsup://Directions/FactSet Auditing Viewer?action=AUDIT_VALUE&amp;DB=129&amp;ID1=62007630&amp;VALUEID=02001&amp;SDATE=200401&amp;PERIODTYPE=QTR_STD&amp;SCFT=3&amp;window=popup_no_bar&amp;width=385&amp;height=120&amp;START_MAXIMIZED=FALSE&amp;creator=factset&amp;display_string=Audit"}</definedName>
    <definedName name="_3703__FDSAUDITLINK__" hidden="1">{"fdsup://Directions/FactSet Auditing Viewer?action=AUDIT_VALUE&amp;DB=129&amp;ID1=60456710&amp;VALUEID=02001&amp;SDATE=200803&amp;PERIODTYPE=QTR_STD&amp;SCFT=3&amp;window=popup_no_bar&amp;width=385&amp;height=120&amp;START_MAXIMIZED=FALSE&amp;creator=factset&amp;display_string=Audit"}</definedName>
    <definedName name="_3704__FDSAUDITLINK__" hidden="1">{"fdsup://Directions/FactSet Auditing Viewer?action=AUDIT_VALUE&amp;DB=129&amp;ID1=60456710&amp;VALUEID=02001&amp;SDATE=200803&amp;PERIODTYPE=QTR_STD&amp;SCFT=3&amp;window=popup_no_bar&amp;width=385&amp;height=120&amp;START_MAXIMIZED=FALSE&amp;creator=factset&amp;display_string=Audit"}</definedName>
    <definedName name="_3705__FDSAUDITLINK__" hidden="1">{"fdsup://Directions/FactSet Auditing Viewer?action=AUDIT_VALUE&amp;DB=129&amp;ID1=60456710&amp;VALUEID=02001&amp;SDATE=200802&amp;PERIODTYPE=QTR_STD&amp;SCFT=3&amp;window=popup_no_bar&amp;width=385&amp;height=120&amp;START_MAXIMIZED=FALSE&amp;creator=factset&amp;display_string=Audit"}</definedName>
    <definedName name="_3706__FDSAUDITLINK__" hidden="1">{"fdsup://Directions/FactSet Auditing Viewer?action=AUDIT_VALUE&amp;DB=129&amp;ID1=60456710&amp;VALUEID=02001&amp;SDATE=200802&amp;PERIODTYPE=QTR_STD&amp;SCFT=3&amp;window=popup_no_bar&amp;width=385&amp;height=120&amp;START_MAXIMIZED=FALSE&amp;creator=factset&amp;display_string=Audit"}</definedName>
    <definedName name="_3707__FDSAUDITLINK__" hidden="1">{"fdsup://Directions/FactSet Auditing Viewer?action=AUDIT_VALUE&amp;DB=129&amp;ID1=60456710&amp;VALUEID=02001&amp;SDATE=200801&amp;PERIODTYPE=QTR_STD&amp;SCFT=3&amp;window=popup_no_bar&amp;width=385&amp;height=120&amp;START_MAXIMIZED=FALSE&amp;creator=factset&amp;display_string=Audit"}</definedName>
    <definedName name="_3708__FDSAUDITLINK__" hidden="1">{"fdsup://Directions/FactSet Auditing Viewer?action=AUDIT_VALUE&amp;DB=129&amp;ID1=60456710&amp;VALUEID=02001&amp;SDATE=200801&amp;PERIODTYPE=QTR_STD&amp;SCFT=3&amp;window=popup_no_bar&amp;width=385&amp;height=120&amp;START_MAXIMIZED=FALSE&amp;creator=factset&amp;display_string=Audit"}</definedName>
    <definedName name="_3709__FDSAUDITLINK__" hidden="1">{"fdsup://Directions/FactSet Auditing Viewer?action=AUDIT_VALUE&amp;DB=129&amp;ID1=60456710&amp;VALUEID=02001&amp;SDATE=200703&amp;PERIODTYPE=QTR_STD&amp;SCFT=3&amp;window=popup_no_bar&amp;width=385&amp;height=120&amp;START_MAXIMIZED=FALSE&amp;creator=factset&amp;display_string=Audit"}</definedName>
    <definedName name="_371__FDSAUDITLINK__" hidden="1">{"fdsup://Directions/FactSet Auditing Viewer?action=AUDIT_VALUE&amp;DB=129&amp;ID1=50216110&amp;VALUEID=02001&amp;SDATE=201003&amp;PERIODTYPE=QTR_STD&amp;SCFT=3&amp;window=popup_no_bar&amp;width=385&amp;height=120&amp;START_MAXIMIZED=FALSE&amp;creator=factset&amp;display_string=Audit"}</definedName>
    <definedName name="_3710__FDSAUDITLINK__" hidden="1">{"fdsup://Directions/FactSet Auditing Viewer?action=AUDIT_VALUE&amp;DB=129&amp;ID1=60456710&amp;VALUEID=02001&amp;SDATE=200703&amp;PERIODTYPE=QTR_STD&amp;SCFT=3&amp;window=popup_no_bar&amp;width=385&amp;height=120&amp;START_MAXIMIZED=FALSE&amp;creator=factset&amp;display_string=Audit"}</definedName>
    <definedName name="_3711__FDSAUDITLINK__" hidden="1">{"fdsup://Directions/FactSet Auditing Viewer?action=AUDIT_VALUE&amp;DB=129&amp;ID1=60456710&amp;VALUEID=02001&amp;SDATE=200702&amp;PERIODTYPE=QTR_STD&amp;SCFT=3&amp;window=popup_no_bar&amp;width=385&amp;height=120&amp;START_MAXIMIZED=FALSE&amp;creator=factset&amp;display_string=Audit"}</definedName>
    <definedName name="_3712__FDSAUDITLINK__" hidden="1">{"fdsup://Directions/FactSet Auditing Viewer?action=AUDIT_VALUE&amp;DB=129&amp;ID1=60456710&amp;VALUEID=02001&amp;SDATE=200702&amp;PERIODTYPE=QTR_STD&amp;SCFT=3&amp;window=popup_no_bar&amp;width=385&amp;height=120&amp;START_MAXIMIZED=FALSE&amp;creator=factset&amp;display_string=Audit"}</definedName>
    <definedName name="_3713__FDSAUDITLINK__" hidden="1">{"fdsup://Directions/FactSet Auditing Viewer?action=AUDIT_VALUE&amp;DB=129&amp;ID1=60456710&amp;VALUEID=02001&amp;SDATE=200701&amp;PERIODTYPE=QTR_STD&amp;SCFT=3&amp;window=popup_no_bar&amp;width=385&amp;height=120&amp;START_MAXIMIZED=FALSE&amp;creator=factset&amp;display_string=Audit"}</definedName>
    <definedName name="_3714__FDSAUDITLINK__" hidden="1">{"fdsup://Directions/FactSet Auditing Viewer?action=AUDIT_VALUE&amp;DB=129&amp;ID1=60456710&amp;VALUEID=02001&amp;SDATE=200701&amp;PERIODTYPE=QTR_STD&amp;SCFT=3&amp;window=popup_no_bar&amp;width=385&amp;height=120&amp;START_MAXIMIZED=FALSE&amp;creator=factset&amp;display_string=Audit"}</definedName>
    <definedName name="_3715__FDSAUDITLINK__" hidden="1">{"fdsup://Directions/FactSet Auditing Viewer?action=AUDIT_VALUE&amp;DB=129&amp;ID1=60456710&amp;VALUEID=02001&amp;SDATE=200603&amp;PERIODTYPE=QTR_STD&amp;SCFT=3&amp;window=popup_no_bar&amp;width=385&amp;height=120&amp;START_MAXIMIZED=FALSE&amp;creator=factset&amp;display_string=Audit"}</definedName>
    <definedName name="_3716__FDSAUDITLINK__" hidden="1">{"fdsup://Directions/FactSet Auditing Viewer?action=AUDIT_VALUE&amp;DB=129&amp;ID1=60456710&amp;VALUEID=02001&amp;SDATE=200603&amp;PERIODTYPE=QTR_STD&amp;SCFT=3&amp;window=popup_no_bar&amp;width=385&amp;height=120&amp;START_MAXIMIZED=FALSE&amp;creator=factset&amp;display_string=Audit"}</definedName>
    <definedName name="_3717__FDSAUDITLINK__" hidden="1">{"fdsup://Directions/FactSet Auditing Viewer?action=AUDIT_VALUE&amp;DB=129&amp;ID1=60456710&amp;VALUEID=02001&amp;SDATE=200602&amp;PERIODTYPE=QTR_STD&amp;SCFT=3&amp;window=popup_no_bar&amp;width=385&amp;height=120&amp;START_MAXIMIZED=FALSE&amp;creator=factset&amp;display_string=Audit"}</definedName>
    <definedName name="_3718__FDSAUDITLINK__" hidden="1">{"fdsup://Directions/FactSet Auditing Viewer?action=AUDIT_VALUE&amp;DB=129&amp;ID1=60456710&amp;VALUEID=02001&amp;SDATE=200602&amp;PERIODTYPE=QTR_STD&amp;SCFT=3&amp;window=popup_no_bar&amp;width=385&amp;height=120&amp;START_MAXIMIZED=FALSE&amp;creator=factset&amp;display_string=Audit"}</definedName>
    <definedName name="_3719__FDSAUDITLINK__" hidden="1">{"fdsup://Directions/FactSet Auditing Viewer?action=AUDIT_VALUE&amp;DB=129&amp;ID1=60456710&amp;VALUEID=02001&amp;SDATE=200601&amp;PERIODTYPE=QTR_STD&amp;SCFT=3&amp;window=popup_no_bar&amp;width=385&amp;height=120&amp;START_MAXIMIZED=FALSE&amp;creator=factset&amp;display_string=Audit"}</definedName>
    <definedName name="_372__FDSAUDITLINK__" hidden="1">{"fdsup://Directions/FactSet Auditing Viewer?action=AUDIT_VALUE&amp;DB=129&amp;ID1=50216110&amp;VALUEID=02001&amp;SDATE=201003&amp;PERIODTYPE=QTR_STD&amp;SCFT=3&amp;window=popup_no_bar&amp;width=385&amp;height=120&amp;START_MAXIMIZED=FALSE&amp;creator=factset&amp;display_string=Audit"}</definedName>
    <definedName name="_3720__FDSAUDITLINK__" hidden="1">{"fdsup://Directions/FactSet Auditing Viewer?action=AUDIT_VALUE&amp;DB=129&amp;ID1=60456710&amp;VALUEID=02001&amp;SDATE=200601&amp;PERIODTYPE=QTR_STD&amp;SCFT=3&amp;window=popup_no_bar&amp;width=385&amp;height=120&amp;START_MAXIMIZED=FALSE&amp;creator=factset&amp;display_string=Audit"}</definedName>
    <definedName name="_3721__FDSAUDITLINK__" hidden="1">{"fdsup://Directions/FactSet Auditing Viewer?action=AUDIT_VALUE&amp;DB=129&amp;ID1=60456710&amp;VALUEID=02001&amp;SDATE=200503&amp;PERIODTYPE=QTR_STD&amp;SCFT=3&amp;window=popup_no_bar&amp;width=385&amp;height=120&amp;START_MAXIMIZED=FALSE&amp;creator=factset&amp;display_string=Audit"}</definedName>
    <definedName name="_3722__FDSAUDITLINK__" hidden="1">{"fdsup://Directions/FactSet Auditing Viewer?action=AUDIT_VALUE&amp;DB=129&amp;ID1=60456710&amp;VALUEID=02001&amp;SDATE=200503&amp;PERIODTYPE=QTR_STD&amp;SCFT=3&amp;window=popup_no_bar&amp;width=385&amp;height=120&amp;START_MAXIMIZED=FALSE&amp;creator=factset&amp;display_string=Audit"}</definedName>
    <definedName name="_3723__FDSAUDITLINK__" hidden="1">{"fdsup://Directions/FactSet Auditing Viewer?action=AUDIT_VALUE&amp;DB=129&amp;ID1=60456710&amp;VALUEID=02001&amp;SDATE=200502&amp;PERIODTYPE=QTR_STD&amp;SCFT=3&amp;window=popup_no_bar&amp;width=385&amp;height=120&amp;START_MAXIMIZED=FALSE&amp;creator=factset&amp;display_string=Audit"}</definedName>
    <definedName name="_3724__FDSAUDITLINK__" hidden="1">{"fdsup://Directions/FactSet Auditing Viewer?action=AUDIT_VALUE&amp;DB=129&amp;ID1=60456710&amp;VALUEID=02001&amp;SDATE=200502&amp;PERIODTYPE=QTR_STD&amp;SCFT=3&amp;window=popup_no_bar&amp;width=385&amp;height=120&amp;START_MAXIMIZED=FALSE&amp;creator=factset&amp;display_string=Audit"}</definedName>
    <definedName name="_3725__FDSAUDITLINK__" hidden="1">{"fdsup://Directions/FactSet Auditing Viewer?action=AUDIT_VALUE&amp;DB=129&amp;ID1=60456710&amp;VALUEID=02001&amp;SDATE=200501&amp;PERIODTYPE=QTR_STD&amp;SCFT=3&amp;window=popup_no_bar&amp;width=385&amp;height=120&amp;START_MAXIMIZED=FALSE&amp;creator=factset&amp;display_string=Audit"}</definedName>
    <definedName name="_3726__FDSAUDITLINK__" hidden="1">{"fdsup://Directions/FactSet Auditing Viewer?action=AUDIT_VALUE&amp;DB=129&amp;ID1=60456710&amp;VALUEID=02001&amp;SDATE=200501&amp;PERIODTYPE=QTR_STD&amp;SCFT=3&amp;window=popup_no_bar&amp;width=385&amp;height=120&amp;START_MAXIMIZED=FALSE&amp;creator=factset&amp;display_string=Audit"}</definedName>
    <definedName name="_3727__FDSAUDITLINK__" hidden="1">{"fdsup://Directions/FactSet Auditing Viewer?action=AUDIT_VALUE&amp;DB=129&amp;ID1=60456710&amp;VALUEID=02001&amp;SDATE=200403&amp;PERIODTYPE=QTR_STD&amp;SCFT=3&amp;window=popup_no_bar&amp;width=385&amp;height=120&amp;START_MAXIMIZED=FALSE&amp;creator=factset&amp;display_string=Audit"}</definedName>
    <definedName name="_3728__FDSAUDITLINK__" hidden="1">{"fdsup://Directions/FactSet Auditing Viewer?action=AUDIT_VALUE&amp;DB=129&amp;ID1=60456710&amp;VALUEID=02001&amp;SDATE=200403&amp;PERIODTYPE=QTR_STD&amp;SCFT=3&amp;window=popup_no_bar&amp;width=385&amp;height=120&amp;START_MAXIMIZED=FALSE&amp;creator=factset&amp;display_string=Audit"}</definedName>
    <definedName name="_3729__FDSAUDITLINK__" hidden="1">{"fdsup://Directions/FactSet Auditing Viewer?action=AUDIT_VALUE&amp;DB=129&amp;ID1=59479310&amp;VALUEID=02001&amp;SDATE=200801&amp;PERIODTYPE=QTR_STD&amp;SCFT=3&amp;window=popup_no_bar&amp;width=385&amp;height=120&amp;START_MAXIMIZED=FALSE&amp;creator=factset&amp;display_string=Audit"}</definedName>
    <definedName name="_373__FDSAUDITLINK__" hidden="1">{"fdsup://Directions/FactSet Auditing Viewer?action=AUDIT_VALUE&amp;DB=129&amp;ID1=51841510&amp;VALUEID=02001&amp;SDATE=201003&amp;PERIODTYPE=QTR_STD&amp;SCFT=3&amp;window=popup_no_bar&amp;width=385&amp;height=120&amp;START_MAXIMIZED=FALSE&amp;creator=factset&amp;display_string=Audit"}</definedName>
    <definedName name="_3730__FDSAUDITLINK__" hidden="1">{"fdsup://Directions/FactSet Auditing Viewer?action=AUDIT_VALUE&amp;DB=129&amp;ID1=59479310&amp;VALUEID=02001&amp;SDATE=200801&amp;PERIODTYPE=QTR_STD&amp;SCFT=3&amp;window=popup_no_bar&amp;width=385&amp;height=120&amp;START_MAXIMIZED=FALSE&amp;creator=factset&amp;display_string=Audit"}</definedName>
    <definedName name="_3731__FDSAUDITLINK__" hidden="1">{"fdsup://Directions/FactSet Auditing Viewer?action=AUDIT_VALUE&amp;DB=129&amp;ID1=59479310&amp;VALUEID=02001&amp;SDATE=200703&amp;PERIODTYPE=QTR_STD&amp;SCFT=3&amp;window=popup_no_bar&amp;width=385&amp;height=120&amp;START_MAXIMIZED=FALSE&amp;creator=factset&amp;display_string=Audit"}</definedName>
    <definedName name="_3732__FDSAUDITLINK__" hidden="1">{"fdsup://Directions/FactSet Auditing Viewer?action=AUDIT_VALUE&amp;DB=129&amp;ID1=59479310&amp;VALUEID=02001&amp;SDATE=200703&amp;PERIODTYPE=QTR_STD&amp;SCFT=3&amp;window=popup_no_bar&amp;width=385&amp;height=120&amp;START_MAXIMIZED=FALSE&amp;creator=factset&amp;display_string=Audit"}</definedName>
    <definedName name="_3733__FDSAUDITLINK__" hidden="1">{"fdsup://Directions/FactSet Auditing Viewer?action=AUDIT_VALUE&amp;DB=129&amp;ID1=59479310&amp;VALUEID=02001&amp;SDATE=200702&amp;PERIODTYPE=QTR_STD&amp;SCFT=3&amp;window=popup_no_bar&amp;width=385&amp;height=120&amp;START_MAXIMIZED=FALSE&amp;creator=factset&amp;display_string=Audit"}</definedName>
    <definedName name="_3734__FDSAUDITLINK__" hidden="1">{"fdsup://Directions/FactSet Auditing Viewer?action=AUDIT_VALUE&amp;DB=129&amp;ID1=59479310&amp;VALUEID=02001&amp;SDATE=200702&amp;PERIODTYPE=QTR_STD&amp;SCFT=3&amp;window=popup_no_bar&amp;width=385&amp;height=120&amp;START_MAXIMIZED=FALSE&amp;creator=factset&amp;display_string=Audit"}</definedName>
    <definedName name="_3735__FDSAUDITLINK__" hidden="1">{"fdsup://Directions/FactSet Auditing Viewer?action=AUDIT_VALUE&amp;DB=129&amp;ID1=59479310&amp;VALUEID=02001&amp;SDATE=200701&amp;PERIODTYPE=QTR_STD&amp;SCFT=3&amp;window=popup_no_bar&amp;width=385&amp;height=120&amp;START_MAXIMIZED=FALSE&amp;creator=factset&amp;display_string=Audit"}</definedName>
    <definedName name="_3736__FDSAUDITLINK__" hidden="1">{"fdsup://Directions/FactSet Auditing Viewer?action=AUDIT_VALUE&amp;DB=129&amp;ID1=59479310&amp;VALUEID=02001&amp;SDATE=200701&amp;PERIODTYPE=QTR_STD&amp;SCFT=3&amp;window=popup_no_bar&amp;width=385&amp;height=120&amp;START_MAXIMIZED=FALSE&amp;creator=factset&amp;display_string=Audit"}</definedName>
    <definedName name="_3737__FDSAUDITLINK__" hidden="1">{"fdsup://Directions/FactSet Auditing Viewer?action=AUDIT_VALUE&amp;DB=129&amp;ID1=59479310&amp;VALUEID=02001&amp;SDATE=200603&amp;PERIODTYPE=QTR_STD&amp;SCFT=3&amp;window=popup_no_bar&amp;width=385&amp;height=120&amp;START_MAXIMIZED=FALSE&amp;creator=factset&amp;display_string=Audit"}</definedName>
    <definedName name="_3738__FDSAUDITLINK__" hidden="1">{"fdsup://Directions/FactSet Auditing Viewer?action=AUDIT_VALUE&amp;DB=129&amp;ID1=59479310&amp;VALUEID=02001&amp;SDATE=200603&amp;PERIODTYPE=QTR_STD&amp;SCFT=3&amp;window=popup_no_bar&amp;width=385&amp;height=120&amp;START_MAXIMIZED=FALSE&amp;creator=factset&amp;display_string=Audit"}</definedName>
    <definedName name="_3739__FDSAUDITLINK__" hidden="1">{"fdsup://Directions/FactSet Auditing Viewer?action=AUDIT_VALUE&amp;DB=129&amp;ID1=59479310&amp;VALUEID=02001&amp;SDATE=200602&amp;PERIODTYPE=QTR_STD&amp;SCFT=3&amp;window=popup_no_bar&amp;width=385&amp;height=120&amp;START_MAXIMIZED=FALSE&amp;creator=factset&amp;display_string=Audit"}</definedName>
    <definedName name="_374__FDSAUDITLINK__" hidden="1">{"fdsup://Directions/FactSet Auditing Viewer?action=AUDIT_VALUE&amp;DB=129&amp;ID1=51841510&amp;VALUEID=02001&amp;SDATE=201003&amp;PERIODTYPE=QTR_STD&amp;SCFT=3&amp;window=popup_no_bar&amp;width=385&amp;height=120&amp;START_MAXIMIZED=FALSE&amp;creator=factset&amp;display_string=Audit"}</definedName>
    <definedName name="_3740__FDSAUDITLINK__" hidden="1">{"fdsup://Directions/FactSet Auditing Viewer?action=AUDIT_VALUE&amp;DB=129&amp;ID1=59479310&amp;VALUEID=02001&amp;SDATE=200602&amp;PERIODTYPE=QTR_STD&amp;SCFT=3&amp;window=popup_no_bar&amp;width=385&amp;height=120&amp;START_MAXIMIZED=FALSE&amp;creator=factset&amp;display_string=Audit"}</definedName>
    <definedName name="_3741__FDSAUDITLINK__" hidden="1">{"fdsup://Directions/FactSet Auditing Viewer?action=AUDIT_VALUE&amp;DB=129&amp;ID1=59479310&amp;VALUEID=02001&amp;SDATE=200601&amp;PERIODTYPE=QTR_STD&amp;SCFT=3&amp;window=popup_no_bar&amp;width=385&amp;height=120&amp;START_MAXIMIZED=FALSE&amp;creator=factset&amp;display_string=Audit"}</definedName>
    <definedName name="_3742__FDSAUDITLINK__" hidden="1">{"fdsup://Directions/FactSet Auditing Viewer?action=AUDIT_VALUE&amp;DB=129&amp;ID1=59479310&amp;VALUEID=02001&amp;SDATE=200601&amp;PERIODTYPE=QTR_STD&amp;SCFT=3&amp;window=popup_no_bar&amp;width=385&amp;height=120&amp;START_MAXIMIZED=FALSE&amp;creator=factset&amp;display_string=Audit"}</definedName>
    <definedName name="_3743__FDSAUDITLINK__" hidden="1">{"fdsup://Directions/FactSet Auditing Viewer?action=AUDIT_VALUE&amp;DB=129&amp;ID1=59479310&amp;VALUEID=02001&amp;SDATE=200502&amp;PERIODTYPE=QTR_STD&amp;SCFT=3&amp;window=popup_no_bar&amp;width=385&amp;height=120&amp;START_MAXIMIZED=FALSE&amp;creator=factset&amp;display_string=Audit"}</definedName>
    <definedName name="_3744__FDSAUDITLINK__" hidden="1">{"fdsup://Directions/FactSet Auditing Viewer?action=AUDIT_VALUE&amp;DB=129&amp;ID1=59479310&amp;VALUEID=02001&amp;SDATE=200502&amp;PERIODTYPE=QTR_STD&amp;SCFT=3&amp;window=popup_no_bar&amp;width=385&amp;height=120&amp;START_MAXIMIZED=FALSE&amp;creator=factset&amp;display_string=Audit"}</definedName>
    <definedName name="_3745__FDSAUDITLINK__" hidden="1">{"fdsup://Directions/FactSet Auditing Viewer?action=AUDIT_VALUE&amp;DB=129&amp;ID1=59479310&amp;VALUEID=02001&amp;SDATE=200501&amp;PERIODTYPE=QTR_STD&amp;SCFT=3&amp;window=popup_no_bar&amp;width=385&amp;height=120&amp;START_MAXIMIZED=FALSE&amp;creator=factset&amp;display_string=Audit"}</definedName>
    <definedName name="_3746__FDSAUDITLINK__" hidden="1">{"fdsup://Directions/FactSet Auditing Viewer?action=AUDIT_VALUE&amp;DB=129&amp;ID1=59479310&amp;VALUEID=02001&amp;SDATE=200501&amp;PERIODTYPE=QTR_STD&amp;SCFT=3&amp;window=popup_no_bar&amp;width=385&amp;height=120&amp;START_MAXIMIZED=FALSE&amp;creator=factset&amp;display_string=Audit"}</definedName>
    <definedName name="_3747__FDSAUDITLINK__" hidden="1">{"fdsup://Directions/FactSet Auditing Viewer?action=AUDIT_VALUE&amp;DB=129&amp;ID1=59479310&amp;VALUEID=02001&amp;SDATE=200403&amp;PERIODTYPE=QTR_STD&amp;SCFT=3&amp;window=popup_no_bar&amp;width=385&amp;height=120&amp;START_MAXIMIZED=FALSE&amp;creator=factset&amp;display_string=Audit"}</definedName>
    <definedName name="_3748__FDSAUDITLINK__" hidden="1">{"fdsup://Directions/FactSet Auditing Viewer?action=AUDIT_VALUE&amp;DB=129&amp;ID1=59479310&amp;VALUEID=02001&amp;SDATE=200403&amp;PERIODTYPE=QTR_STD&amp;SCFT=3&amp;window=popup_no_bar&amp;width=385&amp;height=120&amp;START_MAXIMIZED=FALSE&amp;creator=factset&amp;display_string=Audit"}</definedName>
    <definedName name="_3749__FDSAUDITLINK__" hidden="1">{"fdsup://Directions/FactSet Auditing Viewer?action=AUDIT_VALUE&amp;DB=129&amp;ID1=59479310&amp;VALUEID=02001&amp;SDATE=200402&amp;PERIODTYPE=QTR_STD&amp;SCFT=3&amp;window=popup_no_bar&amp;width=385&amp;height=120&amp;START_MAXIMIZED=FALSE&amp;creator=factset&amp;display_string=Audit"}</definedName>
    <definedName name="_375__FDSAUDITLINK__" hidden="1">{"fdsup://Directions/FactSet Auditing Viewer?action=AUDIT_VALUE&amp;DB=129&amp;ID1=51280710&amp;VALUEID=02001&amp;SDATE=201101&amp;PERIODTYPE=QTR_STD&amp;SCFT=3&amp;window=popup_no_bar&amp;width=385&amp;height=120&amp;START_MAXIMIZED=FALSE&amp;creator=factset&amp;display_string=Audit"}</definedName>
    <definedName name="_3750__FDSAUDITLINK__" hidden="1">{"fdsup://Directions/FactSet Auditing Viewer?action=AUDIT_VALUE&amp;DB=129&amp;ID1=59479310&amp;VALUEID=02001&amp;SDATE=200402&amp;PERIODTYPE=QTR_STD&amp;SCFT=3&amp;window=popup_no_bar&amp;width=385&amp;height=120&amp;START_MAXIMIZED=FALSE&amp;creator=factset&amp;display_string=Audit"}</definedName>
    <definedName name="_3751__FDSAUDITLINK__" hidden="1">{"fdsup://Directions/FactSet Auditing Viewer?action=AUDIT_VALUE&amp;DB=129&amp;ID1=59479310&amp;VALUEID=02001&amp;SDATE=200401&amp;PERIODTYPE=QTR_STD&amp;SCFT=3&amp;window=popup_no_bar&amp;width=385&amp;height=120&amp;START_MAXIMIZED=FALSE&amp;creator=factset&amp;display_string=Audit"}</definedName>
    <definedName name="_3752__FDSAUDITLINK__" hidden="1">{"fdsup://Directions/FactSet Auditing Viewer?action=AUDIT_VALUE&amp;DB=129&amp;ID1=59479310&amp;VALUEID=02001&amp;SDATE=200401&amp;PERIODTYPE=QTR_STD&amp;SCFT=3&amp;window=popup_no_bar&amp;width=385&amp;height=120&amp;START_MAXIMIZED=FALSE&amp;creator=factset&amp;display_string=Audit"}</definedName>
    <definedName name="_3753__FDSAUDITLINK__" hidden="1">{"fdsup://Directions/FactSet Auditing Viewer?action=AUDIT_VALUE&amp;DB=129&amp;ID1=59501710&amp;VALUEID=02001&amp;SDATE=200704&amp;PERIODTYPE=QTR_STD&amp;SCFT=3&amp;window=popup_no_bar&amp;width=385&amp;height=120&amp;START_MAXIMIZED=FALSE&amp;creator=factset&amp;display_string=Audit"}</definedName>
    <definedName name="_3754__FDSAUDITLINK__" hidden="1">{"fdsup://Directions/FactSet Auditing Viewer?action=AUDIT_VALUE&amp;DB=129&amp;ID1=59501710&amp;VALUEID=02001&amp;SDATE=200704&amp;PERIODTYPE=QTR_STD&amp;SCFT=3&amp;window=popup_no_bar&amp;width=385&amp;height=120&amp;START_MAXIMIZED=FALSE&amp;creator=factset&amp;display_string=Audit"}</definedName>
    <definedName name="_3755__FDSAUDITLINK__" hidden="1">{"fdsup://Directions/FactSet Auditing Viewer?action=AUDIT_VALUE&amp;DB=129&amp;ID1=59501710&amp;VALUEID=02001&amp;SDATE=200703&amp;PERIODTYPE=QTR_STD&amp;SCFT=3&amp;window=popup_no_bar&amp;width=385&amp;height=120&amp;START_MAXIMIZED=FALSE&amp;creator=factset&amp;display_string=Audit"}</definedName>
    <definedName name="_3756__FDSAUDITLINK__" hidden="1">{"fdsup://Directions/FactSet Auditing Viewer?action=AUDIT_VALUE&amp;DB=129&amp;ID1=59501710&amp;VALUEID=02001&amp;SDATE=200703&amp;PERIODTYPE=QTR_STD&amp;SCFT=3&amp;window=popup_no_bar&amp;width=385&amp;height=120&amp;START_MAXIMIZED=FALSE&amp;creator=factset&amp;display_string=Audit"}</definedName>
    <definedName name="_3757__FDSAUDITLINK__" hidden="1">{"fdsup://Directions/FactSet Auditing Viewer?action=AUDIT_VALUE&amp;DB=129&amp;ID1=59501710&amp;VALUEID=02001&amp;SDATE=200702&amp;PERIODTYPE=QTR_STD&amp;SCFT=3&amp;window=popup_no_bar&amp;width=385&amp;height=120&amp;START_MAXIMIZED=FALSE&amp;creator=factset&amp;display_string=Audit"}</definedName>
    <definedName name="_3758__FDSAUDITLINK__" hidden="1">{"fdsup://Directions/FactSet Auditing Viewer?action=AUDIT_VALUE&amp;DB=129&amp;ID1=59501710&amp;VALUEID=02001&amp;SDATE=200702&amp;PERIODTYPE=QTR_STD&amp;SCFT=3&amp;window=popup_no_bar&amp;width=385&amp;height=120&amp;START_MAXIMIZED=FALSE&amp;creator=factset&amp;display_string=Audit"}</definedName>
    <definedName name="_3759__FDSAUDITLINK__" hidden="1">{"fdsup://Directions/FactSet Auditing Viewer?action=AUDIT_VALUE&amp;DB=129&amp;ID1=59501710&amp;VALUEID=02001&amp;SDATE=200701&amp;PERIODTYPE=QTR_STD&amp;SCFT=3&amp;window=popup_no_bar&amp;width=385&amp;height=120&amp;START_MAXIMIZED=FALSE&amp;creator=factset&amp;display_string=Audit"}</definedName>
    <definedName name="_376__FDSAUDITLINK__" hidden="1">{"fdsup://Directions/FactSet Auditing Viewer?action=AUDIT_VALUE&amp;DB=129&amp;ID1=51280710&amp;VALUEID=02001&amp;SDATE=201101&amp;PERIODTYPE=QTR_STD&amp;SCFT=3&amp;window=popup_no_bar&amp;width=385&amp;height=120&amp;START_MAXIMIZED=FALSE&amp;creator=factset&amp;display_string=Audit"}</definedName>
    <definedName name="_3760__FDSAUDITLINK__" hidden="1">{"fdsup://Directions/FactSet Auditing Viewer?action=AUDIT_VALUE&amp;DB=129&amp;ID1=59501710&amp;VALUEID=02001&amp;SDATE=200701&amp;PERIODTYPE=QTR_STD&amp;SCFT=3&amp;window=popup_no_bar&amp;width=385&amp;height=120&amp;START_MAXIMIZED=FALSE&amp;creator=factset&amp;display_string=Audit"}</definedName>
    <definedName name="_3761__FDSAUDITLINK__" hidden="1">{"fdsup://Directions/FactSet Auditing Viewer?action=AUDIT_VALUE&amp;DB=129&amp;ID1=59501710&amp;VALUEID=02001&amp;SDATE=200603&amp;PERIODTYPE=QTR_STD&amp;SCFT=3&amp;window=popup_no_bar&amp;width=385&amp;height=120&amp;START_MAXIMIZED=FALSE&amp;creator=factset&amp;display_string=Audit"}</definedName>
    <definedName name="_3762__FDSAUDITLINK__" hidden="1">{"fdsup://Directions/FactSet Auditing Viewer?action=AUDIT_VALUE&amp;DB=129&amp;ID1=59501710&amp;VALUEID=02001&amp;SDATE=200603&amp;PERIODTYPE=QTR_STD&amp;SCFT=3&amp;window=popup_no_bar&amp;width=385&amp;height=120&amp;START_MAXIMIZED=FALSE&amp;creator=factset&amp;display_string=Audit"}</definedName>
    <definedName name="_3763__FDSAUDITLINK__" hidden="1">{"fdsup://Directions/FactSet Auditing Viewer?action=AUDIT_VALUE&amp;DB=129&amp;ID1=59501710&amp;VALUEID=02001&amp;SDATE=200602&amp;PERIODTYPE=QTR_STD&amp;SCFT=3&amp;window=popup_no_bar&amp;width=385&amp;height=120&amp;START_MAXIMIZED=FALSE&amp;creator=factset&amp;display_string=Audit"}</definedName>
    <definedName name="_3764__FDSAUDITLINK__" hidden="1">{"fdsup://Directions/FactSet Auditing Viewer?action=AUDIT_VALUE&amp;DB=129&amp;ID1=59501710&amp;VALUEID=02001&amp;SDATE=200602&amp;PERIODTYPE=QTR_STD&amp;SCFT=3&amp;window=popup_no_bar&amp;width=385&amp;height=120&amp;START_MAXIMIZED=FALSE&amp;creator=factset&amp;display_string=Audit"}</definedName>
    <definedName name="_3765__FDSAUDITLINK__" hidden="1">{"fdsup://Directions/FactSet Auditing Viewer?action=AUDIT_VALUE&amp;DB=129&amp;ID1=59501710&amp;VALUEID=02001&amp;SDATE=200601&amp;PERIODTYPE=QTR_STD&amp;SCFT=3&amp;window=popup_no_bar&amp;width=385&amp;height=120&amp;START_MAXIMIZED=FALSE&amp;creator=factset&amp;display_string=Audit"}</definedName>
    <definedName name="_3766__FDSAUDITLINK__" hidden="1">{"fdsup://Directions/FactSet Auditing Viewer?action=AUDIT_VALUE&amp;DB=129&amp;ID1=59501710&amp;VALUEID=02001&amp;SDATE=200601&amp;PERIODTYPE=QTR_STD&amp;SCFT=3&amp;window=popup_no_bar&amp;width=385&amp;height=120&amp;START_MAXIMIZED=FALSE&amp;creator=factset&amp;display_string=Audit"}</definedName>
    <definedName name="_3767__FDSAUDITLINK__" hidden="1">{"fdsup://Directions/FactSet Auditing Viewer?action=AUDIT_VALUE&amp;DB=129&amp;ID1=59501710&amp;VALUEID=02001&amp;SDATE=200503&amp;PERIODTYPE=QTR_STD&amp;SCFT=3&amp;window=popup_no_bar&amp;width=385&amp;height=120&amp;START_MAXIMIZED=FALSE&amp;creator=factset&amp;display_string=Audit"}</definedName>
    <definedName name="_3768__FDSAUDITLINK__" hidden="1">{"fdsup://Directions/FactSet Auditing Viewer?action=AUDIT_VALUE&amp;DB=129&amp;ID1=59501710&amp;VALUEID=02001&amp;SDATE=200503&amp;PERIODTYPE=QTR_STD&amp;SCFT=3&amp;window=popup_no_bar&amp;width=385&amp;height=120&amp;START_MAXIMIZED=FALSE&amp;creator=factset&amp;display_string=Audit"}</definedName>
    <definedName name="_3769__FDSAUDITLINK__" hidden="1">{"fdsup://Directions/FactSet Auditing Viewer?action=AUDIT_VALUE&amp;DB=129&amp;ID1=59501710&amp;VALUEID=02001&amp;SDATE=200502&amp;PERIODTYPE=QTR_STD&amp;SCFT=3&amp;window=popup_no_bar&amp;width=385&amp;height=120&amp;START_MAXIMIZED=FALSE&amp;creator=factset&amp;display_string=Audit"}</definedName>
    <definedName name="_377__FDSAUDITLINK__" hidden="1">{"fdsup://Directions/FactSet Auditing Viewer?action=AUDIT_VALUE&amp;DB=129&amp;ID1=53567810&amp;VALUEID=02001&amp;SDATE=201101&amp;PERIODTYPE=QTR_STD&amp;SCFT=3&amp;window=popup_no_bar&amp;width=385&amp;height=120&amp;START_MAXIMIZED=FALSE&amp;creator=factset&amp;display_string=Audit"}</definedName>
    <definedName name="_3770__FDSAUDITLINK__" hidden="1">{"fdsup://Directions/FactSet Auditing Viewer?action=AUDIT_VALUE&amp;DB=129&amp;ID1=59501710&amp;VALUEID=02001&amp;SDATE=200502&amp;PERIODTYPE=QTR_STD&amp;SCFT=3&amp;window=popup_no_bar&amp;width=385&amp;height=120&amp;START_MAXIMIZED=FALSE&amp;creator=factset&amp;display_string=Audit"}</definedName>
    <definedName name="_3771__FDSAUDITLINK__" hidden="1">{"fdsup://Directions/FactSet Auditing Viewer?action=AUDIT_VALUE&amp;DB=129&amp;ID1=59501710&amp;VALUEID=02001&amp;SDATE=200501&amp;PERIODTYPE=QTR_STD&amp;SCFT=3&amp;window=popup_no_bar&amp;width=385&amp;height=120&amp;START_MAXIMIZED=FALSE&amp;creator=factset&amp;display_string=Audit"}</definedName>
    <definedName name="_3772__FDSAUDITLINK__" hidden="1">{"fdsup://Directions/FactSet Auditing Viewer?action=AUDIT_VALUE&amp;DB=129&amp;ID1=59501710&amp;VALUEID=02001&amp;SDATE=200501&amp;PERIODTYPE=QTR_STD&amp;SCFT=3&amp;window=popup_no_bar&amp;width=385&amp;height=120&amp;START_MAXIMIZED=FALSE&amp;creator=factset&amp;display_string=Audit"}</definedName>
    <definedName name="_3773__FDSAUDITLINK__" hidden="1">{"fdsup://Directions/FactSet Auditing Viewer?action=AUDIT_VALUE&amp;DB=129&amp;ID1=59501710&amp;VALUEID=02001&amp;SDATE=200403&amp;PERIODTYPE=QTR_STD&amp;SCFT=3&amp;window=popup_no_bar&amp;width=385&amp;height=120&amp;START_MAXIMIZED=FALSE&amp;creator=factset&amp;display_string=Audit"}</definedName>
    <definedName name="_3774__FDSAUDITLINK__" hidden="1">{"fdsup://Directions/FactSet Auditing Viewer?action=AUDIT_VALUE&amp;DB=129&amp;ID1=59501710&amp;VALUEID=02001&amp;SDATE=200403&amp;PERIODTYPE=QTR_STD&amp;SCFT=3&amp;window=popup_no_bar&amp;width=385&amp;height=120&amp;START_MAXIMIZED=FALSE&amp;creator=factset&amp;display_string=Audit"}</definedName>
    <definedName name="_3775__FDSAUDITLINK__" hidden="1">{"fdsup://Directions/FactSet Auditing Viewer?action=AUDIT_VALUE&amp;DB=129&amp;ID1=59501710&amp;VALUEID=02001&amp;SDATE=200402&amp;PERIODTYPE=QTR_STD&amp;SCFT=3&amp;window=popup_no_bar&amp;width=385&amp;height=120&amp;START_MAXIMIZED=FALSE&amp;creator=factset&amp;display_string=Audit"}</definedName>
    <definedName name="_3776__FDSAUDITLINK__" hidden="1">{"fdsup://Directions/FactSet Auditing Viewer?action=AUDIT_VALUE&amp;DB=129&amp;ID1=59501710&amp;VALUEID=02001&amp;SDATE=200402&amp;PERIODTYPE=QTR_STD&amp;SCFT=3&amp;window=popup_no_bar&amp;width=385&amp;height=120&amp;START_MAXIMIZED=FALSE&amp;creator=factset&amp;display_string=Audit"}</definedName>
    <definedName name="_3777__FDSAUDITLINK__" hidden="1">{"fdsup://Directions/FactSet Auditing Viewer?action=AUDIT_VALUE&amp;DB=129&amp;ID1=59501710&amp;VALUEID=02001&amp;SDATE=200401&amp;PERIODTYPE=QTR_STD&amp;SCFT=3&amp;window=popup_no_bar&amp;width=385&amp;height=120&amp;START_MAXIMIZED=FALSE&amp;creator=factset&amp;display_string=Audit"}</definedName>
    <definedName name="_3778__FDSAUDITLINK__" hidden="1">{"fdsup://Directions/FactSet Auditing Viewer?action=AUDIT_VALUE&amp;DB=129&amp;ID1=59501710&amp;VALUEID=02001&amp;SDATE=200401&amp;PERIODTYPE=QTR_STD&amp;SCFT=3&amp;window=popup_no_bar&amp;width=385&amp;height=120&amp;START_MAXIMIZED=FALSE&amp;creator=factset&amp;display_string=Audit"}</definedName>
    <definedName name="_3779__FDSAUDITLINK__" hidden="1">{"fdsup://Directions/FactSet Auditing Viewer?action=AUDIT_VALUE&amp;DB=129&amp;ID1=50216110&amp;VALUEID=02001&amp;SDATE=200801&amp;PERIODTYPE=QTR_STD&amp;SCFT=3&amp;window=popup_no_bar&amp;width=385&amp;height=120&amp;START_MAXIMIZED=FALSE&amp;creator=factset&amp;display_string=Audit"}</definedName>
    <definedName name="_378__FDSAUDITLINK__" hidden="1">{"fdsup://Directions/FactSet Auditing Viewer?action=AUDIT_VALUE&amp;DB=129&amp;ID1=53567810&amp;VALUEID=02001&amp;SDATE=201101&amp;PERIODTYPE=QTR_STD&amp;SCFT=3&amp;window=popup_no_bar&amp;width=385&amp;height=120&amp;START_MAXIMIZED=FALSE&amp;creator=factset&amp;display_string=Audit"}</definedName>
    <definedName name="_3780__FDSAUDITLINK__" hidden="1">{"fdsup://Directions/FactSet Auditing Viewer?action=AUDIT_VALUE&amp;DB=129&amp;ID1=50216110&amp;VALUEID=02001&amp;SDATE=200801&amp;PERIODTYPE=QTR_STD&amp;SCFT=3&amp;window=popup_no_bar&amp;width=385&amp;height=120&amp;START_MAXIMIZED=FALSE&amp;creator=factset&amp;display_string=Audit"}</definedName>
    <definedName name="_3781__FDSAUDITLINK__" hidden="1">{"fdsup://Directions/FactSet Auditing Viewer?action=AUDIT_VALUE&amp;DB=129&amp;ID1=50216110&amp;VALUEID=02001&amp;SDATE=200703&amp;PERIODTYPE=QTR_STD&amp;SCFT=3&amp;window=popup_no_bar&amp;width=385&amp;height=120&amp;START_MAXIMIZED=FALSE&amp;creator=factset&amp;display_string=Audit"}</definedName>
    <definedName name="_3782__FDSAUDITLINK__" hidden="1">{"fdsup://Directions/FactSet Auditing Viewer?action=AUDIT_VALUE&amp;DB=129&amp;ID1=50216110&amp;VALUEID=02001&amp;SDATE=200703&amp;PERIODTYPE=QTR_STD&amp;SCFT=3&amp;window=popup_no_bar&amp;width=385&amp;height=120&amp;START_MAXIMIZED=FALSE&amp;creator=factset&amp;display_string=Audit"}</definedName>
    <definedName name="_3783__FDSAUDITLINK__" hidden="1">{"fdsup://Directions/FactSet Auditing Viewer?action=AUDIT_VALUE&amp;DB=129&amp;ID1=50216110&amp;VALUEID=02001&amp;SDATE=200702&amp;PERIODTYPE=QTR_STD&amp;SCFT=3&amp;window=popup_no_bar&amp;width=385&amp;height=120&amp;START_MAXIMIZED=FALSE&amp;creator=factset&amp;display_string=Audit"}</definedName>
    <definedName name="_3784__FDSAUDITLINK__" hidden="1">{"fdsup://Directions/FactSet Auditing Viewer?action=AUDIT_VALUE&amp;DB=129&amp;ID1=50216110&amp;VALUEID=02001&amp;SDATE=200702&amp;PERIODTYPE=QTR_STD&amp;SCFT=3&amp;window=popup_no_bar&amp;width=385&amp;height=120&amp;START_MAXIMIZED=FALSE&amp;creator=factset&amp;display_string=Audit"}</definedName>
    <definedName name="_3785__FDSAUDITLINK__" hidden="1">{"fdsup://Directions/FactSet Auditing Viewer?action=AUDIT_VALUE&amp;DB=129&amp;ID1=50216110&amp;VALUEID=02001&amp;SDATE=200701&amp;PERIODTYPE=QTR_STD&amp;SCFT=3&amp;window=popup_no_bar&amp;width=385&amp;height=120&amp;START_MAXIMIZED=FALSE&amp;creator=factset&amp;display_string=Audit"}</definedName>
    <definedName name="_3786__FDSAUDITLINK__" hidden="1">{"fdsup://Directions/FactSet Auditing Viewer?action=AUDIT_VALUE&amp;DB=129&amp;ID1=50216110&amp;VALUEID=02001&amp;SDATE=200701&amp;PERIODTYPE=QTR_STD&amp;SCFT=3&amp;window=popup_no_bar&amp;width=385&amp;height=120&amp;START_MAXIMIZED=FALSE&amp;creator=factset&amp;display_string=Audit"}</definedName>
    <definedName name="_3787__FDSAUDITLINK__" hidden="1">{"fdsup://Directions/FactSet Auditing Viewer?action=AUDIT_VALUE&amp;DB=129&amp;ID1=50216110&amp;VALUEID=02001&amp;SDATE=200603&amp;PERIODTYPE=QTR_STD&amp;SCFT=3&amp;window=popup_no_bar&amp;width=385&amp;height=120&amp;START_MAXIMIZED=FALSE&amp;creator=factset&amp;display_string=Audit"}</definedName>
    <definedName name="_3788__FDSAUDITLINK__" hidden="1">{"fdsup://Directions/FactSet Auditing Viewer?action=AUDIT_VALUE&amp;DB=129&amp;ID1=50216110&amp;VALUEID=02001&amp;SDATE=200603&amp;PERIODTYPE=QTR_STD&amp;SCFT=3&amp;window=popup_no_bar&amp;width=385&amp;height=120&amp;START_MAXIMIZED=FALSE&amp;creator=factset&amp;display_string=Audit"}</definedName>
    <definedName name="_3789__FDSAUDITLINK__" hidden="1">{"fdsup://Directions/FactSet Auditing Viewer?action=AUDIT_VALUE&amp;DB=129&amp;ID1=50216110&amp;VALUEID=02001&amp;SDATE=200602&amp;PERIODTYPE=QTR_STD&amp;SCFT=3&amp;window=popup_no_bar&amp;width=385&amp;height=120&amp;START_MAXIMIZED=FALSE&amp;creator=factset&amp;display_string=Audit"}</definedName>
    <definedName name="_379__FDSAUDITLINK__" hidden="1">{"fdsup://Directions/FactSet Auditing Viewer?action=AUDIT_VALUE&amp;DB=129&amp;ID1=48248010&amp;VALUEID=02001&amp;SDATE=201101&amp;PERIODTYPE=QTR_STD&amp;SCFT=3&amp;window=popup_no_bar&amp;width=385&amp;height=120&amp;START_MAXIMIZED=FALSE&amp;creator=factset&amp;display_string=Audit"}</definedName>
    <definedName name="_3790__FDSAUDITLINK__" hidden="1">{"fdsup://Directions/FactSet Auditing Viewer?action=AUDIT_VALUE&amp;DB=129&amp;ID1=50216110&amp;VALUEID=02001&amp;SDATE=200602&amp;PERIODTYPE=QTR_STD&amp;SCFT=3&amp;window=popup_no_bar&amp;width=385&amp;height=120&amp;START_MAXIMIZED=FALSE&amp;creator=factset&amp;display_string=Audit"}</definedName>
    <definedName name="_3791__FDSAUDITLINK__" hidden="1">{"fdsup://Directions/FactSet Auditing Viewer?action=AUDIT_VALUE&amp;DB=129&amp;ID1=50216110&amp;VALUEID=02001&amp;SDATE=200601&amp;PERIODTYPE=QTR_STD&amp;SCFT=3&amp;window=popup_no_bar&amp;width=385&amp;height=120&amp;START_MAXIMIZED=FALSE&amp;creator=factset&amp;display_string=Audit"}</definedName>
    <definedName name="_3792__FDSAUDITLINK__" hidden="1">{"fdsup://Directions/FactSet Auditing Viewer?action=AUDIT_VALUE&amp;DB=129&amp;ID1=50216110&amp;VALUEID=02001&amp;SDATE=200601&amp;PERIODTYPE=QTR_STD&amp;SCFT=3&amp;window=popup_no_bar&amp;width=385&amp;height=120&amp;START_MAXIMIZED=FALSE&amp;creator=factset&amp;display_string=Audit"}</definedName>
    <definedName name="_3793__FDSAUDITLINK__" hidden="1">{"fdsup://Directions/FactSet Auditing Viewer?action=AUDIT_VALUE&amp;DB=129&amp;ID1=50216110&amp;VALUEID=02001&amp;SDATE=200503&amp;PERIODTYPE=QTR_STD&amp;SCFT=3&amp;window=popup_no_bar&amp;width=385&amp;height=120&amp;START_MAXIMIZED=FALSE&amp;creator=factset&amp;display_string=Audit"}</definedName>
    <definedName name="_3794__FDSAUDITLINK__" hidden="1">{"fdsup://Directions/FactSet Auditing Viewer?action=AUDIT_VALUE&amp;DB=129&amp;ID1=50216110&amp;VALUEID=02001&amp;SDATE=200503&amp;PERIODTYPE=QTR_STD&amp;SCFT=3&amp;window=popup_no_bar&amp;width=385&amp;height=120&amp;START_MAXIMIZED=FALSE&amp;creator=factset&amp;display_string=Audit"}</definedName>
    <definedName name="_3795__FDSAUDITLINK__" hidden="1">{"fdsup://Directions/FactSet Auditing Viewer?action=AUDIT_VALUE&amp;DB=129&amp;ID1=50216110&amp;VALUEID=02001&amp;SDATE=200502&amp;PERIODTYPE=QTR_STD&amp;SCFT=3&amp;window=popup_no_bar&amp;width=385&amp;height=120&amp;START_MAXIMIZED=FALSE&amp;creator=factset&amp;display_string=Audit"}</definedName>
    <definedName name="_3796__FDSAUDITLINK__" hidden="1">{"fdsup://Directions/FactSet Auditing Viewer?action=AUDIT_VALUE&amp;DB=129&amp;ID1=50216110&amp;VALUEID=02001&amp;SDATE=200502&amp;PERIODTYPE=QTR_STD&amp;SCFT=3&amp;window=popup_no_bar&amp;width=385&amp;height=120&amp;START_MAXIMIZED=FALSE&amp;creator=factset&amp;display_string=Audit"}</definedName>
    <definedName name="_3797__FDSAUDITLINK__" hidden="1">{"fdsup://Directions/FactSet Auditing Viewer?action=AUDIT_VALUE&amp;DB=129&amp;ID1=50216110&amp;VALUEID=02001&amp;SDATE=200501&amp;PERIODTYPE=QTR_STD&amp;SCFT=3&amp;window=popup_no_bar&amp;width=385&amp;height=120&amp;START_MAXIMIZED=FALSE&amp;creator=factset&amp;display_string=Audit"}</definedName>
    <definedName name="_3798__FDSAUDITLINK__" hidden="1">{"fdsup://Directions/FactSet Auditing Viewer?action=AUDIT_VALUE&amp;DB=129&amp;ID1=50216110&amp;VALUEID=02001&amp;SDATE=200501&amp;PERIODTYPE=QTR_STD&amp;SCFT=3&amp;window=popup_no_bar&amp;width=385&amp;height=120&amp;START_MAXIMIZED=FALSE&amp;creator=factset&amp;display_string=Audit"}</definedName>
    <definedName name="_3799__FDSAUDITLINK__" hidden="1">{"fdsup://Directions/FactSet Auditing Viewer?action=AUDIT_VALUE&amp;DB=129&amp;ID1=50216110&amp;VALUEID=02001&amp;SDATE=200403&amp;PERIODTYPE=QTR_STD&amp;SCFT=3&amp;window=popup_no_bar&amp;width=385&amp;height=120&amp;START_MAXIMIZED=FALSE&amp;creator=factset&amp;display_string=Audit"}</definedName>
    <definedName name="_38__FDSAUDITLINK__" hidden="1">{"fdsup://directions/FAT Viewer?action=UPDATE&amp;creator=factset&amp;DYN_ARGS=TRUE&amp;DOC_NAME=FAT:FQL_AUDITING_CLIENT_TEMPLATE.FAT&amp;display_string=Audit&amp;VAR:KEY=YFAFEHWTYD&amp;VAR:QUERY=RkZfU0hTX0ZMT0FUKEFOTiw0MDgxNik=&amp;WINDOW=FIRST_POPUP&amp;HEIGHT=450&amp;WIDTH=450&amp;START_MAXIMI","ZED=FALSE&amp;VAR:CALENDAR=US&amp;VAR:SYMBOL=LVS&amp;VAR:INDEX=0"}</definedName>
    <definedName name="_380__FDSAUDITLINK__" hidden="1">{"fdsup://Directions/FactSet Auditing Viewer?action=AUDIT_VALUE&amp;DB=129&amp;ID1=48248010&amp;VALUEID=02001&amp;SDATE=201101&amp;PERIODTYPE=QTR_STD&amp;SCFT=3&amp;window=popup_no_bar&amp;width=385&amp;height=120&amp;START_MAXIMIZED=FALSE&amp;creator=factset&amp;display_string=Audit"}</definedName>
    <definedName name="_3800__FDSAUDITLINK__" hidden="1">{"fdsup://Directions/FactSet Auditing Viewer?action=AUDIT_VALUE&amp;DB=129&amp;ID1=50216110&amp;VALUEID=02001&amp;SDATE=200403&amp;PERIODTYPE=QTR_STD&amp;SCFT=3&amp;window=popup_no_bar&amp;width=385&amp;height=120&amp;START_MAXIMIZED=FALSE&amp;creator=factset&amp;display_string=Audit"}</definedName>
    <definedName name="_3801__FDSAUDITLINK__" hidden="1">{"fdsup://Directions/FactSet Auditing Viewer?action=AUDIT_VALUE&amp;DB=129&amp;ID1=50216110&amp;VALUEID=02001&amp;SDATE=200402&amp;PERIODTYPE=QTR_STD&amp;SCFT=3&amp;window=popup_no_bar&amp;width=385&amp;height=120&amp;START_MAXIMIZED=FALSE&amp;creator=factset&amp;display_string=Audit"}</definedName>
    <definedName name="_3802__FDSAUDITLINK__" hidden="1">{"fdsup://Directions/FactSet Auditing Viewer?action=AUDIT_VALUE&amp;DB=129&amp;ID1=50216110&amp;VALUEID=02001&amp;SDATE=200402&amp;PERIODTYPE=QTR_STD&amp;SCFT=3&amp;window=popup_no_bar&amp;width=385&amp;height=120&amp;START_MAXIMIZED=FALSE&amp;creator=factset&amp;display_string=Audit"}</definedName>
    <definedName name="_3803__FDSAUDITLINK__" hidden="1">{"fdsup://Directions/FactSet Auditing Viewer?action=AUDIT_VALUE&amp;DB=129&amp;ID1=50216110&amp;VALUEID=02001&amp;SDATE=200401&amp;PERIODTYPE=QTR_STD&amp;SCFT=3&amp;window=popup_no_bar&amp;width=385&amp;height=120&amp;START_MAXIMIZED=FALSE&amp;creator=factset&amp;display_string=Audit"}</definedName>
    <definedName name="_3804__FDSAUDITLINK__" hidden="1">{"fdsup://Directions/FactSet Auditing Viewer?action=AUDIT_VALUE&amp;DB=129&amp;ID1=50216110&amp;VALUEID=02001&amp;SDATE=200401&amp;PERIODTYPE=QTR_STD&amp;SCFT=3&amp;window=popup_no_bar&amp;width=385&amp;height=120&amp;START_MAXIMIZED=FALSE&amp;creator=factset&amp;display_string=Audit"}</definedName>
    <definedName name="_3805__FDSAUDITLINK__" hidden="1">{"fdsup://Directions/FactSet Auditing Viewer?action=AUDIT_VALUE&amp;DB=129&amp;ID1=51841510&amp;VALUEID=02001&amp;SDATE=200801&amp;PERIODTYPE=QTR_STD&amp;SCFT=3&amp;window=popup_no_bar&amp;width=385&amp;height=120&amp;START_MAXIMIZED=FALSE&amp;creator=factset&amp;display_string=Audit"}</definedName>
    <definedName name="_3806__FDSAUDITLINK__" hidden="1">{"fdsup://Directions/FactSet Auditing Viewer?action=AUDIT_VALUE&amp;DB=129&amp;ID1=51841510&amp;VALUEID=02001&amp;SDATE=200801&amp;PERIODTYPE=QTR_STD&amp;SCFT=3&amp;window=popup_no_bar&amp;width=385&amp;height=120&amp;START_MAXIMIZED=FALSE&amp;creator=factset&amp;display_string=Audit"}</definedName>
    <definedName name="_3807__FDSAUDITLINK__" hidden="1">{"fdsup://Directions/FactSet Auditing Viewer?action=AUDIT_VALUE&amp;DB=129&amp;ID1=51841510&amp;VALUEID=02001&amp;SDATE=200703&amp;PERIODTYPE=QTR_STD&amp;SCFT=3&amp;window=popup_no_bar&amp;width=385&amp;height=120&amp;START_MAXIMIZED=FALSE&amp;creator=factset&amp;display_string=Audit"}</definedName>
    <definedName name="_3808__FDSAUDITLINK__" hidden="1">{"fdsup://Directions/FactSet Auditing Viewer?action=AUDIT_VALUE&amp;DB=129&amp;ID1=51841510&amp;VALUEID=02001&amp;SDATE=200703&amp;PERIODTYPE=QTR_STD&amp;SCFT=3&amp;window=popup_no_bar&amp;width=385&amp;height=120&amp;START_MAXIMIZED=FALSE&amp;creator=factset&amp;display_string=Audit"}</definedName>
    <definedName name="_3809__FDSAUDITLINK__" hidden="1">{"fdsup://Directions/FactSet Auditing Viewer?action=AUDIT_VALUE&amp;DB=129&amp;ID1=51841510&amp;VALUEID=02001&amp;SDATE=200702&amp;PERIODTYPE=QTR_STD&amp;SCFT=3&amp;window=popup_no_bar&amp;width=385&amp;height=120&amp;START_MAXIMIZED=FALSE&amp;creator=factset&amp;display_string=Audit"}</definedName>
    <definedName name="_381__FDSAUDITLINK__" hidden="1">{"fdsup://Directions/FactSet Auditing Viewer?action=AUDIT_VALUE&amp;DB=129&amp;ID1=48836020&amp;VALUEID=02001&amp;SDATE=201002&amp;PERIODTYPE=QTR_STD&amp;SCFT=3&amp;window=popup_no_bar&amp;width=385&amp;height=120&amp;START_MAXIMIZED=FALSE&amp;creator=factset&amp;display_string=Audit"}</definedName>
    <definedName name="_3810__FDSAUDITLINK__" hidden="1">{"fdsup://Directions/FactSet Auditing Viewer?action=AUDIT_VALUE&amp;DB=129&amp;ID1=51841510&amp;VALUEID=02001&amp;SDATE=200702&amp;PERIODTYPE=QTR_STD&amp;SCFT=3&amp;window=popup_no_bar&amp;width=385&amp;height=120&amp;START_MAXIMIZED=FALSE&amp;creator=factset&amp;display_string=Audit"}</definedName>
    <definedName name="_3811__FDSAUDITLINK__" hidden="1">{"fdsup://Directions/FactSet Auditing Viewer?action=AUDIT_VALUE&amp;DB=129&amp;ID1=51841510&amp;VALUEID=02001&amp;SDATE=200701&amp;PERIODTYPE=QTR_STD&amp;SCFT=3&amp;window=popup_no_bar&amp;width=385&amp;height=120&amp;START_MAXIMIZED=FALSE&amp;creator=factset&amp;display_string=Audit"}</definedName>
    <definedName name="_3812__FDSAUDITLINK__" hidden="1">{"fdsup://Directions/FactSet Auditing Viewer?action=AUDIT_VALUE&amp;DB=129&amp;ID1=51841510&amp;VALUEID=02001&amp;SDATE=200701&amp;PERIODTYPE=QTR_STD&amp;SCFT=3&amp;window=popup_no_bar&amp;width=385&amp;height=120&amp;START_MAXIMIZED=FALSE&amp;creator=factset&amp;display_string=Audit"}</definedName>
    <definedName name="_3813__FDSAUDITLINK__" hidden="1">{"fdsup://Directions/FactSet Auditing Viewer?action=AUDIT_VALUE&amp;DB=129&amp;ID1=51841510&amp;VALUEID=02001&amp;SDATE=200603&amp;PERIODTYPE=QTR_STD&amp;SCFT=3&amp;window=popup_no_bar&amp;width=385&amp;height=120&amp;START_MAXIMIZED=FALSE&amp;creator=factset&amp;display_string=Audit"}</definedName>
    <definedName name="_3814__FDSAUDITLINK__" hidden="1">{"fdsup://Directions/FactSet Auditing Viewer?action=AUDIT_VALUE&amp;DB=129&amp;ID1=51841510&amp;VALUEID=02001&amp;SDATE=200603&amp;PERIODTYPE=QTR_STD&amp;SCFT=3&amp;window=popup_no_bar&amp;width=385&amp;height=120&amp;START_MAXIMIZED=FALSE&amp;creator=factset&amp;display_string=Audit"}</definedName>
    <definedName name="_3815__FDSAUDITLINK__" hidden="1">{"fdsup://Directions/FactSet Auditing Viewer?action=AUDIT_VALUE&amp;DB=129&amp;ID1=51841510&amp;VALUEID=02001&amp;SDATE=200602&amp;PERIODTYPE=QTR_STD&amp;SCFT=3&amp;window=popup_no_bar&amp;width=385&amp;height=120&amp;START_MAXIMIZED=FALSE&amp;creator=factset&amp;display_string=Audit"}</definedName>
    <definedName name="_3816__FDSAUDITLINK__" hidden="1">{"fdsup://Directions/FactSet Auditing Viewer?action=AUDIT_VALUE&amp;DB=129&amp;ID1=51841510&amp;VALUEID=02001&amp;SDATE=200602&amp;PERIODTYPE=QTR_STD&amp;SCFT=3&amp;window=popup_no_bar&amp;width=385&amp;height=120&amp;START_MAXIMIZED=FALSE&amp;creator=factset&amp;display_string=Audit"}</definedName>
    <definedName name="_3817__FDSAUDITLINK__" hidden="1">{"fdsup://Directions/FactSet Auditing Viewer?action=AUDIT_VALUE&amp;DB=129&amp;ID1=51841510&amp;VALUEID=02001&amp;SDATE=200601&amp;PERIODTYPE=QTR_STD&amp;SCFT=3&amp;window=popup_no_bar&amp;width=385&amp;height=120&amp;START_MAXIMIZED=FALSE&amp;creator=factset&amp;display_string=Audit"}</definedName>
    <definedName name="_3818__FDSAUDITLINK__" hidden="1">{"fdsup://Directions/FactSet Auditing Viewer?action=AUDIT_VALUE&amp;DB=129&amp;ID1=51841510&amp;VALUEID=02001&amp;SDATE=200601&amp;PERIODTYPE=QTR_STD&amp;SCFT=3&amp;window=popup_no_bar&amp;width=385&amp;height=120&amp;START_MAXIMIZED=FALSE&amp;creator=factset&amp;display_string=Audit"}</definedName>
    <definedName name="_3819__FDSAUDITLINK__" hidden="1">{"fdsup://Directions/FactSet Auditing Viewer?action=AUDIT_VALUE&amp;DB=129&amp;ID1=51841510&amp;VALUEID=02001&amp;SDATE=200503&amp;PERIODTYPE=QTR_STD&amp;SCFT=3&amp;window=popup_no_bar&amp;width=385&amp;height=120&amp;START_MAXIMIZED=FALSE&amp;creator=factset&amp;display_string=Audit"}</definedName>
    <definedName name="_382__FDSAUDITLINK__" hidden="1">{"fdsup://Directions/FactSet Auditing Viewer?action=AUDIT_VALUE&amp;DB=129&amp;ID1=48836020&amp;VALUEID=02001&amp;SDATE=201002&amp;PERIODTYPE=QTR_STD&amp;SCFT=3&amp;window=popup_no_bar&amp;width=385&amp;height=120&amp;START_MAXIMIZED=FALSE&amp;creator=factset&amp;display_string=Audit"}</definedName>
    <definedName name="_3820__FDSAUDITLINK__" hidden="1">{"fdsup://Directions/FactSet Auditing Viewer?action=AUDIT_VALUE&amp;DB=129&amp;ID1=51841510&amp;VALUEID=02001&amp;SDATE=200503&amp;PERIODTYPE=QTR_STD&amp;SCFT=3&amp;window=popup_no_bar&amp;width=385&amp;height=120&amp;START_MAXIMIZED=FALSE&amp;creator=factset&amp;display_string=Audit"}</definedName>
    <definedName name="_3821__FDSAUDITLINK__" hidden="1">{"fdsup://Directions/FactSet Auditing Viewer?action=AUDIT_VALUE&amp;DB=129&amp;ID1=51841510&amp;VALUEID=02001&amp;SDATE=200502&amp;PERIODTYPE=QTR_STD&amp;SCFT=3&amp;window=popup_no_bar&amp;width=385&amp;height=120&amp;START_MAXIMIZED=FALSE&amp;creator=factset&amp;display_string=Audit"}</definedName>
    <definedName name="_3822__FDSAUDITLINK__" hidden="1">{"fdsup://Directions/FactSet Auditing Viewer?action=AUDIT_VALUE&amp;DB=129&amp;ID1=51841510&amp;VALUEID=02001&amp;SDATE=200502&amp;PERIODTYPE=QTR_STD&amp;SCFT=3&amp;window=popup_no_bar&amp;width=385&amp;height=120&amp;START_MAXIMIZED=FALSE&amp;creator=factset&amp;display_string=Audit"}</definedName>
    <definedName name="_3823__FDSAUDITLINK__" hidden="1">{"fdsup://Directions/FactSet Auditing Viewer?action=AUDIT_VALUE&amp;DB=129&amp;ID1=51841510&amp;VALUEID=02001&amp;SDATE=200403&amp;PERIODTYPE=QTR_STD&amp;SCFT=3&amp;window=popup_no_bar&amp;width=385&amp;height=120&amp;START_MAXIMIZED=FALSE&amp;creator=factset&amp;display_string=Audit"}</definedName>
    <definedName name="_3824__FDSAUDITLINK__" hidden="1">{"fdsup://Directions/FactSet Auditing Viewer?action=AUDIT_VALUE&amp;DB=129&amp;ID1=51841510&amp;VALUEID=02001&amp;SDATE=200403&amp;PERIODTYPE=QTR_STD&amp;SCFT=3&amp;window=popup_no_bar&amp;width=385&amp;height=120&amp;START_MAXIMIZED=FALSE&amp;creator=factset&amp;display_string=Audit"}</definedName>
    <definedName name="_3825__FDSAUDITLINK__" hidden="1">{"fdsup://Directions/FactSet Auditing Viewer?action=AUDIT_VALUE&amp;DB=129&amp;ID1=51841510&amp;VALUEID=02001&amp;SDATE=200402&amp;PERIODTYPE=QTR_STD&amp;SCFT=3&amp;window=popup_no_bar&amp;width=385&amp;height=120&amp;START_MAXIMIZED=FALSE&amp;creator=factset&amp;display_string=Audit"}</definedName>
    <definedName name="_3826__FDSAUDITLINK__" hidden="1">{"fdsup://Directions/FactSet Auditing Viewer?action=AUDIT_VALUE&amp;DB=129&amp;ID1=51841510&amp;VALUEID=02001&amp;SDATE=200402&amp;PERIODTYPE=QTR_STD&amp;SCFT=3&amp;window=popup_no_bar&amp;width=385&amp;height=120&amp;START_MAXIMIZED=FALSE&amp;creator=factset&amp;display_string=Audit"}</definedName>
    <definedName name="_3827__FDSAUDITLINK__" hidden="1">{"fdsup://Directions/FactSet Auditing Viewer?action=AUDIT_VALUE&amp;DB=129&amp;ID1=51841510&amp;VALUEID=02001&amp;SDATE=200401&amp;PERIODTYPE=QTR_STD&amp;SCFT=3&amp;window=popup_no_bar&amp;width=385&amp;height=120&amp;START_MAXIMIZED=FALSE&amp;creator=factset&amp;display_string=Audit"}</definedName>
    <definedName name="_3828__FDSAUDITLINK__" hidden="1">{"fdsup://Directions/FactSet Auditing Viewer?action=AUDIT_VALUE&amp;DB=129&amp;ID1=51841510&amp;VALUEID=02001&amp;SDATE=200401&amp;PERIODTYPE=QTR_STD&amp;SCFT=3&amp;window=popup_no_bar&amp;width=385&amp;height=120&amp;START_MAXIMIZED=FALSE&amp;creator=factset&amp;display_string=Audit"}</definedName>
    <definedName name="_3829__FDSAUDITLINK__" hidden="1">{"fdsup://Directions/FactSet Auditing Viewer?action=AUDIT_VALUE&amp;DB=129&amp;ID1=51280710&amp;VALUEID=02001&amp;SDATE=200803&amp;PERIODTYPE=QTR_STD&amp;SCFT=3&amp;window=popup_no_bar&amp;width=385&amp;height=120&amp;START_MAXIMIZED=FALSE&amp;creator=factset&amp;display_string=Audit"}</definedName>
    <definedName name="_383__FDSAUDITLINK__" hidden="1">{"fdsup://Directions/FactSet Auditing Viewer?action=AUDIT_VALUE&amp;DB=129&amp;ID1=48203R10&amp;VALUEID=02001&amp;SDATE=201003&amp;PERIODTYPE=QTR_STD&amp;SCFT=3&amp;window=popup_no_bar&amp;width=385&amp;height=120&amp;START_MAXIMIZED=FALSE&amp;creator=factset&amp;display_string=Audit"}</definedName>
    <definedName name="_3830__FDSAUDITLINK__" hidden="1">{"fdsup://Directions/FactSet Auditing Viewer?action=AUDIT_VALUE&amp;DB=129&amp;ID1=51280710&amp;VALUEID=02001&amp;SDATE=200803&amp;PERIODTYPE=QTR_STD&amp;SCFT=3&amp;window=popup_no_bar&amp;width=385&amp;height=120&amp;START_MAXIMIZED=FALSE&amp;creator=factset&amp;display_string=Audit"}</definedName>
    <definedName name="_3831__FDSAUDITLINK__" hidden="1">{"fdsup://Directions/FactSet Auditing Viewer?action=AUDIT_VALUE&amp;DB=129&amp;ID1=51280710&amp;VALUEID=02001&amp;SDATE=200802&amp;PERIODTYPE=QTR_STD&amp;SCFT=3&amp;window=popup_no_bar&amp;width=385&amp;height=120&amp;START_MAXIMIZED=FALSE&amp;creator=factset&amp;display_string=Audit"}</definedName>
    <definedName name="_3832__FDSAUDITLINK__" hidden="1">{"fdsup://Directions/FactSet Auditing Viewer?action=AUDIT_VALUE&amp;DB=129&amp;ID1=51280710&amp;VALUEID=02001&amp;SDATE=200802&amp;PERIODTYPE=QTR_STD&amp;SCFT=3&amp;window=popup_no_bar&amp;width=385&amp;height=120&amp;START_MAXIMIZED=FALSE&amp;creator=factset&amp;display_string=Audit"}</definedName>
    <definedName name="_3833__FDSAUDITLINK__" hidden="1">{"fdsup://Directions/FactSet Auditing Viewer?action=AUDIT_VALUE&amp;DB=129&amp;ID1=51280710&amp;VALUEID=02001&amp;SDATE=200801&amp;PERIODTYPE=QTR_STD&amp;SCFT=3&amp;window=popup_no_bar&amp;width=385&amp;height=120&amp;START_MAXIMIZED=FALSE&amp;creator=factset&amp;display_string=Audit"}</definedName>
    <definedName name="_3834__FDSAUDITLINK__" hidden="1">{"fdsup://Directions/FactSet Auditing Viewer?action=AUDIT_VALUE&amp;DB=129&amp;ID1=51280710&amp;VALUEID=02001&amp;SDATE=200801&amp;PERIODTYPE=QTR_STD&amp;SCFT=3&amp;window=popup_no_bar&amp;width=385&amp;height=120&amp;START_MAXIMIZED=FALSE&amp;creator=factset&amp;display_string=Audit"}</definedName>
    <definedName name="_3835__FDSAUDITLINK__" hidden="1">{"fdsup://Directions/FactSet Auditing Viewer?action=AUDIT_VALUE&amp;DB=129&amp;ID1=51280710&amp;VALUEID=02001&amp;SDATE=200703&amp;PERIODTYPE=QTR_STD&amp;SCFT=3&amp;window=popup_no_bar&amp;width=385&amp;height=120&amp;START_MAXIMIZED=FALSE&amp;creator=factset&amp;display_string=Audit"}</definedName>
    <definedName name="_3836__FDSAUDITLINK__" hidden="1">{"fdsup://Directions/FactSet Auditing Viewer?action=AUDIT_VALUE&amp;DB=129&amp;ID1=51280710&amp;VALUEID=02001&amp;SDATE=200703&amp;PERIODTYPE=QTR_STD&amp;SCFT=3&amp;window=popup_no_bar&amp;width=385&amp;height=120&amp;START_MAXIMIZED=FALSE&amp;creator=factset&amp;display_string=Audit"}</definedName>
    <definedName name="_3837__FDSAUDITLINK__" hidden="1">{"fdsup://Directions/FactSet Auditing Viewer?action=AUDIT_VALUE&amp;DB=129&amp;ID1=51280710&amp;VALUEID=02001&amp;SDATE=200702&amp;PERIODTYPE=QTR_STD&amp;SCFT=3&amp;window=popup_no_bar&amp;width=385&amp;height=120&amp;START_MAXIMIZED=FALSE&amp;creator=factset&amp;display_string=Audit"}</definedName>
    <definedName name="_3838__FDSAUDITLINK__" hidden="1">{"fdsup://Directions/FactSet Auditing Viewer?action=AUDIT_VALUE&amp;DB=129&amp;ID1=51280710&amp;VALUEID=02001&amp;SDATE=200702&amp;PERIODTYPE=QTR_STD&amp;SCFT=3&amp;window=popup_no_bar&amp;width=385&amp;height=120&amp;START_MAXIMIZED=FALSE&amp;creator=factset&amp;display_string=Audit"}</definedName>
    <definedName name="_3839__FDSAUDITLINK__" hidden="1">{"fdsup://Directions/FactSet Auditing Viewer?action=AUDIT_VALUE&amp;DB=129&amp;ID1=51280710&amp;VALUEID=02001&amp;SDATE=200701&amp;PERIODTYPE=QTR_STD&amp;SCFT=3&amp;window=popup_no_bar&amp;width=385&amp;height=120&amp;START_MAXIMIZED=FALSE&amp;creator=factset&amp;display_string=Audit"}</definedName>
    <definedName name="_384__FDSAUDITLINK__" hidden="1">{"fdsup://Directions/FactSet Auditing Viewer?action=AUDIT_VALUE&amp;DB=129&amp;ID1=48203R10&amp;VALUEID=02001&amp;SDATE=201003&amp;PERIODTYPE=QTR_STD&amp;SCFT=3&amp;window=popup_no_bar&amp;width=385&amp;height=120&amp;START_MAXIMIZED=FALSE&amp;creator=factset&amp;display_string=Audit"}</definedName>
    <definedName name="_3840__FDSAUDITLINK__" hidden="1">{"fdsup://Directions/FactSet Auditing Viewer?action=AUDIT_VALUE&amp;DB=129&amp;ID1=51280710&amp;VALUEID=02001&amp;SDATE=200701&amp;PERIODTYPE=QTR_STD&amp;SCFT=3&amp;window=popup_no_bar&amp;width=385&amp;height=120&amp;START_MAXIMIZED=FALSE&amp;creator=factset&amp;display_string=Audit"}</definedName>
    <definedName name="_3841__FDSAUDITLINK__" hidden="1">{"fdsup://Directions/FactSet Auditing Viewer?action=AUDIT_VALUE&amp;DB=129&amp;ID1=51280710&amp;VALUEID=02001&amp;SDATE=200603&amp;PERIODTYPE=QTR_STD&amp;SCFT=3&amp;window=popup_no_bar&amp;width=385&amp;height=120&amp;START_MAXIMIZED=FALSE&amp;creator=factset&amp;display_string=Audit"}</definedName>
    <definedName name="_3842__FDSAUDITLINK__" hidden="1">{"fdsup://Directions/FactSet Auditing Viewer?action=AUDIT_VALUE&amp;DB=129&amp;ID1=51280710&amp;VALUEID=02001&amp;SDATE=200603&amp;PERIODTYPE=QTR_STD&amp;SCFT=3&amp;window=popup_no_bar&amp;width=385&amp;height=120&amp;START_MAXIMIZED=FALSE&amp;creator=factset&amp;display_string=Audit"}</definedName>
    <definedName name="_3843__FDSAUDITLINK__" hidden="1">{"fdsup://Directions/FactSet Auditing Viewer?action=AUDIT_VALUE&amp;DB=129&amp;ID1=51280710&amp;VALUEID=02001&amp;SDATE=200602&amp;PERIODTYPE=QTR_STD&amp;SCFT=3&amp;window=popup_no_bar&amp;width=385&amp;height=120&amp;START_MAXIMIZED=FALSE&amp;creator=factset&amp;display_string=Audit"}</definedName>
    <definedName name="_3844__FDSAUDITLINK__" hidden="1">{"fdsup://Directions/FactSet Auditing Viewer?action=AUDIT_VALUE&amp;DB=129&amp;ID1=51280710&amp;VALUEID=02001&amp;SDATE=200602&amp;PERIODTYPE=QTR_STD&amp;SCFT=3&amp;window=popup_no_bar&amp;width=385&amp;height=120&amp;START_MAXIMIZED=FALSE&amp;creator=factset&amp;display_string=Audit"}</definedName>
    <definedName name="_3845__FDSAUDITLINK__" hidden="1">{"fdsup://Directions/FactSet Auditing Viewer?action=AUDIT_VALUE&amp;DB=129&amp;ID1=51280710&amp;VALUEID=02001&amp;SDATE=200601&amp;PERIODTYPE=QTR_STD&amp;SCFT=3&amp;window=popup_no_bar&amp;width=385&amp;height=120&amp;START_MAXIMIZED=FALSE&amp;creator=factset&amp;display_string=Audit"}</definedName>
    <definedName name="_3846__FDSAUDITLINK__" hidden="1">{"fdsup://Directions/FactSet Auditing Viewer?action=AUDIT_VALUE&amp;DB=129&amp;ID1=51280710&amp;VALUEID=02001&amp;SDATE=200601&amp;PERIODTYPE=QTR_STD&amp;SCFT=3&amp;window=popup_no_bar&amp;width=385&amp;height=120&amp;START_MAXIMIZED=FALSE&amp;creator=factset&amp;display_string=Audit"}</definedName>
    <definedName name="_3847__FDSAUDITLINK__" hidden="1">{"fdsup://Directions/FactSet Auditing Viewer?action=AUDIT_VALUE&amp;DB=129&amp;ID1=51280710&amp;VALUEID=02001&amp;SDATE=200502&amp;PERIODTYPE=QTR_STD&amp;SCFT=3&amp;window=popup_no_bar&amp;width=385&amp;height=120&amp;START_MAXIMIZED=FALSE&amp;creator=factset&amp;display_string=Audit"}</definedName>
    <definedName name="_3848__FDSAUDITLINK__" hidden="1">{"fdsup://Directions/FactSet Auditing Viewer?action=AUDIT_VALUE&amp;DB=129&amp;ID1=51280710&amp;VALUEID=02001&amp;SDATE=200502&amp;PERIODTYPE=QTR_STD&amp;SCFT=3&amp;window=popup_no_bar&amp;width=385&amp;height=120&amp;START_MAXIMIZED=FALSE&amp;creator=factset&amp;display_string=Audit"}</definedName>
    <definedName name="_3849__FDSAUDITLINK__" hidden="1">{"fdsup://Directions/FactSet Auditing Viewer?action=AUDIT_VALUE&amp;DB=129&amp;ID1=51280710&amp;VALUEID=02001&amp;SDATE=200501&amp;PERIODTYPE=QTR_STD&amp;SCFT=3&amp;window=popup_no_bar&amp;width=385&amp;height=120&amp;START_MAXIMIZED=FALSE&amp;creator=factset&amp;display_string=Audit"}</definedName>
    <definedName name="_385__FDSAUDITLINK__" hidden="1">{"fdsup://Directions/FactSet Auditing Viewer?action=AUDIT_VALUE&amp;DB=129&amp;ID1=46069S10&amp;VALUEID=02001&amp;SDATE=201003&amp;PERIODTYPE=QTR_STD&amp;SCFT=3&amp;window=popup_no_bar&amp;width=385&amp;height=120&amp;START_MAXIMIZED=FALSE&amp;creator=factset&amp;display_string=Audit"}</definedName>
    <definedName name="_3850__FDSAUDITLINK__" hidden="1">{"fdsup://Directions/FactSet Auditing Viewer?action=AUDIT_VALUE&amp;DB=129&amp;ID1=51280710&amp;VALUEID=02001&amp;SDATE=200501&amp;PERIODTYPE=QTR_STD&amp;SCFT=3&amp;window=popup_no_bar&amp;width=385&amp;height=120&amp;START_MAXIMIZED=FALSE&amp;creator=factset&amp;display_string=Audit"}</definedName>
    <definedName name="_3851__FDSAUDITLINK__" hidden="1">{"fdsup://Directions/FactSet Auditing Viewer?action=AUDIT_VALUE&amp;DB=129&amp;ID1=51280710&amp;VALUEID=02001&amp;SDATE=200403&amp;PERIODTYPE=QTR_STD&amp;SCFT=3&amp;window=popup_no_bar&amp;width=385&amp;height=120&amp;START_MAXIMIZED=FALSE&amp;creator=factset&amp;display_string=Audit"}</definedName>
    <definedName name="_3852__FDSAUDITLINK__" hidden="1">{"fdsup://Directions/FactSet Auditing Viewer?action=AUDIT_VALUE&amp;DB=129&amp;ID1=51280710&amp;VALUEID=02001&amp;SDATE=200403&amp;PERIODTYPE=QTR_STD&amp;SCFT=3&amp;window=popup_no_bar&amp;width=385&amp;height=120&amp;START_MAXIMIZED=FALSE&amp;creator=factset&amp;display_string=Audit"}</definedName>
    <definedName name="_3853__FDSAUDITLINK__" hidden="1">{"fdsup://Directions/FactSet Auditing Viewer?action=AUDIT_VALUE&amp;DB=129&amp;ID1=53567810&amp;VALUEID=02001&amp;SDATE=200803&amp;PERIODTYPE=QTR_STD&amp;SCFT=3&amp;window=popup_no_bar&amp;width=385&amp;height=120&amp;START_MAXIMIZED=FALSE&amp;creator=factset&amp;display_string=Audit"}</definedName>
    <definedName name="_3854__FDSAUDITLINK__" hidden="1">{"fdsup://Directions/FactSet Auditing Viewer?action=AUDIT_VALUE&amp;DB=129&amp;ID1=53567810&amp;VALUEID=02001&amp;SDATE=200803&amp;PERIODTYPE=QTR_STD&amp;SCFT=3&amp;window=popup_no_bar&amp;width=385&amp;height=120&amp;START_MAXIMIZED=FALSE&amp;creator=factset&amp;display_string=Audit"}</definedName>
    <definedName name="_3855__FDSAUDITLINK__" hidden="1">{"fdsup://Directions/FactSet Auditing Viewer?action=AUDIT_VALUE&amp;DB=129&amp;ID1=53567810&amp;VALUEID=02001&amp;SDATE=200802&amp;PERIODTYPE=QTR_STD&amp;SCFT=3&amp;window=popup_no_bar&amp;width=385&amp;height=120&amp;START_MAXIMIZED=FALSE&amp;creator=factset&amp;display_string=Audit"}</definedName>
    <definedName name="_3856__FDSAUDITLINK__" hidden="1">{"fdsup://Directions/FactSet Auditing Viewer?action=AUDIT_VALUE&amp;DB=129&amp;ID1=53567810&amp;VALUEID=02001&amp;SDATE=200802&amp;PERIODTYPE=QTR_STD&amp;SCFT=3&amp;window=popup_no_bar&amp;width=385&amp;height=120&amp;START_MAXIMIZED=FALSE&amp;creator=factset&amp;display_string=Audit"}</definedName>
    <definedName name="_3857__FDSAUDITLINK__" hidden="1">{"fdsup://Directions/FactSet Auditing Viewer?action=AUDIT_VALUE&amp;DB=129&amp;ID1=53567810&amp;VALUEID=02001&amp;SDATE=200801&amp;PERIODTYPE=QTR_STD&amp;SCFT=3&amp;window=popup_no_bar&amp;width=385&amp;height=120&amp;START_MAXIMIZED=FALSE&amp;creator=factset&amp;display_string=Audit"}</definedName>
    <definedName name="_3858__FDSAUDITLINK__" hidden="1">{"fdsup://Directions/FactSet Auditing Viewer?action=AUDIT_VALUE&amp;DB=129&amp;ID1=53567810&amp;VALUEID=02001&amp;SDATE=200801&amp;PERIODTYPE=QTR_STD&amp;SCFT=3&amp;window=popup_no_bar&amp;width=385&amp;height=120&amp;START_MAXIMIZED=FALSE&amp;creator=factset&amp;display_string=Audit"}</definedName>
    <definedName name="_3859__FDSAUDITLINK__" hidden="1">{"fdsup://Directions/FactSet Auditing Viewer?action=AUDIT_VALUE&amp;DB=129&amp;ID1=53567810&amp;VALUEID=02001&amp;SDATE=200703&amp;PERIODTYPE=QTR_STD&amp;SCFT=3&amp;window=popup_no_bar&amp;width=385&amp;height=120&amp;START_MAXIMIZED=FALSE&amp;creator=factset&amp;display_string=Audit"}</definedName>
    <definedName name="_386__FDSAUDITLINK__" hidden="1">{"fdsup://Directions/FactSet Auditing Viewer?action=AUDIT_VALUE&amp;DB=129&amp;ID1=46069S10&amp;VALUEID=02001&amp;SDATE=201003&amp;PERIODTYPE=QTR_STD&amp;SCFT=3&amp;window=popup_no_bar&amp;width=385&amp;height=120&amp;START_MAXIMIZED=FALSE&amp;creator=factset&amp;display_string=Audit"}</definedName>
    <definedName name="_3860__FDSAUDITLINK__" hidden="1">{"fdsup://Directions/FactSet Auditing Viewer?action=AUDIT_VALUE&amp;DB=129&amp;ID1=53567810&amp;VALUEID=02001&amp;SDATE=200703&amp;PERIODTYPE=QTR_STD&amp;SCFT=3&amp;window=popup_no_bar&amp;width=385&amp;height=120&amp;START_MAXIMIZED=FALSE&amp;creator=factset&amp;display_string=Audit"}</definedName>
    <definedName name="_3861__FDSAUDITLINK__" hidden="1">{"fdsup://Directions/FactSet Auditing Viewer?action=AUDIT_VALUE&amp;DB=129&amp;ID1=53567810&amp;VALUEID=02001&amp;SDATE=200702&amp;PERIODTYPE=QTR_STD&amp;SCFT=3&amp;window=popup_no_bar&amp;width=385&amp;height=120&amp;START_MAXIMIZED=FALSE&amp;creator=factset&amp;display_string=Audit"}</definedName>
    <definedName name="_3862__FDSAUDITLINK__" hidden="1">{"fdsup://Directions/FactSet Auditing Viewer?action=AUDIT_VALUE&amp;DB=129&amp;ID1=53567810&amp;VALUEID=02001&amp;SDATE=200702&amp;PERIODTYPE=QTR_STD&amp;SCFT=3&amp;window=popup_no_bar&amp;width=385&amp;height=120&amp;START_MAXIMIZED=FALSE&amp;creator=factset&amp;display_string=Audit"}</definedName>
    <definedName name="_3863__FDSAUDITLINK__" hidden="1">{"fdsup://Directions/FactSet Auditing Viewer?action=AUDIT_VALUE&amp;DB=129&amp;ID1=53567810&amp;VALUEID=02001&amp;SDATE=200701&amp;PERIODTYPE=QTR_STD&amp;SCFT=3&amp;window=popup_no_bar&amp;width=385&amp;height=120&amp;START_MAXIMIZED=FALSE&amp;creator=factset&amp;display_string=Audit"}</definedName>
    <definedName name="_3864__FDSAUDITLINK__" hidden="1">{"fdsup://Directions/FactSet Auditing Viewer?action=AUDIT_VALUE&amp;DB=129&amp;ID1=53567810&amp;VALUEID=02001&amp;SDATE=200701&amp;PERIODTYPE=QTR_STD&amp;SCFT=3&amp;window=popup_no_bar&amp;width=385&amp;height=120&amp;START_MAXIMIZED=FALSE&amp;creator=factset&amp;display_string=Audit"}</definedName>
    <definedName name="_3865__FDSAUDITLINK__" hidden="1">{"fdsup://Directions/FactSet Auditing Viewer?action=AUDIT_VALUE&amp;DB=129&amp;ID1=53567810&amp;VALUEID=02001&amp;SDATE=200603&amp;PERIODTYPE=QTR_STD&amp;SCFT=3&amp;window=popup_no_bar&amp;width=385&amp;height=120&amp;START_MAXIMIZED=FALSE&amp;creator=factset&amp;display_string=Audit"}</definedName>
    <definedName name="_3866__FDSAUDITLINK__" hidden="1">{"fdsup://Directions/FactSet Auditing Viewer?action=AUDIT_VALUE&amp;DB=129&amp;ID1=53567810&amp;VALUEID=02001&amp;SDATE=200603&amp;PERIODTYPE=QTR_STD&amp;SCFT=3&amp;window=popup_no_bar&amp;width=385&amp;height=120&amp;START_MAXIMIZED=FALSE&amp;creator=factset&amp;display_string=Audit"}</definedName>
    <definedName name="_3867__FDSAUDITLINK__" hidden="1">{"fdsup://Directions/FactSet Auditing Viewer?action=AUDIT_VALUE&amp;DB=129&amp;ID1=53567810&amp;VALUEID=02001&amp;SDATE=200602&amp;PERIODTYPE=QTR_STD&amp;SCFT=3&amp;window=popup_no_bar&amp;width=385&amp;height=120&amp;START_MAXIMIZED=FALSE&amp;creator=factset&amp;display_string=Audit"}</definedName>
    <definedName name="_3868__FDSAUDITLINK__" hidden="1">{"fdsup://Directions/FactSet Auditing Viewer?action=AUDIT_VALUE&amp;DB=129&amp;ID1=53567810&amp;VALUEID=02001&amp;SDATE=200602&amp;PERIODTYPE=QTR_STD&amp;SCFT=3&amp;window=popup_no_bar&amp;width=385&amp;height=120&amp;START_MAXIMIZED=FALSE&amp;creator=factset&amp;display_string=Audit"}</definedName>
    <definedName name="_3869__FDSAUDITLINK__" hidden="1">{"fdsup://Directions/FactSet Auditing Viewer?action=AUDIT_VALUE&amp;DB=129&amp;ID1=53567810&amp;VALUEID=02001&amp;SDATE=200601&amp;PERIODTYPE=QTR_STD&amp;SCFT=3&amp;window=popup_no_bar&amp;width=385&amp;height=120&amp;START_MAXIMIZED=FALSE&amp;creator=factset&amp;display_string=Audit"}</definedName>
    <definedName name="_387__FDSAUDITLINK__" hidden="1">{"fdsup://Directions/FactSet Auditing Viewer?action=AUDIT_VALUE&amp;DB=129&amp;ID1=46025410&amp;VALUEID=02001&amp;SDATE=201101&amp;PERIODTYPE=QTR_STD&amp;SCFT=3&amp;window=popup_no_bar&amp;width=385&amp;height=120&amp;START_MAXIMIZED=FALSE&amp;creator=factset&amp;display_string=Audit"}</definedName>
    <definedName name="_3870__FDSAUDITLINK__" hidden="1">{"fdsup://Directions/FactSet Auditing Viewer?action=AUDIT_VALUE&amp;DB=129&amp;ID1=53567810&amp;VALUEID=02001&amp;SDATE=200601&amp;PERIODTYPE=QTR_STD&amp;SCFT=3&amp;window=popup_no_bar&amp;width=385&amp;height=120&amp;START_MAXIMIZED=FALSE&amp;creator=factset&amp;display_string=Audit"}</definedName>
    <definedName name="_3871__FDSAUDITLINK__" hidden="1">{"fdsup://Directions/FactSet Auditing Viewer?action=AUDIT_VALUE&amp;DB=129&amp;ID1=53567810&amp;VALUEID=02001&amp;SDATE=200503&amp;PERIODTYPE=QTR_STD&amp;SCFT=3&amp;window=popup_no_bar&amp;width=385&amp;height=120&amp;START_MAXIMIZED=FALSE&amp;creator=factset&amp;display_string=Audit"}</definedName>
    <definedName name="_3872__FDSAUDITLINK__" hidden="1">{"fdsup://Directions/FactSet Auditing Viewer?action=AUDIT_VALUE&amp;DB=129&amp;ID1=53567810&amp;VALUEID=02001&amp;SDATE=200503&amp;PERIODTYPE=QTR_STD&amp;SCFT=3&amp;window=popup_no_bar&amp;width=385&amp;height=120&amp;START_MAXIMIZED=FALSE&amp;creator=factset&amp;display_string=Audit"}</definedName>
    <definedName name="_3873__FDSAUDITLINK__" hidden="1">{"fdsup://Directions/FactSet Auditing Viewer?action=AUDIT_VALUE&amp;DB=129&amp;ID1=53567810&amp;VALUEID=02001&amp;SDATE=200502&amp;PERIODTYPE=QTR_STD&amp;SCFT=3&amp;window=popup_no_bar&amp;width=385&amp;height=120&amp;START_MAXIMIZED=FALSE&amp;creator=factset&amp;display_string=Audit"}</definedName>
    <definedName name="_3874__FDSAUDITLINK__" hidden="1">{"fdsup://Directions/FactSet Auditing Viewer?action=AUDIT_VALUE&amp;DB=129&amp;ID1=53567810&amp;VALUEID=02001&amp;SDATE=200502&amp;PERIODTYPE=QTR_STD&amp;SCFT=3&amp;window=popup_no_bar&amp;width=385&amp;height=120&amp;START_MAXIMIZED=FALSE&amp;creator=factset&amp;display_string=Audit"}</definedName>
    <definedName name="_3875__FDSAUDITLINK__" hidden="1">{"fdsup://Directions/FactSet Auditing Viewer?action=AUDIT_VALUE&amp;DB=129&amp;ID1=53567810&amp;VALUEID=02001&amp;SDATE=200501&amp;PERIODTYPE=QTR_STD&amp;SCFT=3&amp;window=popup_no_bar&amp;width=385&amp;height=120&amp;START_MAXIMIZED=FALSE&amp;creator=factset&amp;display_string=Audit"}</definedName>
    <definedName name="_3876__FDSAUDITLINK__" hidden="1">{"fdsup://Directions/FactSet Auditing Viewer?action=AUDIT_VALUE&amp;DB=129&amp;ID1=53567810&amp;VALUEID=02001&amp;SDATE=200501&amp;PERIODTYPE=QTR_STD&amp;SCFT=3&amp;window=popup_no_bar&amp;width=385&amp;height=120&amp;START_MAXIMIZED=FALSE&amp;creator=factset&amp;display_string=Audit"}</definedName>
    <definedName name="_3877__FDSAUDITLINK__" hidden="1">{"fdsup://Directions/FactSet Auditing Viewer?action=AUDIT_VALUE&amp;DB=129&amp;ID1=53567810&amp;VALUEID=02001&amp;SDATE=200403&amp;PERIODTYPE=QTR_STD&amp;SCFT=3&amp;window=popup_no_bar&amp;width=385&amp;height=120&amp;START_MAXIMIZED=FALSE&amp;creator=factset&amp;display_string=Audit"}</definedName>
    <definedName name="_3878__FDSAUDITLINK__" hidden="1">{"fdsup://Directions/FactSet Auditing Viewer?action=AUDIT_VALUE&amp;DB=129&amp;ID1=53567810&amp;VALUEID=02001&amp;SDATE=200403&amp;PERIODTYPE=QTR_STD&amp;SCFT=3&amp;window=popup_no_bar&amp;width=385&amp;height=120&amp;START_MAXIMIZED=FALSE&amp;creator=factset&amp;display_string=Audit"}</definedName>
    <definedName name="_3879__FDSAUDITLINK__" hidden="1">{"fdsup://Directions/FactSet Auditing Viewer?action=AUDIT_VALUE&amp;DB=129&amp;ID1=48248010&amp;VALUEID=02001&amp;SDATE=200803&amp;PERIODTYPE=QTR_STD&amp;SCFT=3&amp;window=popup_no_bar&amp;width=385&amp;height=120&amp;START_MAXIMIZED=FALSE&amp;creator=factset&amp;display_string=Audit"}</definedName>
    <definedName name="_388__FDSAUDITLINK__" hidden="1">{"fdsup://Directions/FactSet Auditing Viewer?action=AUDIT_VALUE&amp;DB=129&amp;ID1=46025410&amp;VALUEID=02001&amp;SDATE=201101&amp;PERIODTYPE=QTR_STD&amp;SCFT=3&amp;window=popup_no_bar&amp;width=385&amp;height=120&amp;START_MAXIMIZED=FALSE&amp;creator=factset&amp;display_string=Audit"}</definedName>
    <definedName name="_3880__FDSAUDITLINK__" hidden="1">{"fdsup://Directions/FactSet Auditing Viewer?action=AUDIT_VALUE&amp;DB=129&amp;ID1=48248010&amp;VALUEID=02001&amp;SDATE=200803&amp;PERIODTYPE=QTR_STD&amp;SCFT=3&amp;window=popup_no_bar&amp;width=385&amp;height=120&amp;START_MAXIMIZED=FALSE&amp;creator=factset&amp;display_string=Audit"}</definedName>
    <definedName name="_3881__FDSAUDITLINK__" hidden="1">{"fdsup://Directions/FactSet Auditing Viewer?action=AUDIT_VALUE&amp;DB=129&amp;ID1=48248010&amp;VALUEID=02001&amp;SDATE=200802&amp;PERIODTYPE=QTR_STD&amp;SCFT=3&amp;window=popup_no_bar&amp;width=385&amp;height=120&amp;START_MAXIMIZED=FALSE&amp;creator=factset&amp;display_string=Audit"}</definedName>
    <definedName name="_3882__FDSAUDITLINK__" hidden="1">{"fdsup://Directions/FactSet Auditing Viewer?action=AUDIT_VALUE&amp;DB=129&amp;ID1=48248010&amp;VALUEID=02001&amp;SDATE=200802&amp;PERIODTYPE=QTR_STD&amp;SCFT=3&amp;window=popup_no_bar&amp;width=385&amp;height=120&amp;START_MAXIMIZED=FALSE&amp;creator=factset&amp;display_string=Audit"}</definedName>
    <definedName name="_3883__FDSAUDITLINK__" hidden="1">{"fdsup://Directions/FactSet Auditing Viewer?action=AUDIT_VALUE&amp;DB=129&amp;ID1=48248010&amp;VALUEID=02001&amp;SDATE=200801&amp;PERIODTYPE=QTR_STD&amp;SCFT=3&amp;window=popup_no_bar&amp;width=385&amp;height=120&amp;START_MAXIMIZED=FALSE&amp;creator=factset&amp;display_string=Audit"}</definedName>
    <definedName name="_3884__FDSAUDITLINK__" hidden="1">{"fdsup://Directions/FactSet Auditing Viewer?action=AUDIT_VALUE&amp;DB=129&amp;ID1=48248010&amp;VALUEID=02001&amp;SDATE=200801&amp;PERIODTYPE=QTR_STD&amp;SCFT=3&amp;window=popup_no_bar&amp;width=385&amp;height=120&amp;START_MAXIMIZED=FALSE&amp;creator=factset&amp;display_string=Audit"}</definedName>
    <definedName name="_3885__FDSAUDITLINK__" hidden="1">{"fdsup://Directions/FactSet Auditing Viewer?action=AUDIT_VALUE&amp;DB=129&amp;ID1=48248010&amp;VALUEID=02001&amp;SDATE=200703&amp;PERIODTYPE=QTR_STD&amp;SCFT=3&amp;window=popup_no_bar&amp;width=385&amp;height=120&amp;START_MAXIMIZED=FALSE&amp;creator=factset&amp;display_string=Audit"}</definedName>
    <definedName name="_3886__FDSAUDITLINK__" hidden="1">{"fdsup://Directions/FactSet Auditing Viewer?action=AUDIT_VALUE&amp;DB=129&amp;ID1=48248010&amp;VALUEID=02001&amp;SDATE=200703&amp;PERIODTYPE=QTR_STD&amp;SCFT=3&amp;window=popup_no_bar&amp;width=385&amp;height=120&amp;START_MAXIMIZED=FALSE&amp;creator=factset&amp;display_string=Audit"}</definedName>
    <definedName name="_3887__FDSAUDITLINK__" hidden="1">{"fdsup://Directions/FactSet Auditing Viewer?action=AUDIT_VALUE&amp;DB=129&amp;ID1=48248010&amp;VALUEID=02001&amp;SDATE=200702&amp;PERIODTYPE=QTR_STD&amp;SCFT=3&amp;window=popup_no_bar&amp;width=385&amp;height=120&amp;START_MAXIMIZED=FALSE&amp;creator=factset&amp;display_string=Audit"}</definedName>
    <definedName name="_3888__FDSAUDITLINK__" hidden="1">{"fdsup://Directions/FactSet Auditing Viewer?action=AUDIT_VALUE&amp;DB=129&amp;ID1=48248010&amp;VALUEID=02001&amp;SDATE=200702&amp;PERIODTYPE=QTR_STD&amp;SCFT=3&amp;window=popup_no_bar&amp;width=385&amp;height=120&amp;START_MAXIMIZED=FALSE&amp;creator=factset&amp;display_string=Audit"}</definedName>
    <definedName name="_3889__FDSAUDITLINK__" hidden="1">{"fdsup://Directions/FactSet Auditing Viewer?action=AUDIT_VALUE&amp;DB=129&amp;ID1=48248010&amp;VALUEID=02001&amp;SDATE=200701&amp;PERIODTYPE=QTR_STD&amp;SCFT=3&amp;window=popup_no_bar&amp;width=385&amp;height=120&amp;START_MAXIMIZED=FALSE&amp;creator=factset&amp;display_string=Audit"}</definedName>
    <definedName name="_389__FDSAUDITLINK__" hidden="1">{"fdsup://Directions/FactSet Auditing Viewer?action=AUDIT_VALUE&amp;DB=129&amp;ID1=45772F10&amp;VALUEID=02001&amp;SDATE=201003&amp;PERIODTYPE=QTR_STD&amp;SCFT=3&amp;window=popup_no_bar&amp;width=385&amp;height=120&amp;START_MAXIMIZED=FALSE&amp;creator=factset&amp;display_string=Audit"}</definedName>
    <definedName name="_3890__FDSAUDITLINK__" hidden="1">{"fdsup://Directions/FactSet Auditing Viewer?action=AUDIT_VALUE&amp;DB=129&amp;ID1=48248010&amp;VALUEID=02001&amp;SDATE=200701&amp;PERIODTYPE=QTR_STD&amp;SCFT=3&amp;window=popup_no_bar&amp;width=385&amp;height=120&amp;START_MAXIMIZED=FALSE&amp;creator=factset&amp;display_string=Audit"}</definedName>
    <definedName name="_3891__FDSAUDITLINK__" hidden="1">{"fdsup://Directions/FactSet Auditing Viewer?action=AUDIT_VALUE&amp;DB=129&amp;ID1=48248010&amp;VALUEID=02001&amp;SDATE=200603&amp;PERIODTYPE=QTR_STD&amp;SCFT=3&amp;window=popup_no_bar&amp;width=385&amp;height=120&amp;START_MAXIMIZED=FALSE&amp;creator=factset&amp;display_string=Audit"}</definedName>
    <definedName name="_3892__FDSAUDITLINK__" hidden="1">{"fdsup://Directions/FactSet Auditing Viewer?action=AUDIT_VALUE&amp;DB=129&amp;ID1=48248010&amp;VALUEID=02001&amp;SDATE=200603&amp;PERIODTYPE=QTR_STD&amp;SCFT=3&amp;window=popup_no_bar&amp;width=385&amp;height=120&amp;START_MAXIMIZED=FALSE&amp;creator=factset&amp;display_string=Audit"}</definedName>
    <definedName name="_3893__FDSAUDITLINK__" hidden="1">{"fdsup://Directions/FactSet Auditing Viewer?action=AUDIT_VALUE&amp;DB=129&amp;ID1=48248010&amp;VALUEID=02001&amp;SDATE=200602&amp;PERIODTYPE=QTR_STD&amp;SCFT=3&amp;window=popup_no_bar&amp;width=385&amp;height=120&amp;START_MAXIMIZED=FALSE&amp;creator=factset&amp;display_string=Audit"}</definedName>
    <definedName name="_3894__FDSAUDITLINK__" hidden="1">{"fdsup://Directions/FactSet Auditing Viewer?action=AUDIT_VALUE&amp;DB=129&amp;ID1=48248010&amp;VALUEID=02001&amp;SDATE=200602&amp;PERIODTYPE=QTR_STD&amp;SCFT=3&amp;window=popup_no_bar&amp;width=385&amp;height=120&amp;START_MAXIMIZED=FALSE&amp;creator=factset&amp;display_string=Audit"}</definedName>
    <definedName name="_3895__FDSAUDITLINK__" hidden="1">{"fdsup://Directions/FactSet Auditing Viewer?action=AUDIT_VALUE&amp;DB=129&amp;ID1=48248010&amp;VALUEID=02001&amp;SDATE=200601&amp;PERIODTYPE=QTR_STD&amp;SCFT=3&amp;window=popup_no_bar&amp;width=385&amp;height=120&amp;START_MAXIMIZED=FALSE&amp;creator=factset&amp;display_string=Audit"}</definedName>
    <definedName name="_3896__FDSAUDITLINK__" hidden="1">{"fdsup://Directions/FactSet Auditing Viewer?action=AUDIT_VALUE&amp;DB=129&amp;ID1=48248010&amp;VALUEID=02001&amp;SDATE=200601&amp;PERIODTYPE=QTR_STD&amp;SCFT=3&amp;window=popup_no_bar&amp;width=385&amp;height=120&amp;START_MAXIMIZED=FALSE&amp;creator=factset&amp;display_string=Audit"}</definedName>
    <definedName name="_3897__FDSAUDITLINK__" hidden="1">{"fdsup://Directions/FactSet Auditing Viewer?action=AUDIT_VALUE&amp;DB=129&amp;ID1=48248010&amp;VALUEID=02001&amp;SDATE=200503&amp;PERIODTYPE=QTR_STD&amp;SCFT=3&amp;window=popup_no_bar&amp;width=385&amp;height=120&amp;START_MAXIMIZED=FALSE&amp;creator=factset&amp;display_string=Audit"}</definedName>
    <definedName name="_3898__FDSAUDITLINK__" hidden="1">{"fdsup://Directions/FactSet Auditing Viewer?action=AUDIT_VALUE&amp;DB=129&amp;ID1=48248010&amp;VALUEID=02001&amp;SDATE=200503&amp;PERIODTYPE=QTR_STD&amp;SCFT=3&amp;window=popup_no_bar&amp;width=385&amp;height=120&amp;START_MAXIMIZED=FALSE&amp;creator=factset&amp;display_string=Audit"}</definedName>
    <definedName name="_3899__FDSAUDITLINK__" hidden="1">{"fdsup://Directions/FactSet Auditing Viewer?action=AUDIT_VALUE&amp;DB=129&amp;ID1=48248010&amp;VALUEID=02001&amp;SDATE=200502&amp;PERIODTYPE=QTR_STD&amp;SCFT=3&amp;window=popup_no_bar&amp;width=385&amp;height=120&amp;START_MAXIMIZED=FALSE&amp;creator=factset&amp;display_string=Audit"}</definedName>
    <definedName name="_39__FDSAUDITLINK__" hidden="1">{"fdsup://directions/FAT Viewer?action=UPDATE&amp;creator=factset&amp;DYN_ARGS=TRUE&amp;DOC_NAME=FAT:FQL_AUDITING_CLIENT_TEMPLATE.FAT&amp;display_string=Audit&amp;VAR:KEY=YPWXQPUTEZ&amp;VAR:QUERY=RkZfU0hTX0ZMT0FUKEFOTiw0MDc4Nik=&amp;WINDOW=FIRST_POPUP&amp;HEIGHT=450&amp;WIDTH=450&amp;START_MAXIMI","ZED=FALSE&amp;VAR:CALENDAR=US&amp;VAR:SYMBOL=LVS&amp;VAR:INDEX=0"}</definedName>
    <definedName name="_390__FDSAUDITLINK__" hidden="1">{"fdsup://Directions/FactSet Auditing Viewer?action=AUDIT_VALUE&amp;DB=129&amp;ID1=45772F10&amp;VALUEID=02001&amp;SDATE=201003&amp;PERIODTYPE=QTR_STD&amp;SCFT=3&amp;window=popup_no_bar&amp;width=385&amp;height=120&amp;START_MAXIMIZED=FALSE&amp;creator=factset&amp;display_string=Audit"}</definedName>
    <definedName name="_3900__FDSAUDITLINK__" hidden="1">{"fdsup://Directions/FactSet Auditing Viewer?action=AUDIT_VALUE&amp;DB=129&amp;ID1=48248010&amp;VALUEID=02001&amp;SDATE=200502&amp;PERIODTYPE=QTR_STD&amp;SCFT=3&amp;window=popup_no_bar&amp;width=385&amp;height=120&amp;START_MAXIMIZED=FALSE&amp;creator=factset&amp;display_string=Audit"}</definedName>
    <definedName name="_3901__FDSAUDITLINK__" hidden="1">{"fdsup://Directions/FactSet Auditing Viewer?action=AUDIT_VALUE&amp;DB=129&amp;ID1=48248010&amp;VALUEID=02001&amp;SDATE=200501&amp;PERIODTYPE=QTR_STD&amp;SCFT=3&amp;window=popup_no_bar&amp;width=385&amp;height=120&amp;START_MAXIMIZED=FALSE&amp;creator=factset&amp;display_string=Audit"}</definedName>
    <definedName name="_3902__FDSAUDITLINK__" hidden="1">{"fdsup://Directions/FactSet Auditing Viewer?action=AUDIT_VALUE&amp;DB=129&amp;ID1=48248010&amp;VALUEID=02001&amp;SDATE=200501&amp;PERIODTYPE=QTR_STD&amp;SCFT=3&amp;window=popup_no_bar&amp;width=385&amp;height=120&amp;START_MAXIMIZED=FALSE&amp;creator=factset&amp;display_string=Audit"}</definedName>
    <definedName name="_3903__FDSAUDITLINK__" hidden="1">{"fdsup://Directions/FactSet Auditing Viewer?action=AUDIT_VALUE&amp;DB=129&amp;ID1=48248010&amp;VALUEID=02001&amp;SDATE=200403&amp;PERIODTYPE=QTR_STD&amp;SCFT=3&amp;window=popup_no_bar&amp;width=385&amp;height=120&amp;START_MAXIMIZED=FALSE&amp;creator=factset&amp;display_string=Audit"}</definedName>
    <definedName name="_3904__FDSAUDITLINK__" hidden="1">{"fdsup://Directions/FactSet Auditing Viewer?action=AUDIT_VALUE&amp;DB=129&amp;ID1=48248010&amp;VALUEID=02001&amp;SDATE=200403&amp;PERIODTYPE=QTR_STD&amp;SCFT=3&amp;window=popup_no_bar&amp;width=385&amp;height=120&amp;START_MAXIMIZED=FALSE&amp;creator=factset&amp;display_string=Audit"}</definedName>
    <definedName name="_3905__FDSAUDITLINK__" hidden="1">{"fdsup://Directions/FactSet Auditing Viewer?action=AUDIT_VALUE&amp;DB=129&amp;ID1=48836020&amp;VALUEID=02001&amp;SDATE=200703&amp;PERIODTYPE=QTR_STD&amp;SCFT=3&amp;window=popup_no_bar&amp;width=385&amp;height=120&amp;START_MAXIMIZED=FALSE&amp;creator=factset&amp;display_string=Audit"}</definedName>
    <definedName name="_3906__FDSAUDITLINK__" hidden="1">{"fdsup://Directions/FactSet Auditing Viewer?action=AUDIT_VALUE&amp;DB=129&amp;ID1=48836020&amp;VALUEID=02001&amp;SDATE=200703&amp;PERIODTYPE=QTR_STD&amp;SCFT=3&amp;window=popup_no_bar&amp;width=385&amp;height=120&amp;START_MAXIMIZED=FALSE&amp;creator=factset&amp;display_string=Audit"}</definedName>
    <definedName name="_3907__FDSAUDITLINK__" hidden="1">{"fdsup://Directions/FactSet Auditing Viewer?action=AUDIT_VALUE&amp;DB=129&amp;ID1=48836020&amp;VALUEID=02001&amp;SDATE=200702&amp;PERIODTYPE=QTR_STD&amp;SCFT=3&amp;window=popup_no_bar&amp;width=385&amp;height=120&amp;START_MAXIMIZED=FALSE&amp;creator=factset&amp;display_string=Audit"}</definedName>
    <definedName name="_3908__FDSAUDITLINK__" hidden="1">{"fdsup://Directions/FactSet Auditing Viewer?action=AUDIT_VALUE&amp;DB=129&amp;ID1=48836020&amp;VALUEID=02001&amp;SDATE=200702&amp;PERIODTYPE=QTR_STD&amp;SCFT=3&amp;window=popup_no_bar&amp;width=385&amp;height=120&amp;START_MAXIMIZED=FALSE&amp;creator=factset&amp;display_string=Audit"}</definedName>
    <definedName name="_3909__FDSAUDITLINK__" hidden="1">{"fdsup://Directions/FactSet Auditing Viewer?action=AUDIT_VALUE&amp;DB=129&amp;ID1=48836020&amp;VALUEID=02001&amp;SDATE=200701&amp;PERIODTYPE=QTR_STD&amp;SCFT=3&amp;window=popup_no_bar&amp;width=385&amp;height=120&amp;START_MAXIMIZED=FALSE&amp;creator=factset&amp;display_string=Audit"}</definedName>
    <definedName name="_391__FDSAUDITLINK__" hidden="1">{"fdsup://Directions/FactSet Auditing Viewer?action=AUDIT_VALUE&amp;DB=129&amp;ID1=45814010&amp;VALUEID=02001&amp;SDATE=201003&amp;PERIODTYPE=QTR_STD&amp;SCFT=3&amp;window=popup_no_bar&amp;width=385&amp;height=120&amp;START_MAXIMIZED=FALSE&amp;creator=factset&amp;display_string=Audit"}</definedName>
    <definedName name="_3910__FDSAUDITLINK__" hidden="1">{"fdsup://Directions/FactSet Auditing Viewer?action=AUDIT_VALUE&amp;DB=129&amp;ID1=48836020&amp;VALUEID=02001&amp;SDATE=200701&amp;PERIODTYPE=QTR_STD&amp;SCFT=3&amp;window=popup_no_bar&amp;width=385&amp;height=120&amp;START_MAXIMIZED=FALSE&amp;creator=factset&amp;display_string=Audit"}</definedName>
    <definedName name="_3911__FDSAUDITLINK__" hidden="1">{"fdsup://Directions/FactSet Auditing Viewer?action=AUDIT_VALUE&amp;DB=129&amp;ID1=48836020&amp;VALUEID=02001&amp;SDATE=200603&amp;PERIODTYPE=QTR_STD&amp;SCFT=3&amp;window=popup_no_bar&amp;width=385&amp;height=120&amp;START_MAXIMIZED=FALSE&amp;creator=factset&amp;display_string=Audit"}</definedName>
    <definedName name="_3912__FDSAUDITLINK__" hidden="1">{"fdsup://Directions/FactSet Auditing Viewer?action=AUDIT_VALUE&amp;DB=129&amp;ID1=48836020&amp;VALUEID=02001&amp;SDATE=200603&amp;PERIODTYPE=QTR_STD&amp;SCFT=3&amp;window=popup_no_bar&amp;width=385&amp;height=120&amp;START_MAXIMIZED=FALSE&amp;creator=factset&amp;display_string=Audit"}</definedName>
    <definedName name="_3913__FDSAUDITLINK__" hidden="1">{"fdsup://Directions/FactSet Auditing Viewer?action=AUDIT_VALUE&amp;DB=129&amp;ID1=48836020&amp;VALUEID=02001&amp;SDATE=200602&amp;PERIODTYPE=QTR_STD&amp;SCFT=3&amp;window=popup_no_bar&amp;width=385&amp;height=120&amp;START_MAXIMIZED=FALSE&amp;creator=factset&amp;display_string=Audit"}</definedName>
    <definedName name="_3914__FDSAUDITLINK__" hidden="1">{"fdsup://Directions/FactSet Auditing Viewer?action=AUDIT_VALUE&amp;DB=129&amp;ID1=48836020&amp;VALUEID=02001&amp;SDATE=200602&amp;PERIODTYPE=QTR_STD&amp;SCFT=3&amp;window=popup_no_bar&amp;width=385&amp;height=120&amp;START_MAXIMIZED=FALSE&amp;creator=factset&amp;display_string=Audit"}</definedName>
    <definedName name="_3915__FDSAUDITLINK__" hidden="1">{"fdsup://Directions/FactSet Auditing Viewer?action=AUDIT_VALUE&amp;DB=129&amp;ID1=48836020&amp;VALUEID=02001&amp;SDATE=200601&amp;PERIODTYPE=QTR_STD&amp;SCFT=3&amp;window=popup_no_bar&amp;width=385&amp;height=120&amp;START_MAXIMIZED=FALSE&amp;creator=factset&amp;display_string=Audit"}</definedName>
    <definedName name="_3916__FDSAUDITLINK__" hidden="1">{"fdsup://Directions/FactSet Auditing Viewer?action=AUDIT_VALUE&amp;DB=129&amp;ID1=48836020&amp;VALUEID=02001&amp;SDATE=200601&amp;PERIODTYPE=QTR_STD&amp;SCFT=3&amp;window=popup_no_bar&amp;width=385&amp;height=120&amp;START_MAXIMIZED=FALSE&amp;creator=factset&amp;display_string=Audit"}</definedName>
    <definedName name="_3917__FDSAUDITLINK__" hidden="1">{"fdsup://Directions/FactSet Auditing Viewer?action=AUDIT_VALUE&amp;DB=129&amp;ID1=48836020&amp;VALUEID=02001&amp;SDATE=200503&amp;PERIODTYPE=QTR_STD&amp;SCFT=3&amp;window=popup_no_bar&amp;width=385&amp;height=120&amp;START_MAXIMIZED=FALSE&amp;creator=factset&amp;display_string=Audit"}</definedName>
    <definedName name="_3918__FDSAUDITLINK__" hidden="1">{"fdsup://Directions/FactSet Auditing Viewer?action=AUDIT_VALUE&amp;DB=129&amp;ID1=48836020&amp;VALUEID=02001&amp;SDATE=200503&amp;PERIODTYPE=QTR_STD&amp;SCFT=3&amp;window=popup_no_bar&amp;width=385&amp;height=120&amp;START_MAXIMIZED=FALSE&amp;creator=factset&amp;display_string=Audit"}</definedName>
    <definedName name="_3919__FDSAUDITLINK__" hidden="1">{"fdsup://Directions/FactSet Auditing Viewer?action=AUDIT_VALUE&amp;DB=129&amp;ID1=48203R10&amp;VALUEID=02001&amp;SDATE=200801&amp;PERIODTYPE=QTR_STD&amp;SCFT=3&amp;window=popup_no_bar&amp;width=385&amp;height=120&amp;START_MAXIMIZED=FALSE&amp;creator=factset&amp;display_string=Audit"}</definedName>
    <definedName name="_392__FDSAUDITLINK__" hidden="1">{"fdsup://Directions/FactSet Auditing Viewer?action=AUDIT_VALUE&amp;DB=129&amp;ID1=45814010&amp;VALUEID=02001&amp;SDATE=201003&amp;PERIODTYPE=QTR_STD&amp;SCFT=3&amp;window=popup_no_bar&amp;width=385&amp;height=120&amp;START_MAXIMIZED=FALSE&amp;creator=factset&amp;display_string=Audit"}</definedName>
    <definedName name="_3920__FDSAUDITLINK__" hidden="1">{"fdsup://Directions/FactSet Auditing Viewer?action=AUDIT_VALUE&amp;DB=129&amp;ID1=48203R10&amp;VALUEID=02001&amp;SDATE=200801&amp;PERIODTYPE=QTR_STD&amp;SCFT=3&amp;window=popup_no_bar&amp;width=385&amp;height=120&amp;START_MAXIMIZED=FALSE&amp;creator=factset&amp;display_string=Audit"}</definedName>
    <definedName name="_3921__FDSAUDITLINK__" hidden="1">{"fdsup://Directions/FactSet Auditing Viewer?action=AUDIT_VALUE&amp;DB=129&amp;ID1=48203R10&amp;VALUEID=02001&amp;SDATE=200703&amp;PERIODTYPE=QTR_STD&amp;SCFT=3&amp;window=popup_no_bar&amp;width=385&amp;height=120&amp;START_MAXIMIZED=FALSE&amp;creator=factset&amp;display_string=Audit"}</definedName>
    <definedName name="_3922__FDSAUDITLINK__" hidden="1">{"fdsup://Directions/FactSet Auditing Viewer?action=AUDIT_VALUE&amp;DB=129&amp;ID1=48203R10&amp;VALUEID=02001&amp;SDATE=200703&amp;PERIODTYPE=QTR_STD&amp;SCFT=3&amp;window=popup_no_bar&amp;width=385&amp;height=120&amp;START_MAXIMIZED=FALSE&amp;creator=factset&amp;display_string=Audit"}</definedName>
    <definedName name="_3923__FDSAUDITLINK__" hidden="1">{"fdsup://Directions/FactSet Auditing Viewer?action=AUDIT_VALUE&amp;DB=129&amp;ID1=48203R10&amp;VALUEID=02001&amp;SDATE=200702&amp;PERIODTYPE=QTR_STD&amp;SCFT=3&amp;window=popup_no_bar&amp;width=385&amp;height=120&amp;START_MAXIMIZED=FALSE&amp;creator=factset&amp;display_string=Audit"}</definedName>
    <definedName name="_3924__FDSAUDITLINK__" hidden="1">{"fdsup://Directions/FactSet Auditing Viewer?action=AUDIT_VALUE&amp;DB=129&amp;ID1=48203R10&amp;VALUEID=02001&amp;SDATE=200702&amp;PERIODTYPE=QTR_STD&amp;SCFT=3&amp;window=popup_no_bar&amp;width=385&amp;height=120&amp;START_MAXIMIZED=FALSE&amp;creator=factset&amp;display_string=Audit"}</definedName>
    <definedName name="_3925__FDSAUDITLINK__" hidden="1">{"fdsup://Directions/FactSet Auditing Viewer?action=AUDIT_VALUE&amp;DB=129&amp;ID1=48203R10&amp;VALUEID=02001&amp;SDATE=200701&amp;PERIODTYPE=QTR_STD&amp;SCFT=3&amp;window=popup_no_bar&amp;width=385&amp;height=120&amp;START_MAXIMIZED=FALSE&amp;creator=factset&amp;display_string=Audit"}</definedName>
    <definedName name="_3926__FDSAUDITLINK__" hidden="1">{"fdsup://Directions/FactSet Auditing Viewer?action=AUDIT_VALUE&amp;DB=129&amp;ID1=48203R10&amp;VALUEID=02001&amp;SDATE=200701&amp;PERIODTYPE=QTR_STD&amp;SCFT=3&amp;window=popup_no_bar&amp;width=385&amp;height=120&amp;START_MAXIMIZED=FALSE&amp;creator=factset&amp;display_string=Audit"}</definedName>
    <definedName name="_3927__FDSAUDITLINK__" hidden="1">{"fdsup://Directions/FactSet Auditing Viewer?action=AUDIT_VALUE&amp;DB=129&amp;ID1=48203R10&amp;VALUEID=02001&amp;SDATE=200603&amp;PERIODTYPE=QTR_STD&amp;SCFT=3&amp;window=popup_no_bar&amp;width=385&amp;height=120&amp;START_MAXIMIZED=FALSE&amp;creator=factset&amp;display_string=Audit"}</definedName>
    <definedName name="_3928__FDSAUDITLINK__" hidden="1">{"fdsup://Directions/FactSet Auditing Viewer?action=AUDIT_VALUE&amp;DB=129&amp;ID1=48203R10&amp;VALUEID=02001&amp;SDATE=200603&amp;PERIODTYPE=QTR_STD&amp;SCFT=3&amp;window=popup_no_bar&amp;width=385&amp;height=120&amp;START_MAXIMIZED=FALSE&amp;creator=factset&amp;display_string=Audit"}</definedName>
    <definedName name="_3929__FDSAUDITLINK__" hidden="1">{"fdsup://Directions/FactSet Auditing Viewer?action=AUDIT_VALUE&amp;DB=129&amp;ID1=48203R10&amp;VALUEID=02001&amp;SDATE=200602&amp;PERIODTYPE=QTR_STD&amp;SCFT=3&amp;window=popup_no_bar&amp;width=385&amp;height=120&amp;START_MAXIMIZED=FALSE&amp;creator=factset&amp;display_string=Audit"}</definedName>
    <definedName name="_393__FDSAUDITLINK__" hidden="1">{"fdsup://Directions/FactSet Auditing Viewer?action=AUDIT_VALUE&amp;DB=129&amp;ID1=45811810&amp;VALUEID=02001&amp;SDATE=201002&amp;PERIODTYPE=QTR_STD&amp;SCFT=3&amp;window=popup_no_bar&amp;width=385&amp;height=120&amp;START_MAXIMIZED=FALSE&amp;creator=factset&amp;display_string=Audit"}</definedName>
    <definedName name="_3930__FDSAUDITLINK__" hidden="1">{"fdsup://Directions/FactSet Auditing Viewer?action=AUDIT_VALUE&amp;DB=129&amp;ID1=48203R10&amp;VALUEID=02001&amp;SDATE=200602&amp;PERIODTYPE=QTR_STD&amp;SCFT=3&amp;window=popup_no_bar&amp;width=385&amp;height=120&amp;START_MAXIMIZED=FALSE&amp;creator=factset&amp;display_string=Audit"}</definedName>
    <definedName name="_3931__FDSAUDITLINK__" hidden="1">{"fdsup://Directions/FactSet Auditing Viewer?action=AUDIT_VALUE&amp;DB=129&amp;ID1=48203R10&amp;VALUEID=02001&amp;SDATE=200601&amp;PERIODTYPE=QTR_STD&amp;SCFT=3&amp;window=popup_no_bar&amp;width=385&amp;height=120&amp;START_MAXIMIZED=FALSE&amp;creator=factset&amp;display_string=Audit"}</definedName>
    <definedName name="_3932__FDSAUDITLINK__" hidden="1">{"fdsup://Directions/FactSet Auditing Viewer?action=AUDIT_VALUE&amp;DB=129&amp;ID1=48203R10&amp;VALUEID=02001&amp;SDATE=200601&amp;PERIODTYPE=QTR_STD&amp;SCFT=3&amp;window=popup_no_bar&amp;width=385&amp;height=120&amp;START_MAXIMIZED=FALSE&amp;creator=factset&amp;display_string=Audit"}</definedName>
    <definedName name="_3933__FDSAUDITLINK__" hidden="1">{"fdsup://Directions/FactSet Auditing Viewer?action=AUDIT_VALUE&amp;DB=129&amp;ID1=48203R10&amp;VALUEID=02001&amp;SDATE=200503&amp;PERIODTYPE=QTR_STD&amp;SCFT=3&amp;window=popup_no_bar&amp;width=385&amp;height=120&amp;START_MAXIMIZED=FALSE&amp;creator=factset&amp;display_string=Audit"}</definedName>
    <definedName name="_3934__FDSAUDITLINK__" hidden="1">{"fdsup://Directions/FactSet Auditing Viewer?action=AUDIT_VALUE&amp;DB=129&amp;ID1=48203R10&amp;VALUEID=02001&amp;SDATE=200503&amp;PERIODTYPE=QTR_STD&amp;SCFT=3&amp;window=popup_no_bar&amp;width=385&amp;height=120&amp;START_MAXIMIZED=FALSE&amp;creator=factset&amp;display_string=Audit"}</definedName>
    <definedName name="_3935__FDSAUDITLINK__" hidden="1">{"fdsup://Directions/FactSet Auditing Viewer?action=AUDIT_VALUE&amp;DB=129&amp;ID1=48203R10&amp;VALUEID=02001&amp;SDATE=200502&amp;PERIODTYPE=QTR_STD&amp;SCFT=3&amp;window=popup_no_bar&amp;width=385&amp;height=120&amp;START_MAXIMIZED=FALSE&amp;creator=factset&amp;display_string=Audit"}</definedName>
    <definedName name="_3936__FDSAUDITLINK__" hidden="1">{"fdsup://Directions/FactSet Auditing Viewer?action=AUDIT_VALUE&amp;DB=129&amp;ID1=48203R10&amp;VALUEID=02001&amp;SDATE=200502&amp;PERIODTYPE=QTR_STD&amp;SCFT=3&amp;window=popup_no_bar&amp;width=385&amp;height=120&amp;START_MAXIMIZED=FALSE&amp;creator=factset&amp;display_string=Audit"}</definedName>
    <definedName name="_3937__FDSAUDITLINK__" hidden="1">{"fdsup://Directions/FactSet Auditing Viewer?action=AUDIT_VALUE&amp;DB=129&amp;ID1=48203R10&amp;VALUEID=02001&amp;SDATE=200501&amp;PERIODTYPE=QTR_STD&amp;SCFT=3&amp;window=popup_no_bar&amp;width=385&amp;height=120&amp;START_MAXIMIZED=FALSE&amp;creator=factset&amp;display_string=Audit"}</definedName>
    <definedName name="_3938__FDSAUDITLINK__" hidden="1">{"fdsup://Directions/FactSet Auditing Viewer?action=AUDIT_VALUE&amp;DB=129&amp;ID1=48203R10&amp;VALUEID=02001&amp;SDATE=200501&amp;PERIODTYPE=QTR_STD&amp;SCFT=3&amp;window=popup_no_bar&amp;width=385&amp;height=120&amp;START_MAXIMIZED=FALSE&amp;creator=factset&amp;display_string=Audit"}</definedName>
    <definedName name="_3939__FDSAUDITLINK__" hidden="1">{"fdsup://Directions/FactSet Auditing Viewer?action=AUDIT_VALUE&amp;DB=129&amp;ID1=48203R10&amp;VALUEID=02001&amp;SDATE=200403&amp;PERIODTYPE=QTR_STD&amp;SCFT=3&amp;window=popup_no_bar&amp;width=385&amp;height=120&amp;START_MAXIMIZED=FALSE&amp;creator=factset&amp;display_string=Audit"}</definedName>
    <definedName name="_394__FDSAUDITLINK__" hidden="1">{"fdsup://Directions/FactSet Auditing Viewer?action=AUDIT_VALUE&amp;DB=129&amp;ID1=45811810&amp;VALUEID=02001&amp;SDATE=201002&amp;PERIODTYPE=QTR_STD&amp;SCFT=3&amp;window=popup_no_bar&amp;width=385&amp;height=120&amp;START_MAXIMIZED=FALSE&amp;creator=factset&amp;display_string=Audit"}</definedName>
    <definedName name="_3940__FDSAUDITLINK__" hidden="1">{"fdsup://Directions/FactSet Auditing Viewer?action=AUDIT_VALUE&amp;DB=129&amp;ID1=48203R10&amp;VALUEID=02001&amp;SDATE=200403&amp;PERIODTYPE=QTR_STD&amp;SCFT=3&amp;window=popup_no_bar&amp;width=385&amp;height=120&amp;START_MAXIMIZED=FALSE&amp;creator=factset&amp;display_string=Audit"}</definedName>
    <definedName name="_3941__FDSAUDITLINK__" hidden="1">{"fdsup://Directions/FactSet Auditing Viewer?action=AUDIT_VALUE&amp;DB=129&amp;ID1=48203R10&amp;VALUEID=02001&amp;SDATE=200402&amp;PERIODTYPE=QTR_STD&amp;SCFT=3&amp;window=popup_no_bar&amp;width=385&amp;height=120&amp;START_MAXIMIZED=FALSE&amp;creator=factset&amp;display_string=Audit"}</definedName>
    <definedName name="_3942__FDSAUDITLINK__" hidden="1">{"fdsup://Directions/FactSet Auditing Viewer?action=AUDIT_VALUE&amp;DB=129&amp;ID1=48203R10&amp;VALUEID=02001&amp;SDATE=200402&amp;PERIODTYPE=QTR_STD&amp;SCFT=3&amp;window=popup_no_bar&amp;width=385&amp;height=120&amp;START_MAXIMIZED=FALSE&amp;creator=factset&amp;display_string=Audit"}</definedName>
    <definedName name="_3943__FDSAUDITLINK__" hidden="1">{"fdsup://Directions/FactSet Auditing Viewer?action=AUDIT_VALUE&amp;DB=129&amp;ID1=48203R10&amp;VALUEID=02001&amp;SDATE=200401&amp;PERIODTYPE=QTR_STD&amp;SCFT=3&amp;window=popup_no_bar&amp;width=385&amp;height=120&amp;START_MAXIMIZED=FALSE&amp;creator=factset&amp;display_string=Audit"}</definedName>
    <definedName name="_3944__FDSAUDITLINK__" hidden="1">{"fdsup://Directions/FactSet Auditing Viewer?action=AUDIT_VALUE&amp;DB=129&amp;ID1=48203R10&amp;VALUEID=02001&amp;SDATE=200401&amp;PERIODTYPE=QTR_STD&amp;SCFT=3&amp;window=popup_no_bar&amp;width=385&amp;height=120&amp;START_MAXIMIZED=FALSE&amp;creator=factset&amp;display_string=Audit"}</definedName>
    <definedName name="_3945__FDSAUDITLINK__" hidden="1">{"fdsup://Directions/FactSet Auditing Viewer?action=AUDIT_VALUE&amp;DB=129&amp;ID1=86681020&amp;VALUEID=02001&amp;SDATE=200803&amp;PERIODTYPE=QTR_STD&amp;SCFT=3&amp;window=popup_no_bar&amp;width=385&amp;height=120&amp;START_MAXIMIZED=FALSE&amp;creator=factset&amp;display_string=Audit"}</definedName>
    <definedName name="_3946__FDSAUDITLINK__" hidden="1">{"fdsup://Directions/FactSet Auditing Viewer?action=AUDIT_VALUE&amp;DB=129&amp;ID1=86681020&amp;VALUEID=02001&amp;SDATE=200803&amp;PERIODTYPE=QTR_STD&amp;SCFT=3&amp;window=popup_no_bar&amp;width=385&amp;height=120&amp;START_MAXIMIZED=FALSE&amp;creator=factset&amp;display_string=Audit"}</definedName>
    <definedName name="_3947__FDSAUDITLINK__" hidden="1">{"fdsup://Directions/FactSet Auditing Viewer?action=AUDIT_VALUE&amp;DB=129&amp;ID1=86681020&amp;VALUEID=02001&amp;SDATE=200802&amp;PERIODTYPE=QTR_STD&amp;SCFT=3&amp;window=popup_no_bar&amp;width=385&amp;height=120&amp;START_MAXIMIZED=FALSE&amp;creator=factset&amp;display_string=Audit"}</definedName>
    <definedName name="_3948__FDSAUDITLINK__" hidden="1">{"fdsup://Directions/FactSet Auditing Viewer?action=AUDIT_VALUE&amp;DB=129&amp;ID1=86681020&amp;VALUEID=02001&amp;SDATE=200802&amp;PERIODTYPE=QTR_STD&amp;SCFT=3&amp;window=popup_no_bar&amp;width=385&amp;height=120&amp;START_MAXIMIZED=FALSE&amp;creator=factset&amp;display_string=Audit"}</definedName>
    <definedName name="_3949__FDSAUDITLINK__" hidden="1">{"fdsup://Directions/FactSet Auditing Viewer?action=AUDIT_VALUE&amp;DB=129&amp;ID1=86681020&amp;VALUEID=02001&amp;SDATE=200801&amp;PERIODTYPE=QTR_STD&amp;SCFT=3&amp;window=popup_no_bar&amp;width=385&amp;height=120&amp;START_MAXIMIZED=FALSE&amp;creator=factset&amp;display_string=Audit"}</definedName>
    <definedName name="_395__FDSAUDITLINK__" hidden="1">{"fdsup://Directions/FactSet Auditing Viewer?action=AUDIT_VALUE&amp;DB=129&amp;ID1=42823610&amp;VALUEID=02001&amp;SDATE=201004&amp;PERIODTYPE=QTR_STD&amp;SCFT=3&amp;window=popup_no_bar&amp;width=385&amp;height=120&amp;START_MAXIMIZED=FALSE&amp;creator=factset&amp;display_string=Audit"}</definedName>
    <definedName name="_3950__FDSAUDITLINK__" hidden="1">{"fdsup://Directions/FactSet Auditing Viewer?action=AUDIT_VALUE&amp;DB=129&amp;ID1=86681020&amp;VALUEID=02001&amp;SDATE=200801&amp;PERIODTYPE=QTR_STD&amp;SCFT=3&amp;window=popup_no_bar&amp;width=385&amp;height=120&amp;START_MAXIMIZED=FALSE&amp;creator=factset&amp;display_string=Audit"}</definedName>
    <definedName name="_3951__FDSAUDITLINK__" hidden="1">{"fdsup://Directions/FactSet Auditing Viewer?action=AUDIT_VALUE&amp;DB=129&amp;ID1=86681020&amp;VALUEID=02001&amp;SDATE=200703&amp;PERIODTYPE=QTR_STD&amp;SCFT=3&amp;window=popup_no_bar&amp;width=385&amp;height=120&amp;START_MAXIMIZED=FALSE&amp;creator=factset&amp;display_string=Audit"}</definedName>
    <definedName name="_3952__FDSAUDITLINK__" hidden="1">{"fdsup://Directions/FactSet Auditing Viewer?action=AUDIT_VALUE&amp;DB=129&amp;ID1=86681020&amp;VALUEID=02001&amp;SDATE=200703&amp;PERIODTYPE=QTR_STD&amp;SCFT=3&amp;window=popup_no_bar&amp;width=385&amp;height=120&amp;START_MAXIMIZED=FALSE&amp;creator=factset&amp;display_string=Audit"}</definedName>
    <definedName name="_3953__FDSAUDITLINK__" hidden="1">{"fdsup://Directions/FactSet Auditing Viewer?action=AUDIT_VALUE&amp;DB=129&amp;ID1=86681020&amp;VALUEID=02001&amp;SDATE=200702&amp;PERIODTYPE=QTR_STD&amp;SCFT=3&amp;window=popup_no_bar&amp;width=385&amp;height=120&amp;START_MAXIMIZED=FALSE&amp;creator=factset&amp;display_string=Audit"}</definedName>
    <definedName name="_3954__FDSAUDITLINK__" hidden="1">{"fdsup://Directions/FactSet Auditing Viewer?action=AUDIT_VALUE&amp;DB=129&amp;ID1=86681020&amp;VALUEID=02001&amp;SDATE=200702&amp;PERIODTYPE=QTR_STD&amp;SCFT=3&amp;window=popup_no_bar&amp;width=385&amp;height=120&amp;START_MAXIMIZED=FALSE&amp;creator=factset&amp;display_string=Audit"}</definedName>
    <definedName name="_3955__FDSAUDITLINK__" hidden="1">{"fdsup://Directions/FactSet Auditing Viewer?action=AUDIT_VALUE&amp;DB=129&amp;ID1=86681020&amp;VALUEID=02001&amp;SDATE=200701&amp;PERIODTYPE=QTR_STD&amp;SCFT=3&amp;window=popup_no_bar&amp;width=385&amp;height=120&amp;START_MAXIMIZED=FALSE&amp;creator=factset&amp;display_string=Audit"}</definedName>
    <definedName name="_3956__FDSAUDITLINK__" hidden="1">{"fdsup://Directions/FactSet Auditing Viewer?action=AUDIT_VALUE&amp;DB=129&amp;ID1=86681020&amp;VALUEID=02001&amp;SDATE=200701&amp;PERIODTYPE=QTR_STD&amp;SCFT=3&amp;window=popup_no_bar&amp;width=385&amp;height=120&amp;START_MAXIMIZED=FALSE&amp;creator=factset&amp;display_string=Audit"}</definedName>
    <definedName name="_3957__FDSAUDITLINK__" hidden="1">{"fdsup://Directions/FactSet Auditing Viewer?action=AUDIT_VALUE&amp;DB=129&amp;ID1=86681020&amp;VALUEID=02001&amp;SDATE=200603&amp;PERIODTYPE=QTR_STD&amp;SCFT=3&amp;window=popup_no_bar&amp;width=385&amp;height=120&amp;START_MAXIMIZED=FALSE&amp;creator=factset&amp;display_string=Audit"}</definedName>
    <definedName name="_3958__FDSAUDITLINK__" hidden="1">{"fdsup://Directions/FactSet Auditing Viewer?action=AUDIT_VALUE&amp;DB=129&amp;ID1=86681020&amp;VALUEID=02001&amp;SDATE=200603&amp;PERIODTYPE=QTR_STD&amp;SCFT=3&amp;window=popup_no_bar&amp;width=385&amp;height=120&amp;START_MAXIMIZED=FALSE&amp;creator=factset&amp;display_string=Audit"}</definedName>
    <definedName name="_3959__FDSAUDITLINK__" hidden="1">{"fdsup://Directions/FactSet Auditing Viewer?action=AUDIT_VALUE&amp;DB=129&amp;ID1=86681020&amp;VALUEID=02001&amp;SDATE=200602&amp;PERIODTYPE=QTR_STD&amp;SCFT=3&amp;window=popup_no_bar&amp;width=385&amp;height=120&amp;START_MAXIMIZED=FALSE&amp;creator=factset&amp;display_string=Audit"}</definedName>
    <definedName name="_396__FDSAUDITLINK__" hidden="1">{"fdsup://Directions/FactSet Auditing Viewer?action=AUDIT_VALUE&amp;DB=129&amp;ID1=42823610&amp;VALUEID=02001&amp;SDATE=201004&amp;PERIODTYPE=QTR_STD&amp;SCFT=3&amp;window=popup_no_bar&amp;width=385&amp;height=120&amp;START_MAXIMIZED=FALSE&amp;creator=factset&amp;display_string=Audit"}</definedName>
    <definedName name="_3960__FDSAUDITLINK__" hidden="1">{"fdsup://Directions/FactSet Auditing Viewer?action=AUDIT_VALUE&amp;DB=129&amp;ID1=86681020&amp;VALUEID=02001&amp;SDATE=200602&amp;PERIODTYPE=QTR_STD&amp;SCFT=3&amp;window=popup_no_bar&amp;width=385&amp;height=120&amp;START_MAXIMIZED=FALSE&amp;creator=factset&amp;display_string=Audit"}</definedName>
    <definedName name="_3961__FDSAUDITLINK__" hidden="1">{"fdsup://Directions/FactSet Auditing Viewer?action=AUDIT_VALUE&amp;DB=129&amp;ID1=86681020&amp;VALUEID=02001&amp;SDATE=200601&amp;PERIODTYPE=QTR_STD&amp;SCFT=3&amp;window=popup_no_bar&amp;width=385&amp;height=120&amp;START_MAXIMIZED=FALSE&amp;creator=factset&amp;display_string=Audit"}</definedName>
    <definedName name="_3962__FDSAUDITLINK__" hidden="1">{"fdsup://Directions/FactSet Auditing Viewer?action=AUDIT_VALUE&amp;DB=129&amp;ID1=86681020&amp;VALUEID=02001&amp;SDATE=200601&amp;PERIODTYPE=QTR_STD&amp;SCFT=3&amp;window=popup_no_bar&amp;width=385&amp;height=120&amp;START_MAXIMIZED=FALSE&amp;creator=factset&amp;display_string=Audit"}</definedName>
    <definedName name="_3963__FDSAUDITLINK__" hidden="1">{"fdsup://Directions/FactSet Auditing Viewer?action=AUDIT_VALUE&amp;DB=129&amp;ID1=86681020&amp;VALUEID=02001&amp;SDATE=200503&amp;PERIODTYPE=QTR_STD&amp;SCFT=3&amp;window=popup_no_bar&amp;width=385&amp;height=120&amp;START_MAXIMIZED=FALSE&amp;creator=factset&amp;display_string=Audit"}</definedName>
    <definedName name="_3964__FDSAUDITLINK__" hidden="1">{"fdsup://Directions/FactSet Auditing Viewer?action=AUDIT_VALUE&amp;DB=129&amp;ID1=86681020&amp;VALUEID=02001&amp;SDATE=200503&amp;PERIODTYPE=QTR_STD&amp;SCFT=3&amp;window=popup_no_bar&amp;width=385&amp;height=120&amp;START_MAXIMIZED=FALSE&amp;creator=factset&amp;display_string=Audit"}</definedName>
    <definedName name="_3965__FDSAUDITLINK__" hidden="1">{"fdsup://Directions/FactSet Auditing Viewer?action=AUDIT_VALUE&amp;DB=129&amp;ID1=86681020&amp;VALUEID=02001&amp;SDATE=200502&amp;PERIODTYPE=QTR_STD&amp;SCFT=3&amp;window=popup_no_bar&amp;width=385&amp;height=120&amp;START_MAXIMIZED=FALSE&amp;creator=factset&amp;display_string=Audit"}</definedName>
    <definedName name="_3966__FDSAUDITLINK__" hidden="1">{"fdsup://Directions/FactSet Auditing Viewer?action=AUDIT_VALUE&amp;DB=129&amp;ID1=86681020&amp;VALUEID=02001&amp;SDATE=200502&amp;PERIODTYPE=QTR_STD&amp;SCFT=3&amp;window=popup_no_bar&amp;width=385&amp;height=120&amp;START_MAXIMIZED=FALSE&amp;creator=factset&amp;display_string=Audit"}</definedName>
    <definedName name="_3967__FDSAUDITLINK__" hidden="1">{"fdsup://Directions/FactSet Auditing Viewer?action=AUDIT_VALUE&amp;DB=129&amp;ID1=86681020&amp;VALUEID=02001&amp;SDATE=200501&amp;PERIODTYPE=QTR_STD&amp;SCFT=3&amp;window=popup_no_bar&amp;width=385&amp;height=120&amp;START_MAXIMIZED=FALSE&amp;creator=factset&amp;display_string=Audit"}</definedName>
    <definedName name="_3968__FDSAUDITLINK__" hidden="1">{"fdsup://Directions/FactSet Auditing Viewer?action=AUDIT_VALUE&amp;DB=129&amp;ID1=86681020&amp;VALUEID=02001&amp;SDATE=200501&amp;PERIODTYPE=QTR_STD&amp;SCFT=3&amp;window=popup_no_bar&amp;width=385&amp;height=120&amp;START_MAXIMIZED=FALSE&amp;creator=factset&amp;display_string=Audit"}</definedName>
    <definedName name="_3969__FDSAUDITLINK__" hidden="1">{"fdsup://Directions/FactSet Auditing Viewer?action=AUDIT_VALUE&amp;DB=129&amp;ID1=86681020&amp;VALUEID=02001&amp;SDATE=200403&amp;PERIODTYPE=QTR_STD&amp;SCFT=3&amp;window=popup_no_bar&amp;width=385&amp;height=120&amp;START_MAXIMIZED=FALSE&amp;creator=factset&amp;display_string=Audit"}</definedName>
    <definedName name="_397__FDSAUDITLINK__" hidden="1">{"fdsup://Directions/FactSet Auditing Viewer?action=AUDIT_VALUE&amp;DB=129&amp;ID1=H2906T10&amp;VALUEID=02001&amp;SDATE=201003&amp;PERIODTYPE=QTR_STD&amp;SCFT=3&amp;window=popup_no_bar&amp;width=385&amp;height=120&amp;START_MAXIMIZED=FALSE&amp;creator=factset&amp;display_string=Audit"}</definedName>
    <definedName name="_3970__FDSAUDITLINK__" hidden="1">{"fdsup://Directions/FactSet Auditing Viewer?action=AUDIT_VALUE&amp;DB=129&amp;ID1=86681020&amp;VALUEID=02001&amp;SDATE=200403&amp;PERIODTYPE=QTR_STD&amp;SCFT=3&amp;window=popup_no_bar&amp;width=385&amp;height=120&amp;START_MAXIMIZED=FALSE&amp;creator=factset&amp;display_string=Audit"}</definedName>
    <definedName name="_3971__FDSAUDITLINK__" hidden="1">{"fdsup://Directions/FactSet Auditing Viewer?action=AUDIT_VALUE&amp;DB=129&amp;ID1=46069S10&amp;VALUEID=02001&amp;SDATE=200801&amp;PERIODTYPE=QTR_STD&amp;SCFT=3&amp;window=popup_no_bar&amp;width=385&amp;height=120&amp;START_MAXIMIZED=FALSE&amp;creator=factset&amp;display_string=Audit"}</definedName>
    <definedName name="_3972__FDSAUDITLINK__" hidden="1">{"fdsup://Directions/FactSet Auditing Viewer?action=AUDIT_VALUE&amp;DB=129&amp;ID1=46069S10&amp;VALUEID=02001&amp;SDATE=200801&amp;PERIODTYPE=QTR_STD&amp;SCFT=3&amp;window=popup_no_bar&amp;width=385&amp;height=120&amp;START_MAXIMIZED=FALSE&amp;creator=factset&amp;display_string=Audit"}</definedName>
    <definedName name="_3973__FDSAUDITLINK__" hidden="1">{"fdsup://Directions/FactSet Auditing Viewer?action=AUDIT_VALUE&amp;DB=129&amp;ID1=46069S10&amp;VALUEID=02001&amp;SDATE=200703&amp;PERIODTYPE=QTR_STD&amp;SCFT=3&amp;window=popup_no_bar&amp;width=385&amp;height=120&amp;START_MAXIMIZED=FALSE&amp;creator=factset&amp;display_string=Audit"}</definedName>
    <definedName name="_3974__FDSAUDITLINK__" hidden="1">{"fdsup://Directions/FactSet Auditing Viewer?action=AUDIT_VALUE&amp;DB=129&amp;ID1=46069S10&amp;VALUEID=02001&amp;SDATE=200703&amp;PERIODTYPE=QTR_STD&amp;SCFT=3&amp;window=popup_no_bar&amp;width=385&amp;height=120&amp;START_MAXIMIZED=FALSE&amp;creator=factset&amp;display_string=Audit"}</definedName>
    <definedName name="_3975__FDSAUDITLINK__" hidden="1">{"fdsup://Directions/FactSet Auditing Viewer?action=AUDIT_VALUE&amp;DB=129&amp;ID1=46069S10&amp;VALUEID=02001&amp;SDATE=200702&amp;PERIODTYPE=QTR_STD&amp;SCFT=3&amp;window=popup_no_bar&amp;width=385&amp;height=120&amp;START_MAXIMIZED=FALSE&amp;creator=factset&amp;display_string=Audit"}</definedName>
    <definedName name="_3976__FDSAUDITLINK__" hidden="1">{"fdsup://Directions/FactSet Auditing Viewer?action=AUDIT_VALUE&amp;DB=129&amp;ID1=46069S10&amp;VALUEID=02001&amp;SDATE=200702&amp;PERIODTYPE=QTR_STD&amp;SCFT=3&amp;window=popup_no_bar&amp;width=385&amp;height=120&amp;START_MAXIMIZED=FALSE&amp;creator=factset&amp;display_string=Audit"}</definedName>
    <definedName name="_3977__FDSAUDITLINK__" hidden="1">{"fdsup://Directions/FactSet Auditing Viewer?action=AUDIT_VALUE&amp;DB=129&amp;ID1=46069S10&amp;VALUEID=02001&amp;SDATE=200701&amp;PERIODTYPE=QTR_STD&amp;SCFT=3&amp;window=popup_no_bar&amp;width=385&amp;height=120&amp;START_MAXIMIZED=FALSE&amp;creator=factset&amp;display_string=Audit"}</definedName>
    <definedName name="_3978__FDSAUDITLINK__" hidden="1">{"fdsup://Directions/FactSet Auditing Viewer?action=AUDIT_VALUE&amp;DB=129&amp;ID1=46069S10&amp;VALUEID=02001&amp;SDATE=200701&amp;PERIODTYPE=QTR_STD&amp;SCFT=3&amp;window=popup_no_bar&amp;width=385&amp;height=120&amp;START_MAXIMIZED=FALSE&amp;creator=factset&amp;display_string=Audit"}</definedName>
    <definedName name="_3979__FDSAUDITLINK__" hidden="1">{"fdsup://Directions/FactSet Auditing Viewer?action=AUDIT_VALUE&amp;DB=129&amp;ID1=46069S10&amp;VALUEID=02001&amp;SDATE=200603&amp;PERIODTYPE=QTR_STD&amp;SCFT=3&amp;window=popup_no_bar&amp;width=385&amp;height=120&amp;START_MAXIMIZED=FALSE&amp;creator=factset&amp;display_string=Audit"}</definedName>
    <definedName name="_398__FDSAUDITLINK__" hidden="1">{"fdsup://Directions/FactSet Auditing Viewer?action=AUDIT_VALUE&amp;DB=129&amp;ID1=H2906T10&amp;VALUEID=02001&amp;SDATE=201003&amp;PERIODTYPE=QTR_STD&amp;SCFT=3&amp;window=popup_no_bar&amp;width=385&amp;height=120&amp;START_MAXIMIZED=FALSE&amp;creator=factset&amp;display_string=Audit"}</definedName>
    <definedName name="_3980__FDSAUDITLINK__" hidden="1">{"fdsup://Directions/FactSet Auditing Viewer?action=AUDIT_VALUE&amp;DB=129&amp;ID1=46069S10&amp;VALUEID=02001&amp;SDATE=200603&amp;PERIODTYPE=QTR_STD&amp;SCFT=3&amp;window=popup_no_bar&amp;width=385&amp;height=120&amp;START_MAXIMIZED=FALSE&amp;creator=factset&amp;display_string=Audit"}</definedName>
    <definedName name="_3981__FDSAUDITLINK__" hidden="1">{"fdsup://Directions/FactSet Auditing Viewer?action=AUDIT_VALUE&amp;DB=129&amp;ID1=46069S10&amp;VALUEID=02001&amp;SDATE=200602&amp;PERIODTYPE=QTR_STD&amp;SCFT=3&amp;window=popup_no_bar&amp;width=385&amp;height=120&amp;START_MAXIMIZED=FALSE&amp;creator=factset&amp;display_string=Audit"}</definedName>
    <definedName name="_3982__FDSAUDITLINK__" hidden="1">{"fdsup://Directions/FactSet Auditing Viewer?action=AUDIT_VALUE&amp;DB=129&amp;ID1=46069S10&amp;VALUEID=02001&amp;SDATE=200602&amp;PERIODTYPE=QTR_STD&amp;SCFT=3&amp;window=popup_no_bar&amp;width=385&amp;height=120&amp;START_MAXIMIZED=FALSE&amp;creator=factset&amp;display_string=Audit"}</definedName>
    <definedName name="_3983__FDSAUDITLINK__" hidden="1">{"fdsup://Directions/FactSet Auditing Viewer?action=AUDIT_VALUE&amp;DB=129&amp;ID1=46069S10&amp;VALUEID=02001&amp;SDATE=200601&amp;PERIODTYPE=QTR_STD&amp;SCFT=3&amp;window=popup_no_bar&amp;width=385&amp;height=120&amp;START_MAXIMIZED=FALSE&amp;creator=factset&amp;display_string=Audit"}</definedName>
    <definedName name="_3984__FDSAUDITLINK__" hidden="1">{"fdsup://Directions/FactSet Auditing Viewer?action=AUDIT_VALUE&amp;DB=129&amp;ID1=46069S10&amp;VALUEID=02001&amp;SDATE=200601&amp;PERIODTYPE=QTR_STD&amp;SCFT=3&amp;window=popup_no_bar&amp;width=385&amp;height=120&amp;START_MAXIMIZED=FALSE&amp;creator=factset&amp;display_string=Audit"}</definedName>
    <definedName name="_3985__FDSAUDITLINK__" hidden="1">{"fdsup://Directions/FactSet Auditing Viewer?action=AUDIT_VALUE&amp;DB=129&amp;ID1=46069S10&amp;VALUEID=02001&amp;SDATE=200503&amp;PERIODTYPE=QTR_STD&amp;SCFT=3&amp;window=popup_no_bar&amp;width=385&amp;height=120&amp;START_MAXIMIZED=FALSE&amp;creator=factset&amp;display_string=Audit"}</definedName>
    <definedName name="_3986__FDSAUDITLINK__" hidden="1">{"fdsup://Directions/FactSet Auditing Viewer?action=AUDIT_VALUE&amp;DB=129&amp;ID1=46069S10&amp;VALUEID=02001&amp;SDATE=200503&amp;PERIODTYPE=QTR_STD&amp;SCFT=3&amp;window=popup_no_bar&amp;width=385&amp;height=120&amp;START_MAXIMIZED=FALSE&amp;creator=factset&amp;display_string=Audit"}</definedName>
    <definedName name="_3987__FDSAUDITLINK__" hidden="1">{"fdsup://Directions/FactSet Auditing Viewer?action=AUDIT_VALUE&amp;DB=129&amp;ID1=46069S10&amp;VALUEID=02001&amp;SDATE=200502&amp;PERIODTYPE=QTR_STD&amp;SCFT=3&amp;window=popup_no_bar&amp;width=385&amp;height=120&amp;START_MAXIMIZED=FALSE&amp;creator=factset&amp;display_string=Audit"}</definedName>
    <definedName name="_3988__FDSAUDITLINK__" hidden="1">{"fdsup://Directions/FactSet Auditing Viewer?action=AUDIT_VALUE&amp;DB=129&amp;ID1=46069S10&amp;VALUEID=02001&amp;SDATE=200502&amp;PERIODTYPE=QTR_STD&amp;SCFT=3&amp;window=popup_no_bar&amp;width=385&amp;height=120&amp;START_MAXIMIZED=FALSE&amp;creator=factset&amp;display_string=Audit"}</definedName>
    <definedName name="_3989__FDSAUDITLINK__" hidden="1">{"fdsup://Directions/FactSet Auditing Viewer?action=AUDIT_VALUE&amp;DB=129&amp;ID1=46069S10&amp;VALUEID=02001&amp;SDATE=200501&amp;PERIODTYPE=QTR_STD&amp;SCFT=3&amp;window=popup_no_bar&amp;width=385&amp;height=120&amp;START_MAXIMIZED=FALSE&amp;creator=factset&amp;display_string=Audit"}</definedName>
    <definedName name="_399__FDSAUDITLINK__" hidden="1">{"fdsup://Directions/FactSet Auditing Viewer?action=AUDIT_VALUE&amp;DB=129&amp;ID1=34637510&amp;VALUEID=02001&amp;SDATE=201003&amp;PERIODTYPE=QTR_STD&amp;SCFT=3&amp;window=popup_no_bar&amp;width=385&amp;height=120&amp;START_MAXIMIZED=FALSE&amp;creator=factset&amp;display_string=Audit"}</definedName>
    <definedName name="_3990__FDSAUDITLINK__" hidden="1">{"fdsup://Directions/FactSet Auditing Viewer?action=AUDIT_VALUE&amp;DB=129&amp;ID1=46069S10&amp;VALUEID=02001&amp;SDATE=200501&amp;PERIODTYPE=QTR_STD&amp;SCFT=3&amp;window=popup_no_bar&amp;width=385&amp;height=120&amp;START_MAXIMIZED=FALSE&amp;creator=factset&amp;display_string=Audit"}</definedName>
    <definedName name="_3991__FDSAUDITLINK__" hidden="1">{"fdsup://Directions/FactSet Auditing Viewer?action=AUDIT_VALUE&amp;DB=129&amp;ID1=46069S10&amp;VALUEID=02001&amp;SDATE=200403&amp;PERIODTYPE=QTR_STD&amp;SCFT=3&amp;window=popup_no_bar&amp;width=385&amp;height=120&amp;START_MAXIMIZED=FALSE&amp;creator=factset&amp;display_string=Audit"}</definedName>
    <definedName name="_3992__FDSAUDITLINK__" hidden="1">{"fdsup://Directions/FactSet Auditing Viewer?action=AUDIT_VALUE&amp;DB=129&amp;ID1=46069S10&amp;VALUEID=02001&amp;SDATE=200403&amp;PERIODTYPE=QTR_STD&amp;SCFT=3&amp;window=popup_no_bar&amp;width=385&amp;height=120&amp;START_MAXIMIZED=FALSE&amp;creator=factset&amp;display_string=Audit"}</definedName>
    <definedName name="_3993__FDSAUDITLINK__" hidden="1">{"fdsup://Directions/FactSet Auditing Viewer?action=AUDIT_VALUE&amp;DB=129&amp;ID1=46069S10&amp;VALUEID=02001&amp;SDATE=200402&amp;PERIODTYPE=QTR_STD&amp;SCFT=3&amp;window=popup_no_bar&amp;width=385&amp;height=120&amp;START_MAXIMIZED=FALSE&amp;creator=factset&amp;display_string=Audit"}</definedName>
    <definedName name="_3994__FDSAUDITLINK__" hidden="1">{"fdsup://Directions/FactSet Auditing Viewer?action=AUDIT_VALUE&amp;DB=129&amp;ID1=46069S10&amp;VALUEID=02001&amp;SDATE=200402&amp;PERIODTYPE=QTR_STD&amp;SCFT=3&amp;window=popup_no_bar&amp;width=385&amp;height=120&amp;START_MAXIMIZED=FALSE&amp;creator=factset&amp;display_string=Audit"}</definedName>
    <definedName name="_3995__FDSAUDITLINK__" hidden="1">{"fdsup://Directions/FactSet Auditing Viewer?action=AUDIT_VALUE&amp;DB=129&amp;ID1=46069S10&amp;VALUEID=02001&amp;SDATE=200401&amp;PERIODTYPE=QTR_STD&amp;SCFT=3&amp;window=popup_no_bar&amp;width=385&amp;height=120&amp;START_MAXIMIZED=FALSE&amp;creator=factset&amp;display_string=Audit"}</definedName>
    <definedName name="_3996__FDSAUDITLINK__" hidden="1">{"fdsup://Directions/FactSet Auditing Viewer?action=AUDIT_VALUE&amp;DB=129&amp;ID1=46069S10&amp;VALUEID=02001&amp;SDATE=200401&amp;PERIODTYPE=QTR_STD&amp;SCFT=3&amp;window=popup_no_bar&amp;width=385&amp;height=120&amp;START_MAXIMIZED=FALSE&amp;creator=factset&amp;display_string=Audit"}</definedName>
    <definedName name="_3997__FDSAUDITLINK__" hidden="1">{"fdsup://Directions/FactSet Auditing Viewer?action=AUDIT_VALUE&amp;DB=129&amp;ID1=46025410&amp;VALUEID=02001&amp;SDATE=200803&amp;PERIODTYPE=QTR_STD&amp;SCFT=3&amp;window=popup_no_bar&amp;width=385&amp;height=120&amp;START_MAXIMIZED=FALSE&amp;creator=factset&amp;display_string=Audit"}</definedName>
    <definedName name="_3998__FDSAUDITLINK__" hidden="1">{"fdsup://Directions/FactSet Auditing Viewer?action=AUDIT_VALUE&amp;DB=129&amp;ID1=46025410&amp;VALUEID=02001&amp;SDATE=200803&amp;PERIODTYPE=QTR_STD&amp;SCFT=3&amp;window=popup_no_bar&amp;width=385&amp;height=120&amp;START_MAXIMIZED=FALSE&amp;creator=factset&amp;display_string=Audit"}</definedName>
    <definedName name="_3999__FDSAUDITLINK__" hidden="1">{"fdsup://Directions/FactSet Auditing Viewer?action=AUDIT_VALUE&amp;DB=129&amp;ID1=46025410&amp;VALUEID=02001&amp;SDATE=200802&amp;PERIODTYPE=QTR_STD&amp;SCFT=3&amp;window=popup_no_bar&amp;width=385&amp;height=120&amp;START_MAXIMIZED=FALSE&amp;creator=factset&amp;display_string=Audit"}</definedName>
    <definedName name="_4__123Graph_AR_M_MARG" hidden="1">#REF!</definedName>
    <definedName name="_4__123Graph_BR_M_MARGINS" hidden="1">#REF!</definedName>
    <definedName name="_4__FDSAUDITLINK__" hidden="1">{"fdsup://directions/FAT Viewer?action=UPDATE&amp;creator=factset&amp;DYN_ARGS=TRUE&amp;DOC_NAME=FAT:FQL_AUDITING_CLIENT_TEMPLATE.FAT&amp;display_string=Audit&amp;VAR:KEY=WZKBOHYPWT&amp;VAR:QUERY=RkZfU0hTX0ZMT0FUKEFOTiwp&amp;WINDOW=FIRST_POPUP&amp;HEIGHT=450&amp;WIDTH=450&amp;START_MAXIMIZED=FALS","E&amp;VAR:CALENDAR=US&amp;VAR:SYMBOL=MGM RESORTS INT'L&amp;VAR:INDEX=0"}</definedName>
    <definedName name="_4_RF_Power_Discrete">#REF!</definedName>
    <definedName name="_4_Total_RF_Discrete">#REF!</definedName>
    <definedName name="_40__FDSAUDITLINK__" hidden="1">{"fdsup://directions/FAT Viewer?action=UPDATE&amp;creator=factset&amp;DYN_ARGS=TRUE&amp;DOC_NAME=FAT:FQL_AUDITING_CLIENT_TEMPLATE.FAT&amp;display_string=Audit&amp;VAR:KEY=SJQRKPCPWH&amp;VAR:QUERY=RkZfU0hTX0ZMT0FUKEFOTiw0MDc1NSk=&amp;WINDOW=FIRST_POPUP&amp;HEIGHT=450&amp;WIDTH=450&amp;START_MAXIMI","ZED=FALSE&amp;VAR:CALENDAR=US&amp;VAR:SYMBOL=LVS&amp;VAR:INDEX=0"}</definedName>
    <definedName name="_400__FDSAUDITLINK__" hidden="1">{"fdsup://Directions/FactSet Auditing Viewer?action=AUDIT_VALUE&amp;DB=129&amp;ID1=34637510&amp;VALUEID=02001&amp;SDATE=201003&amp;PERIODTYPE=QTR_STD&amp;SCFT=3&amp;window=popup_no_bar&amp;width=385&amp;height=120&amp;START_MAXIMIZED=FALSE&amp;creator=factset&amp;display_string=Audit"}</definedName>
    <definedName name="_4000__FDSAUDITLINK__" hidden="1">{"fdsup://Directions/FactSet Auditing Viewer?action=AUDIT_VALUE&amp;DB=129&amp;ID1=46025410&amp;VALUEID=02001&amp;SDATE=200802&amp;PERIODTYPE=QTR_STD&amp;SCFT=3&amp;window=popup_no_bar&amp;width=385&amp;height=120&amp;START_MAXIMIZED=FALSE&amp;creator=factset&amp;display_string=Audit"}</definedName>
    <definedName name="_4001__FDSAUDITLINK__" hidden="1">{"fdsup://Directions/FactSet Auditing Viewer?action=AUDIT_VALUE&amp;DB=129&amp;ID1=46025410&amp;VALUEID=02001&amp;SDATE=200801&amp;PERIODTYPE=QTR_STD&amp;SCFT=3&amp;window=popup_no_bar&amp;width=385&amp;height=120&amp;START_MAXIMIZED=FALSE&amp;creator=factset&amp;display_string=Audit"}</definedName>
    <definedName name="_4002__FDSAUDITLINK__" hidden="1">{"fdsup://Directions/FactSet Auditing Viewer?action=AUDIT_VALUE&amp;DB=129&amp;ID1=46025410&amp;VALUEID=02001&amp;SDATE=200801&amp;PERIODTYPE=QTR_STD&amp;SCFT=3&amp;window=popup_no_bar&amp;width=385&amp;height=120&amp;START_MAXIMIZED=FALSE&amp;creator=factset&amp;display_string=Audit"}</definedName>
    <definedName name="_4003__FDSAUDITLINK__" hidden="1">{"fdsup://Directions/FactSet Auditing Viewer?action=AUDIT_VALUE&amp;DB=129&amp;ID1=46025410&amp;VALUEID=02001&amp;SDATE=200703&amp;PERIODTYPE=QTR_STD&amp;SCFT=3&amp;window=popup_no_bar&amp;width=385&amp;height=120&amp;START_MAXIMIZED=FALSE&amp;creator=factset&amp;display_string=Audit"}</definedName>
    <definedName name="_4004__FDSAUDITLINK__" hidden="1">{"fdsup://Directions/FactSet Auditing Viewer?action=AUDIT_VALUE&amp;DB=129&amp;ID1=46025410&amp;VALUEID=02001&amp;SDATE=200703&amp;PERIODTYPE=QTR_STD&amp;SCFT=3&amp;window=popup_no_bar&amp;width=385&amp;height=120&amp;START_MAXIMIZED=FALSE&amp;creator=factset&amp;display_string=Audit"}</definedName>
    <definedName name="_4005__FDSAUDITLINK__" hidden="1">{"fdsup://Directions/FactSet Auditing Viewer?action=AUDIT_VALUE&amp;DB=129&amp;ID1=46025410&amp;VALUEID=02001&amp;SDATE=200702&amp;PERIODTYPE=QTR_STD&amp;SCFT=3&amp;window=popup_no_bar&amp;width=385&amp;height=120&amp;START_MAXIMIZED=FALSE&amp;creator=factset&amp;display_string=Audit"}</definedName>
    <definedName name="_4006__FDSAUDITLINK__" hidden="1">{"fdsup://Directions/FactSet Auditing Viewer?action=AUDIT_VALUE&amp;DB=129&amp;ID1=46025410&amp;VALUEID=02001&amp;SDATE=200702&amp;PERIODTYPE=QTR_STD&amp;SCFT=3&amp;window=popup_no_bar&amp;width=385&amp;height=120&amp;START_MAXIMIZED=FALSE&amp;creator=factset&amp;display_string=Audit"}</definedName>
    <definedName name="_4007__FDSAUDITLINK__" hidden="1">{"fdsup://Directions/FactSet Auditing Viewer?action=AUDIT_VALUE&amp;DB=129&amp;ID1=46025410&amp;VALUEID=02001&amp;SDATE=200701&amp;PERIODTYPE=QTR_STD&amp;SCFT=3&amp;window=popup_no_bar&amp;width=385&amp;height=120&amp;START_MAXIMIZED=FALSE&amp;creator=factset&amp;display_string=Audit"}</definedName>
    <definedName name="_4008__FDSAUDITLINK__" hidden="1">{"fdsup://Directions/FactSet Auditing Viewer?action=AUDIT_VALUE&amp;DB=129&amp;ID1=46025410&amp;VALUEID=02001&amp;SDATE=200701&amp;PERIODTYPE=QTR_STD&amp;SCFT=3&amp;window=popup_no_bar&amp;width=385&amp;height=120&amp;START_MAXIMIZED=FALSE&amp;creator=factset&amp;display_string=Audit"}</definedName>
    <definedName name="_4009__FDSAUDITLINK__" hidden="1">{"fdsup://Directions/FactSet Auditing Viewer?action=AUDIT_VALUE&amp;DB=129&amp;ID1=46025410&amp;VALUEID=02001&amp;SDATE=200603&amp;PERIODTYPE=QTR_STD&amp;SCFT=3&amp;window=popup_no_bar&amp;width=385&amp;height=120&amp;START_MAXIMIZED=FALSE&amp;creator=factset&amp;display_string=Audit"}</definedName>
    <definedName name="_401__FDSAUDITLINK__" hidden="1">{"fdsup://Directions/FactSet Auditing Viewer?action=AUDIT_VALUE&amp;DB=129&amp;ID1=31561610&amp;VALUEID=02001&amp;SDATE=201004&amp;PERIODTYPE=QTR_STD&amp;SCFT=3&amp;window=popup_no_bar&amp;width=385&amp;height=120&amp;START_MAXIMIZED=FALSE&amp;creator=factset&amp;display_string=Audit"}</definedName>
    <definedName name="_4010__FDSAUDITLINK__" hidden="1">{"fdsup://Directions/FactSet Auditing Viewer?action=AUDIT_VALUE&amp;DB=129&amp;ID1=46025410&amp;VALUEID=02001&amp;SDATE=200603&amp;PERIODTYPE=QTR_STD&amp;SCFT=3&amp;window=popup_no_bar&amp;width=385&amp;height=120&amp;START_MAXIMIZED=FALSE&amp;creator=factset&amp;display_string=Audit"}</definedName>
    <definedName name="_4011__FDSAUDITLINK__" hidden="1">{"fdsup://Directions/FactSet Auditing Viewer?action=AUDIT_VALUE&amp;DB=129&amp;ID1=46025410&amp;VALUEID=02001&amp;SDATE=200602&amp;PERIODTYPE=QTR_STD&amp;SCFT=3&amp;window=popup_no_bar&amp;width=385&amp;height=120&amp;START_MAXIMIZED=FALSE&amp;creator=factset&amp;display_string=Audit"}</definedName>
    <definedName name="_4012__FDSAUDITLINK__" hidden="1">{"fdsup://Directions/FactSet Auditing Viewer?action=AUDIT_VALUE&amp;DB=129&amp;ID1=46025410&amp;VALUEID=02001&amp;SDATE=200602&amp;PERIODTYPE=QTR_STD&amp;SCFT=3&amp;window=popup_no_bar&amp;width=385&amp;height=120&amp;START_MAXIMIZED=FALSE&amp;creator=factset&amp;display_string=Audit"}</definedName>
    <definedName name="_4013__FDSAUDITLINK__" hidden="1">{"fdsup://Directions/FactSet Auditing Viewer?action=AUDIT_VALUE&amp;DB=129&amp;ID1=46025410&amp;VALUEID=02001&amp;SDATE=200601&amp;PERIODTYPE=QTR_STD&amp;SCFT=3&amp;window=popup_no_bar&amp;width=385&amp;height=120&amp;START_MAXIMIZED=FALSE&amp;creator=factset&amp;display_string=Audit"}</definedName>
    <definedName name="_4014__FDSAUDITLINK__" hidden="1">{"fdsup://Directions/FactSet Auditing Viewer?action=AUDIT_VALUE&amp;DB=129&amp;ID1=46025410&amp;VALUEID=02001&amp;SDATE=200601&amp;PERIODTYPE=QTR_STD&amp;SCFT=3&amp;window=popup_no_bar&amp;width=385&amp;height=120&amp;START_MAXIMIZED=FALSE&amp;creator=factset&amp;display_string=Audit"}</definedName>
    <definedName name="_4015__FDSAUDITLINK__" hidden="1">{"fdsup://Directions/FactSet Auditing Viewer?action=AUDIT_VALUE&amp;DB=129&amp;ID1=46025410&amp;VALUEID=02001&amp;SDATE=200504&amp;PERIODTYPE=QTR_STD&amp;SCFT=3&amp;window=popup_no_bar&amp;width=385&amp;height=120&amp;START_MAXIMIZED=FALSE&amp;creator=factset&amp;display_string=Audit"}</definedName>
    <definedName name="_4016__FDSAUDITLINK__" hidden="1">{"fdsup://Directions/FactSet Auditing Viewer?action=AUDIT_VALUE&amp;DB=129&amp;ID1=46025410&amp;VALUEID=02001&amp;SDATE=200504&amp;PERIODTYPE=QTR_STD&amp;SCFT=3&amp;window=popup_no_bar&amp;width=385&amp;height=120&amp;START_MAXIMIZED=FALSE&amp;creator=factset&amp;display_string=Audit"}</definedName>
    <definedName name="_4017__FDSAUDITLINK__" hidden="1">{"fdsup://Directions/FactSet Auditing Viewer?action=AUDIT_VALUE&amp;DB=129&amp;ID1=46025410&amp;VALUEID=02001&amp;SDATE=200503&amp;PERIODTYPE=QTR_STD&amp;SCFT=3&amp;window=popup_no_bar&amp;width=385&amp;height=120&amp;START_MAXIMIZED=FALSE&amp;creator=factset&amp;display_string=Audit"}</definedName>
    <definedName name="_4018__FDSAUDITLINK__" hidden="1">{"fdsup://Directions/FactSet Auditing Viewer?action=AUDIT_VALUE&amp;DB=129&amp;ID1=46025410&amp;VALUEID=02001&amp;SDATE=200503&amp;PERIODTYPE=QTR_STD&amp;SCFT=3&amp;window=popup_no_bar&amp;width=385&amp;height=120&amp;START_MAXIMIZED=FALSE&amp;creator=factset&amp;display_string=Audit"}</definedName>
    <definedName name="_4019__FDSAUDITLINK__" hidden="1">{"fdsup://Directions/FactSet Auditing Viewer?action=AUDIT_VALUE&amp;DB=129&amp;ID1=46025410&amp;VALUEID=02001&amp;SDATE=200502&amp;PERIODTYPE=QTR_STD&amp;SCFT=3&amp;window=popup_no_bar&amp;width=385&amp;height=120&amp;START_MAXIMIZED=FALSE&amp;creator=factset&amp;display_string=Audit"}</definedName>
    <definedName name="_402__FDSAUDITLINK__" hidden="1">{"fdsup://Directions/FactSet Auditing Viewer?action=AUDIT_VALUE&amp;DB=129&amp;ID1=31561610&amp;VALUEID=02001&amp;SDATE=201004&amp;PERIODTYPE=QTR_STD&amp;SCFT=3&amp;window=popup_no_bar&amp;width=385&amp;height=120&amp;START_MAXIMIZED=FALSE&amp;creator=factset&amp;display_string=Audit"}</definedName>
    <definedName name="_4020__FDSAUDITLINK__" hidden="1">{"fdsup://Directions/FactSet Auditing Viewer?action=AUDIT_VALUE&amp;DB=129&amp;ID1=46025410&amp;VALUEID=02001&amp;SDATE=200502&amp;PERIODTYPE=QTR_STD&amp;SCFT=3&amp;window=popup_no_bar&amp;width=385&amp;height=120&amp;START_MAXIMIZED=FALSE&amp;creator=factset&amp;display_string=Audit"}</definedName>
    <definedName name="_4021__FDSAUDITLINK__" hidden="1">{"fdsup://Directions/FactSet Auditing Viewer?action=AUDIT_VALUE&amp;DB=129&amp;ID1=46025410&amp;VALUEID=02001&amp;SDATE=200501&amp;PERIODTYPE=QTR_STD&amp;SCFT=3&amp;window=popup_no_bar&amp;width=385&amp;height=120&amp;START_MAXIMIZED=FALSE&amp;creator=factset&amp;display_string=Audit"}</definedName>
    <definedName name="_4022__FDSAUDITLINK__" hidden="1">{"fdsup://Directions/FactSet Auditing Viewer?action=AUDIT_VALUE&amp;DB=129&amp;ID1=46025410&amp;VALUEID=02001&amp;SDATE=200501&amp;PERIODTYPE=QTR_STD&amp;SCFT=3&amp;window=popup_no_bar&amp;width=385&amp;height=120&amp;START_MAXIMIZED=FALSE&amp;creator=factset&amp;display_string=Audit"}</definedName>
    <definedName name="_4023__FDSAUDITLINK__" hidden="1">{"fdsup://Directions/FactSet Auditing Viewer?action=AUDIT_VALUE&amp;DB=129&amp;ID1=46025410&amp;VALUEID=02001&amp;SDATE=200404&amp;PERIODTYPE=QTR_STD&amp;SCFT=3&amp;window=popup_no_bar&amp;width=385&amp;height=120&amp;START_MAXIMIZED=FALSE&amp;creator=factset&amp;display_string=Audit"}</definedName>
    <definedName name="_4024__FDSAUDITLINK__" hidden="1">{"fdsup://Directions/FactSet Auditing Viewer?action=AUDIT_VALUE&amp;DB=129&amp;ID1=46025410&amp;VALUEID=02001&amp;SDATE=200404&amp;PERIODTYPE=QTR_STD&amp;SCFT=3&amp;window=popup_no_bar&amp;width=385&amp;height=120&amp;START_MAXIMIZED=FALSE&amp;creator=factset&amp;display_string=Audit"}</definedName>
    <definedName name="_4025__FDSAUDITLINK__" hidden="1">{"fdsup://Directions/FactSet Auditing Viewer?action=AUDIT_VALUE&amp;DB=129&amp;ID1=45814010&amp;VALUEID=02001&amp;SDATE=200801&amp;PERIODTYPE=QTR_STD&amp;SCFT=3&amp;window=popup_no_bar&amp;width=385&amp;height=120&amp;START_MAXIMIZED=FALSE&amp;creator=factset&amp;display_string=Audit"}</definedName>
    <definedName name="_4026__FDSAUDITLINK__" hidden="1">{"fdsup://Directions/FactSet Auditing Viewer?action=AUDIT_VALUE&amp;DB=129&amp;ID1=45814010&amp;VALUEID=02001&amp;SDATE=200801&amp;PERIODTYPE=QTR_STD&amp;SCFT=3&amp;window=popup_no_bar&amp;width=385&amp;height=120&amp;START_MAXIMIZED=FALSE&amp;creator=factset&amp;display_string=Audit"}</definedName>
    <definedName name="_4027__FDSAUDITLINK__" hidden="1">{"fdsup://Directions/FactSet Auditing Viewer?action=AUDIT_VALUE&amp;DB=129&amp;ID1=45814010&amp;VALUEID=02001&amp;SDATE=200703&amp;PERIODTYPE=QTR_STD&amp;SCFT=3&amp;window=popup_no_bar&amp;width=385&amp;height=120&amp;START_MAXIMIZED=FALSE&amp;creator=factset&amp;display_string=Audit"}</definedName>
    <definedName name="_4028__FDSAUDITLINK__" hidden="1">{"fdsup://Directions/FactSet Auditing Viewer?action=AUDIT_VALUE&amp;DB=129&amp;ID1=45814010&amp;VALUEID=02001&amp;SDATE=200703&amp;PERIODTYPE=QTR_STD&amp;SCFT=3&amp;window=popup_no_bar&amp;width=385&amp;height=120&amp;START_MAXIMIZED=FALSE&amp;creator=factset&amp;display_string=Audit"}</definedName>
    <definedName name="_4029__FDSAUDITLINK__" hidden="1">{"fdsup://Directions/FactSet Auditing Viewer?action=AUDIT_VALUE&amp;DB=129&amp;ID1=45814010&amp;VALUEID=02001&amp;SDATE=200702&amp;PERIODTYPE=QTR_STD&amp;SCFT=3&amp;window=popup_no_bar&amp;width=385&amp;height=120&amp;START_MAXIMIZED=FALSE&amp;creator=factset&amp;display_string=Audit"}</definedName>
    <definedName name="_403__FDSAUDITLINK__" hidden="1">{"fdsup://Directions/FactSet Auditing Viewer?action=AUDIT_VALUE&amp;DB=129&amp;ID1=29247520&amp;VALUEID=02001&amp;SDATE=201101&amp;PERIODTYPE=QTR_STD&amp;SCFT=3&amp;window=popup_no_bar&amp;width=385&amp;height=120&amp;START_MAXIMIZED=FALSE&amp;creator=factset&amp;display_string=Audit"}</definedName>
    <definedName name="_4030__FDSAUDITLINK__" hidden="1">{"fdsup://Directions/FactSet Auditing Viewer?action=AUDIT_VALUE&amp;DB=129&amp;ID1=45814010&amp;VALUEID=02001&amp;SDATE=200702&amp;PERIODTYPE=QTR_STD&amp;SCFT=3&amp;window=popup_no_bar&amp;width=385&amp;height=120&amp;START_MAXIMIZED=FALSE&amp;creator=factset&amp;display_string=Audit"}</definedName>
    <definedName name="_4031__FDSAUDITLINK__" hidden="1">{"fdsup://Directions/FactSet Auditing Viewer?action=AUDIT_VALUE&amp;DB=129&amp;ID1=45814010&amp;VALUEID=02001&amp;SDATE=200701&amp;PERIODTYPE=QTR_STD&amp;SCFT=3&amp;window=popup_no_bar&amp;width=385&amp;height=120&amp;START_MAXIMIZED=FALSE&amp;creator=factset&amp;display_string=Audit"}</definedName>
    <definedName name="_4032__FDSAUDITLINK__" hidden="1">{"fdsup://Directions/FactSet Auditing Viewer?action=AUDIT_VALUE&amp;DB=129&amp;ID1=45814010&amp;VALUEID=02001&amp;SDATE=200701&amp;PERIODTYPE=QTR_STD&amp;SCFT=3&amp;window=popup_no_bar&amp;width=385&amp;height=120&amp;START_MAXIMIZED=FALSE&amp;creator=factset&amp;display_string=Audit"}</definedName>
    <definedName name="_4033__FDSAUDITLINK__" hidden="1">{"fdsup://Directions/FactSet Auditing Viewer?action=AUDIT_VALUE&amp;DB=129&amp;ID1=45814010&amp;VALUEID=02001&amp;SDATE=200603&amp;PERIODTYPE=QTR_STD&amp;SCFT=3&amp;window=popup_no_bar&amp;width=385&amp;height=120&amp;START_MAXIMIZED=FALSE&amp;creator=factset&amp;display_string=Audit"}</definedName>
    <definedName name="_4034__FDSAUDITLINK__" hidden="1">{"fdsup://Directions/FactSet Auditing Viewer?action=AUDIT_VALUE&amp;DB=129&amp;ID1=45814010&amp;VALUEID=02001&amp;SDATE=200603&amp;PERIODTYPE=QTR_STD&amp;SCFT=3&amp;window=popup_no_bar&amp;width=385&amp;height=120&amp;START_MAXIMIZED=FALSE&amp;creator=factset&amp;display_string=Audit"}</definedName>
    <definedName name="_4035__FDSAUDITLINK__" hidden="1">{"fdsup://Directions/FactSet Auditing Viewer?action=AUDIT_VALUE&amp;DB=129&amp;ID1=45814010&amp;VALUEID=02001&amp;SDATE=200602&amp;PERIODTYPE=QTR_STD&amp;SCFT=3&amp;window=popup_no_bar&amp;width=385&amp;height=120&amp;START_MAXIMIZED=FALSE&amp;creator=factset&amp;display_string=Audit"}</definedName>
    <definedName name="_4036__FDSAUDITLINK__" hidden="1">{"fdsup://Directions/FactSet Auditing Viewer?action=AUDIT_VALUE&amp;DB=129&amp;ID1=45814010&amp;VALUEID=02001&amp;SDATE=200602&amp;PERIODTYPE=QTR_STD&amp;SCFT=3&amp;window=popup_no_bar&amp;width=385&amp;height=120&amp;START_MAXIMIZED=FALSE&amp;creator=factset&amp;display_string=Audit"}</definedName>
    <definedName name="_4037__FDSAUDITLINK__" hidden="1">{"fdsup://Directions/FactSet Auditing Viewer?action=AUDIT_VALUE&amp;DB=129&amp;ID1=45814010&amp;VALUEID=02001&amp;SDATE=200601&amp;PERIODTYPE=QTR_STD&amp;SCFT=3&amp;window=popup_no_bar&amp;width=385&amp;height=120&amp;START_MAXIMIZED=FALSE&amp;creator=factset&amp;display_string=Audit"}</definedName>
    <definedName name="_4038__FDSAUDITLINK__" hidden="1">{"fdsup://Directions/FactSet Auditing Viewer?action=AUDIT_VALUE&amp;DB=129&amp;ID1=45814010&amp;VALUEID=02001&amp;SDATE=200601&amp;PERIODTYPE=QTR_STD&amp;SCFT=3&amp;window=popup_no_bar&amp;width=385&amp;height=120&amp;START_MAXIMIZED=FALSE&amp;creator=factset&amp;display_string=Audit"}</definedName>
    <definedName name="_4039__FDSAUDITLINK__" hidden="1">{"fdsup://Directions/FactSet Auditing Viewer?action=AUDIT_VALUE&amp;DB=129&amp;ID1=45814010&amp;VALUEID=02001&amp;SDATE=200503&amp;PERIODTYPE=QTR_STD&amp;SCFT=3&amp;window=popup_no_bar&amp;width=385&amp;height=120&amp;START_MAXIMIZED=FALSE&amp;creator=factset&amp;display_string=Audit"}</definedName>
    <definedName name="_404__FDSAUDITLINK__" hidden="1">{"fdsup://Directions/FactSet Auditing Viewer?action=AUDIT_VALUE&amp;DB=129&amp;ID1=29247520&amp;VALUEID=02001&amp;SDATE=201101&amp;PERIODTYPE=QTR_STD&amp;SCFT=3&amp;window=popup_no_bar&amp;width=385&amp;height=120&amp;START_MAXIMIZED=FALSE&amp;creator=factset&amp;display_string=Audit"}</definedName>
    <definedName name="_4040__FDSAUDITLINK__" hidden="1">{"fdsup://Directions/FactSet Auditing Viewer?action=AUDIT_VALUE&amp;DB=129&amp;ID1=45814010&amp;VALUEID=02001&amp;SDATE=200503&amp;PERIODTYPE=QTR_STD&amp;SCFT=3&amp;window=popup_no_bar&amp;width=385&amp;height=120&amp;START_MAXIMIZED=FALSE&amp;creator=factset&amp;display_string=Audit"}</definedName>
    <definedName name="_4041__FDSAUDITLINK__" hidden="1">{"fdsup://Directions/FactSet Auditing Viewer?action=AUDIT_VALUE&amp;DB=129&amp;ID1=45814010&amp;VALUEID=02001&amp;SDATE=200502&amp;PERIODTYPE=QTR_STD&amp;SCFT=3&amp;window=popup_no_bar&amp;width=385&amp;height=120&amp;START_MAXIMIZED=FALSE&amp;creator=factset&amp;display_string=Audit"}</definedName>
    <definedName name="_4042__FDSAUDITLINK__" hidden="1">{"fdsup://Directions/FactSet Auditing Viewer?action=AUDIT_VALUE&amp;DB=129&amp;ID1=45814010&amp;VALUEID=02001&amp;SDATE=200502&amp;PERIODTYPE=QTR_STD&amp;SCFT=3&amp;window=popup_no_bar&amp;width=385&amp;height=120&amp;START_MAXIMIZED=FALSE&amp;creator=factset&amp;display_string=Audit"}</definedName>
    <definedName name="_4043__FDSAUDITLINK__" hidden="1">{"fdsup://Directions/FactSet Auditing Viewer?action=AUDIT_VALUE&amp;DB=129&amp;ID1=45814010&amp;VALUEID=02001&amp;SDATE=200501&amp;PERIODTYPE=QTR_STD&amp;SCFT=3&amp;window=popup_no_bar&amp;width=385&amp;height=120&amp;START_MAXIMIZED=FALSE&amp;creator=factset&amp;display_string=Audit"}</definedName>
    <definedName name="_4044__FDSAUDITLINK__" hidden="1">{"fdsup://Directions/FactSet Auditing Viewer?action=AUDIT_VALUE&amp;DB=129&amp;ID1=45814010&amp;VALUEID=02001&amp;SDATE=200501&amp;PERIODTYPE=QTR_STD&amp;SCFT=3&amp;window=popup_no_bar&amp;width=385&amp;height=120&amp;START_MAXIMIZED=FALSE&amp;creator=factset&amp;display_string=Audit"}</definedName>
    <definedName name="_4045__FDSAUDITLINK__" hidden="1">{"fdsup://Directions/FactSet Auditing Viewer?action=AUDIT_VALUE&amp;DB=129&amp;ID1=45814010&amp;VALUEID=02001&amp;SDATE=200403&amp;PERIODTYPE=QTR_STD&amp;SCFT=3&amp;window=popup_no_bar&amp;width=385&amp;height=120&amp;START_MAXIMIZED=FALSE&amp;creator=factset&amp;display_string=Audit"}</definedName>
    <definedName name="_4046__FDSAUDITLINK__" hidden="1">{"fdsup://Directions/FactSet Auditing Viewer?action=AUDIT_VALUE&amp;DB=129&amp;ID1=45814010&amp;VALUEID=02001&amp;SDATE=200403&amp;PERIODTYPE=QTR_STD&amp;SCFT=3&amp;window=popup_no_bar&amp;width=385&amp;height=120&amp;START_MAXIMIZED=FALSE&amp;creator=factset&amp;display_string=Audit"}</definedName>
    <definedName name="_4047__FDSAUDITLINK__" hidden="1">{"fdsup://Directions/FactSet Auditing Viewer?action=AUDIT_VALUE&amp;DB=129&amp;ID1=45814010&amp;VALUEID=02001&amp;SDATE=200402&amp;PERIODTYPE=QTR_STD&amp;SCFT=3&amp;window=popup_no_bar&amp;width=385&amp;height=120&amp;START_MAXIMIZED=FALSE&amp;creator=factset&amp;display_string=Audit"}</definedName>
    <definedName name="_4048__FDSAUDITLINK__" hidden="1">{"fdsup://Directions/FactSet Auditing Viewer?action=AUDIT_VALUE&amp;DB=129&amp;ID1=45814010&amp;VALUEID=02001&amp;SDATE=200402&amp;PERIODTYPE=QTR_STD&amp;SCFT=3&amp;window=popup_no_bar&amp;width=385&amp;height=120&amp;START_MAXIMIZED=FALSE&amp;creator=factset&amp;display_string=Audit"}</definedName>
    <definedName name="_4049__FDSAUDITLINK__" hidden="1">{"fdsup://Directions/FactSet Auditing Viewer?action=AUDIT_VALUE&amp;DB=129&amp;ID1=45814010&amp;VALUEID=02001&amp;SDATE=200401&amp;PERIODTYPE=QTR_STD&amp;SCFT=3&amp;window=popup_no_bar&amp;width=385&amp;height=120&amp;START_MAXIMIZED=FALSE&amp;creator=factset&amp;display_string=Audit"}</definedName>
    <definedName name="_405__FDSAUDITLINK__" hidden="1">{"fdsup://Directions/FactSet Auditing Viewer?action=AUDIT_VALUE&amp;DB=129&amp;ID1=25454310&amp;VALUEID=02001&amp;SDATE=201003&amp;PERIODTYPE=QTR_STD&amp;SCFT=3&amp;window=popup_no_bar&amp;width=385&amp;height=120&amp;START_MAXIMIZED=FALSE&amp;creator=factset&amp;display_string=Audit"}</definedName>
    <definedName name="_4050__FDSAUDITLINK__" hidden="1">{"fdsup://Directions/FactSet Auditing Viewer?action=AUDIT_VALUE&amp;DB=129&amp;ID1=45814010&amp;VALUEID=02001&amp;SDATE=200401&amp;PERIODTYPE=QTR_STD&amp;SCFT=3&amp;window=popup_no_bar&amp;width=385&amp;height=120&amp;START_MAXIMIZED=FALSE&amp;creator=factset&amp;display_string=Audit"}</definedName>
    <definedName name="_4051__FDSAUDITLINK__" hidden="1">{"fdsup://Directions/FactSet Auditing Viewer?action=AUDIT_VALUE&amp;DB=129&amp;ID1=45811810&amp;VALUEID=02001&amp;SDATE=200703&amp;PERIODTYPE=QTR_STD&amp;SCFT=3&amp;window=popup_no_bar&amp;width=385&amp;height=120&amp;START_MAXIMIZED=FALSE&amp;creator=factset&amp;display_string=Audit"}</definedName>
    <definedName name="_4052__FDSAUDITLINK__" hidden="1">{"fdsup://Directions/FactSet Auditing Viewer?action=AUDIT_VALUE&amp;DB=129&amp;ID1=45811810&amp;VALUEID=02001&amp;SDATE=200703&amp;PERIODTYPE=QTR_STD&amp;SCFT=3&amp;window=popup_no_bar&amp;width=385&amp;height=120&amp;START_MAXIMIZED=FALSE&amp;creator=factset&amp;display_string=Audit"}</definedName>
    <definedName name="_4053__FDSAUDITLINK__" hidden="1">{"fdsup://Directions/FactSet Auditing Viewer?action=AUDIT_VALUE&amp;DB=129&amp;ID1=45811810&amp;VALUEID=02001&amp;SDATE=200702&amp;PERIODTYPE=QTR_STD&amp;SCFT=3&amp;window=popup_no_bar&amp;width=385&amp;height=120&amp;START_MAXIMIZED=FALSE&amp;creator=factset&amp;display_string=Audit"}</definedName>
    <definedName name="_4054__FDSAUDITLINK__" hidden="1">{"fdsup://Directions/FactSet Auditing Viewer?action=AUDIT_VALUE&amp;DB=129&amp;ID1=45811810&amp;VALUEID=02001&amp;SDATE=200702&amp;PERIODTYPE=QTR_STD&amp;SCFT=3&amp;window=popup_no_bar&amp;width=385&amp;height=120&amp;START_MAXIMIZED=FALSE&amp;creator=factset&amp;display_string=Audit"}</definedName>
    <definedName name="_4055__FDSAUDITLINK__" hidden="1">{"fdsup://Directions/FactSet Auditing Viewer?action=AUDIT_VALUE&amp;DB=129&amp;ID1=45811810&amp;VALUEID=02001&amp;SDATE=200701&amp;PERIODTYPE=QTR_STD&amp;SCFT=3&amp;window=popup_no_bar&amp;width=385&amp;height=120&amp;START_MAXIMIZED=FALSE&amp;creator=factset&amp;display_string=Audit"}</definedName>
    <definedName name="_4056__FDSAUDITLINK__" hidden="1">{"fdsup://Directions/FactSet Auditing Viewer?action=AUDIT_VALUE&amp;DB=129&amp;ID1=45811810&amp;VALUEID=02001&amp;SDATE=200701&amp;PERIODTYPE=QTR_STD&amp;SCFT=3&amp;window=popup_no_bar&amp;width=385&amp;height=120&amp;START_MAXIMIZED=FALSE&amp;creator=factset&amp;display_string=Audit"}</definedName>
    <definedName name="_4057__FDSAUDITLINK__" hidden="1">{"fdsup://Directions/FactSet Auditing Viewer?action=AUDIT_VALUE&amp;DB=129&amp;ID1=45811810&amp;VALUEID=02001&amp;SDATE=200603&amp;PERIODTYPE=QTR_STD&amp;SCFT=3&amp;window=popup_no_bar&amp;width=385&amp;height=120&amp;START_MAXIMIZED=FALSE&amp;creator=factset&amp;display_string=Audit"}</definedName>
    <definedName name="_4058__FDSAUDITLINK__" hidden="1">{"fdsup://Directions/FactSet Auditing Viewer?action=AUDIT_VALUE&amp;DB=129&amp;ID1=45811810&amp;VALUEID=02001&amp;SDATE=200603&amp;PERIODTYPE=QTR_STD&amp;SCFT=3&amp;window=popup_no_bar&amp;width=385&amp;height=120&amp;START_MAXIMIZED=FALSE&amp;creator=factset&amp;display_string=Audit"}</definedName>
    <definedName name="_4059__FDSAUDITLINK__" hidden="1">{"fdsup://Directions/FactSet Auditing Viewer?action=AUDIT_VALUE&amp;DB=129&amp;ID1=45811810&amp;VALUEID=02001&amp;SDATE=200602&amp;PERIODTYPE=QTR_STD&amp;SCFT=3&amp;window=popup_no_bar&amp;width=385&amp;height=120&amp;START_MAXIMIZED=FALSE&amp;creator=factset&amp;display_string=Audit"}</definedName>
    <definedName name="_406__FDSAUDITLINK__" hidden="1">{"fdsup://Directions/FactSet Auditing Viewer?action=AUDIT_VALUE&amp;DB=129&amp;ID1=25454310&amp;VALUEID=02001&amp;SDATE=201003&amp;PERIODTYPE=QTR_STD&amp;SCFT=3&amp;window=popup_no_bar&amp;width=385&amp;height=120&amp;START_MAXIMIZED=FALSE&amp;creator=factset&amp;display_string=Audit"}</definedName>
    <definedName name="_4060__FDSAUDITLINK__" hidden="1">{"fdsup://Directions/FactSet Auditing Viewer?action=AUDIT_VALUE&amp;DB=129&amp;ID1=45811810&amp;VALUEID=02001&amp;SDATE=200602&amp;PERIODTYPE=QTR_STD&amp;SCFT=3&amp;window=popup_no_bar&amp;width=385&amp;height=120&amp;START_MAXIMIZED=FALSE&amp;creator=factset&amp;display_string=Audit"}</definedName>
    <definedName name="_4061__FDSAUDITLINK__" hidden="1">{"fdsup://Directions/FactSet Auditing Viewer?action=AUDIT_VALUE&amp;DB=129&amp;ID1=45811810&amp;VALUEID=02001&amp;SDATE=200601&amp;PERIODTYPE=QTR_STD&amp;SCFT=3&amp;window=popup_no_bar&amp;width=385&amp;height=120&amp;START_MAXIMIZED=FALSE&amp;creator=factset&amp;display_string=Audit"}</definedName>
    <definedName name="_4062__FDSAUDITLINK__" hidden="1">{"fdsup://Directions/FactSet Auditing Viewer?action=AUDIT_VALUE&amp;DB=129&amp;ID1=45811810&amp;VALUEID=02001&amp;SDATE=200601&amp;PERIODTYPE=QTR_STD&amp;SCFT=3&amp;window=popup_no_bar&amp;width=385&amp;height=120&amp;START_MAXIMIZED=FALSE&amp;creator=factset&amp;display_string=Audit"}</definedName>
    <definedName name="_4063__FDSAUDITLINK__" hidden="1">{"fdsup://Directions/FactSet Auditing Viewer?action=AUDIT_VALUE&amp;DB=129&amp;ID1=45811810&amp;VALUEID=02001&amp;SDATE=200503&amp;PERIODTYPE=QTR_STD&amp;SCFT=3&amp;window=popup_no_bar&amp;width=385&amp;height=120&amp;START_MAXIMIZED=FALSE&amp;creator=factset&amp;display_string=Audit"}</definedName>
    <definedName name="_4064__FDSAUDITLINK__" hidden="1">{"fdsup://Directions/FactSet Auditing Viewer?action=AUDIT_VALUE&amp;DB=129&amp;ID1=45811810&amp;VALUEID=02001&amp;SDATE=200503&amp;PERIODTYPE=QTR_STD&amp;SCFT=3&amp;window=popup_no_bar&amp;width=385&amp;height=120&amp;START_MAXIMIZED=FALSE&amp;creator=factset&amp;display_string=Audit"}</definedName>
    <definedName name="_4065__FDSAUDITLINK__" hidden="1">{"fdsup://Directions/FactSet Auditing Viewer?action=AUDIT_VALUE&amp;DB=129&amp;ID1=45811810&amp;VALUEID=02001&amp;SDATE=200502&amp;PERIODTYPE=QTR_STD&amp;SCFT=3&amp;window=popup_no_bar&amp;width=385&amp;height=120&amp;START_MAXIMIZED=FALSE&amp;creator=factset&amp;display_string=Audit"}</definedName>
    <definedName name="_4066__FDSAUDITLINK__" hidden="1">{"fdsup://Directions/FactSet Auditing Viewer?action=AUDIT_VALUE&amp;DB=129&amp;ID1=45811810&amp;VALUEID=02001&amp;SDATE=200502&amp;PERIODTYPE=QTR_STD&amp;SCFT=3&amp;window=popup_no_bar&amp;width=385&amp;height=120&amp;START_MAXIMIZED=FALSE&amp;creator=factset&amp;display_string=Audit"}</definedName>
    <definedName name="_4067__FDSAUDITLINK__" hidden="1">{"fdsup://Directions/FactSet Auditing Viewer?action=AUDIT_VALUE&amp;DB=129&amp;ID1=45811810&amp;VALUEID=02001&amp;SDATE=200501&amp;PERIODTYPE=QTR_STD&amp;SCFT=3&amp;window=popup_no_bar&amp;width=385&amp;height=120&amp;START_MAXIMIZED=FALSE&amp;creator=factset&amp;display_string=Audit"}</definedName>
    <definedName name="_4068__FDSAUDITLINK__" hidden="1">{"fdsup://Directions/FactSet Auditing Viewer?action=AUDIT_VALUE&amp;DB=129&amp;ID1=45811810&amp;VALUEID=02001&amp;SDATE=200501&amp;PERIODTYPE=QTR_STD&amp;SCFT=3&amp;window=popup_no_bar&amp;width=385&amp;height=120&amp;START_MAXIMIZED=FALSE&amp;creator=factset&amp;display_string=Audit"}</definedName>
    <definedName name="_4069__FDSAUDITLINK__" hidden="1">{"fdsup://Directions/FactSet Auditing Viewer?action=AUDIT_VALUE&amp;DB=129&amp;ID1=45811810&amp;VALUEID=02001&amp;SDATE=200403&amp;PERIODTYPE=QTR_STD&amp;SCFT=3&amp;window=popup_no_bar&amp;width=385&amp;height=120&amp;START_MAXIMIZED=FALSE&amp;creator=factset&amp;display_string=Audit"}</definedName>
    <definedName name="_407__FDSAUDITLINK__" hidden="1">{"fdsup://Directions/FactSet Auditing Viewer?action=AUDIT_VALUE&amp;DB=129&amp;ID1=24702R10&amp;VALUEID=02001&amp;SDATE=201003&amp;PERIODTYPE=QTR_STD&amp;SCFT=3&amp;window=popup_no_bar&amp;width=385&amp;height=120&amp;START_MAXIMIZED=FALSE&amp;creator=factset&amp;display_string=Audit"}</definedName>
    <definedName name="_4070__FDSAUDITLINK__" hidden="1">{"fdsup://Directions/FactSet Auditing Viewer?action=AUDIT_VALUE&amp;DB=129&amp;ID1=45811810&amp;VALUEID=02001&amp;SDATE=200403&amp;PERIODTYPE=QTR_STD&amp;SCFT=3&amp;window=popup_no_bar&amp;width=385&amp;height=120&amp;START_MAXIMIZED=FALSE&amp;creator=factset&amp;display_string=Audit"}</definedName>
    <definedName name="_4071__FDSAUDITLINK__" hidden="1">{"fdsup://Directions/FactSet Auditing Viewer?action=AUDIT_VALUE&amp;DB=129&amp;ID1=45811810&amp;VALUEID=02001&amp;SDATE=200402&amp;PERIODTYPE=QTR_STD&amp;SCFT=3&amp;window=popup_no_bar&amp;width=385&amp;height=120&amp;START_MAXIMIZED=FALSE&amp;creator=factset&amp;display_string=Audit"}</definedName>
    <definedName name="_4072__FDSAUDITLINK__" hidden="1">{"fdsup://Directions/FactSet Auditing Viewer?action=AUDIT_VALUE&amp;DB=129&amp;ID1=45811810&amp;VALUEID=02001&amp;SDATE=200402&amp;PERIODTYPE=QTR_STD&amp;SCFT=3&amp;window=popup_no_bar&amp;width=385&amp;height=120&amp;START_MAXIMIZED=FALSE&amp;creator=factset&amp;display_string=Audit"}</definedName>
    <definedName name="_4073__FDSAUDITLINK__" hidden="1">{"fdsup://Directions/FactSet Auditing Viewer?action=AUDIT_VALUE&amp;DB=129&amp;ID1=45811810&amp;VALUEID=02001&amp;SDATE=200401&amp;PERIODTYPE=QTR_STD&amp;SCFT=3&amp;window=popup_no_bar&amp;width=385&amp;height=120&amp;START_MAXIMIZED=FALSE&amp;creator=factset&amp;display_string=Audit"}</definedName>
    <definedName name="_4074__FDSAUDITLINK__" hidden="1">{"fdsup://Directions/FactSet Auditing Viewer?action=AUDIT_VALUE&amp;DB=129&amp;ID1=45811810&amp;VALUEID=02001&amp;SDATE=200401&amp;PERIODTYPE=QTR_STD&amp;SCFT=3&amp;window=popup_no_bar&amp;width=385&amp;height=120&amp;START_MAXIMIZED=FALSE&amp;creator=factset&amp;display_string=Audit"}</definedName>
    <definedName name="_4075__FDSAUDITLINK__" hidden="1">{"fdsup://Directions/FactSet Auditing Viewer?action=AUDIT_VALUE&amp;DB=129&amp;ID1=42823610&amp;VALUEID=02001&amp;SDATE=200802&amp;PERIODTYPE=QTR_STD&amp;SCFT=3&amp;window=popup_no_bar&amp;width=385&amp;height=120&amp;START_MAXIMIZED=FALSE&amp;creator=factset&amp;display_string=Audit"}</definedName>
    <definedName name="_4076__FDSAUDITLINK__" hidden="1">{"fdsup://Directions/FactSet Auditing Viewer?action=AUDIT_VALUE&amp;DB=129&amp;ID1=42823610&amp;VALUEID=02001&amp;SDATE=200802&amp;PERIODTYPE=QTR_STD&amp;SCFT=3&amp;window=popup_no_bar&amp;width=385&amp;height=120&amp;START_MAXIMIZED=FALSE&amp;creator=factset&amp;display_string=Audit"}</definedName>
    <definedName name="_4077__FDSAUDITLINK__" hidden="1">{"fdsup://Directions/FactSet Auditing Viewer?action=AUDIT_VALUE&amp;DB=129&amp;ID1=42823610&amp;VALUEID=02001&amp;SDATE=200801&amp;PERIODTYPE=QTR_STD&amp;SCFT=3&amp;window=popup_no_bar&amp;width=385&amp;height=120&amp;START_MAXIMIZED=FALSE&amp;creator=factset&amp;display_string=Audit"}</definedName>
    <definedName name="_4078__FDSAUDITLINK__" hidden="1">{"fdsup://Directions/FactSet Auditing Viewer?action=AUDIT_VALUE&amp;DB=129&amp;ID1=42823610&amp;VALUEID=02001&amp;SDATE=200801&amp;PERIODTYPE=QTR_STD&amp;SCFT=3&amp;window=popup_no_bar&amp;width=385&amp;height=120&amp;START_MAXIMIZED=FALSE&amp;creator=factset&amp;display_string=Audit"}</definedName>
    <definedName name="_4079__FDSAUDITLINK__" hidden="1">{"fdsup://Directions/FactSet Auditing Viewer?action=AUDIT_VALUE&amp;DB=129&amp;ID1=42823610&amp;VALUEID=02001&amp;SDATE=200703&amp;PERIODTYPE=QTR_STD&amp;SCFT=3&amp;window=popup_no_bar&amp;width=385&amp;height=120&amp;START_MAXIMIZED=FALSE&amp;creator=factset&amp;display_string=Audit"}</definedName>
    <definedName name="_408__FDSAUDITLINK__" hidden="1">{"fdsup://Directions/FactSet Auditing Viewer?action=AUDIT_VALUE&amp;DB=129&amp;ID1=24702R10&amp;VALUEID=02001&amp;SDATE=201003&amp;PERIODTYPE=QTR_STD&amp;SCFT=3&amp;window=popup_no_bar&amp;width=385&amp;height=120&amp;START_MAXIMIZED=FALSE&amp;creator=factset&amp;display_string=Audit"}</definedName>
    <definedName name="_4080__FDSAUDITLINK__" hidden="1">{"fdsup://Directions/FactSet Auditing Viewer?action=AUDIT_VALUE&amp;DB=129&amp;ID1=42823610&amp;VALUEID=02001&amp;SDATE=200703&amp;PERIODTYPE=QTR_STD&amp;SCFT=3&amp;window=popup_no_bar&amp;width=385&amp;height=120&amp;START_MAXIMIZED=FALSE&amp;creator=factset&amp;display_string=Audit"}</definedName>
    <definedName name="_4081__FDSAUDITLINK__" hidden="1">{"fdsup://Directions/FactSet Auditing Viewer?action=AUDIT_VALUE&amp;DB=129&amp;ID1=42823610&amp;VALUEID=02001&amp;SDATE=200702&amp;PERIODTYPE=QTR_STD&amp;SCFT=3&amp;window=popup_no_bar&amp;width=385&amp;height=120&amp;START_MAXIMIZED=FALSE&amp;creator=factset&amp;display_string=Audit"}</definedName>
    <definedName name="_4082__FDSAUDITLINK__" hidden="1">{"fdsup://Directions/FactSet Auditing Viewer?action=AUDIT_VALUE&amp;DB=129&amp;ID1=42823610&amp;VALUEID=02001&amp;SDATE=200702&amp;PERIODTYPE=QTR_STD&amp;SCFT=3&amp;window=popup_no_bar&amp;width=385&amp;height=120&amp;START_MAXIMIZED=FALSE&amp;creator=factset&amp;display_string=Audit"}</definedName>
    <definedName name="_4083__FDSAUDITLINK__" hidden="1">{"fdsup://Directions/FactSet Auditing Viewer?action=AUDIT_VALUE&amp;DB=129&amp;ID1=42823610&amp;VALUEID=02001&amp;SDATE=200701&amp;PERIODTYPE=QTR_STD&amp;SCFT=3&amp;window=popup_no_bar&amp;width=385&amp;height=120&amp;START_MAXIMIZED=FALSE&amp;creator=factset&amp;display_string=Audit"}</definedName>
    <definedName name="_4084__FDSAUDITLINK__" hidden="1">{"fdsup://Directions/FactSet Auditing Viewer?action=AUDIT_VALUE&amp;DB=129&amp;ID1=42823610&amp;VALUEID=02001&amp;SDATE=200701&amp;PERIODTYPE=QTR_STD&amp;SCFT=3&amp;window=popup_no_bar&amp;width=385&amp;height=120&amp;START_MAXIMIZED=FALSE&amp;creator=factset&amp;display_string=Audit"}</definedName>
    <definedName name="_4085__FDSAUDITLINK__" hidden="1">{"fdsup://Directions/FactSet Auditing Viewer?action=AUDIT_VALUE&amp;DB=129&amp;ID1=42823610&amp;VALUEID=02001&amp;SDATE=200603&amp;PERIODTYPE=QTR_STD&amp;SCFT=3&amp;window=popup_no_bar&amp;width=385&amp;height=120&amp;START_MAXIMIZED=FALSE&amp;creator=factset&amp;display_string=Audit"}</definedName>
    <definedName name="_4086__FDSAUDITLINK__" hidden="1">{"fdsup://Directions/FactSet Auditing Viewer?action=AUDIT_VALUE&amp;DB=129&amp;ID1=42823610&amp;VALUEID=02001&amp;SDATE=200603&amp;PERIODTYPE=QTR_STD&amp;SCFT=3&amp;window=popup_no_bar&amp;width=385&amp;height=120&amp;START_MAXIMIZED=FALSE&amp;creator=factset&amp;display_string=Audit"}</definedName>
    <definedName name="_4087__FDSAUDITLINK__" hidden="1">{"fdsup://Directions/FactSet Auditing Viewer?action=AUDIT_VALUE&amp;DB=129&amp;ID1=42823610&amp;VALUEID=02001&amp;SDATE=200602&amp;PERIODTYPE=QTR_STD&amp;SCFT=3&amp;window=popup_no_bar&amp;width=385&amp;height=120&amp;START_MAXIMIZED=FALSE&amp;creator=factset&amp;display_string=Audit"}</definedName>
    <definedName name="_4088__FDSAUDITLINK__" hidden="1">{"fdsup://Directions/FactSet Auditing Viewer?action=AUDIT_VALUE&amp;DB=129&amp;ID1=42823610&amp;VALUEID=02001&amp;SDATE=200602&amp;PERIODTYPE=QTR_STD&amp;SCFT=3&amp;window=popup_no_bar&amp;width=385&amp;height=120&amp;START_MAXIMIZED=FALSE&amp;creator=factset&amp;display_string=Audit"}</definedName>
    <definedName name="_4089__FDSAUDITLINK__" hidden="1">{"fdsup://Directions/FactSet Auditing Viewer?action=AUDIT_VALUE&amp;DB=129&amp;ID1=42823610&amp;VALUEID=02001&amp;SDATE=200601&amp;PERIODTYPE=QTR_STD&amp;SCFT=3&amp;window=popup_no_bar&amp;width=385&amp;height=120&amp;START_MAXIMIZED=FALSE&amp;creator=factset&amp;display_string=Audit"}</definedName>
    <definedName name="_409__FDSAUDITLINK__" hidden="1">{"fdsup://Directions/FactSet Auditing Viewer?action=AUDIT_VALUE&amp;DB=129&amp;ID1=23257210&amp;VALUEID=02001&amp;SDATE=201003&amp;PERIODTYPE=QTR_STD&amp;SCFT=3&amp;window=popup_no_bar&amp;width=385&amp;height=120&amp;START_MAXIMIZED=FALSE&amp;creator=factset&amp;display_string=Audit"}</definedName>
    <definedName name="_4090__FDSAUDITLINK__" hidden="1">{"fdsup://Directions/FactSet Auditing Viewer?action=AUDIT_VALUE&amp;DB=129&amp;ID1=42823610&amp;VALUEID=02001&amp;SDATE=200601&amp;PERIODTYPE=QTR_STD&amp;SCFT=3&amp;window=popup_no_bar&amp;width=385&amp;height=120&amp;START_MAXIMIZED=FALSE&amp;creator=factset&amp;display_string=Audit"}</definedName>
    <definedName name="_4091__FDSAUDITLINK__" hidden="1">{"fdsup://Directions/FactSet Auditing Viewer?action=AUDIT_VALUE&amp;DB=129&amp;ID1=42823610&amp;VALUEID=02001&amp;SDATE=200503&amp;PERIODTYPE=QTR_STD&amp;SCFT=3&amp;window=popup_no_bar&amp;width=385&amp;height=120&amp;START_MAXIMIZED=FALSE&amp;creator=factset&amp;display_string=Audit"}</definedName>
    <definedName name="_4092__FDSAUDITLINK__" hidden="1">{"fdsup://Directions/FactSet Auditing Viewer?action=AUDIT_VALUE&amp;DB=129&amp;ID1=42823610&amp;VALUEID=02001&amp;SDATE=200503&amp;PERIODTYPE=QTR_STD&amp;SCFT=3&amp;window=popup_no_bar&amp;width=385&amp;height=120&amp;START_MAXIMIZED=FALSE&amp;creator=factset&amp;display_string=Audit"}</definedName>
    <definedName name="_4093__FDSAUDITLINK__" hidden="1">{"fdsup://Directions/FactSet Auditing Viewer?action=AUDIT_VALUE&amp;DB=129&amp;ID1=42823610&amp;VALUEID=02001&amp;SDATE=200502&amp;PERIODTYPE=QTR_STD&amp;SCFT=3&amp;window=popup_no_bar&amp;width=385&amp;height=120&amp;START_MAXIMIZED=FALSE&amp;creator=factset&amp;display_string=Audit"}</definedName>
    <definedName name="_4094__FDSAUDITLINK__" hidden="1">{"fdsup://Directions/FactSet Auditing Viewer?action=AUDIT_VALUE&amp;DB=129&amp;ID1=42823610&amp;VALUEID=02001&amp;SDATE=200502&amp;PERIODTYPE=QTR_STD&amp;SCFT=3&amp;window=popup_no_bar&amp;width=385&amp;height=120&amp;START_MAXIMIZED=FALSE&amp;creator=factset&amp;display_string=Audit"}</definedName>
    <definedName name="_4095__FDSAUDITLINK__" hidden="1">{"fdsup://Directions/FactSet Auditing Viewer?action=AUDIT_VALUE&amp;DB=129&amp;ID1=42823610&amp;VALUEID=02001&amp;SDATE=200501&amp;PERIODTYPE=QTR_STD&amp;SCFT=3&amp;window=popup_no_bar&amp;width=385&amp;height=120&amp;START_MAXIMIZED=FALSE&amp;creator=factset&amp;display_string=Audit"}</definedName>
    <definedName name="_4096__FDSAUDITLINK__" hidden="1">{"fdsup://Directions/FactSet Auditing Viewer?action=AUDIT_VALUE&amp;DB=129&amp;ID1=42823610&amp;VALUEID=02001&amp;SDATE=200501&amp;PERIODTYPE=QTR_STD&amp;SCFT=3&amp;window=popup_no_bar&amp;width=385&amp;height=120&amp;START_MAXIMIZED=FALSE&amp;creator=factset&amp;display_string=Audit"}</definedName>
    <definedName name="_4097__FDSAUDITLINK__" hidden="1">{"fdsup://Directions/FactSet Auditing Viewer?action=AUDIT_VALUE&amp;DB=129&amp;ID1=42823610&amp;VALUEID=02001&amp;SDATE=200403&amp;PERIODTYPE=QTR_STD&amp;SCFT=3&amp;window=popup_no_bar&amp;width=385&amp;height=120&amp;START_MAXIMIZED=FALSE&amp;creator=factset&amp;display_string=Audit"}</definedName>
    <definedName name="_4098__FDSAUDITLINK__" hidden="1">{"fdsup://Directions/FactSet Auditing Viewer?action=AUDIT_VALUE&amp;DB=129&amp;ID1=42823610&amp;VALUEID=02001&amp;SDATE=200403&amp;PERIODTYPE=QTR_STD&amp;SCFT=3&amp;window=popup_no_bar&amp;width=385&amp;height=120&amp;START_MAXIMIZED=FALSE&amp;creator=factset&amp;display_string=Audit"}</definedName>
    <definedName name="_4099__FDSAUDITLINK__" hidden="1">{"fdsup://Directions/FactSet Auditing Viewer?action=AUDIT_VALUE&amp;DB=129&amp;ID1=42823610&amp;VALUEID=02001&amp;SDATE=200402&amp;PERIODTYPE=QTR_STD&amp;SCFT=3&amp;window=popup_no_bar&amp;width=385&amp;height=120&amp;START_MAXIMIZED=FALSE&amp;creator=factset&amp;display_string=Audit"}</definedName>
    <definedName name="_41__FDSAUDITLINK__" hidden="1">{"fdsup://directions/FAT Viewer?action=UPDATE&amp;creator=factset&amp;DYN_ARGS=TRUE&amp;DOC_NAME=FAT:FQL_AUDITING_CLIENT_TEMPLATE.FAT&amp;display_string=Audit&amp;VAR:KEY=QVGHENQHUX&amp;VAR:QUERY=RkZfU0hTX0ZMT0FUKEFOTiw0MDcyNCk=&amp;WINDOW=FIRST_POPUP&amp;HEIGHT=450&amp;WIDTH=450&amp;START_MAXIMI","ZED=FALSE&amp;VAR:CALENDAR=US&amp;VAR:SYMBOL=LVS&amp;VAR:INDEX=0"}</definedName>
    <definedName name="_410__FDSAUDITLINK__" hidden="1">{"fdsup://Directions/FactSet Auditing Viewer?action=AUDIT_VALUE&amp;DB=129&amp;ID1=23257210&amp;VALUEID=02001&amp;SDATE=201003&amp;PERIODTYPE=QTR_STD&amp;SCFT=3&amp;window=popup_no_bar&amp;width=385&amp;height=120&amp;START_MAXIMIZED=FALSE&amp;creator=factset&amp;display_string=Audit"}</definedName>
    <definedName name="_4100__FDSAUDITLINK__" hidden="1">{"fdsup://Directions/FactSet Auditing Viewer?action=AUDIT_VALUE&amp;DB=129&amp;ID1=42823610&amp;VALUEID=02001&amp;SDATE=200402&amp;PERIODTYPE=QTR_STD&amp;SCFT=3&amp;window=popup_no_bar&amp;width=385&amp;height=120&amp;START_MAXIMIZED=FALSE&amp;creator=factset&amp;display_string=Audit"}</definedName>
    <definedName name="_4101__FDSAUDITLINK__" hidden="1">{"fdsup://Directions/FactSet Auditing Viewer?action=AUDIT_VALUE&amp;DB=129&amp;ID1=H2906T10&amp;VALUEID=02001&amp;SDATE=200801&amp;PERIODTYPE=QTR_STD&amp;SCFT=3&amp;window=popup_no_bar&amp;width=385&amp;height=120&amp;START_MAXIMIZED=FALSE&amp;creator=factset&amp;display_string=Audit"}</definedName>
    <definedName name="_4102__FDSAUDITLINK__" hidden="1">{"fdsup://Directions/FactSet Auditing Viewer?action=AUDIT_VALUE&amp;DB=129&amp;ID1=H2906T10&amp;VALUEID=02001&amp;SDATE=200801&amp;PERIODTYPE=QTR_STD&amp;SCFT=3&amp;window=popup_no_bar&amp;width=385&amp;height=120&amp;START_MAXIMIZED=FALSE&amp;creator=factset&amp;display_string=Audit"}</definedName>
    <definedName name="_4103__FDSAUDITLINK__" hidden="1">{"fdsup://Directions/FactSet Auditing Viewer?action=AUDIT_VALUE&amp;DB=129&amp;ID1=H2906T10&amp;VALUEID=02001&amp;SDATE=200703&amp;PERIODTYPE=QTR_STD&amp;SCFT=3&amp;window=popup_no_bar&amp;width=385&amp;height=120&amp;START_MAXIMIZED=FALSE&amp;creator=factset&amp;display_string=Audit"}</definedName>
    <definedName name="_4104__FDSAUDITLINK__" hidden="1">{"fdsup://Directions/FactSet Auditing Viewer?action=AUDIT_VALUE&amp;DB=129&amp;ID1=H2906T10&amp;VALUEID=02001&amp;SDATE=200703&amp;PERIODTYPE=QTR_STD&amp;SCFT=3&amp;window=popup_no_bar&amp;width=385&amp;height=120&amp;START_MAXIMIZED=FALSE&amp;creator=factset&amp;display_string=Audit"}</definedName>
    <definedName name="_4105__FDSAUDITLINK__" hidden="1">{"fdsup://Directions/FactSet Auditing Viewer?action=AUDIT_VALUE&amp;DB=129&amp;ID1=H2906T10&amp;VALUEID=02001&amp;SDATE=200702&amp;PERIODTYPE=QTR_STD&amp;SCFT=3&amp;window=popup_no_bar&amp;width=385&amp;height=120&amp;START_MAXIMIZED=FALSE&amp;creator=factset&amp;display_string=Audit"}</definedName>
    <definedName name="_4106__FDSAUDITLINK__" hidden="1">{"fdsup://Directions/FactSet Auditing Viewer?action=AUDIT_VALUE&amp;DB=129&amp;ID1=H2906T10&amp;VALUEID=02001&amp;SDATE=200702&amp;PERIODTYPE=QTR_STD&amp;SCFT=3&amp;window=popup_no_bar&amp;width=385&amp;height=120&amp;START_MAXIMIZED=FALSE&amp;creator=factset&amp;display_string=Audit"}</definedName>
    <definedName name="_4107__FDSAUDITLINK__" hidden="1">{"fdsup://Directions/FactSet Auditing Viewer?action=AUDIT_VALUE&amp;DB=129&amp;ID1=H2906T10&amp;VALUEID=02001&amp;SDATE=200701&amp;PERIODTYPE=QTR_STD&amp;SCFT=3&amp;window=popup_no_bar&amp;width=385&amp;height=120&amp;START_MAXIMIZED=FALSE&amp;creator=factset&amp;display_string=Audit"}</definedName>
    <definedName name="_4108__FDSAUDITLINK__" hidden="1">{"fdsup://Directions/FactSet Auditing Viewer?action=AUDIT_VALUE&amp;DB=129&amp;ID1=H2906T10&amp;VALUEID=02001&amp;SDATE=200701&amp;PERIODTYPE=QTR_STD&amp;SCFT=3&amp;window=popup_no_bar&amp;width=385&amp;height=120&amp;START_MAXIMIZED=FALSE&amp;creator=factset&amp;display_string=Audit"}</definedName>
    <definedName name="_4109__FDSAUDITLINK__" hidden="1">{"fdsup://Directions/FactSet Auditing Viewer?action=AUDIT_VALUE&amp;DB=129&amp;ID1=H2906T10&amp;VALUEID=02001&amp;SDATE=200603&amp;PERIODTYPE=QTR_STD&amp;SCFT=3&amp;window=popup_no_bar&amp;width=385&amp;height=120&amp;START_MAXIMIZED=FALSE&amp;creator=factset&amp;display_string=Audit"}</definedName>
    <definedName name="_411__FDSAUDITLINK__" hidden="1">{"fdsup://Directions/FactSet Auditing Viewer?action=AUDIT_VALUE&amp;DB=129&amp;ID1=23280610&amp;VALUEID=02001&amp;SDATE=201003&amp;PERIODTYPE=QTR_STD&amp;SCFT=3&amp;window=popup_no_bar&amp;width=385&amp;height=120&amp;START_MAXIMIZED=FALSE&amp;creator=factset&amp;display_string=Audit"}</definedName>
    <definedName name="_4110__FDSAUDITLINK__" hidden="1">{"fdsup://Directions/FactSet Auditing Viewer?action=AUDIT_VALUE&amp;DB=129&amp;ID1=H2906T10&amp;VALUEID=02001&amp;SDATE=200603&amp;PERIODTYPE=QTR_STD&amp;SCFT=3&amp;window=popup_no_bar&amp;width=385&amp;height=120&amp;START_MAXIMIZED=FALSE&amp;creator=factset&amp;display_string=Audit"}</definedName>
    <definedName name="_4111__FDSAUDITLINK__" hidden="1">{"fdsup://Directions/FactSet Auditing Viewer?action=AUDIT_VALUE&amp;DB=129&amp;ID1=H2906T10&amp;VALUEID=02001&amp;SDATE=200602&amp;PERIODTYPE=QTR_STD&amp;SCFT=3&amp;window=popup_no_bar&amp;width=385&amp;height=120&amp;START_MAXIMIZED=FALSE&amp;creator=factset&amp;display_string=Audit"}</definedName>
    <definedName name="_4112__FDSAUDITLINK__" hidden="1">{"fdsup://Directions/FactSet Auditing Viewer?action=AUDIT_VALUE&amp;DB=129&amp;ID1=H2906T10&amp;VALUEID=02001&amp;SDATE=200602&amp;PERIODTYPE=QTR_STD&amp;SCFT=3&amp;window=popup_no_bar&amp;width=385&amp;height=120&amp;START_MAXIMIZED=FALSE&amp;creator=factset&amp;display_string=Audit"}</definedName>
    <definedName name="_4113__FDSAUDITLINK__" hidden="1">{"fdsup://Directions/FactSet Auditing Viewer?action=AUDIT_VALUE&amp;DB=129&amp;ID1=H2906T10&amp;VALUEID=02001&amp;SDATE=200601&amp;PERIODTYPE=QTR_STD&amp;SCFT=3&amp;window=popup_no_bar&amp;width=385&amp;height=120&amp;START_MAXIMIZED=FALSE&amp;creator=factset&amp;display_string=Audit"}</definedName>
    <definedName name="_4114__FDSAUDITLINK__" hidden="1">{"fdsup://Directions/FactSet Auditing Viewer?action=AUDIT_VALUE&amp;DB=129&amp;ID1=H2906T10&amp;VALUEID=02001&amp;SDATE=200601&amp;PERIODTYPE=QTR_STD&amp;SCFT=3&amp;window=popup_no_bar&amp;width=385&amp;height=120&amp;START_MAXIMIZED=FALSE&amp;creator=factset&amp;display_string=Audit"}</definedName>
    <definedName name="_4115__FDSAUDITLINK__" hidden="1">{"fdsup://Directions/FactSet Auditing Viewer?action=AUDIT_VALUE&amp;DB=129&amp;ID1=34637510&amp;VALUEID=02001&amp;SDATE=200801&amp;PERIODTYPE=QTR_STD&amp;SCFT=3&amp;window=popup_no_bar&amp;width=385&amp;height=120&amp;START_MAXIMIZED=FALSE&amp;creator=factset&amp;display_string=Audit"}</definedName>
    <definedName name="_4116__FDSAUDITLINK__" hidden="1">{"fdsup://Directions/FactSet Auditing Viewer?action=AUDIT_VALUE&amp;DB=129&amp;ID1=34637510&amp;VALUEID=02001&amp;SDATE=200801&amp;PERIODTYPE=QTR_STD&amp;SCFT=3&amp;window=popup_no_bar&amp;width=385&amp;height=120&amp;START_MAXIMIZED=FALSE&amp;creator=factset&amp;display_string=Audit"}</definedName>
    <definedName name="_4117__FDSAUDITLINK__" hidden="1">{"fdsup://Directions/FactSet Auditing Viewer?action=AUDIT_VALUE&amp;DB=129&amp;ID1=34637510&amp;VALUEID=02001&amp;SDATE=200703&amp;PERIODTYPE=QTR_STD&amp;SCFT=3&amp;window=popup_no_bar&amp;width=385&amp;height=120&amp;START_MAXIMIZED=FALSE&amp;creator=factset&amp;display_string=Audit"}</definedName>
    <definedName name="_4118__FDSAUDITLINK__" hidden="1">{"fdsup://Directions/FactSet Auditing Viewer?action=AUDIT_VALUE&amp;DB=129&amp;ID1=34637510&amp;VALUEID=02001&amp;SDATE=200703&amp;PERIODTYPE=QTR_STD&amp;SCFT=3&amp;window=popup_no_bar&amp;width=385&amp;height=120&amp;START_MAXIMIZED=FALSE&amp;creator=factset&amp;display_string=Audit"}</definedName>
    <definedName name="_4119__FDSAUDITLINK__" hidden="1">{"fdsup://Directions/FactSet Auditing Viewer?action=AUDIT_VALUE&amp;DB=129&amp;ID1=34637510&amp;VALUEID=02001&amp;SDATE=200701&amp;PERIODTYPE=QTR_STD&amp;SCFT=3&amp;window=popup_no_bar&amp;width=385&amp;height=120&amp;START_MAXIMIZED=FALSE&amp;creator=factset&amp;display_string=Audit"}</definedName>
    <definedName name="_412__FDSAUDITLINK__" hidden="1">{"fdsup://Directions/FactSet Auditing Viewer?action=AUDIT_VALUE&amp;DB=129&amp;ID1=23280610&amp;VALUEID=02001&amp;SDATE=201003&amp;PERIODTYPE=QTR_STD&amp;SCFT=3&amp;window=popup_no_bar&amp;width=385&amp;height=120&amp;START_MAXIMIZED=FALSE&amp;creator=factset&amp;display_string=Audit"}</definedName>
    <definedName name="_4120__FDSAUDITLINK__" hidden="1">{"fdsup://Directions/FactSet Auditing Viewer?action=AUDIT_VALUE&amp;DB=129&amp;ID1=34637510&amp;VALUEID=02001&amp;SDATE=200701&amp;PERIODTYPE=QTR_STD&amp;SCFT=3&amp;window=popup_no_bar&amp;width=385&amp;height=120&amp;START_MAXIMIZED=FALSE&amp;creator=factset&amp;display_string=Audit"}</definedName>
    <definedName name="_4121__FDSAUDITLINK__" hidden="1">{"fdsup://Directions/FactSet Auditing Viewer?action=AUDIT_VALUE&amp;DB=129&amp;ID1=34637510&amp;VALUEID=02001&amp;SDATE=200603&amp;PERIODTYPE=QTR_STD&amp;SCFT=3&amp;window=popup_no_bar&amp;width=385&amp;height=120&amp;START_MAXIMIZED=FALSE&amp;creator=factset&amp;display_string=Audit"}</definedName>
    <definedName name="_4122__FDSAUDITLINK__" hidden="1">{"fdsup://Directions/FactSet Auditing Viewer?action=AUDIT_VALUE&amp;DB=129&amp;ID1=34637510&amp;VALUEID=02001&amp;SDATE=200603&amp;PERIODTYPE=QTR_STD&amp;SCFT=3&amp;window=popup_no_bar&amp;width=385&amp;height=120&amp;START_MAXIMIZED=FALSE&amp;creator=factset&amp;display_string=Audit"}</definedName>
    <definedName name="_4123__FDSAUDITLINK__" hidden="1">{"fdsup://Directions/FactSet Auditing Viewer?action=AUDIT_VALUE&amp;DB=129&amp;ID1=34637510&amp;VALUEID=02001&amp;SDATE=200602&amp;PERIODTYPE=QTR_STD&amp;SCFT=3&amp;window=popup_no_bar&amp;width=385&amp;height=120&amp;START_MAXIMIZED=FALSE&amp;creator=factset&amp;display_string=Audit"}</definedName>
    <definedName name="_4124__FDSAUDITLINK__" hidden="1">{"fdsup://Directions/FactSet Auditing Viewer?action=AUDIT_VALUE&amp;DB=129&amp;ID1=34637510&amp;VALUEID=02001&amp;SDATE=200602&amp;PERIODTYPE=QTR_STD&amp;SCFT=3&amp;window=popup_no_bar&amp;width=385&amp;height=120&amp;START_MAXIMIZED=FALSE&amp;creator=factset&amp;display_string=Audit"}</definedName>
    <definedName name="_4125__FDSAUDITLINK__" hidden="1">{"fdsup://Directions/FactSet Auditing Viewer?action=AUDIT_VALUE&amp;DB=129&amp;ID1=34637510&amp;VALUEID=02001&amp;SDATE=200601&amp;PERIODTYPE=QTR_STD&amp;SCFT=3&amp;window=popup_no_bar&amp;width=385&amp;height=120&amp;START_MAXIMIZED=FALSE&amp;creator=factset&amp;display_string=Audit"}</definedName>
    <definedName name="_4126__FDSAUDITLINK__" hidden="1">{"fdsup://Directions/FactSet Auditing Viewer?action=AUDIT_VALUE&amp;DB=129&amp;ID1=34637510&amp;VALUEID=02001&amp;SDATE=200601&amp;PERIODTYPE=QTR_STD&amp;SCFT=3&amp;window=popup_no_bar&amp;width=385&amp;height=120&amp;START_MAXIMIZED=FALSE&amp;creator=factset&amp;display_string=Audit"}</definedName>
    <definedName name="_4127__FDSAUDITLINK__" hidden="1">{"fdsup://Directions/FactSet Auditing Viewer?action=AUDIT_VALUE&amp;DB=129&amp;ID1=34637510&amp;VALUEID=02001&amp;SDATE=200503&amp;PERIODTYPE=QTR_STD&amp;SCFT=3&amp;window=popup_no_bar&amp;width=385&amp;height=120&amp;START_MAXIMIZED=FALSE&amp;creator=factset&amp;display_string=Audit"}</definedName>
    <definedName name="_4128__FDSAUDITLINK__" hidden="1">{"fdsup://Directions/FactSet Auditing Viewer?action=AUDIT_VALUE&amp;DB=129&amp;ID1=34637510&amp;VALUEID=02001&amp;SDATE=200503&amp;PERIODTYPE=QTR_STD&amp;SCFT=3&amp;window=popup_no_bar&amp;width=385&amp;height=120&amp;START_MAXIMIZED=FALSE&amp;creator=factset&amp;display_string=Audit"}</definedName>
    <definedName name="_4129__FDSAUDITLINK__" hidden="1">{"fdsup://Directions/FactSet Auditing Viewer?action=AUDIT_VALUE&amp;DB=129&amp;ID1=34637510&amp;VALUEID=02001&amp;SDATE=200502&amp;PERIODTYPE=QTR_STD&amp;SCFT=3&amp;window=popup_no_bar&amp;width=385&amp;height=120&amp;START_MAXIMIZED=FALSE&amp;creator=factset&amp;display_string=Audit"}</definedName>
    <definedName name="_413__FDSAUDITLINK__" hidden="1">{"fdsup://Directions/FactSet Auditing Viewer?action=AUDIT_VALUE&amp;DB=129&amp;ID1=17275R10&amp;VALUEID=02001&amp;SDATE=201101&amp;PERIODTYPE=QTR_STD&amp;SCFT=3&amp;window=popup_no_bar&amp;width=385&amp;height=120&amp;START_MAXIMIZED=FALSE&amp;creator=factset&amp;display_string=Audit"}</definedName>
    <definedName name="_4130__FDSAUDITLINK__" hidden="1">{"fdsup://Directions/FactSet Auditing Viewer?action=AUDIT_VALUE&amp;DB=129&amp;ID1=34637510&amp;VALUEID=02001&amp;SDATE=200502&amp;PERIODTYPE=QTR_STD&amp;SCFT=3&amp;window=popup_no_bar&amp;width=385&amp;height=120&amp;START_MAXIMIZED=FALSE&amp;creator=factset&amp;display_string=Audit"}</definedName>
    <definedName name="_4131__FDSAUDITLINK__" hidden="1">{"fdsup://Directions/FactSet Auditing Viewer?action=AUDIT_VALUE&amp;DB=129&amp;ID1=34637510&amp;VALUEID=02001&amp;SDATE=200501&amp;PERIODTYPE=QTR_STD&amp;SCFT=3&amp;window=popup_no_bar&amp;width=385&amp;height=120&amp;START_MAXIMIZED=FALSE&amp;creator=factset&amp;display_string=Audit"}</definedName>
    <definedName name="_4132__FDSAUDITLINK__" hidden="1">{"fdsup://Directions/FactSet Auditing Viewer?action=AUDIT_VALUE&amp;DB=129&amp;ID1=34637510&amp;VALUEID=02001&amp;SDATE=200501&amp;PERIODTYPE=QTR_STD&amp;SCFT=3&amp;window=popup_no_bar&amp;width=385&amp;height=120&amp;START_MAXIMIZED=FALSE&amp;creator=factset&amp;display_string=Audit"}</definedName>
    <definedName name="_4133__FDSAUDITLINK__" hidden="1">{"fdsup://Directions/FactSet Auditing Viewer?action=AUDIT_VALUE&amp;DB=129&amp;ID1=34637510&amp;VALUEID=02001&amp;SDATE=200403&amp;PERIODTYPE=QTR_STD&amp;SCFT=3&amp;window=popup_no_bar&amp;width=385&amp;height=120&amp;START_MAXIMIZED=FALSE&amp;creator=factset&amp;display_string=Audit"}</definedName>
    <definedName name="_4134__FDSAUDITLINK__" hidden="1">{"fdsup://Directions/FactSet Auditing Viewer?action=AUDIT_VALUE&amp;DB=129&amp;ID1=34637510&amp;VALUEID=02001&amp;SDATE=200403&amp;PERIODTYPE=QTR_STD&amp;SCFT=3&amp;window=popup_no_bar&amp;width=385&amp;height=120&amp;START_MAXIMIZED=FALSE&amp;creator=factset&amp;display_string=Audit"}</definedName>
    <definedName name="_4135__FDSAUDITLINK__" hidden="1">{"fdsup://Directions/FactSet Auditing Viewer?action=AUDIT_VALUE&amp;DB=129&amp;ID1=34637510&amp;VALUEID=02001&amp;SDATE=200402&amp;PERIODTYPE=QTR_STD&amp;SCFT=3&amp;window=popup_no_bar&amp;width=385&amp;height=120&amp;START_MAXIMIZED=FALSE&amp;creator=factset&amp;display_string=Audit"}</definedName>
    <definedName name="_4136__FDSAUDITLINK__" hidden="1">{"fdsup://Directions/FactSet Auditing Viewer?action=AUDIT_VALUE&amp;DB=129&amp;ID1=34637510&amp;VALUEID=02001&amp;SDATE=200402&amp;PERIODTYPE=QTR_STD&amp;SCFT=3&amp;window=popup_no_bar&amp;width=385&amp;height=120&amp;START_MAXIMIZED=FALSE&amp;creator=factset&amp;display_string=Audit"}</definedName>
    <definedName name="_4137__FDSAUDITLINK__" hidden="1">{"fdsup://Directions/FactSet Auditing Viewer?action=AUDIT_VALUE&amp;DB=129&amp;ID1=34637510&amp;VALUEID=02001&amp;SDATE=200401&amp;PERIODTYPE=QTR_STD&amp;SCFT=3&amp;window=popup_no_bar&amp;width=385&amp;height=120&amp;START_MAXIMIZED=FALSE&amp;creator=factset&amp;display_string=Audit"}</definedName>
    <definedName name="_4138__FDSAUDITLINK__" hidden="1">{"fdsup://Directions/FactSet Auditing Viewer?action=AUDIT_VALUE&amp;DB=129&amp;ID1=34637510&amp;VALUEID=02001&amp;SDATE=200401&amp;PERIODTYPE=QTR_STD&amp;SCFT=3&amp;window=popup_no_bar&amp;width=385&amp;height=120&amp;START_MAXIMIZED=FALSE&amp;creator=factset&amp;display_string=Audit"}</definedName>
    <definedName name="_4139__FDSAUDITLINK__" hidden="1">{"fdsup://Directions/FactSet Auditing Viewer?action=AUDIT_VALUE&amp;DB=129&amp;ID1=31561610&amp;VALUEID=02001&amp;SDATE=200802&amp;PERIODTYPE=QTR_STD&amp;SCFT=3&amp;window=popup_no_bar&amp;width=385&amp;height=120&amp;START_MAXIMIZED=FALSE&amp;creator=factset&amp;display_string=Audit"}</definedName>
    <definedName name="_414__FDSAUDITLINK__" hidden="1">{"fdsup://Directions/FactSet Auditing Viewer?action=AUDIT_VALUE&amp;DB=129&amp;ID1=17275R10&amp;VALUEID=02001&amp;SDATE=201101&amp;PERIODTYPE=QTR_STD&amp;SCFT=3&amp;window=popup_no_bar&amp;width=385&amp;height=120&amp;START_MAXIMIZED=FALSE&amp;creator=factset&amp;display_string=Audit"}</definedName>
    <definedName name="_4140__FDSAUDITLINK__" hidden="1">{"fdsup://Directions/FactSet Auditing Viewer?action=AUDIT_VALUE&amp;DB=129&amp;ID1=31561610&amp;VALUEID=02001&amp;SDATE=200802&amp;PERIODTYPE=QTR_STD&amp;SCFT=3&amp;window=popup_no_bar&amp;width=385&amp;height=120&amp;START_MAXIMIZED=FALSE&amp;creator=factset&amp;display_string=Audit"}</definedName>
    <definedName name="_4141__FDSAUDITLINK__" hidden="1">{"fdsup://Directions/FactSet Auditing Viewer?action=AUDIT_VALUE&amp;DB=129&amp;ID1=31561610&amp;VALUEID=02001&amp;SDATE=200801&amp;PERIODTYPE=QTR_STD&amp;SCFT=3&amp;window=popup_no_bar&amp;width=385&amp;height=120&amp;START_MAXIMIZED=FALSE&amp;creator=factset&amp;display_string=Audit"}</definedName>
    <definedName name="_4142__FDSAUDITLINK__" hidden="1">{"fdsup://Directions/FactSet Auditing Viewer?action=AUDIT_VALUE&amp;DB=129&amp;ID1=31561610&amp;VALUEID=02001&amp;SDATE=200801&amp;PERIODTYPE=QTR_STD&amp;SCFT=3&amp;window=popup_no_bar&amp;width=385&amp;height=120&amp;START_MAXIMIZED=FALSE&amp;creator=factset&amp;display_string=Audit"}</definedName>
    <definedName name="_4143__FDSAUDITLINK__" hidden="1">{"fdsup://Directions/FactSet Auditing Viewer?action=AUDIT_VALUE&amp;DB=129&amp;ID1=31561610&amp;VALUEID=02001&amp;SDATE=200703&amp;PERIODTYPE=QTR_STD&amp;SCFT=3&amp;window=popup_no_bar&amp;width=385&amp;height=120&amp;START_MAXIMIZED=FALSE&amp;creator=factset&amp;display_string=Audit"}</definedName>
    <definedName name="_4144__FDSAUDITLINK__" hidden="1">{"fdsup://Directions/FactSet Auditing Viewer?action=AUDIT_VALUE&amp;DB=129&amp;ID1=31561610&amp;VALUEID=02001&amp;SDATE=200703&amp;PERIODTYPE=QTR_STD&amp;SCFT=3&amp;window=popup_no_bar&amp;width=385&amp;height=120&amp;START_MAXIMIZED=FALSE&amp;creator=factset&amp;display_string=Audit"}</definedName>
    <definedName name="_4145__FDSAUDITLINK__" hidden="1">{"fdsup://Directions/FactSet Auditing Viewer?action=AUDIT_VALUE&amp;DB=129&amp;ID1=31561610&amp;VALUEID=02001&amp;SDATE=200702&amp;PERIODTYPE=QTR_STD&amp;SCFT=3&amp;window=popup_no_bar&amp;width=385&amp;height=120&amp;START_MAXIMIZED=FALSE&amp;creator=factset&amp;display_string=Audit"}</definedName>
    <definedName name="_4146__FDSAUDITLINK__" hidden="1">{"fdsup://Directions/FactSet Auditing Viewer?action=AUDIT_VALUE&amp;DB=129&amp;ID1=31561610&amp;VALUEID=02001&amp;SDATE=200702&amp;PERIODTYPE=QTR_STD&amp;SCFT=3&amp;window=popup_no_bar&amp;width=385&amp;height=120&amp;START_MAXIMIZED=FALSE&amp;creator=factset&amp;display_string=Audit"}</definedName>
    <definedName name="_4147__FDSAUDITLINK__" hidden="1">{"fdsup://Directions/FactSet Auditing Viewer?action=AUDIT_VALUE&amp;DB=129&amp;ID1=31561610&amp;VALUEID=02001&amp;SDATE=200701&amp;PERIODTYPE=QTR_STD&amp;SCFT=3&amp;window=popup_no_bar&amp;width=385&amp;height=120&amp;START_MAXIMIZED=FALSE&amp;creator=factset&amp;display_string=Audit"}</definedName>
    <definedName name="_4148__FDSAUDITLINK__" hidden="1">{"fdsup://Directions/FactSet Auditing Viewer?action=AUDIT_VALUE&amp;DB=129&amp;ID1=31561610&amp;VALUEID=02001&amp;SDATE=200701&amp;PERIODTYPE=QTR_STD&amp;SCFT=3&amp;window=popup_no_bar&amp;width=385&amp;height=120&amp;START_MAXIMIZED=FALSE&amp;creator=factset&amp;display_string=Audit"}</definedName>
    <definedName name="_4149__FDSAUDITLINK__" hidden="1">{"fdsup://Directions/FactSet Auditing Viewer?action=AUDIT_VALUE&amp;DB=129&amp;ID1=31561610&amp;VALUEID=02001&amp;SDATE=200603&amp;PERIODTYPE=QTR_STD&amp;SCFT=3&amp;window=popup_no_bar&amp;width=385&amp;height=120&amp;START_MAXIMIZED=FALSE&amp;creator=factset&amp;display_string=Audit"}</definedName>
    <definedName name="_415__FDSAUDITLINK__" hidden="1">{"fdsup://Directions/FactSet Auditing Viewer?action=AUDIT_VALUE&amp;DB=129&amp;ID1=22544710&amp;VALUEID=02001&amp;SDATE=201101&amp;PERIODTYPE=QTR_STD&amp;SCFT=3&amp;window=popup_no_bar&amp;width=385&amp;height=120&amp;START_MAXIMIZED=FALSE&amp;creator=factset&amp;display_string=Audit"}</definedName>
    <definedName name="_4150__FDSAUDITLINK__" hidden="1">{"fdsup://Directions/FactSet Auditing Viewer?action=AUDIT_VALUE&amp;DB=129&amp;ID1=31561610&amp;VALUEID=02001&amp;SDATE=200603&amp;PERIODTYPE=QTR_STD&amp;SCFT=3&amp;window=popup_no_bar&amp;width=385&amp;height=120&amp;START_MAXIMIZED=FALSE&amp;creator=factset&amp;display_string=Audit"}</definedName>
    <definedName name="_4151__FDSAUDITLINK__" hidden="1">{"fdsup://Directions/FactSet Auditing Viewer?action=AUDIT_VALUE&amp;DB=129&amp;ID1=31561610&amp;VALUEID=02001&amp;SDATE=200602&amp;PERIODTYPE=QTR_STD&amp;SCFT=3&amp;window=popup_no_bar&amp;width=385&amp;height=120&amp;START_MAXIMIZED=FALSE&amp;creator=factset&amp;display_string=Audit"}</definedName>
    <definedName name="_4152__FDSAUDITLINK__" hidden="1">{"fdsup://Directions/FactSet Auditing Viewer?action=AUDIT_VALUE&amp;DB=129&amp;ID1=31561610&amp;VALUEID=02001&amp;SDATE=200602&amp;PERIODTYPE=QTR_STD&amp;SCFT=3&amp;window=popup_no_bar&amp;width=385&amp;height=120&amp;START_MAXIMIZED=FALSE&amp;creator=factset&amp;display_string=Audit"}</definedName>
    <definedName name="_4153__FDSAUDITLINK__" hidden="1">{"fdsup://Directions/FactSet Auditing Viewer?action=AUDIT_VALUE&amp;DB=129&amp;ID1=31561610&amp;VALUEID=02001&amp;SDATE=200601&amp;PERIODTYPE=QTR_STD&amp;SCFT=3&amp;window=popup_no_bar&amp;width=385&amp;height=120&amp;START_MAXIMIZED=FALSE&amp;creator=factset&amp;display_string=Audit"}</definedName>
    <definedName name="_4154__FDSAUDITLINK__" hidden="1">{"fdsup://Directions/FactSet Auditing Viewer?action=AUDIT_VALUE&amp;DB=129&amp;ID1=31561610&amp;VALUEID=02001&amp;SDATE=200601&amp;PERIODTYPE=QTR_STD&amp;SCFT=3&amp;window=popup_no_bar&amp;width=385&amp;height=120&amp;START_MAXIMIZED=FALSE&amp;creator=factset&amp;display_string=Audit"}</definedName>
    <definedName name="_4155__FDSAUDITLINK__" hidden="1">{"fdsup://Directions/FactSet Auditing Viewer?action=AUDIT_VALUE&amp;DB=129&amp;ID1=31561610&amp;VALUEID=02001&amp;SDATE=200503&amp;PERIODTYPE=QTR_STD&amp;SCFT=3&amp;window=popup_no_bar&amp;width=385&amp;height=120&amp;START_MAXIMIZED=FALSE&amp;creator=factset&amp;display_string=Audit"}</definedName>
    <definedName name="_4156__FDSAUDITLINK__" hidden="1">{"fdsup://Directions/FactSet Auditing Viewer?action=AUDIT_VALUE&amp;DB=129&amp;ID1=31561610&amp;VALUEID=02001&amp;SDATE=200503&amp;PERIODTYPE=QTR_STD&amp;SCFT=3&amp;window=popup_no_bar&amp;width=385&amp;height=120&amp;START_MAXIMIZED=FALSE&amp;creator=factset&amp;display_string=Audit"}</definedName>
    <definedName name="_4157__FDSAUDITLINK__" hidden="1">{"fdsup://Directions/FactSet Auditing Viewer?action=AUDIT_VALUE&amp;DB=129&amp;ID1=31561610&amp;VALUEID=02001&amp;SDATE=200502&amp;PERIODTYPE=QTR_STD&amp;SCFT=3&amp;window=popup_no_bar&amp;width=385&amp;height=120&amp;START_MAXIMIZED=FALSE&amp;creator=factset&amp;display_string=Audit"}</definedName>
    <definedName name="_4158__FDSAUDITLINK__" hidden="1">{"fdsup://Directions/FactSet Auditing Viewer?action=AUDIT_VALUE&amp;DB=129&amp;ID1=31561610&amp;VALUEID=02001&amp;SDATE=200502&amp;PERIODTYPE=QTR_STD&amp;SCFT=3&amp;window=popup_no_bar&amp;width=385&amp;height=120&amp;START_MAXIMIZED=FALSE&amp;creator=factset&amp;display_string=Audit"}</definedName>
    <definedName name="_4159__FDSAUDITLINK__" hidden="1">{"fdsup://Directions/FactSet Auditing Viewer?action=AUDIT_VALUE&amp;DB=129&amp;ID1=31561610&amp;VALUEID=02001&amp;SDATE=200501&amp;PERIODTYPE=QTR_STD&amp;SCFT=3&amp;window=popup_no_bar&amp;width=385&amp;height=120&amp;START_MAXIMIZED=FALSE&amp;creator=factset&amp;display_string=Audit"}</definedName>
    <definedName name="_416__FDSAUDITLINK__" hidden="1">{"fdsup://Directions/FactSet Auditing Viewer?action=AUDIT_VALUE&amp;DB=129&amp;ID1=22544710&amp;VALUEID=02001&amp;SDATE=201101&amp;PERIODTYPE=QTR_STD&amp;SCFT=3&amp;window=popup_no_bar&amp;width=385&amp;height=120&amp;START_MAXIMIZED=FALSE&amp;creator=factset&amp;display_string=Audit"}</definedName>
    <definedName name="_4160__FDSAUDITLINK__" hidden="1">{"fdsup://Directions/FactSet Auditing Viewer?action=AUDIT_VALUE&amp;DB=129&amp;ID1=31561610&amp;VALUEID=02001&amp;SDATE=200501&amp;PERIODTYPE=QTR_STD&amp;SCFT=3&amp;window=popup_no_bar&amp;width=385&amp;height=120&amp;START_MAXIMIZED=FALSE&amp;creator=factset&amp;display_string=Audit"}</definedName>
    <definedName name="_4161__FDSAUDITLINK__" hidden="1">{"fdsup://Directions/FactSet Auditing Viewer?action=AUDIT_VALUE&amp;DB=129&amp;ID1=31561610&amp;VALUEID=02001&amp;SDATE=200403&amp;PERIODTYPE=QTR_STD&amp;SCFT=3&amp;window=popup_no_bar&amp;width=385&amp;height=120&amp;START_MAXIMIZED=FALSE&amp;creator=factset&amp;display_string=Audit"}</definedName>
    <definedName name="_4162__FDSAUDITLINK__" hidden="1">{"fdsup://Directions/FactSet Auditing Viewer?action=AUDIT_VALUE&amp;DB=129&amp;ID1=31561610&amp;VALUEID=02001&amp;SDATE=200403&amp;PERIODTYPE=QTR_STD&amp;SCFT=3&amp;window=popup_no_bar&amp;width=385&amp;height=120&amp;START_MAXIMIZED=FALSE&amp;creator=factset&amp;display_string=Audit"}</definedName>
    <definedName name="_4163__FDSAUDITLINK__" hidden="1">{"fdsup://Directions/FactSet Auditing Viewer?action=AUDIT_VALUE&amp;DB=129&amp;ID1=31561610&amp;VALUEID=02001&amp;SDATE=200402&amp;PERIODTYPE=QTR_STD&amp;SCFT=3&amp;window=popup_no_bar&amp;width=385&amp;height=120&amp;START_MAXIMIZED=FALSE&amp;creator=factset&amp;display_string=Audit"}</definedName>
    <definedName name="_4164__FDSAUDITLINK__" hidden="1">{"fdsup://Directions/FactSet Auditing Viewer?action=AUDIT_VALUE&amp;DB=129&amp;ID1=31561610&amp;VALUEID=02001&amp;SDATE=200402&amp;PERIODTYPE=QTR_STD&amp;SCFT=3&amp;window=popup_no_bar&amp;width=385&amp;height=120&amp;START_MAXIMIZED=FALSE&amp;creator=factset&amp;display_string=Audit"}</definedName>
    <definedName name="_4165__FDSAUDITLINK__" hidden="1">{"fdsup://Directions/FactSet Auditing Viewer?action=AUDIT_VALUE&amp;DB=129&amp;ID1=29247520&amp;VALUEID=02001&amp;SDATE=200803&amp;PERIODTYPE=QTR_STD&amp;SCFT=3&amp;window=popup_no_bar&amp;width=385&amp;height=120&amp;START_MAXIMIZED=FALSE&amp;creator=factset&amp;display_string=Audit"}</definedName>
    <definedName name="_4166__FDSAUDITLINK__" hidden="1">{"fdsup://Directions/FactSet Auditing Viewer?action=AUDIT_VALUE&amp;DB=129&amp;ID1=29247520&amp;VALUEID=02001&amp;SDATE=200803&amp;PERIODTYPE=QTR_STD&amp;SCFT=3&amp;window=popup_no_bar&amp;width=385&amp;height=120&amp;START_MAXIMIZED=FALSE&amp;creator=factset&amp;display_string=Audit"}</definedName>
    <definedName name="_4167__FDSAUDITLINK__" hidden="1">{"fdsup://Directions/FactSet Auditing Viewer?action=AUDIT_VALUE&amp;DB=129&amp;ID1=29247520&amp;VALUEID=02001&amp;SDATE=200802&amp;PERIODTYPE=QTR_STD&amp;SCFT=3&amp;window=popup_no_bar&amp;width=385&amp;height=120&amp;START_MAXIMIZED=FALSE&amp;creator=factset&amp;display_string=Audit"}</definedName>
    <definedName name="_4168__FDSAUDITLINK__" hidden="1">{"fdsup://Directions/FactSet Auditing Viewer?action=AUDIT_VALUE&amp;DB=129&amp;ID1=29247520&amp;VALUEID=02001&amp;SDATE=200802&amp;PERIODTYPE=QTR_STD&amp;SCFT=3&amp;window=popup_no_bar&amp;width=385&amp;height=120&amp;START_MAXIMIZED=FALSE&amp;creator=factset&amp;display_string=Audit"}</definedName>
    <definedName name="_4169__FDSAUDITLINK__" hidden="1">{"fdsup://Directions/FactSet Auditing Viewer?action=AUDIT_VALUE&amp;DB=129&amp;ID1=29247520&amp;VALUEID=02001&amp;SDATE=200801&amp;PERIODTYPE=QTR_STD&amp;SCFT=3&amp;window=popup_no_bar&amp;width=385&amp;height=120&amp;START_MAXIMIZED=FALSE&amp;creator=factset&amp;display_string=Audit"}</definedName>
    <definedName name="_417__FDSAUDITLINK__" hidden="1">{"fdsup://Directions/FactSet Auditing Viewer?action=AUDIT_VALUE&amp;DB=129&amp;ID1=20714230&amp;VALUEID=02001&amp;SDATE=201004&amp;PERIODTYPE=QTR_STD&amp;SCFT=3&amp;window=popup_no_bar&amp;width=385&amp;height=120&amp;START_MAXIMIZED=FALSE&amp;creator=factset&amp;display_string=Audit"}</definedName>
    <definedName name="_4170__FDSAUDITLINK__" hidden="1">{"fdsup://Directions/FactSet Auditing Viewer?action=AUDIT_VALUE&amp;DB=129&amp;ID1=29247520&amp;VALUEID=02001&amp;SDATE=200801&amp;PERIODTYPE=QTR_STD&amp;SCFT=3&amp;window=popup_no_bar&amp;width=385&amp;height=120&amp;START_MAXIMIZED=FALSE&amp;creator=factset&amp;display_string=Audit"}</definedName>
    <definedName name="_4171__FDSAUDITLINK__" hidden="1">{"fdsup://Directions/FactSet Auditing Viewer?action=AUDIT_VALUE&amp;DB=129&amp;ID1=29247520&amp;VALUEID=02001&amp;SDATE=200703&amp;PERIODTYPE=QTR_STD&amp;SCFT=3&amp;window=popup_no_bar&amp;width=385&amp;height=120&amp;START_MAXIMIZED=FALSE&amp;creator=factset&amp;display_string=Audit"}</definedName>
    <definedName name="_4172__FDSAUDITLINK__" hidden="1">{"fdsup://Directions/FactSet Auditing Viewer?action=AUDIT_VALUE&amp;DB=129&amp;ID1=29247520&amp;VALUEID=02001&amp;SDATE=200703&amp;PERIODTYPE=QTR_STD&amp;SCFT=3&amp;window=popup_no_bar&amp;width=385&amp;height=120&amp;START_MAXIMIZED=FALSE&amp;creator=factset&amp;display_string=Audit"}</definedName>
    <definedName name="_4173__FDSAUDITLINK__" hidden="1">{"fdsup://Directions/FactSet Auditing Viewer?action=AUDIT_VALUE&amp;DB=129&amp;ID1=29247520&amp;VALUEID=02001&amp;SDATE=200702&amp;PERIODTYPE=QTR_STD&amp;SCFT=3&amp;window=popup_no_bar&amp;width=385&amp;height=120&amp;START_MAXIMIZED=FALSE&amp;creator=factset&amp;display_string=Audit"}</definedName>
    <definedName name="_4174__FDSAUDITLINK__" hidden="1">{"fdsup://Directions/FactSet Auditing Viewer?action=AUDIT_VALUE&amp;DB=129&amp;ID1=29247520&amp;VALUEID=02001&amp;SDATE=200702&amp;PERIODTYPE=QTR_STD&amp;SCFT=3&amp;window=popup_no_bar&amp;width=385&amp;height=120&amp;START_MAXIMIZED=FALSE&amp;creator=factset&amp;display_string=Audit"}</definedName>
    <definedName name="_4175__FDSAUDITLINK__" hidden="1">{"fdsup://Directions/FactSet Auditing Viewer?action=AUDIT_VALUE&amp;DB=129&amp;ID1=29247520&amp;VALUEID=02001&amp;SDATE=200701&amp;PERIODTYPE=QTR_STD&amp;SCFT=3&amp;window=popup_no_bar&amp;width=385&amp;height=120&amp;START_MAXIMIZED=FALSE&amp;creator=factset&amp;display_string=Audit"}</definedName>
    <definedName name="_4176__FDSAUDITLINK__" hidden="1">{"fdsup://Directions/FactSet Auditing Viewer?action=AUDIT_VALUE&amp;DB=129&amp;ID1=29247520&amp;VALUEID=02001&amp;SDATE=200701&amp;PERIODTYPE=QTR_STD&amp;SCFT=3&amp;window=popup_no_bar&amp;width=385&amp;height=120&amp;START_MAXIMIZED=FALSE&amp;creator=factset&amp;display_string=Audit"}</definedName>
    <definedName name="_4177__FDSAUDITLINK__" hidden="1">{"fdsup://Directions/FactSet Auditing Viewer?action=AUDIT_VALUE&amp;DB=129&amp;ID1=29247520&amp;VALUEID=02001&amp;SDATE=200603&amp;PERIODTYPE=QTR_STD&amp;SCFT=3&amp;window=popup_no_bar&amp;width=385&amp;height=120&amp;START_MAXIMIZED=FALSE&amp;creator=factset&amp;display_string=Audit"}</definedName>
    <definedName name="_4178__FDSAUDITLINK__" hidden="1">{"fdsup://Directions/FactSet Auditing Viewer?action=AUDIT_VALUE&amp;DB=129&amp;ID1=29247520&amp;VALUEID=02001&amp;SDATE=200603&amp;PERIODTYPE=QTR_STD&amp;SCFT=3&amp;window=popup_no_bar&amp;width=385&amp;height=120&amp;START_MAXIMIZED=FALSE&amp;creator=factset&amp;display_string=Audit"}</definedName>
    <definedName name="_4179__FDSAUDITLINK__" hidden="1">{"fdsup://Directions/FactSet Auditing Viewer?action=AUDIT_VALUE&amp;DB=129&amp;ID1=29247520&amp;VALUEID=02001&amp;SDATE=200602&amp;PERIODTYPE=QTR_STD&amp;SCFT=3&amp;window=popup_no_bar&amp;width=385&amp;height=120&amp;START_MAXIMIZED=FALSE&amp;creator=factset&amp;display_string=Audit"}</definedName>
    <definedName name="_418__FDSAUDITLINK__" hidden="1">{"fdsup://Directions/FactSet Auditing Viewer?action=AUDIT_VALUE&amp;DB=129&amp;ID1=20714230&amp;VALUEID=02001&amp;SDATE=201004&amp;PERIODTYPE=QTR_STD&amp;SCFT=3&amp;window=popup_no_bar&amp;width=385&amp;height=120&amp;START_MAXIMIZED=FALSE&amp;creator=factset&amp;display_string=Audit"}</definedName>
    <definedName name="_4180__FDSAUDITLINK__" hidden="1">{"fdsup://Directions/FactSet Auditing Viewer?action=AUDIT_VALUE&amp;DB=129&amp;ID1=29247520&amp;VALUEID=02001&amp;SDATE=200602&amp;PERIODTYPE=QTR_STD&amp;SCFT=3&amp;window=popup_no_bar&amp;width=385&amp;height=120&amp;START_MAXIMIZED=FALSE&amp;creator=factset&amp;display_string=Audit"}</definedName>
    <definedName name="_4181__FDSAUDITLINK__" hidden="1">{"fdsup://Directions/FactSet Auditing Viewer?action=AUDIT_VALUE&amp;DB=129&amp;ID1=29247520&amp;VALUEID=02001&amp;SDATE=200601&amp;PERIODTYPE=QTR_STD&amp;SCFT=3&amp;window=popup_no_bar&amp;width=385&amp;height=120&amp;START_MAXIMIZED=FALSE&amp;creator=factset&amp;display_string=Audit"}</definedName>
    <definedName name="_4182__FDSAUDITLINK__" hidden="1">{"fdsup://Directions/FactSet Auditing Viewer?action=AUDIT_VALUE&amp;DB=129&amp;ID1=29247520&amp;VALUEID=02001&amp;SDATE=200601&amp;PERIODTYPE=QTR_STD&amp;SCFT=3&amp;window=popup_no_bar&amp;width=385&amp;height=120&amp;START_MAXIMIZED=FALSE&amp;creator=factset&amp;display_string=Audit"}</definedName>
    <definedName name="_4183__FDSAUDITLINK__" hidden="1">{"fdsup://Directions/FactSet Auditing Viewer?action=AUDIT_VALUE&amp;DB=129&amp;ID1=29247520&amp;VALUEID=02001&amp;SDATE=200503&amp;PERIODTYPE=QTR_STD&amp;SCFT=3&amp;window=popup_no_bar&amp;width=385&amp;height=120&amp;START_MAXIMIZED=FALSE&amp;creator=factset&amp;display_string=Audit"}</definedName>
    <definedName name="_4184__FDSAUDITLINK__" hidden="1">{"fdsup://Directions/FactSet Auditing Viewer?action=AUDIT_VALUE&amp;DB=129&amp;ID1=29247520&amp;VALUEID=02001&amp;SDATE=200503&amp;PERIODTYPE=QTR_STD&amp;SCFT=3&amp;window=popup_no_bar&amp;width=385&amp;height=120&amp;START_MAXIMIZED=FALSE&amp;creator=factset&amp;display_string=Audit"}</definedName>
    <definedName name="_4185__FDSAUDITLINK__" hidden="1">{"fdsup://Directions/FactSet Auditing Viewer?action=AUDIT_VALUE&amp;DB=129&amp;ID1=29247520&amp;VALUEID=02001&amp;SDATE=200502&amp;PERIODTYPE=QTR_STD&amp;SCFT=3&amp;window=popup_no_bar&amp;width=385&amp;height=120&amp;START_MAXIMIZED=FALSE&amp;creator=factset&amp;display_string=Audit"}</definedName>
    <definedName name="_4186__FDSAUDITLINK__" hidden="1">{"fdsup://Directions/FactSet Auditing Viewer?action=AUDIT_VALUE&amp;DB=129&amp;ID1=29247520&amp;VALUEID=02001&amp;SDATE=200502&amp;PERIODTYPE=QTR_STD&amp;SCFT=3&amp;window=popup_no_bar&amp;width=385&amp;height=120&amp;START_MAXIMIZED=FALSE&amp;creator=factset&amp;display_string=Audit"}</definedName>
    <definedName name="_4187__FDSAUDITLINK__" hidden="1">{"fdsup://Directions/FactSet Auditing Viewer?action=AUDIT_VALUE&amp;DB=129&amp;ID1=29247520&amp;VALUEID=02001&amp;SDATE=200501&amp;PERIODTYPE=QTR_STD&amp;SCFT=3&amp;window=popup_no_bar&amp;width=385&amp;height=120&amp;START_MAXIMIZED=FALSE&amp;creator=factset&amp;display_string=Audit"}</definedName>
    <definedName name="_4188__FDSAUDITLINK__" hidden="1">{"fdsup://Directions/FactSet Auditing Viewer?action=AUDIT_VALUE&amp;DB=129&amp;ID1=29247520&amp;VALUEID=02001&amp;SDATE=200501&amp;PERIODTYPE=QTR_STD&amp;SCFT=3&amp;window=popup_no_bar&amp;width=385&amp;height=120&amp;START_MAXIMIZED=FALSE&amp;creator=factset&amp;display_string=Audit"}</definedName>
    <definedName name="_4189__FDSAUDITLINK__" hidden="1">{"fdsup://Directions/FactSet Auditing Viewer?action=AUDIT_VALUE&amp;DB=129&amp;ID1=29247520&amp;VALUEID=02001&amp;SDATE=200403&amp;PERIODTYPE=QTR_STD&amp;SCFT=3&amp;window=popup_no_bar&amp;width=385&amp;height=120&amp;START_MAXIMIZED=FALSE&amp;creator=factset&amp;display_string=Audit"}</definedName>
    <definedName name="_419__FDSAUDITLINK__" hidden="1">{"fdsup://Directions/FactSet Auditing Viewer?action=AUDIT_VALUE&amp;DB=129&amp;ID1=12738710&amp;VALUEID=02001&amp;SDATE=201003&amp;PERIODTYPE=QTR_STD&amp;SCFT=3&amp;window=popup_no_bar&amp;width=385&amp;height=120&amp;START_MAXIMIZED=FALSE&amp;creator=factset&amp;display_string=Audit"}</definedName>
    <definedName name="_4190__FDSAUDITLINK__" hidden="1">{"fdsup://Directions/FactSet Auditing Viewer?action=AUDIT_VALUE&amp;DB=129&amp;ID1=29247520&amp;VALUEID=02001&amp;SDATE=200403&amp;PERIODTYPE=QTR_STD&amp;SCFT=3&amp;window=popup_no_bar&amp;width=385&amp;height=120&amp;START_MAXIMIZED=FALSE&amp;creator=factset&amp;display_string=Audit"}</definedName>
    <definedName name="_4191__FDSAUDITLINK__" hidden="1">{"fdsup://Directions/FactSet Auditing Viewer?action=AUDIT_VALUE&amp;DB=129&amp;ID1=25454310&amp;VALUEID=02001&amp;SDATE=200801&amp;PERIODTYPE=QTR_STD&amp;SCFT=3&amp;window=popup_no_bar&amp;width=385&amp;height=120&amp;START_MAXIMIZED=FALSE&amp;creator=factset&amp;display_string=Audit"}</definedName>
    <definedName name="_4192__FDSAUDITLINK__" hidden="1">{"fdsup://Directions/FactSet Auditing Viewer?action=AUDIT_VALUE&amp;DB=129&amp;ID1=25454310&amp;VALUEID=02001&amp;SDATE=200801&amp;PERIODTYPE=QTR_STD&amp;SCFT=3&amp;window=popup_no_bar&amp;width=385&amp;height=120&amp;START_MAXIMIZED=FALSE&amp;creator=factset&amp;display_string=Audit"}</definedName>
    <definedName name="_4193__FDSAUDITLINK__" hidden="1">{"fdsup://Directions/FactSet Auditing Viewer?action=AUDIT_VALUE&amp;DB=129&amp;ID1=25454310&amp;VALUEID=02001&amp;SDATE=200703&amp;PERIODTYPE=QTR_STD&amp;SCFT=3&amp;window=popup_no_bar&amp;width=385&amp;height=120&amp;START_MAXIMIZED=FALSE&amp;creator=factset&amp;display_string=Audit"}</definedName>
    <definedName name="_4194__FDSAUDITLINK__" hidden="1">{"fdsup://Directions/FactSet Auditing Viewer?action=AUDIT_VALUE&amp;DB=129&amp;ID1=25454310&amp;VALUEID=02001&amp;SDATE=200703&amp;PERIODTYPE=QTR_STD&amp;SCFT=3&amp;window=popup_no_bar&amp;width=385&amp;height=120&amp;START_MAXIMIZED=FALSE&amp;creator=factset&amp;display_string=Audit"}</definedName>
    <definedName name="_4195__FDSAUDITLINK__" hidden="1">{"fdsup://Directions/FactSet Auditing Viewer?action=AUDIT_VALUE&amp;DB=129&amp;ID1=25454310&amp;VALUEID=02001&amp;SDATE=200701&amp;PERIODTYPE=QTR_STD&amp;SCFT=3&amp;window=popup_no_bar&amp;width=385&amp;height=120&amp;START_MAXIMIZED=FALSE&amp;creator=factset&amp;display_string=Audit"}</definedName>
    <definedName name="_4196__FDSAUDITLINK__" hidden="1">{"fdsup://Directions/FactSet Auditing Viewer?action=AUDIT_VALUE&amp;DB=129&amp;ID1=25454310&amp;VALUEID=02001&amp;SDATE=200701&amp;PERIODTYPE=QTR_STD&amp;SCFT=3&amp;window=popup_no_bar&amp;width=385&amp;height=120&amp;START_MAXIMIZED=FALSE&amp;creator=factset&amp;display_string=Audit"}</definedName>
    <definedName name="_4197__FDSAUDITLINK__" hidden="1">{"fdsup://Directions/FactSet Auditing Viewer?action=AUDIT_VALUE&amp;DB=129&amp;ID1=25454310&amp;VALUEID=02001&amp;SDATE=200603&amp;PERIODTYPE=QTR_STD&amp;SCFT=3&amp;window=popup_no_bar&amp;width=385&amp;height=120&amp;START_MAXIMIZED=FALSE&amp;creator=factset&amp;display_string=Audit"}</definedName>
    <definedName name="_4198__FDSAUDITLINK__" hidden="1">{"fdsup://Directions/FactSet Auditing Viewer?action=AUDIT_VALUE&amp;DB=129&amp;ID1=25454310&amp;VALUEID=02001&amp;SDATE=200603&amp;PERIODTYPE=QTR_STD&amp;SCFT=3&amp;window=popup_no_bar&amp;width=385&amp;height=120&amp;START_MAXIMIZED=FALSE&amp;creator=factset&amp;display_string=Audit"}</definedName>
    <definedName name="_4199__FDSAUDITLINK__" hidden="1">{"fdsup://Directions/FactSet Auditing Viewer?action=AUDIT_VALUE&amp;DB=129&amp;ID1=25454310&amp;VALUEID=02001&amp;SDATE=200602&amp;PERIODTYPE=QTR_STD&amp;SCFT=3&amp;window=popup_no_bar&amp;width=385&amp;height=120&amp;START_MAXIMIZED=FALSE&amp;creator=factset&amp;display_string=Audit"}</definedName>
    <definedName name="_42__FDSAUDITLINK__" hidden="1">{"fdsup://directions/FAT Viewer?action=UPDATE&amp;creator=factset&amp;DYN_ARGS=TRUE&amp;DOC_NAME=FAT:FQL_AUDITING_CLIENT_TEMPLATE.FAT&amp;display_string=Audit&amp;VAR:KEY=WLAJIPQPKR&amp;VAR:QUERY=RkZfU0hTX0ZMT0FUKEFOTiw0MDY5NCk=&amp;WINDOW=FIRST_POPUP&amp;HEIGHT=450&amp;WIDTH=450&amp;START_MAXIMI","ZED=FALSE&amp;VAR:CALENDAR=US&amp;VAR:SYMBOL=LVS&amp;VAR:INDEX=0"}</definedName>
    <definedName name="_420__FDSAUDITLINK__" hidden="1">{"fdsup://Directions/FactSet Auditing Viewer?action=AUDIT_VALUE&amp;DB=129&amp;ID1=12738710&amp;VALUEID=02001&amp;SDATE=201003&amp;PERIODTYPE=QTR_STD&amp;SCFT=3&amp;window=popup_no_bar&amp;width=385&amp;height=120&amp;START_MAXIMIZED=FALSE&amp;creator=factset&amp;display_string=Audit"}</definedName>
    <definedName name="_4200__FDSAUDITLINK__" hidden="1">{"fdsup://Directions/FactSet Auditing Viewer?action=AUDIT_VALUE&amp;DB=129&amp;ID1=25454310&amp;VALUEID=02001&amp;SDATE=200602&amp;PERIODTYPE=QTR_STD&amp;SCFT=3&amp;window=popup_no_bar&amp;width=385&amp;height=120&amp;START_MAXIMIZED=FALSE&amp;creator=factset&amp;display_string=Audit"}</definedName>
    <definedName name="_4201__FDSAUDITLINK__" hidden="1">{"fdsup://Directions/FactSet Auditing Viewer?action=AUDIT_VALUE&amp;DB=129&amp;ID1=25454310&amp;VALUEID=02001&amp;SDATE=200601&amp;PERIODTYPE=QTR_STD&amp;SCFT=3&amp;window=popup_no_bar&amp;width=385&amp;height=120&amp;START_MAXIMIZED=FALSE&amp;creator=factset&amp;display_string=Audit"}</definedName>
    <definedName name="_4202__FDSAUDITLINK__" hidden="1">{"fdsup://Directions/FactSet Auditing Viewer?action=AUDIT_VALUE&amp;DB=129&amp;ID1=25454310&amp;VALUEID=02001&amp;SDATE=200601&amp;PERIODTYPE=QTR_STD&amp;SCFT=3&amp;window=popup_no_bar&amp;width=385&amp;height=120&amp;START_MAXIMIZED=FALSE&amp;creator=factset&amp;display_string=Audit"}</definedName>
    <definedName name="_4203__FDSAUDITLINK__" hidden="1">{"fdsup://Directions/FactSet Auditing Viewer?action=AUDIT_VALUE&amp;DB=129&amp;ID1=25454310&amp;VALUEID=02001&amp;SDATE=200503&amp;PERIODTYPE=QTR_STD&amp;SCFT=3&amp;window=popup_no_bar&amp;width=385&amp;height=120&amp;START_MAXIMIZED=FALSE&amp;creator=factset&amp;display_string=Audit"}</definedName>
    <definedName name="_4204__FDSAUDITLINK__" hidden="1">{"fdsup://Directions/FactSet Auditing Viewer?action=AUDIT_VALUE&amp;DB=129&amp;ID1=25454310&amp;VALUEID=02001&amp;SDATE=200503&amp;PERIODTYPE=QTR_STD&amp;SCFT=3&amp;window=popup_no_bar&amp;width=385&amp;height=120&amp;START_MAXIMIZED=FALSE&amp;creator=factset&amp;display_string=Audit"}</definedName>
    <definedName name="_4205__FDSAUDITLINK__" hidden="1">{"fdsup://Directions/FactSet Auditing Viewer?action=AUDIT_VALUE&amp;DB=129&amp;ID1=25454310&amp;VALUEID=02001&amp;SDATE=200502&amp;PERIODTYPE=QTR_STD&amp;SCFT=3&amp;window=popup_no_bar&amp;width=385&amp;height=120&amp;START_MAXIMIZED=FALSE&amp;creator=factset&amp;display_string=Audit"}</definedName>
    <definedName name="_4206__FDSAUDITLINK__" hidden="1">{"fdsup://Directions/FactSet Auditing Viewer?action=AUDIT_VALUE&amp;DB=129&amp;ID1=25454310&amp;VALUEID=02001&amp;SDATE=200502&amp;PERIODTYPE=QTR_STD&amp;SCFT=3&amp;window=popup_no_bar&amp;width=385&amp;height=120&amp;START_MAXIMIZED=FALSE&amp;creator=factset&amp;display_string=Audit"}</definedName>
    <definedName name="_4207__FDSAUDITLINK__" hidden="1">{"fdsup://Directions/FactSet Auditing Viewer?action=AUDIT_VALUE&amp;DB=129&amp;ID1=25454310&amp;VALUEID=02001&amp;SDATE=200501&amp;PERIODTYPE=QTR_STD&amp;SCFT=3&amp;window=popup_no_bar&amp;width=385&amp;height=120&amp;START_MAXIMIZED=FALSE&amp;creator=factset&amp;display_string=Audit"}</definedName>
    <definedName name="_4208__FDSAUDITLINK__" hidden="1">{"fdsup://Directions/FactSet Auditing Viewer?action=AUDIT_VALUE&amp;DB=129&amp;ID1=25454310&amp;VALUEID=02001&amp;SDATE=200501&amp;PERIODTYPE=QTR_STD&amp;SCFT=3&amp;window=popup_no_bar&amp;width=385&amp;height=120&amp;START_MAXIMIZED=FALSE&amp;creator=factset&amp;display_string=Audit"}</definedName>
    <definedName name="_4209__FDSAUDITLINK__" hidden="1">{"fdsup://Directions/FactSet Auditing Viewer?action=AUDIT_VALUE&amp;DB=129&amp;ID1=25454310&amp;VALUEID=02001&amp;SDATE=200403&amp;PERIODTYPE=QTR_STD&amp;SCFT=3&amp;window=popup_no_bar&amp;width=385&amp;height=120&amp;START_MAXIMIZED=FALSE&amp;creator=factset&amp;display_string=Audit"}</definedName>
    <definedName name="_421__FDSAUDITLINK__" hidden="1">{"fdsup://Directions/FactSet Auditing Viewer?action=AUDIT_VALUE&amp;DB=129&amp;ID1=14964U10&amp;VALUEID=02001&amp;SDATE=201003&amp;PERIODTYPE=QTR_STD&amp;SCFT=3&amp;window=popup_no_bar&amp;width=385&amp;height=120&amp;START_MAXIMIZED=FALSE&amp;creator=factset&amp;display_string=Audit"}</definedName>
    <definedName name="_4210__FDSAUDITLINK__" hidden="1">{"fdsup://Directions/FactSet Auditing Viewer?action=AUDIT_VALUE&amp;DB=129&amp;ID1=25454310&amp;VALUEID=02001&amp;SDATE=200403&amp;PERIODTYPE=QTR_STD&amp;SCFT=3&amp;window=popup_no_bar&amp;width=385&amp;height=120&amp;START_MAXIMIZED=FALSE&amp;creator=factset&amp;display_string=Audit"}</definedName>
    <definedName name="_4211__FDSAUDITLINK__" hidden="1">{"fdsup://Directions/FactSet Auditing Viewer?action=AUDIT_VALUE&amp;DB=129&amp;ID1=25454310&amp;VALUEID=02001&amp;SDATE=200402&amp;PERIODTYPE=QTR_STD&amp;SCFT=3&amp;window=popup_no_bar&amp;width=385&amp;height=120&amp;START_MAXIMIZED=FALSE&amp;creator=factset&amp;display_string=Audit"}</definedName>
    <definedName name="_4212__FDSAUDITLINK__" hidden="1">{"fdsup://Directions/FactSet Auditing Viewer?action=AUDIT_VALUE&amp;DB=129&amp;ID1=25454310&amp;VALUEID=02001&amp;SDATE=200402&amp;PERIODTYPE=QTR_STD&amp;SCFT=3&amp;window=popup_no_bar&amp;width=385&amp;height=120&amp;START_MAXIMIZED=FALSE&amp;creator=factset&amp;display_string=Audit"}</definedName>
    <definedName name="_4213__FDSAUDITLINK__" hidden="1">{"fdsup://Directions/FactSet Auditing Viewer?action=AUDIT_VALUE&amp;DB=129&amp;ID1=25454310&amp;VALUEID=02001&amp;SDATE=200401&amp;PERIODTYPE=QTR_STD&amp;SCFT=3&amp;window=popup_no_bar&amp;width=385&amp;height=120&amp;START_MAXIMIZED=FALSE&amp;creator=factset&amp;display_string=Audit"}</definedName>
    <definedName name="_4214__FDSAUDITLINK__" hidden="1">{"fdsup://Directions/FactSet Auditing Viewer?action=AUDIT_VALUE&amp;DB=129&amp;ID1=25454310&amp;VALUEID=02001&amp;SDATE=200401&amp;PERIODTYPE=QTR_STD&amp;SCFT=3&amp;window=popup_no_bar&amp;width=385&amp;height=120&amp;START_MAXIMIZED=FALSE&amp;creator=factset&amp;display_string=Audit"}</definedName>
    <definedName name="_4215__FDSAUDITLINK__" hidden="1">{"fdsup://Directions/FactSet Auditing Viewer?action=AUDIT_VALUE&amp;DB=129&amp;ID1=24702R10&amp;VALUEID=02001&amp;SDATE=200801&amp;PERIODTYPE=QTR_STD&amp;SCFT=3&amp;window=popup_no_bar&amp;width=385&amp;height=120&amp;START_MAXIMIZED=FALSE&amp;creator=factset&amp;display_string=Audit"}</definedName>
    <definedName name="_4216__FDSAUDITLINK__" hidden="1">{"fdsup://Directions/FactSet Auditing Viewer?action=AUDIT_VALUE&amp;DB=129&amp;ID1=24702R10&amp;VALUEID=02001&amp;SDATE=200801&amp;PERIODTYPE=QTR_STD&amp;SCFT=3&amp;window=popup_no_bar&amp;width=385&amp;height=120&amp;START_MAXIMIZED=FALSE&amp;creator=factset&amp;display_string=Audit"}</definedName>
    <definedName name="_4217__FDSAUDITLINK__" hidden="1">{"fdsup://Directions/FactSet Auditing Viewer?action=AUDIT_VALUE&amp;DB=129&amp;ID1=24702R10&amp;VALUEID=02001&amp;SDATE=200703&amp;PERIODTYPE=QTR_STD&amp;SCFT=3&amp;window=popup_no_bar&amp;width=385&amp;height=120&amp;START_MAXIMIZED=FALSE&amp;creator=factset&amp;display_string=Audit"}</definedName>
    <definedName name="_4218__FDSAUDITLINK__" hidden="1">{"fdsup://Directions/FactSet Auditing Viewer?action=AUDIT_VALUE&amp;DB=129&amp;ID1=24702R10&amp;VALUEID=02001&amp;SDATE=200703&amp;PERIODTYPE=QTR_STD&amp;SCFT=3&amp;window=popup_no_bar&amp;width=385&amp;height=120&amp;START_MAXIMIZED=FALSE&amp;creator=factset&amp;display_string=Audit"}</definedName>
    <definedName name="_4219__FDSAUDITLINK__" hidden="1">{"fdsup://Directions/FactSet Auditing Viewer?action=AUDIT_VALUE&amp;DB=129&amp;ID1=24702R10&amp;VALUEID=02001&amp;SDATE=200702&amp;PERIODTYPE=QTR_STD&amp;SCFT=3&amp;window=popup_no_bar&amp;width=385&amp;height=120&amp;START_MAXIMIZED=FALSE&amp;creator=factset&amp;display_string=Audit"}</definedName>
    <definedName name="_422__FDSAUDITLINK__" hidden="1">{"fdsup://Directions/FactSet Auditing Viewer?action=AUDIT_VALUE&amp;DB=129&amp;ID1=14964U10&amp;VALUEID=02001&amp;SDATE=201003&amp;PERIODTYPE=QTR_STD&amp;SCFT=3&amp;window=popup_no_bar&amp;width=385&amp;height=120&amp;START_MAXIMIZED=FALSE&amp;creator=factset&amp;display_string=Audit"}</definedName>
    <definedName name="_4220__FDSAUDITLINK__" hidden="1">{"fdsup://Directions/FactSet Auditing Viewer?action=AUDIT_VALUE&amp;DB=129&amp;ID1=24702R10&amp;VALUEID=02001&amp;SDATE=200702&amp;PERIODTYPE=QTR_STD&amp;SCFT=3&amp;window=popup_no_bar&amp;width=385&amp;height=120&amp;START_MAXIMIZED=FALSE&amp;creator=factset&amp;display_string=Audit"}</definedName>
    <definedName name="_4221__FDSAUDITLINK__" hidden="1">{"fdsup://Directions/FactSet Auditing Viewer?action=AUDIT_VALUE&amp;DB=129&amp;ID1=24702R10&amp;VALUEID=02001&amp;SDATE=200701&amp;PERIODTYPE=QTR_STD&amp;SCFT=3&amp;window=popup_no_bar&amp;width=385&amp;height=120&amp;START_MAXIMIZED=FALSE&amp;creator=factset&amp;display_string=Audit"}</definedName>
    <definedName name="_4222__FDSAUDITLINK__" hidden="1">{"fdsup://Directions/FactSet Auditing Viewer?action=AUDIT_VALUE&amp;DB=129&amp;ID1=24702R10&amp;VALUEID=02001&amp;SDATE=200701&amp;PERIODTYPE=QTR_STD&amp;SCFT=3&amp;window=popup_no_bar&amp;width=385&amp;height=120&amp;START_MAXIMIZED=FALSE&amp;creator=factset&amp;display_string=Audit"}</definedName>
    <definedName name="_4223__FDSAUDITLINK__" hidden="1">{"fdsup://Directions/FactSet Auditing Viewer?action=AUDIT_VALUE&amp;DB=129&amp;ID1=24702R10&amp;VALUEID=02001&amp;SDATE=200603&amp;PERIODTYPE=QTR_STD&amp;SCFT=3&amp;window=popup_no_bar&amp;width=385&amp;height=120&amp;START_MAXIMIZED=FALSE&amp;creator=factset&amp;display_string=Audit"}</definedName>
    <definedName name="_4224__FDSAUDITLINK__" hidden="1">{"fdsup://Directions/FactSet Auditing Viewer?action=AUDIT_VALUE&amp;DB=129&amp;ID1=24702R10&amp;VALUEID=02001&amp;SDATE=200603&amp;PERIODTYPE=QTR_STD&amp;SCFT=3&amp;window=popup_no_bar&amp;width=385&amp;height=120&amp;START_MAXIMIZED=FALSE&amp;creator=factset&amp;display_string=Audit"}</definedName>
    <definedName name="_4225__FDSAUDITLINK__" hidden="1">{"fdsup://Directions/FactSet Auditing Viewer?action=AUDIT_VALUE&amp;DB=129&amp;ID1=24702R10&amp;VALUEID=02001&amp;SDATE=200602&amp;PERIODTYPE=QTR_STD&amp;SCFT=3&amp;window=popup_no_bar&amp;width=385&amp;height=120&amp;START_MAXIMIZED=FALSE&amp;creator=factset&amp;display_string=Audit"}</definedName>
    <definedName name="_4226__FDSAUDITLINK__" hidden="1">{"fdsup://Directions/FactSet Auditing Viewer?action=AUDIT_VALUE&amp;DB=129&amp;ID1=24702R10&amp;VALUEID=02001&amp;SDATE=200602&amp;PERIODTYPE=QTR_STD&amp;SCFT=3&amp;window=popup_no_bar&amp;width=385&amp;height=120&amp;START_MAXIMIZED=FALSE&amp;creator=factset&amp;display_string=Audit"}</definedName>
    <definedName name="_4227__FDSAUDITLINK__" hidden="1">{"fdsup://Directions/FactSet Auditing Viewer?action=AUDIT_VALUE&amp;DB=129&amp;ID1=24702R10&amp;VALUEID=02001&amp;SDATE=200601&amp;PERIODTYPE=QTR_STD&amp;SCFT=3&amp;window=popup_no_bar&amp;width=385&amp;height=120&amp;START_MAXIMIZED=FALSE&amp;creator=factset&amp;display_string=Audit"}</definedName>
    <definedName name="_4228__FDSAUDITLINK__" hidden="1">{"fdsup://Directions/FactSet Auditing Viewer?action=AUDIT_VALUE&amp;DB=129&amp;ID1=24702R10&amp;VALUEID=02001&amp;SDATE=200601&amp;PERIODTYPE=QTR_STD&amp;SCFT=3&amp;window=popup_no_bar&amp;width=385&amp;height=120&amp;START_MAXIMIZED=FALSE&amp;creator=factset&amp;display_string=Audit"}</definedName>
    <definedName name="_4229__FDSAUDITLINK__" hidden="1">{"fdsup://Directions/FactSet Auditing Viewer?action=AUDIT_VALUE&amp;DB=129&amp;ID1=24702R10&amp;VALUEID=02001&amp;SDATE=200502&amp;PERIODTYPE=QTR_STD&amp;SCFT=3&amp;window=popup_no_bar&amp;width=385&amp;height=120&amp;START_MAXIMIZED=FALSE&amp;creator=factset&amp;display_string=Audit"}</definedName>
    <definedName name="_423__FDSAUDITLINK__" hidden="1">{"fdsup://Directions/FactSet Auditing Viewer?action=AUDIT_VALUE&amp;DB=129&amp;ID1=11162130&amp;VALUEID=02001&amp;SDATE=201004&amp;PERIODTYPE=QTR_STD&amp;SCFT=3&amp;window=popup_no_bar&amp;width=385&amp;height=120&amp;START_MAXIMIZED=FALSE&amp;creator=factset&amp;display_string=Audit"}</definedName>
    <definedName name="_4230__FDSAUDITLINK__" hidden="1">{"fdsup://Directions/FactSet Auditing Viewer?action=AUDIT_VALUE&amp;DB=129&amp;ID1=24702R10&amp;VALUEID=02001&amp;SDATE=200502&amp;PERIODTYPE=QTR_STD&amp;SCFT=3&amp;window=popup_no_bar&amp;width=385&amp;height=120&amp;START_MAXIMIZED=FALSE&amp;creator=factset&amp;display_string=Audit"}</definedName>
    <definedName name="_4231__FDSAUDITLINK__" hidden="1">{"fdsup://Directions/FactSet Auditing Viewer?action=AUDIT_VALUE&amp;DB=129&amp;ID1=24702R10&amp;VALUEID=02001&amp;SDATE=200501&amp;PERIODTYPE=QTR_STD&amp;SCFT=3&amp;window=popup_no_bar&amp;width=385&amp;height=120&amp;START_MAXIMIZED=FALSE&amp;creator=factset&amp;display_string=Audit"}</definedName>
    <definedName name="_4232__FDSAUDITLINK__" hidden="1">{"fdsup://Directions/FactSet Auditing Viewer?action=AUDIT_VALUE&amp;DB=129&amp;ID1=24702R10&amp;VALUEID=02001&amp;SDATE=200501&amp;PERIODTYPE=QTR_STD&amp;SCFT=3&amp;window=popup_no_bar&amp;width=385&amp;height=120&amp;START_MAXIMIZED=FALSE&amp;creator=factset&amp;display_string=Audit"}</definedName>
    <definedName name="_4233__FDSAUDITLINK__" hidden="1">{"fdsup://Directions/FactSet Auditing Viewer?action=AUDIT_VALUE&amp;DB=129&amp;ID1=24702R10&amp;VALUEID=02001&amp;SDATE=200402&amp;PERIODTYPE=QTR_STD&amp;SCFT=3&amp;window=popup_no_bar&amp;width=385&amp;height=120&amp;START_MAXIMIZED=FALSE&amp;creator=factset&amp;display_string=Audit"}</definedName>
    <definedName name="_4234__FDSAUDITLINK__" hidden="1">{"fdsup://Directions/FactSet Auditing Viewer?action=AUDIT_VALUE&amp;DB=129&amp;ID1=24702R10&amp;VALUEID=02001&amp;SDATE=200402&amp;PERIODTYPE=QTR_STD&amp;SCFT=3&amp;window=popup_no_bar&amp;width=385&amp;height=120&amp;START_MAXIMIZED=FALSE&amp;creator=factset&amp;display_string=Audit"}</definedName>
    <definedName name="_4235__FDSAUDITLINK__" hidden="1">{"fdsup://Directions/FactSet Auditing Viewer?action=AUDIT_VALUE&amp;DB=129&amp;ID1=24702R10&amp;VALUEID=02001&amp;SDATE=200401&amp;PERIODTYPE=QTR_STD&amp;SCFT=3&amp;window=popup_no_bar&amp;width=385&amp;height=120&amp;START_MAXIMIZED=FALSE&amp;creator=factset&amp;display_string=Audit"}</definedName>
    <definedName name="_4236__FDSAUDITLINK__" hidden="1">{"fdsup://Directions/FactSet Auditing Viewer?action=AUDIT_VALUE&amp;DB=129&amp;ID1=24702R10&amp;VALUEID=02001&amp;SDATE=200401&amp;PERIODTYPE=QTR_STD&amp;SCFT=3&amp;window=popup_no_bar&amp;width=385&amp;height=120&amp;START_MAXIMIZED=FALSE&amp;creator=factset&amp;display_string=Audit"}</definedName>
    <definedName name="_4237__FDSAUDITLINK__" hidden="1">{"fdsup://Directions/FactSet Auditing Viewer?action=AUDIT_VALUE&amp;DB=129&amp;ID1=23257210&amp;VALUEID=02001&amp;SDATE=200801&amp;PERIODTYPE=QTR_STD&amp;SCFT=3&amp;window=popup_no_bar&amp;width=385&amp;height=120&amp;START_MAXIMIZED=FALSE&amp;creator=factset&amp;display_string=Audit"}</definedName>
    <definedName name="_4238__FDSAUDITLINK__" hidden="1">{"fdsup://Directions/FactSet Auditing Viewer?action=AUDIT_VALUE&amp;DB=129&amp;ID1=23257210&amp;VALUEID=02001&amp;SDATE=200801&amp;PERIODTYPE=QTR_STD&amp;SCFT=3&amp;window=popup_no_bar&amp;width=385&amp;height=120&amp;START_MAXIMIZED=FALSE&amp;creator=factset&amp;display_string=Audit"}</definedName>
    <definedName name="_4239__FDSAUDITLINK__" hidden="1">{"fdsup://Directions/FactSet Auditing Viewer?action=AUDIT_VALUE&amp;DB=129&amp;ID1=23257210&amp;VALUEID=02001&amp;SDATE=200703&amp;PERIODTYPE=QTR_STD&amp;SCFT=3&amp;window=popup_no_bar&amp;width=385&amp;height=120&amp;START_MAXIMIZED=FALSE&amp;creator=factset&amp;display_string=Audit"}</definedName>
    <definedName name="_424__FDSAUDITLINK__" hidden="1">{"fdsup://Directions/FactSet Auditing Viewer?action=AUDIT_VALUE&amp;DB=129&amp;ID1=11162130&amp;VALUEID=02001&amp;SDATE=201004&amp;PERIODTYPE=QTR_STD&amp;SCFT=3&amp;window=popup_no_bar&amp;width=385&amp;height=120&amp;START_MAXIMIZED=FALSE&amp;creator=factset&amp;display_string=Audit"}</definedName>
    <definedName name="_4240__FDSAUDITLINK__" hidden="1">{"fdsup://Directions/FactSet Auditing Viewer?action=AUDIT_VALUE&amp;DB=129&amp;ID1=23257210&amp;VALUEID=02001&amp;SDATE=200703&amp;PERIODTYPE=QTR_STD&amp;SCFT=3&amp;window=popup_no_bar&amp;width=385&amp;height=120&amp;START_MAXIMIZED=FALSE&amp;creator=factset&amp;display_string=Audit"}</definedName>
    <definedName name="_4241__FDSAUDITLINK__" hidden="1">{"fdsup://Directions/FactSet Auditing Viewer?action=AUDIT_VALUE&amp;DB=129&amp;ID1=23257210&amp;VALUEID=02001&amp;SDATE=200702&amp;PERIODTYPE=QTR_STD&amp;SCFT=3&amp;window=popup_no_bar&amp;width=385&amp;height=120&amp;START_MAXIMIZED=FALSE&amp;creator=factset&amp;display_string=Audit"}</definedName>
    <definedName name="_4242__FDSAUDITLINK__" hidden="1">{"fdsup://Directions/FactSet Auditing Viewer?action=AUDIT_VALUE&amp;DB=129&amp;ID1=23257210&amp;VALUEID=02001&amp;SDATE=200702&amp;PERIODTYPE=QTR_STD&amp;SCFT=3&amp;window=popup_no_bar&amp;width=385&amp;height=120&amp;START_MAXIMIZED=FALSE&amp;creator=factset&amp;display_string=Audit"}</definedName>
    <definedName name="_4243__FDSAUDITLINK__" hidden="1">{"fdsup://Directions/FactSet Auditing Viewer?action=AUDIT_VALUE&amp;DB=129&amp;ID1=23257210&amp;VALUEID=02001&amp;SDATE=200701&amp;PERIODTYPE=QTR_STD&amp;SCFT=3&amp;window=popup_no_bar&amp;width=385&amp;height=120&amp;START_MAXIMIZED=FALSE&amp;creator=factset&amp;display_string=Audit"}</definedName>
    <definedName name="_4244__FDSAUDITLINK__" hidden="1">{"fdsup://Directions/FactSet Auditing Viewer?action=AUDIT_VALUE&amp;DB=129&amp;ID1=23257210&amp;VALUEID=02001&amp;SDATE=200701&amp;PERIODTYPE=QTR_STD&amp;SCFT=3&amp;window=popup_no_bar&amp;width=385&amp;height=120&amp;START_MAXIMIZED=FALSE&amp;creator=factset&amp;display_string=Audit"}</definedName>
    <definedName name="_4245__FDSAUDITLINK__" hidden="1">{"fdsup://Directions/FactSet Auditing Viewer?action=AUDIT_VALUE&amp;DB=129&amp;ID1=23257210&amp;VALUEID=02001&amp;SDATE=200603&amp;PERIODTYPE=QTR_STD&amp;SCFT=3&amp;window=popup_no_bar&amp;width=385&amp;height=120&amp;START_MAXIMIZED=FALSE&amp;creator=factset&amp;display_string=Audit"}</definedName>
    <definedName name="_4246__FDSAUDITLINK__" hidden="1">{"fdsup://Directions/FactSet Auditing Viewer?action=AUDIT_VALUE&amp;DB=129&amp;ID1=23257210&amp;VALUEID=02001&amp;SDATE=200603&amp;PERIODTYPE=QTR_STD&amp;SCFT=3&amp;window=popup_no_bar&amp;width=385&amp;height=120&amp;START_MAXIMIZED=FALSE&amp;creator=factset&amp;display_string=Audit"}</definedName>
    <definedName name="_4247__FDSAUDITLINK__" hidden="1">{"fdsup://Directions/FactSet Auditing Viewer?action=AUDIT_VALUE&amp;DB=129&amp;ID1=23257210&amp;VALUEID=02001&amp;SDATE=200602&amp;PERIODTYPE=QTR_STD&amp;SCFT=3&amp;window=popup_no_bar&amp;width=385&amp;height=120&amp;START_MAXIMIZED=FALSE&amp;creator=factset&amp;display_string=Audit"}</definedName>
    <definedName name="_4248__FDSAUDITLINK__" hidden="1">{"fdsup://Directions/FactSet Auditing Viewer?action=AUDIT_VALUE&amp;DB=129&amp;ID1=23257210&amp;VALUEID=02001&amp;SDATE=200602&amp;PERIODTYPE=QTR_STD&amp;SCFT=3&amp;window=popup_no_bar&amp;width=385&amp;height=120&amp;START_MAXIMIZED=FALSE&amp;creator=factset&amp;display_string=Audit"}</definedName>
    <definedName name="_4249__FDSAUDITLINK__" hidden="1">{"fdsup://Directions/FactSet Auditing Viewer?action=AUDIT_VALUE&amp;DB=129&amp;ID1=23257210&amp;VALUEID=02001&amp;SDATE=200601&amp;PERIODTYPE=QTR_STD&amp;SCFT=3&amp;window=popup_no_bar&amp;width=385&amp;height=120&amp;START_MAXIMIZED=FALSE&amp;creator=factset&amp;display_string=Audit"}</definedName>
    <definedName name="_425__FDSAUDITLINK__" hidden="1">{"fdsup://Directions/FactSet Auditing Viewer?action=AUDIT_VALUE&amp;DB=129&amp;ID1=Y0486S10&amp;VALUEID=02001&amp;SDATE=201004&amp;PERIODTYPE=QTR_STD&amp;SCFT=3&amp;window=popup_no_bar&amp;width=385&amp;height=120&amp;START_MAXIMIZED=FALSE&amp;creator=factset&amp;display_string=Audit"}</definedName>
    <definedName name="_4250__FDSAUDITLINK__" hidden="1">{"fdsup://Directions/FactSet Auditing Viewer?action=AUDIT_VALUE&amp;DB=129&amp;ID1=23257210&amp;VALUEID=02001&amp;SDATE=200601&amp;PERIODTYPE=QTR_STD&amp;SCFT=3&amp;window=popup_no_bar&amp;width=385&amp;height=120&amp;START_MAXIMIZED=FALSE&amp;creator=factset&amp;display_string=Audit"}</definedName>
    <definedName name="_4251__FDSAUDITLINK__" hidden="1">{"fdsup://Directions/FactSet Auditing Viewer?action=AUDIT_VALUE&amp;DB=129&amp;ID1=23257210&amp;VALUEID=02001&amp;SDATE=200503&amp;PERIODTYPE=QTR_STD&amp;SCFT=3&amp;window=popup_no_bar&amp;width=385&amp;height=120&amp;START_MAXIMIZED=FALSE&amp;creator=factset&amp;display_string=Audit"}</definedName>
    <definedName name="_4252__FDSAUDITLINK__" hidden="1">{"fdsup://Directions/FactSet Auditing Viewer?action=AUDIT_VALUE&amp;DB=129&amp;ID1=23257210&amp;VALUEID=02001&amp;SDATE=200503&amp;PERIODTYPE=QTR_STD&amp;SCFT=3&amp;window=popup_no_bar&amp;width=385&amp;height=120&amp;START_MAXIMIZED=FALSE&amp;creator=factset&amp;display_string=Audit"}</definedName>
    <definedName name="_4253__FDSAUDITLINK__" hidden="1">{"fdsup://Directions/FactSet Auditing Viewer?action=AUDIT_VALUE&amp;DB=129&amp;ID1=23257210&amp;VALUEID=02001&amp;SDATE=200502&amp;PERIODTYPE=QTR_STD&amp;SCFT=3&amp;window=popup_no_bar&amp;width=385&amp;height=120&amp;START_MAXIMIZED=FALSE&amp;creator=factset&amp;display_string=Audit"}</definedName>
    <definedName name="_4254__FDSAUDITLINK__" hidden="1">{"fdsup://Directions/FactSet Auditing Viewer?action=AUDIT_VALUE&amp;DB=129&amp;ID1=23257210&amp;VALUEID=02001&amp;SDATE=200502&amp;PERIODTYPE=QTR_STD&amp;SCFT=3&amp;window=popup_no_bar&amp;width=385&amp;height=120&amp;START_MAXIMIZED=FALSE&amp;creator=factset&amp;display_string=Audit"}</definedName>
    <definedName name="_4255__FDSAUDITLINK__" hidden="1">{"fdsup://Directions/FactSet Auditing Viewer?action=AUDIT_VALUE&amp;DB=129&amp;ID1=23257210&amp;VALUEID=02001&amp;SDATE=200501&amp;PERIODTYPE=QTR_STD&amp;SCFT=3&amp;window=popup_no_bar&amp;width=385&amp;height=120&amp;START_MAXIMIZED=FALSE&amp;creator=factset&amp;display_string=Audit"}</definedName>
    <definedName name="_4256__FDSAUDITLINK__" hidden="1">{"fdsup://Directions/FactSet Auditing Viewer?action=AUDIT_VALUE&amp;DB=129&amp;ID1=23257210&amp;VALUEID=02001&amp;SDATE=200501&amp;PERIODTYPE=QTR_STD&amp;SCFT=3&amp;window=popup_no_bar&amp;width=385&amp;height=120&amp;START_MAXIMIZED=FALSE&amp;creator=factset&amp;display_string=Audit"}</definedName>
    <definedName name="_4257__FDSAUDITLINK__" hidden="1">{"fdsup://Directions/FactSet Auditing Viewer?action=AUDIT_VALUE&amp;DB=129&amp;ID1=23257210&amp;VALUEID=02001&amp;SDATE=200403&amp;PERIODTYPE=QTR_STD&amp;SCFT=3&amp;window=popup_no_bar&amp;width=385&amp;height=120&amp;START_MAXIMIZED=FALSE&amp;creator=factset&amp;display_string=Audit"}</definedName>
    <definedName name="_4258__FDSAUDITLINK__" hidden="1">{"fdsup://Directions/FactSet Auditing Viewer?action=AUDIT_VALUE&amp;DB=129&amp;ID1=23257210&amp;VALUEID=02001&amp;SDATE=200403&amp;PERIODTYPE=QTR_STD&amp;SCFT=3&amp;window=popup_no_bar&amp;width=385&amp;height=120&amp;START_MAXIMIZED=FALSE&amp;creator=factset&amp;display_string=Audit"}</definedName>
    <definedName name="_4259__FDSAUDITLINK__" hidden="1">{"fdsup://Directions/FactSet Auditing Viewer?action=AUDIT_VALUE&amp;DB=129&amp;ID1=23257210&amp;VALUEID=02001&amp;SDATE=200402&amp;PERIODTYPE=QTR_STD&amp;SCFT=3&amp;window=popup_no_bar&amp;width=385&amp;height=120&amp;START_MAXIMIZED=FALSE&amp;creator=factset&amp;display_string=Audit"}</definedName>
    <definedName name="_426__FDSAUDITLINK__" hidden="1">{"fdsup://Directions/FactSet Auditing Viewer?action=AUDIT_VALUE&amp;DB=129&amp;ID1=Y0486S10&amp;VALUEID=02001&amp;SDATE=201004&amp;PERIODTYPE=QTR_STD&amp;SCFT=3&amp;window=popup_no_bar&amp;width=385&amp;height=120&amp;START_MAXIMIZED=FALSE&amp;creator=factset&amp;display_string=Audit"}</definedName>
    <definedName name="_4260__FDSAUDITLINK__" hidden="1">{"fdsup://Directions/FactSet Auditing Viewer?action=AUDIT_VALUE&amp;DB=129&amp;ID1=23257210&amp;VALUEID=02001&amp;SDATE=200402&amp;PERIODTYPE=QTR_STD&amp;SCFT=3&amp;window=popup_no_bar&amp;width=385&amp;height=120&amp;START_MAXIMIZED=FALSE&amp;creator=factset&amp;display_string=Audit"}</definedName>
    <definedName name="_4261__FDSAUDITLINK__" hidden="1">{"fdsup://Directions/FactSet Auditing Viewer?action=AUDIT_VALUE&amp;DB=129&amp;ID1=23280610&amp;VALUEID=02001&amp;SDATE=200801&amp;PERIODTYPE=QTR_STD&amp;SCFT=3&amp;window=popup_no_bar&amp;width=385&amp;height=120&amp;START_MAXIMIZED=FALSE&amp;creator=factset&amp;display_string=Audit"}</definedName>
    <definedName name="_4262__FDSAUDITLINK__" hidden="1">{"fdsup://Directions/FactSet Auditing Viewer?action=AUDIT_VALUE&amp;DB=129&amp;ID1=23280610&amp;VALUEID=02001&amp;SDATE=200801&amp;PERIODTYPE=QTR_STD&amp;SCFT=3&amp;window=popup_no_bar&amp;width=385&amp;height=120&amp;START_MAXIMIZED=FALSE&amp;creator=factset&amp;display_string=Audit"}</definedName>
    <definedName name="_4263__FDSAUDITLINK__" hidden="1">{"fdsup://Directions/FactSet Auditing Viewer?action=AUDIT_VALUE&amp;DB=129&amp;ID1=23280610&amp;VALUEID=02001&amp;SDATE=200703&amp;PERIODTYPE=QTR_STD&amp;SCFT=3&amp;window=popup_no_bar&amp;width=385&amp;height=120&amp;START_MAXIMIZED=FALSE&amp;creator=factset&amp;display_string=Audit"}</definedName>
    <definedName name="_4264__FDSAUDITLINK__" hidden="1">{"fdsup://Directions/FactSet Auditing Viewer?action=AUDIT_VALUE&amp;DB=129&amp;ID1=23280610&amp;VALUEID=02001&amp;SDATE=200703&amp;PERIODTYPE=QTR_STD&amp;SCFT=3&amp;window=popup_no_bar&amp;width=385&amp;height=120&amp;START_MAXIMIZED=FALSE&amp;creator=factset&amp;display_string=Audit"}</definedName>
    <definedName name="_4265__FDSAUDITLINK__" hidden="1">{"fdsup://Directions/FactSet Auditing Viewer?action=AUDIT_VALUE&amp;DB=129&amp;ID1=23280610&amp;VALUEID=02001&amp;SDATE=200702&amp;PERIODTYPE=QTR_STD&amp;SCFT=3&amp;window=popup_no_bar&amp;width=385&amp;height=120&amp;START_MAXIMIZED=FALSE&amp;creator=factset&amp;display_string=Audit"}</definedName>
    <definedName name="_4266__FDSAUDITLINK__" hidden="1">{"fdsup://Directions/FactSet Auditing Viewer?action=AUDIT_VALUE&amp;DB=129&amp;ID1=23280610&amp;VALUEID=02001&amp;SDATE=200702&amp;PERIODTYPE=QTR_STD&amp;SCFT=3&amp;window=popup_no_bar&amp;width=385&amp;height=120&amp;START_MAXIMIZED=FALSE&amp;creator=factset&amp;display_string=Audit"}</definedName>
    <definedName name="_4267__FDSAUDITLINK__" hidden="1">{"fdsup://Directions/FactSet Auditing Viewer?action=AUDIT_VALUE&amp;DB=129&amp;ID1=23280610&amp;VALUEID=02001&amp;SDATE=200701&amp;PERIODTYPE=QTR_STD&amp;SCFT=3&amp;window=popup_no_bar&amp;width=385&amp;height=120&amp;START_MAXIMIZED=FALSE&amp;creator=factset&amp;display_string=Audit"}</definedName>
    <definedName name="_4268__FDSAUDITLINK__" hidden="1">{"fdsup://Directions/FactSet Auditing Viewer?action=AUDIT_VALUE&amp;DB=129&amp;ID1=23280610&amp;VALUEID=02001&amp;SDATE=200701&amp;PERIODTYPE=QTR_STD&amp;SCFT=3&amp;window=popup_no_bar&amp;width=385&amp;height=120&amp;START_MAXIMIZED=FALSE&amp;creator=factset&amp;display_string=Audit"}</definedName>
    <definedName name="_4269__FDSAUDITLINK__" hidden="1">{"fdsup://Directions/FactSet Auditing Viewer?action=AUDIT_VALUE&amp;DB=129&amp;ID1=23280610&amp;VALUEID=02001&amp;SDATE=200603&amp;PERIODTYPE=QTR_STD&amp;SCFT=3&amp;window=popup_no_bar&amp;width=385&amp;height=120&amp;START_MAXIMIZED=FALSE&amp;creator=factset&amp;display_string=Audit"}</definedName>
    <definedName name="_427__FDSAUDITLINK__" hidden="1">{"fdsup://Directions/FactSet Auditing Viewer?action=AUDIT_VALUE&amp;DB=129&amp;ID1=04743P10&amp;VALUEID=02001&amp;SDATE=201003&amp;PERIODTYPE=QTR_STD&amp;SCFT=3&amp;window=popup_no_bar&amp;width=385&amp;height=120&amp;START_MAXIMIZED=FALSE&amp;creator=factset&amp;display_string=Audit"}</definedName>
    <definedName name="_4270__FDSAUDITLINK__" hidden="1">{"fdsup://Directions/FactSet Auditing Viewer?action=AUDIT_VALUE&amp;DB=129&amp;ID1=23280610&amp;VALUEID=02001&amp;SDATE=200603&amp;PERIODTYPE=QTR_STD&amp;SCFT=3&amp;window=popup_no_bar&amp;width=385&amp;height=120&amp;START_MAXIMIZED=FALSE&amp;creator=factset&amp;display_string=Audit"}</definedName>
    <definedName name="_4271__FDSAUDITLINK__" hidden="1">{"fdsup://Directions/FactSet Auditing Viewer?action=AUDIT_VALUE&amp;DB=129&amp;ID1=23280610&amp;VALUEID=02001&amp;SDATE=200602&amp;PERIODTYPE=QTR_STD&amp;SCFT=3&amp;window=popup_no_bar&amp;width=385&amp;height=120&amp;START_MAXIMIZED=FALSE&amp;creator=factset&amp;display_string=Audit"}</definedName>
    <definedName name="_4272__FDSAUDITLINK__" hidden="1">{"fdsup://Directions/FactSet Auditing Viewer?action=AUDIT_VALUE&amp;DB=129&amp;ID1=23280610&amp;VALUEID=02001&amp;SDATE=200602&amp;PERIODTYPE=QTR_STD&amp;SCFT=3&amp;window=popup_no_bar&amp;width=385&amp;height=120&amp;START_MAXIMIZED=FALSE&amp;creator=factset&amp;display_string=Audit"}</definedName>
    <definedName name="_4273__FDSAUDITLINK__" hidden="1">{"fdsup://Directions/FactSet Auditing Viewer?action=AUDIT_VALUE&amp;DB=129&amp;ID1=23280610&amp;VALUEID=02001&amp;SDATE=200601&amp;PERIODTYPE=QTR_STD&amp;SCFT=3&amp;window=popup_no_bar&amp;width=385&amp;height=120&amp;START_MAXIMIZED=FALSE&amp;creator=factset&amp;display_string=Audit"}</definedName>
    <definedName name="_4274__FDSAUDITLINK__" hidden="1">{"fdsup://Directions/FactSet Auditing Viewer?action=AUDIT_VALUE&amp;DB=129&amp;ID1=23280610&amp;VALUEID=02001&amp;SDATE=200601&amp;PERIODTYPE=QTR_STD&amp;SCFT=3&amp;window=popup_no_bar&amp;width=385&amp;height=120&amp;START_MAXIMIZED=FALSE&amp;creator=factset&amp;display_string=Audit"}</definedName>
    <definedName name="_4275__FDSAUDITLINK__" hidden="1">{"fdsup://Directions/FactSet Auditing Viewer?action=AUDIT_VALUE&amp;DB=129&amp;ID1=23280610&amp;VALUEID=02001&amp;SDATE=200503&amp;PERIODTYPE=QTR_STD&amp;SCFT=3&amp;window=popup_no_bar&amp;width=385&amp;height=120&amp;START_MAXIMIZED=FALSE&amp;creator=factset&amp;display_string=Audit"}</definedName>
    <definedName name="_4276__FDSAUDITLINK__" hidden="1">{"fdsup://Directions/FactSet Auditing Viewer?action=AUDIT_VALUE&amp;DB=129&amp;ID1=23280610&amp;VALUEID=02001&amp;SDATE=200503&amp;PERIODTYPE=QTR_STD&amp;SCFT=3&amp;window=popup_no_bar&amp;width=385&amp;height=120&amp;START_MAXIMIZED=FALSE&amp;creator=factset&amp;display_string=Audit"}</definedName>
    <definedName name="_4277__FDSAUDITLINK__" hidden="1">{"fdsup://Directions/FactSet Auditing Viewer?action=AUDIT_VALUE&amp;DB=129&amp;ID1=23280610&amp;VALUEID=02001&amp;SDATE=200502&amp;PERIODTYPE=QTR_STD&amp;SCFT=3&amp;window=popup_no_bar&amp;width=385&amp;height=120&amp;START_MAXIMIZED=FALSE&amp;creator=factset&amp;display_string=Audit"}</definedName>
    <definedName name="_4278__FDSAUDITLINK__" hidden="1">{"fdsup://Directions/FactSet Auditing Viewer?action=AUDIT_VALUE&amp;DB=129&amp;ID1=23280610&amp;VALUEID=02001&amp;SDATE=200502&amp;PERIODTYPE=QTR_STD&amp;SCFT=3&amp;window=popup_no_bar&amp;width=385&amp;height=120&amp;START_MAXIMIZED=FALSE&amp;creator=factset&amp;display_string=Audit"}</definedName>
    <definedName name="_4279__FDSAUDITLINK__" hidden="1">{"fdsup://Directions/FactSet Auditing Viewer?action=AUDIT_VALUE&amp;DB=129&amp;ID1=23280610&amp;VALUEID=02001&amp;SDATE=200501&amp;PERIODTYPE=QTR_STD&amp;SCFT=3&amp;window=popup_no_bar&amp;width=385&amp;height=120&amp;START_MAXIMIZED=FALSE&amp;creator=factset&amp;display_string=Audit"}</definedName>
    <definedName name="_428__FDSAUDITLINK__" hidden="1">{"fdsup://Directions/FactSet Auditing Viewer?action=AUDIT_VALUE&amp;DB=129&amp;ID1=04743P10&amp;VALUEID=02001&amp;SDATE=201003&amp;PERIODTYPE=QTR_STD&amp;SCFT=3&amp;window=popup_no_bar&amp;width=385&amp;height=120&amp;START_MAXIMIZED=FALSE&amp;creator=factset&amp;display_string=Audit"}</definedName>
    <definedName name="_4280__FDSAUDITLINK__" hidden="1">{"fdsup://Directions/FactSet Auditing Viewer?action=AUDIT_VALUE&amp;DB=129&amp;ID1=23280610&amp;VALUEID=02001&amp;SDATE=200501&amp;PERIODTYPE=QTR_STD&amp;SCFT=3&amp;window=popup_no_bar&amp;width=385&amp;height=120&amp;START_MAXIMIZED=FALSE&amp;creator=factset&amp;display_string=Audit"}</definedName>
    <definedName name="_4281__FDSAUDITLINK__" hidden="1">{"fdsup://Directions/FactSet Auditing Viewer?action=AUDIT_VALUE&amp;DB=129&amp;ID1=23280610&amp;VALUEID=02001&amp;SDATE=200403&amp;PERIODTYPE=QTR_STD&amp;SCFT=3&amp;window=popup_no_bar&amp;width=385&amp;height=120&amp;START_MAXIMIZED=FALSE&amp;creator=factset&amp;display_string=Audit"}</definedName>
    <definedName name="_4282__FDSAUDITLINK__" hidden="1">{"fdsup://Directions/FactSet Auditing Viewer?action=AUDIT_VALUE&amp;DB=129&amp;ID1=23280610&amp;VALUEID=02001&amp;SDATE=200403&amp;PERIODTYPE=QTR_STD&amp;SCFT=3&amp;window=popup_no_bar&amp;width=385&amp;height=120&amp;START_MAXIMIZED=FALSE&amp;creator=factset&amp;display_string=Audit"}</definedName>
    <definedName name="_4283__FDSAUDITLINK__" hidden="1">{"fdsup://Directions/FactSet Auditing Viewer?action=AUDIT_VALUE&amp;DB=129&amp;ID1=23280610&amp;VALUEID=02001&amp;SDATE=200402&amp;PERIODTYPE=QTR_STD&amp;SCFT=3&amp;window=popup_no_bar&amp;width=385&amp;height=120&amp;START_MAXIMIZED=FALSE&amp;creator=factset&amp;display_string=Audit"}</definedName>
    <definedName name="_4284__FDSAUDITLINK__" hidden="1">{"fdsup://Directions/FactSet Auditing Viewer?action=AUDIT_VALUE&amp;DB=129&amp;ID1=23280610&amp;VALUEID=02001&amp;SDATE=200402&amp;PERIODTYPE=QTR_STD&amp;SCFT=3&amp;window=popup_no_bar&amp;width=385&amp;height=120&amp;START_MAXIMIZED=FALSE&amp;creator=factset&amp;display_string=Audit"}</definedName>
    <definedName name="_4285__FDSAUDITLINK__" hidden="1">{"fdsup://Directions/FactSet Auditing Viewer?action=AUDIT_VALUE&amp;DB=129&amp;ID1=23280610&amp;VALUEID=02001&amp;SDATE=200401&amp;PERIODTYPE=QTR_STD&amp;SCFT=3&amp;window=popup_no_bar&amp;width=385&amp;height=120&amp;START_MAXIMIZED=FALSE&amp;creator=factset&amp;display_string=Audit"}</definedName>
    <definedName name="_4286__FDSAUDITLINK__" hidden="1">{"fdsup://Directions/FactSet Auditing Viewer?action=AUDIT_VALUE&amp;DB=129&amp;ID1=23280610&amp;VALUEID=02001&amp;SDATE=200401&amp;PERIODTYPE=QTR_STD&amp;SCFT=3&amp;window=popup_no_bar&amp;width=385&amp;height=120&amp;START_MAXIMIZED=FALSE&amp;creator=factset&amp;display_string=Audit"}</definedName>
    <definedName name="_4287__FDSAUDITLINK__" hidden="1">{"fdsup://Directions/FactSet Auditing Viewer?action=AUDIT_VALUE&amp;DB=129&amp;ID1=17275R10&amp;VALUEID=02001&amp;SDATE=200803&amp;PERIODTYPE=QTR_STD&amp;SCFT=3&amp;window=popup_no_bar&amp;width=385&amp;height=120&amp;START_MAXIMIZED=FALSE&amp;creator=factset&amp;display_string=Audit"}</definedName>
    <definedName name="_4288__FDSAUDITLINK__" hidden="1">{"fdsup://Directions/FactSet Auditing Viewer?action=AUDIT_VALUE&amp;DB=129&amp;ID1=17275R10&amp;VALUEID=02001&amp;SDATE=200803&amp;PERIODTYPE=QTR_STD&amp;SCFT=3&amp;window=popup_no_bar&amp;width=385&amp;height=120&amp;START_MAXIMIZED=FALSE&amp;creator=factset&amp;display_string=Audit"}</definedName>
    <definedName name="_4289__FDSAUDITLINK__" hidden="1">{"fdsup://Directions/FactSet Auditing Viewer?action=AUDIT_VALUE&amp;DB=129&amp;ID1=17275R10&amp;VALUEID=02001&amp;SDATE=200802&amp;PERIODTYPE=QTR_STD&amp;SCFT=3&amp;window=popup_no_bar&amp;width=385&amp;height=120&amp;START_MAXIMIZED=FALSE&amp;creator=factset&amp;display_string=Audit"}</definedName>
    <definedName name="_429__FDSAUDITLINK__" hidden="1">{"fdsup://Directions/FactSet Auditing Viewer?action=AUDIT_VALUE&amp;DB=129&amp;ID1=03251510&amp;VALUEID=02001&amp;SDATE=201003&amp;PERIODTYPE=QTR_STD&amp;SCFT=3&amp;window=popup_no_bar&amp;width=385&amp;height=120&amp;START_MAXIMIZED=FALSE&amp;creator=factset&amp;display_string=Audit"}</definedName>
    <definedName name="_4290__FDSAUDITLINK__" hidden="1">{"fdsup://Directions/FactSet Auditing Viewer?action=AUDIT_VALUE&amp;DB=129&amp;ID1=17275R10&amp;VALUEID=02001&amp;SDATE=200802&amp;PERIODTYPE=QTR_STD&amp;SCFT=3&amp;window=popup_no_bar&amp;width=385&amp;height=120&amp;START_MAXIMIZED=FALSE&amp;creator=factset&amp;display_string=Audit"}</definedName>
    <definedName name="_4291__FDSAUDITLINK__" hidden="1">{"fdsup://Directions/FactSet Auditing Viewer?action=AUDIT_VALUE&amp;DB=129&amp;ID1=17275R10&amp;VALUEID=02001&amp;SDATE=200801&amp;PERIODTYPE=QTR_STD&amp;SCFT=3&amp;window=popup_no_bar&amp;width=385&amp;height=120&amp;START_MAXIMIZED=FALSE&amp;creator=factset&amp;display_string=Audit"}</definedName>
    <definedName name="_4292__FDSAUDITLINK__" hidden="1">{"fdsup://Directions/FactSet Auditing Viewer?action=AUDIT_VALUE&amp;DB=129&amp;ID1=17275R10&amp;VALUEID=02001&amp;SDATE=200801&amp;PERIODTYPE=QTR_STD&amp;SCFT=3&amp;window=popup_no_bar&amp;width=385&amp;height=120&amp;START_MAXIMIZED=FALSE&amp;creator=factset&amp;display_string=Audit"}</definedName>
    <definedName name="_4293__FDSAUDITLINK__" hidden="1">{"fdsup://Directions/FactSet Auditing Viewer?action=AUDIT_VALUE&amp;DB=129&amp;ID1=17275R10&amp;VALUEID=02001&amp;SDATE=200703&amp;PERIODTYPE=QTR_STD&amp;SCFT=3&amp;window=popup_no_bar&amp;width=385&amp;height=120&amp;START_MAXIMIZED=FALSE&amp;creator=factset&amp;display_string=Audit"}</definedName>
    <definedName name="_4294__FDSAUDITLINK__" hidden="1">{"fdsup://Directions/FactSet Auditing Viewer?action=AUDIT_VALUE&amp;DB=129&amp;ID1=17275R10&amp;VALUEID=02001&amp;SDATE=200703&amp;PERIODTYPE=QTR_STD&amp;SCFT=3&amp;window=popup_no_bar&amp;width=385&amp;height=120&amp;START_MAXIMIZED=FALSE&amp;creator=factset&amp;display_string=Audit"}</definedName>
    <definedName name="_4295__FDSAUDITLINK__" hidden="1">{"fdsup://Directions/FactSet Auditing Viewer?action=AUDIT_VALUE&amp;DB=129&amp;ID1=17275R10&amp;VALUEID=02001&amp;SDATE=200702&amp;PERIODTYPE=QTR_STD&amp;SCFT=3&amp;window=popup_no_bar&amp;width=385&amp;height=120&amp;START_MAXIMIZED=FALSE&amp;creator=factset&amp;display_string=Audit"}</definedName>
    <definedName name="_4296__FDSAUDITLINK__" hidden="1">{"fdsup://Directions/FactSet Auditing Viewer?action=AUDIT_VALUE&amp;DB=129&amp;ID1=17275R10&amp;VALUEID=02001&amp;SDATE=200702&amp;PERIODTYPE=QTR_STD&amp;SCFT=3&amp;window=popup_no_bar&amp;width=385&amp;height=120&amp;START_MAXIMIZED=FALSE&amp;creator=factset&amp;display_string=Audit"}</definedName>
    <definedName name="_4297__FDSAUDITLINK__" hidden="1">{"fdsup://Directions/FactSet Auditing Viewer?action=AUDIT_VALUE&amp;DB=129&amp;ID1=17275R10&amp;VALUEID=02001&amp;SDATE=200701&amp;PERIODTYPE=QTR_STD&amp;SCFT=3&amp;window=popup_no_bar&amp;width=385&amp;height=120&amp;START_MAXIMIZED=FALSE&amp;creator=factset&amp;display_string=Audit"}</definedName>
    <definedName name="_4298__FDSAUDITLINK__" hidden="1">{"fdsup://Directions/FactSet Auditing Viewer?action=AUDIT_VALUE&amp;DB=129&amp;ID1=17275R10&amp;VALUEID=02001&amp;SDATE=200701&amp;PERIODTYPE=QTR_STD&amp;SCFT=3&amp;window=popup_no_bar&amp;width=385&amp;height=120&amp;START_MAXIMIZED=FALSE&amp;creator=factset&amp;display_string=Audit"}</definedName>
    <definedName name="_4299__FDSAUDITLINK__" hidden="1">{"fdsup://Directions/FactSet Auditing Viewer?action=AUDIT_VALUE&amp;DB=129&amp;ID1=17275R10&amp;VALUEID=02001&amp;SDATE=200603&amp;PERIODTYPE=QTR_STD&amp;SCFT=3&amp;window=popup_no_bar&amp;width=385&amp;height=120&amp;START_MAXIMIZED=FALSE&amp;creator=factset&amp;display_string=Audit"}</definedName>
    <definedName name="_43__FDSAUDITLINK__" hidden="1">{"fdsup://directions/FAT Viewer?action=UPDATE&amp;creator=factset&amp;DYN_ARGS=TRUE&amp;DOC_NAME=FAT:FQL_AUDITING_CLIENT_TEMPLATE.FAT&amp;display_string=Audit&amp;VAR:KEY=GZOPQXOVYV&amp;VAR:QUERY=RkZfU0hTX0ZMT0FUKEFOTiw0MDY2Myk=&amp;WINDOW=FIRST_POPUP&amp;HEIGHT=450&amp;WIDTH=450&amp;START_MAXIMI","ZED=FALSE&amp;VAR:CALENDAR=US&amp;VAR:SYMBOL=LVS&amp;VAR:INDEX=0"}</definedName>
    <definedName name="_430__FDSAUDITLINK__" hidden="1">{"fdsup://Directions/FactSet Auditing Viewer?action=AUDIT_VALUE&amp;DB=129&amp;ID1=03251510&amp;VALUEID=02001&amp;SDATE=201003&amp;PERIODTYPE=QTR_STD&amp;SCFT=3&amp;window=popup_no_bar&amp;width=385&amp;height=120&amp;START_MAXIMIZED=FALSE&amp;creator=factset&amp;display_string=Audit"}</definedName>
    <definedName name="_4300__FDSAUDITLINK__" hidden="1">{"fdsup://Directions/FactSet Auditing Viewer?action=AUDIT_VALUE&amp;DB=129&amp;ID1=17275R10&amp;VALUEID=02001&amp;SDATE=200603&amp;PERIODTYPE=QTR_STD&amp;SCFT=3&amp;window=popup_no_bar&amp;width=385&amp;height=120&amp;START_MAXIMIZED=FALSE&amp;creator=factset&amp;display_string=Audit"}</definedName>
    <definedName name="_4301__FDSAUDITLINK__" hidden="1">{"fdsup://Directions/FactSet Auditing Viewer?action=AUDIT_VALUE&amp;DB=129&amp;ID1=17275R10&amp;VALUEID=02001&amp;SDATE=200602&amp;PERIODTYPE=QTR_STD&amp;SCFT=3&amp;window=popup_no_bar&amp;width=385&amp;height=120&amp;START_MAXIMIZED=FALSE&amp;creator=factset&amp;display_string=Audit"}</definedName>
    <definedName name="_4302__FDSAUDITLINK__" hidden="1">{"fdsup://Directions/FactSet Auditing Viewer?action=AUDIT_VALUE&amp;DB=129&amp;ID1=17275R10&amp;VALUEID=02001&amp;SDATE=200602&amp;PERIODTYPE=QTR_STD&amp;SCFT=3&amp;window=popup_no_bar&amp;width=385&amp;height=120&amp;START_MAXIMIZED=FALSE&amp;creator=factset&amp;display_string=Audit"}</definedName>
    <definedName name="_4303__FDSAUDITLINK__" hidden="1">{"fdsup://Directions/FactSet Auditing Viewer?action=AUDIT_VALUE&amp;DB=129&amp;ID1=17275R10&amp;VALUEID=02001&amp;SDATE=200601&amp;PERIODTYPE=QTR_STD&amp;SCFT=3&amp;window=popup_no_bar&amp;width=385&amp;height=120&amp;START_MAXIMIZED=FALSE&amp;creator=factset&amp;display_string=Audit"}</definedName>
    <definedName name="_4304__FDSAUDITLINK__" hidden="1">{"fdsup://Directions/FactSet Auditing Viewer?action=AUDIT_VALUE&amp;DB=129&amp;ID1=17275R10&amp;VALUEID=02001&amp;SDATE=200601&amp;PERIODTYPE=QTR_STD&amp;SCFT=3&amp;window=popup_no_bar&amp;width=385&amp;height=120&amp;START_MAXIMIZED=FALSE&amp;creator=factset&amp;display_string=Audit"}</definedName>
    <definedName name="_4305__FDSAUDITLINK__" hidden="1">{"fdsup://Directions/FactSet Auditing Viewer?action=AUDIT_VALUE&amp;DB=129&amp;ID1=17275R10&amp;VALUEID=02001&amp;SDATE=200503&amp;PERIODTYPE=QTR_STD&amp;SCFT=3&amp;window=popup_no_bar&amp;width=385&amp;height=120&amp;START_MAXIMIZED=FALSE&amp;creator=factset&amp;display_string=Audit"}</definedName>
    <definedName name="_4306__FDSAUDITLINK__" hidden="1">{"fdsup://Directions/FactSet Auditing Viewer?action=AUDIT_VALUE&amp;DB=129&amp;ID1=17275R10&amp;VALUEID=02001&amp;SDATE=200503&amp;PERIODTYPE=QTR_STD&amp;SCFT=3&amp;window=popup_no_bar&amp;width=385&amp;height=120&amp;START_MAXIMIZED=FALSE&amp;creator=factset&amp;display_string=Audit"}</definedName>
    <definedName name="_4307__FDSAUDITLINK__" hidden="1">{"fdsup://Directions/FactSet Auditing Viewer?action=AUDIT_VALUE&amp;DB=129&amp;ID1=17275R10&amp;VALUEID=02001&amp;SDATE=200502&amp;PERIODTYPE=QTR_STD&amp;SCFT=3&amp;window=popup_no_bar&amp;width=385&amp;height=120&amp;START_MAXIMIZED=FALSE&amp;creator=factset&amp;display_string=Audit"}</definedName>
    <definedName name="_4308__FDSAUDITLINK__" hidden="1">{"fdsup://Directions/FactSet Auditing Viewer?action=AUDIT_VALUE&amp;DB=129&amp;ID1=17275R10&amp;VALUEID=02001&amp;SDATE=200502&amp;PERIODTYPE=QTR_STD&amp;SCFT=3&amp;window=popup_no_bar&amp;width=385&amp;height=120&amp;START_MAXIMIZED=FALSE&amp;creator=factset&amp;display_string=Audit"}</definedName>
    <definedName name="_4309__FDSAUDITLINK__" hidden="1">{"fdsup://Directions/FactSet Auditing Viewer?action=AUDIT_VALUE&amp;DB=129&amp;ID1=17275R10&amp;VALUEID=02001&amp;SDATE=200501&amp;PERIODTYPE=QTR_STD&amp;SCFT=3&amp;window=popup_no_bar&amp;width=385&amp;height=120&amp;START_MAXIMIZED=FALSE&amp;creator=factset&amp;display_string=Audit"}</definedName>
    <definedName name="_431__FDSAUDITLINK__" hidden="1">{"fdsup://Directions/FactSet Auditing Viewer?action=AUDIT_VALUE&amp;DB=129&amp;ID1=00790310&amp;VALUEID=02001&amp;SDATE=201003&amp;PERIODTYPE=QTR_STD&amp;SCFT=3&amp;window=popup_no_bar&amp;width=385&amp;height=120&amp;START_MAXIMIZED=FALSE&amp;creator=factset&amp;display_string=Audit"}</definedName>
    <definedName name="_4310__FDSAUDITLINK__" hidden="1">{"fdsup://Directions/FactSet Auditing Viewer?action=AUDIT_VALUE&amp;DB=129&amp;ID1=17275R10&amp;VALUEID=02001&amp;SDATE=200501&amp;PERIODTYPE=QTR_STD&amp;SCFT=3&amp;window=popup_no_bar&amp;width=385&amp;height=120&amp;START_MAXIMIZED=FALSE&amp;creator=factset&amp;display_string=Audit"}</definedName>
    <definedName name="_4311__FDSAUDITLINK__" hidden="1">{"fdsup://Directions/FactSet Auditing Viewer?action=AUDIT_VALUE&amp;DB=129&amp;ID1=17275R10&amp;VALUEID=02001&amp;SDATE=200403&amp;PERIODTYPE=QTR_STD&amp;SCFT=3&amp;window=popup_no_bar&amp;width=385&amp;height=120&amp;START_MAXIMIZED=FALSE&amp;creator=factset&amp;display_string=Audit"}</definedName>
    <definedName name="_4312__FDSAUDITLINK__" hidden="1">{"fdsup://Directions/FactSet Auditing Viewer?action=AUDIT_VALUE&amp;DB=129&amp;ID1=17275R10&amp;VALUEID=02001&amp;SDATE=200403&amp;PERIODTYPE=QTR_STD&amp;SCFT=3&amp;window=popup_no_bar&amp;width=385&amp;height=120&amp;START_MAXIMIZED=FALSE&amp;creator=factset&amp;display_string=Audit"}</definedName>
    <definedName name="_4313__FDSAUDITLINK__" hidden="1">{"fdsup://Directions/FactSet Auditing Viewer?action=AUDIT_VALUE&amp;DB=129&amp;ID1=22544710&amp;VALUEID=02001&amp;SDATE=200803&amp;PERIODTYPE=QTR_STD&amp;SCFT=3&amp;window=popup_no_bar&amp;width=385&amp;height=120&amp;START_MAXIMIZED=FALSE&amp;creator=factset&amp;display_string=Audit"}</definedName>
    <definedName name="_4314__FDSAUDITLINK__" hidden="1">{"fdsup://Directions/FactSet Auditing Viewer?action=AUDIT_VALUE&amp;DB=129&amp;ID1=22544710&amp;VALUEID=02001&amp;SDATE=200803&amp;PERIODTYPE=QTR_STD&amp;SCFT=3&amp;window=popup_no_bar&amp;width=385&amp;height=120&amp;START_MAXIMIZED=FALSE&amp;creator=factset&amp;display_string=Audit"}</definedName>
    <definedName name="_4315__FDSAUDITLINK__" hidden="1">{"fdsup://Directions/FactSet Auditing Viewer?action=AUDIT_VALUE&amp;DB=129&amp;ID1=22544710&amp;VALUEID=02001&amp;SDATE=200802&amp;PERIODTYPE=QTR_STD&amp;SCFT=3&amp;window=popup_no_bar&amp;width=385&amp;height=120&amp;START_MAXIMIZED=FALSE&amp;creator=factset&amp;display_string=Audit"}</definedName>
    <definedName name="_4316__FDSAUDITLINK__" hidden="1">{"fdsup://Directions/FactSet Auditing Viewer?action=AUDIT_VALUE&amp;DB=129&amp;ID1=22544710&amp;VALUEID=02001&amp;SDATE=200802&amp;PERIODTYPE=QTR_STD&amp;SCFT=3&amp;window=popup_no_bar&amp;width=385&amp;height=120&amp;START_MAXIMIZED=FALSE&amp;creator=factset&amp;display_string=Audit"}</definedName>
    <definedName name="_4317__FDSAUDITLINK__" hidden="1">{"fdsup://Directions/FactSet Auditing Viewer?action=AUDIT_VALUE&amp;DB=129&amp;ID1=22544710&amp;VALUEID=02001&amp;SDATE=200801&amp;PERIODTYPE=QTR_STD&amp;SCFT=3&amp;window=popup_no_bar&amp;width=385&amp;height=120&amp;START_MAXIMIZED=FALSE&amp;creator=factset&amp;display_string=Audit"}</definedName>
    <definedName name="_4318__FDSAUDITLINK__" hidden="1">{"fdsup://Directions/FactSet Auditing Viewer?action=AUDIT_VALUE&amp;DB=129&amp;ID1=22544710&amp;VALUEID=02001&amp;SDATE=200801&amp;PERIODTYPE=QTR_STD&amp;SCFT=3&amp;window=popup_no_bar&amp;width=385&amp;height=120&amp;START_MAXIMIZED=FALSE&amp;creator=factset&amp;display_string=Audit"}</definedName>
    <definedName name="_4319__FDSAUDITLINK__" hidden="1">{"fdsup://Directions/FactSet Auditing Viewer?action=AUDIT_VALUE&amp;DB=129&amp;ID1=22544710&amp;VALUEID=02001&amp;SDATE=200703&amp;PERIODTYPE=QTR_STD&amp;SCFT=3&amp;window=popup_no_bar&amp;width=385&amp;height=120&amp;START_MAXIMIZED=FALSE&amp;creator=factset&amp;display_string=Audit"}</definedName>
    <definedName name="_432__FDSAUDITLINK__" hidden="1">{"fdsup://Directions/FactSet Auditing Viewer?action=AUDIT_VALUE&amp;DB=129&amp;ID1=00790310&amp;VALUEID=02001&amp;SDATE=201003&amp;PERIODTYPE=QTR_STD&amp;SCFT=3&amp;window=popup_no_bar&amp;width=385&amp;height=120&amp;START_MAXIMIZED=FALSE&amp;creator=factset&amp;display_string=Audit"}</definedName>
    <definedName name="_4320__FDSAUDITLINK__" hidden="1">{"fdsup://Directions/FactSet Auditing Viewer?action=AUDIT_VALUE&amp;DB=129&amp;ID1=22544710&amp;VALUEID=02001&amp;SDATE=200703&amp;PERIODTYPE=QTR_STD&amp;SCFT=3&amp;window=popup_no_bar&amp;width=385&amp;height=120&amp;START_MAXIMIZED=FALSE&amp;creator=factset&amp;display_string=Audit"}</definedName>
    <definedName name="_4321__FDSAUDITLINK__" hidden="1">{"fdsup://Directions/FactSet Auditing Viewer?action=AUDIT_VALUE&amp;DB=129&amp;ID1=22544710&amp;VALUEID=02001&amp;SDATE=200702&amp;PERIODTYPE=QTR_STD&amp;SCFT=3&amp;window=popup_no_bar&amp;width=385&amp;height=120&amp;START_MAXIMIZED=FALSE&amp;creator=factset&amp;display_string=Audit"}</definedName>
    <definedName name="_4322__FDSAUDITLINK__" hidden="1">{"fdsup://Directions/FactSet Auditing Viewer?action=AUDIT_VALUE&amp;DB=129&amp;ID1=22544710&amp;VALUEID=02001&amp;SDATE=200702&amp;PERIODTYPE=QTR_STD&amp;SCFT=3&amp;window=popup_no_bar&amp;width=385&amp;height=120&amp;START_MAXIMIZED=FALSE&amp;creator=factset&amp;display_string=Audit"}</definedName>
    <definedName name="_4323__FDSAUDITLINK__" hidden="1">{"fdsup://Directions/FactSet Auditing Viewer?action=AUDIT_VALUE&amp;DB=129&amp;ID1=22544710&amp;VALUEID=02001&amp;SDATE=200701&amp;PERIODTYPE=QTR_STD&amp;SCFT=3&amp;window=popup_no_bar&amp;width=385&amp;height=120&amp;START_MAXIMIZED=FALSE&amp;creator=factset&amp;display_string=Audit"}</definedName>
    <definedName name="_4324__FDSAUDITLINK__" hidden="1">{"fdsup://Directions/FactSet Auditing Viewer?action=AUDIT_VALUE&amp;DB=129&amp;ID1=22544710&amp;VALUEID=02001&amp;SDATE=200701&amp;PERIODTYPE=QTR_STD&amp;SCFT=3&amp;window=popup_no_bar&amp;width=385&amp;height=120&amp;START_MAXIMIZED=FALSE&amp;creator=factset&amp;display_string=Audit"}</definedName>
    <definedName name="_4325__FDSAUDITLINK__" hidden="1">{"fdsup://Directions/FactSet Auditing Viewer?action=AUDIT_VALUE&amp;DB=129&amp;ID1=22544710&amp;VALUEID=02001&amp;SDATE=200603&amp;PERIODTYPE=QTR_STD&amp;SCFT=3&amp;window=popup_no_bar&amp;width=385&amp;height=120&amp;START_MAXIMIZED=FALSE&amp;creator=factset&amp;display_string=Audit"}</definedName>
    <definedName name="_4326__FDSAUDITLINK__" hidden="1">{"fdsup://Directions/FactSet Auditing Viewer?action=AUDIT_VALUE&amp;DB=129&amp;ID1=22544710&amp;VALUEID=02001&amp;SDATE=200603&amp;PERIODTYPE=QTR_STD&amp;SCFT=3&amp;window=popup_no_bar&amp;width=385&amp;height=120&amp;START_MAXIMIZED=FALSE&amp;creator=factset&amp;display_string=Audit"}</definedName>
    <definedName name="_4327__FDSAUDITLINK__" hidden="1">{"fdsup://Directions/FactSet Auditing Viewer?action=AUDIT_VALUE&amp;DB=129&amp;ID1=22544710&amp;VALUEID=02001&amp;SDATE=200602&amp;PERIODTYPE=QTR_STD&amp;SCFT=3&amp;window=popup_no_bar&amp;width=385&amp;height=120&amp;START_MAXIMIZED=FALSE&amp;creator=factset&amp;display_string=Audit"}</definedName>
    <definedName name="_4328__FDSAUDITLINK__" hidden="1">{"fdsup://Directions/FactSet Auditing Viewer?action=AUDIT_VALUE&amp;DB=129&amp;ID1=22544710&amp;VALUEID=02001&amp;SDATE=200602&amp;PERIODTYPE=QTR_STD&amp;SCFT=3&amp;window=popup_no_bar&amp;width=385&amp;height=120&amp;START_MAXIMIZED=FALSE&amp;creator=factset&amp;display_string=Audit"}</definedName>
    <definedName name="_4329__FDSAUDITLINK__" hidden="1">{"fdsup://Directions/FactSet Auditing Viewer?action=AUDIT_VALUE&amp;DB=129&amp;ID1=22544710&amp;VALUEID=02001&amp;SDATE=200601&amp;PERIODTYPE=QTR_STD&amp;SCFT=3&amp;window=popup_no_bar&amp;width=385&amp;height=120&amp;START_MAXIMIZED=FALSE&amp;creator=factset&amp;display_string=Audit"}</definedName>
    <definedName name="_433__FDSAUDITLINK__" hidden="1">{"fdsup://Directions/FactSet Auditing Viewer?action=AUDIT_VALUE&amp;DB=129&amp;ID1=03822W40&amp;VALUEID=02001&amp;SDATE=201002&amp;PERIODTYPE=QTR_STD&amp;SCFT=3&amp;window=popup_no_bar&amp;width=385&amp;height=120&amp;START_MAXIMIZED=FALSE&amp;creator=factset&amp;display_string=Audit"}</definedName>
    <definedName name="_4330__FDSAUDITLINK__" hidden="1">{"fdsup://Directions/FactSet Auditing Viewer?action=AUDIT_VALUE&amp;DB=129&amp;ID1=22544710&amp;VALUEID=02001&amp;SDATE=200601&amp;PERIODTYPE=QTR_STD&amp;SCFT=3&amp;window=popup_no_bar&amp;width=385&amp;height=120&amp;START_MAXIMIZED=FALSE&amp;creator=factset&amp;display_string=Audit"}</definedName>
    <definedName name="_4331__FDSAUDITLINK__" hidden="1">{"fdsup://Directions/FactSet Auditing Viewer?action=AUDIT_VALUE&amp;DB=129&amp;ID1=22544710&amp;VALUEID=02001&amp;SDATE=200502&amp;PERIODTYPE=QTR_STD&amp;SCFT=3&amp;window=popup_no_bar&amp;width=385&amp;height=120&amp;START_MAXIMIZED=FALSE&amp;creator=factset&amp;display_string=Audit"}</definedName>
    <definedName name="_4332__FDSAUDITLINK__" hidden="1">{"fdsup://Directions/FactSet Auditing Viewer?action=AUDIT_VALUE&amp;DB=129&amp;ID1=22544710&amp;VALUEID=02001&amp;SDATE=200502&amp;PERIODTYPE=QTR_STD&amp;SCFT=3&amp;window=popup_no_bar&amp;width=385&amp;height=120&amp;START_MAXIMIZED=FALSE&amp;creator=factset&amp;display_string=Audit"}</definedName>
    <definedName name="_4333__FDSAUDITLINK__" hidden="1">{"fdsup://Directions/FactSet Auditing Viewer?action=AUDIT_VALUE&amp;DB=129&amp;ID1=22544710&amp;VALUEID=02001&amp;SDATE=200501&amp;PERIODTYPE=QTR_STD&amp;SCFT=3&amp;window=popup_no_bar&amp;width=385&amp;height=120&amp;START_MAXIMIZED=FALSE&amp;creator=factset&amp;display_string=Audit"}</definedName>
    <definedName name="_4334__FDSAUDITLINK__" hidden="1">{"fdsup://Directions/FactSet Auditing Viewer?action=AUDIT_VALUE&amp;DB=129&amp;ID1=22544710&amp;VALUEID=02001&amp;SDATE=200501&amp;PERIODTYPE=QTR_STD&amp;SCFT=3&amp;window=popup_no_bar&amp;width=385&amp;height=120&amp;START_MAXIMIZED=FALSE&amp;creator=factset&amp;display_string=Audit"}</definedName>
    <definedName name="_4335__FDSAUDITLINK__" hidden="1">{"fdsup://Directions/FactSet Auditing Viewer?action=AUDIT_VALUE&amp;DB=129&amp;ID1=22544710&amp;VALUEID=02001&amp;SDATE=200403&amp;PERIODTYPE=QTR_STD&amp;SCFT=3&amp;window=popup_no_bar&amp;width=385&amp;height=120&amp;START_MAXIMIZED=FALSE&amp;creator=factset&amp;display_string=Audit"}</definedName>
    <definedName name="_4336__FDSAUDITLINK__" hidden="1">{"fdsup://Directions/FactSet Auditing Viewer?action=AUDIT_VALUE&amp;DB=129&amp;ID1=22544710&amp;VALUEID=02001&amp;SDATE=200403&amp;PERIODTYPE=QTR_STD&amp;SCFT=3&amp;window=popup_no_bar&amp;width=385&amp;height=120&amp;START_MAXIMIZED=FALSE&amp;creator=factset&amp;display_string=Audit"}</definedName>
    <definedName name="_4337__FDSAUDITLINK__" hidden="1">{"fdsup://Directions/FactSet Auditing Viewer?action=AUDIT_VALUE&amp;DB=129&amp;ID1=20714230&amp;VALUEID=02001&amp;SDATE=200802&amp;PERIODTYPE=QTR_STD&amp;SCFT=3&amp;window=popup_no_bar&amp;width=385&amp;height=120&amp;START_MAXIMIZED=FALSE&amp;creator=factset&amp;display_string=Audit"}</definedName>
    <definedName name="_4338__FDSAUDITLINK__" hidden="1">{"fdsup://Directions/FactSet Auditing Viewer?action=AUDIT_VALUE&amp;DB=129&amp;ID1=20714230&amp;VALUEID=02001&amp;SDATE=200802&amp;PERIODTYPE=QTR_STD&amp;SCFT=3&amp;window=popup_no_bar&amp;width=385&amp;height=120&amp;START_MAXIMIZED=FALSE&amp;creator=factset&amp;display_string=Audit"}</definedName>
    <definedName name="_4339__FDSAUDITLINK__" hidden="1">{"fdsup://Directions/FactSet Auditing Viewer?action=AUDIT_VALUE&amp;DB=129&amp;ID1=20714230&amp;VALUEID=02001&amp;SDATE=200801&amp;PERIODTYPE=QTR_STD&amp;SCFT=3&amp;window=popup_no_bar&amp;width=385&amp;height=120&amp;START_MAXIMIZED=FALSE&amp;creator=factset&amp;display_string=Audit"}</definedName>
    <definedName name="_434__FDSAUDITLINK__" hidden="1">{"fdsup://Directions/FactSet Auditing Viewer?action=AUDIT_VALUE&amp;DB=129&amp;ID1=03822W40&amp;VALUEID=02001&amp;SDATE=201002&amp;PERIODTYPE=QTR_STD&amp;SCFT=3&amp;window=popup_no_bar&amp;width=385&amp;height=120&amp;START_MAXIMIZED=FALSE&amp;creator=factset&amp;display_string=Audit"}</definedName>
    <definedName name="_4340__FDSAUDITLINK__" hidden="1">{"fdsup://Directions/FactSet Auditing Viewer?action=AUDIT_VALUE&amp;DB=129&amp;ID1=20714230&amp;VALUEID=02001&amp;SDATE=200801&amp;PERIODTYPE=QTR_STD&amp;SCFT=3&amp;window=popup_no_bar&amp;width=385&amp;height=120&amp;START_MAXIMIZED=FALSE&amp;creator=factset&amp;display_string=Audit"}</definedName>
    <definedName name="_4341__FDSAUDITLINK__" hidden="1">{"fdsup://Directions/FactSet Auditing Viewer?action=AUDIT_VALUE&amp;DB=129&amp;ID1=20714230&amp;VALUEID=02001&amp;SDATE=200703&amp;PERIODTYPE=QTR_STD&amp;SCFT=3&amp;window=popup_no_bar&amp;width=385&amp;height=120&amp;START_MAXIMIZED=FALSE&amp;creator=factset&amp;display_string=Audit"}</definedName>
    <definedName name="_4342__FDSAUDITLINK__" hidden="1">{"fdsup://Directions/FactSet Auditing Viewer?action=AUDIT_VALUE&amp;DB=129&amp;ID1=20714230&amp;VALUEID=02001&amp;SDATE=200703&amp;PERIODTYPE=QTR_STD&amp;SCFT=3&amp;window=popup_no_bar&amp;width=385&amp;height=120&amp;START_MAXIMIZED=FALSE&amp;creator=factset&amp;display_string=Audit"}</definedName>
    <definedName name="_4343__FDSAUDITLINK__" hidden="1">{"fdsup://Directions/FactSet Auditing Viewer?action=AUDIT_VALUE&amp;DB=129&amp;ID1=20714230&amp;VALUEID=02001&amp;SDATE=200702&amp;PERIODTYPE=QTR_STD&amp;SCFT=3&amp;window=popup_no_bar&amp;width=385&amp;height=120&amp;START_MAXIMIZED=FALSE&amp;creator=factset&amp;display_string=Audit"}</definedName>
    <definedName name="_4344__FDSAUDITLINK__" hidden="1">{"fdsup://Directions/FactSet Auditing Viewer?action=AUDIT_VALUE&amp;DB=129&amp;ID1=20714230&amp;VALUEID=02001&amp;SDATE=200702&amp;PERIODTYPE=QTR_STD&amp;SCFT=3&amp;window=popup_no_bar&amp;width=385&amp;height=120&amp;START_MAXIMIZED=FALSE&amp;creator=factset&amp;display_string=Audit"}</definedName>
    <definedName name="_4345__FDSAUDITLINK__" hidden="1">{"fdsup://Directions/FactSet Auditing Viewer?action=AUDIT_VALUE&amp;DB=129&amp;ID1=20714230&amp;VALUEID=02001&amp;SDATE=200701&amp;PERIODTYPE=QTR_STD&amp;SCFT=3&amp;window=popup_no_bar&amp;width=385&amp;height=120&amp;START_MAXIMIZED=FALSE&amp;creator=factset&amp;display_string=Audit"}</definedName>
    <definedName name="_4346__FDSAUDITLINK__" hidden="1">{"fdsup://Directions/FactSet Auditing Viewer?action=AUDIT_VALUE&amp;DB=129&amp;ID1=20714230&amp;VALUEID=02001&amp;SDATE=200701&amp;PERIODTYPE=QTR_STD&amp;SCFT=3&amp;window=popup_no_bar&amp;width=385&amp;height=120&amp;START_MAXIMIZED=FALSE&amp;creator=factset&amp;display_string=Audit"}</definedName>
    <definedName name="_4347__FDSAUDITLINK__" hidden="1">{"fdsup://Directions/FactSet Auditing Viewer?action=AUDIT_VALUE&amp;DB=129&amp;ID1=20714230&amp;VALUEID=02001&amp;SDATE=200603&amp;PERIODTYPE=QTR_STD&amp;SCFT=3&amp;window=popup_no_bar&amp;width=385&amp;height=120&amp;START_MAXIMIZED=FALSE&amp;creator=factset&amp;display_string=Audit"}</definedName>
    <definedName name="_4348__FDSAUDITLINK__" hidden="1">{"fdsup://Directions/FactSet Auditing Viewer?action=AUDIT_VALUE&amp;DB=129&amp;ID1=20714230&amp;VALUEID=02001&amp;SDATE=200603&amp;PERIODTYPE=QTR_STD&amp;SCFT=3&amp;window=popup_no_bar&amp;width=385&amp;height=120&amp;START_MAXIMIZED=FALSE&amp;creator=factset&amp;display_string=Audit"}</definedName>
    <definedName name="_4349__FDSAUDITLINK__" hidden="1">{"fdsup://Directions/FactSet Auditing Viewer?action=AUDIT_VALUE&amp;DB=129&amp;ID1=20714230&amp;VALUEID=02001&amp;SDATE=200602&amp;PERIODTYPE=QTR_STD&amp;SCFT=3&amp;window=popup_no_bar&amp;width=385&amp;height=120&amp;START_MAXIMIZED=FALSE&amp;creator=factset&amp;display_string=Audit"}</definedName>
    <definedName name="_435__FDSAUDITLINK__" hidden="1">{"fdsup://Directions/FactSet Auditing Viewer?action=AUDIT_VALUE&amp;DB=129&amp;ID1=03822210&amp;VALUEID=02001&amp;SDATE=201004&amp;PERIODTYPE=QTR_STD&amp;SCFT=3&amp;window=popup_no_bar&amp;width=385&amp;height=120&amp;START_MAXIMIZED=FALSE&amp;creator=factset&amp;display_string=Audit"}</definedName>
    <definedName name="_4350__FDSAUDITLINK__" hidden="1">{"fdsup://Directions/FactSet Auditing Viewer?action=AUDIT_VALUE&amp;DB=129&amp;ID1=20714230&amp;VALUEID=02001&amp;SDATE=200602&amp;PERIODTYPE=QTR_STD&amp;SCFT=3&amp;window=popup_no_bar&amp;width=385&amp;height=120&amp;START_MAXIMIZED=FALSE&amp;creator=factset&amp;display_string=Audit"}</definedName>
    <definedName name="_4351__FDSAUDITLINK__" hidden="1">{"fdsup://Directions/FactSet Auditing Viewer?action=AUDIT_VALUE&amp;DB=129&amp;ID1=20714230&amp;VALUEID=02001&amp;SDATE=200503&amp;PERIODTYPE=QTR_STD&amp;SCFT=3&amp;window=popup_no_bar&amp;width=385&amp;height=120&amp;START_MAXIMIZED=FALSE&amp;creator=factset&amp;display_string=Audit"}</definedName>
    <definedName name="_4352__FDSAUDITLINK__" hidden="1">{"fdsup://Directions/FactSet Auditing Viewer?action=AUDIT_VALUE&amp;DB=129&amp;ID1=20714230&amp;VALUEID=02001&amp;SDATE=200503&amp;PERIODTYPE=QTR_STD&amp;SCFT=3&amp;window=popup_no_bar&amp;width=385&amp;height=120&amp;START_MAXIMIZED=FALSE&amp;creator=factset&amp;display_string=Audit"}</definedName>
    <definedName name="_4353__FDSAUDITLINK__" hidden="1">{"fdsup://Directions/FactSet Auditing Viewer?action=AUDIT_VALUE&amp;DB=129&amp;ID1=20714230&amp;VALUEID=02001&amp;SDATE=200502&amp;PERIODTYPE=QTR_STD&amp;SCFT=3&amp;window=popup_no_bar&amp;width=385&amp;height=120&amp;START_MAXIMIZED=FALSE&amp;creator=factset&amp;display_string=Audit"}</definedName>
    <definedName name="_4354__FDSAUDITLINK__" hidden="1">{"fdsup://Directions/FactSet Auditing Viewer?action=AUDIT_VALUE&amp;DB=129&amp;ID1=20714230&amp;VALUEID=02001&amp;SDATE=200502&amp;PERIODTYPE=QTR_STD&amp;SCFT=3&amp;window=popup_no_bar&amp;width=385&amp;height=120&amp;START_MAXIMIZED=FALSE&amp;creator=factset&amp;display_string=Audit"}</definedName>
    <definedName name="_4355__FDSAUDITLINK__" hidden="1">{"fdsup://Directions/FactSet Auditing Viewer?action=AUDIT_VALUE&amp;DB=129&amp;ID1=20714230&amp;VALUEID=02001&amp;SDATE=200501&amp;PERIODTYPE=QTR_STD&amp;SCFT=3&amp;window=popup_no_bar&amp;width=385&amp;height=120&amp;START_MAXIMIZED=FALSE&amp;creator=factset&amp;display_string=Audit"}</definedName>
    <definedName name="_4356__FDSAUDITLINK__" hidden="1">{"fdsup://Directions/FactSet Auditing Viewer?action=AUDIT_VALUE&amp;DB=129&amp;ID1=20714230&amp;VALUEID=02001&amp;SDATE=200501&amp;PERIODTYPE=QTR_STD&amp;SCFT=3&amp;window=popup_no_bar&amp;width=385&amp;height=120&amp;START_MAXIMIZED=FALSE&amp;creator=factset&amp;display_string=Audit"}</definedName>
    <definedName name="_4357__FDSAUDITLINK__" hidden="1">{"fdsup://Directions/FactSet Auditing Viewer?action=AUDIT_VALUE&amp;DB=129&amp;ID1=20714230&amp;VALUEID=02001&amp;SDATE=200403&amp;PERIODTYPE=QTR_STD&amp;SCFT=3&amp;window=popup_no_bar&amp;width=385&amp;height=120&amp;START_MAXIMIZED=FALSE&amp;creator=factset&amp;display_string=Audit"}</definedName>
    <definedName name="_4358__FDSAUDITLINK__" hidden="1">{"fdsup://Directions/FactSet Auditing Viewer?action=AUDIT_VALUE&amp;DB=129&amp;ID1=20714230&amp;VALUEID=02001&amp;SDATE=200403&amp;PERIODTYPE=QTR_STD&amp;SCFT=3&amp;window=popup_no_bar&amp;width=385&amp;height=120&amp;START_MAXIMIZED=FALSE&amp;creator=factset&amp;display_string=Audit"}</definedName>
    <definedName name="_4359__FDSAUDITLINK__" hidden="1">{"fdsup://Directions/FactSet Auditing Viewer?action=AUDIT_VALUE&amp;DB=129&amp;ID1=20714230&amp;VALUEID=02001&amp;SDATE=200402&amp;PERIODTYPE=QTR_STD&amp;SCFT=3&amp;window=popup_no_bar&amp;width=385&amp;height=120&amp;START_MAXIMIZED=FALSE&amp;creator=factset&amp;display_string=Audit"}</definedName>
    <definedName name="_436__FDSAUDITLINK__" hidden="1">{"fdsup://Directions/FactSet Auditing Viewer?action=AUDIT_VALUE&amp;DB=129&amp;ID1=03822210&amp;VALUEID=02001&amp;SDATE=201004&amp;PERIODTYPE=QTR_STD&amp;SCFT=3&amp;window=popup_no_bar&amp;width=385&amp;height=120&amp;START_MAXIMIZED=FALSE&amp;creator=factset&amp;display_string=Audit"}</definedName>
    <definedName name="_4360__FDSAUDITLINK__" hidden="1">{"fdsup://Directions/FactSet Auditing Viewer?action=AUDIT_VALUE&amp;DB=129&amp;ID1=20714230&amp;VALUEID=02001&amp;SDATE=200402&amp;PERIODTYPE=QTR_STD&amp;SCFT=3&amp;window=popup_no_bar&amp;width=385&amp;height=120&amp;START_MAXIMIZED=FALSE&amp;creator=factset&amp;display_string=Audit"}</definedName>
    <definedName name="_4361__FDSAUDITLINK__" hidden="1">{"fdsup://Directions/FactSet Auditing Viewer?action=AUDIT_VALUE&amp;DB=129&amp;ID1=12738710&amp;VALUEID=02001&amp;SDATE=200801&amp;PERIODTYPE=QTR_STD&amp;SCFT=3&amp;window=popup_no_bar&amp;width=385&amp;height=120&amp;START_MAXIMIZED=FALSE&amp;creator=factset&amp;display_string=Audit"}</definedName>
    <definedName name="_4362__FDSAUDITLINK__" hidden="1">{"fdsup://Directions/FactSet Auditing Viewer?action=AUDIT_VALUE&amp;DB=129&amp;ID1=12738710&amp;VALUEID=02001&amp;SDATE=200801&amp;PERIODTYPE=QTR_STD&amp;SCFT=3&amp;window=popup_no_bar&amp;width=385&amp;height=120&amp;START_MAXIMIZED=FALSE&amp;creator=factset&amp;display_string=Audit"}</definedName>
    <definedName name="_4363__FDSAUDITLINK__" hidden="1">{"fdsup://Directions/FactSet Auditing Viewer?action=AUDIT_VALUE&amp;DB=129&amp;ID1=12738710&amp;VALUEID=02001&amp;SDATE=200703&amp;PERIODTYPE=QTR_STD&amp;SCFT=3&amp;window=popup_no_bar&amp;width=385&amp;height=120&amp;START_MAXIMIZED=FALSE&amp;creator=factset&amp;display_string=Audit"}</definedName>
    <definedName name="_4364__FDSAUDITLINK__" hidden="1">{"fdsup://Directions/FactSet Auditing Viewer?action=AUDIT_VALUE&amp;DB=129&amp;ID1=12738710&amp;VALUEID=02001&amp;SDATE=200703&amp;PERIODTYPE=QTR_STD&amp;SCFT=3&amp;window=popup_no_bar&amp;width=385&amp;height=120&amp;START_MAXIMIZED=FALSE&amp;creator=factset&amp;display_string=Audit"}</definedName>
    <definedName name="_4365__FDSAUDITLINK__" hidden="1">{"fdsup://Directions/FactSet Auditing Viewer?action=AUDIT_VALUE&amp;DB=129&amp;ID1=12738710&amp;VALUEID=02001&amp;SDATE=200702&amp;PERIODTYPE=QTR_STD&amp;SCFT=3&amp;window=popup_no_bar&amp;width=385&amp;height=120&amp;START_MAXIMIZED=FALSE&amp;creator=factset&amp;display_string=Audit"}</definedName>
    <definedName name="_4366__FDSAUDITLINK__" hidden="1">{"fdsup://Directions/FactSet Auditing Viewer?action=AUDIT_VALUE&amp;DB=129&amp;ID1=12738710&amp;VALUEID=02001&amp;SDATE=200702&amp;PERIODTYPE=QTR_STD&amp;SCFT=3&amp;window=popup_no_bar&amp;width=385&amp;height=120&amp;START_MAXIMIZED=FALSE&amp;creator=factset&amp;display_string=Audit"}</definedName>
    <definedName name="_4367__FDSAUDITLINK__" hidden="1">{"fdsup://Directions/FactSet Auditing Viewer?action=AUDIT_VALUE&amp;DB=129&amp;ID1=12738710&amp;VALUEID=02001&amp;SDATE=200701&amp;PERIODTYPE=QTR_STD&amp;SCFT=3&amp;window=popup_no_bar&amp;width=385&amp;height=120&amp;START_MAXIMIZED=FALSE&amp;creator=factset&amp;display_string=Audit"}</definedName>
    <definedName name="_4368__FDSAUDITLINK__" hidden="1">{"fdsup://Directions/FactSet Auditing Viewer?action=AUDIT_VALUE&amp;DB=129&amp;ID1=12738710&amp;VALUEID=02001&amp;SDATE=200701&amp;PERIODTYPE=QTR_STD&amp;SCFT=3&amp;window=popup_no_bar&amp;width=385&amp;height=120&amp;START_MAXIMIZED=FALSE&amp;creator=factset&amp;display_string=Audit"}</definedName>
    <definedName name="_4369__FDSAUDITLINK__" hidden="1">{"fdsup://Directions/FactSet Auditing Viewer?action=AUDIT_VALUE&amp;DB=129&amp;ID1=12738710&amp;VALUEID=02001&amp;SDATE=200603&amp;PERIODTYPE=QTR_STD&amp;SCFT=3&amp;window=popup_no_bar&amp;width=385&amp;height=120&amp;START_MAXIMIZED=FALSE&amp;creator=factset&amp;display_string=Audit"}</definedName>
    <definedName name="_437__FDSAUDITLINK__" hidden="1">{"fdsup://Directions/FactSet Auditing Viewer?action=AUDIT_VALUE&amp;DB=129&amp;ID1=02144110&amp;VALUEID=02001&amp;SDATE=201003&amp;PERIODTYPE=QTR_STD&amp;SCFT=3&amp;window=popup_no_bar&amp;width=385&amp;height=120&amp;START_MAXIMIZED=FALSE&amp;creator=factset&amp;display_string=Audit"}</definedName>
    <definedName name="_4370__FDSAUDITLINK__" hidden="1">{"fdsup://Directions/FactSet Auditing Viewer?action=AUDIT_VALUE&amp;DB=129&amp;ID1=12738710&amp;VALUEID=02001&amp;SDATE=200603&amp;PERIODTYPE=QTR_STD&amp;SCFT=3&amp;window=popup_no_bar&amp;width=385&amp;height=120&amp;START_MAXIMIZED=FALSE&amp;creator=factset&amp;display_string=Audit"}</definedName>
    <definedName name="_4371__FDSAUDITLINK__" hidden="1">{"fdsup://Directions/FactSet Auditing Viewer?action=AUDIT_VALUE&amp;DB=129&amp;ID1=12738710&amp;VALUEID=02001&amp;SDATE=200602&amp;PERIODTYPE=QTR_STD&amp;SCFT=3&amp;window=popup_no_bar&amp;width=385&amp;height=120&amp;START_MAXIMIZED=FALSE&amp;creator=factset&amp;display_string=Audit"}</definedName>
    <definedName name="_4372__FDSAUDITLINK__" hidden="1">{"fdsup://Directions/FactSet Auditing Viewer?action=AUDIT_VALUE&amp;DB=129&amp;ID1=12738710&amp;VALUEID=02001&amp;SDATE=200602&amp;PERIODTYPE=QTR_STD&amp;SCFT=3&amp;window=popup_no_bar&amp;width=385&amp;height=120&amp;START_MAXIMIZED=FALSE&amp;creator=factset&amp;display_string=Audit"}</definedName>
    <definedName name="_4373__FDSAUDITLINK__" hidden="1">{"fdsup://Directions/FactSet Auditing Viewer?action=AUDIT_VALUE&amp;DB=129&amp;ID1=12738710&amp;VALUEID=02001&amp;SDATE=200601&amp;PERIODTYPE=QTR_STD&amp;SCFT=3&amp;window=popup_no_bar&amp;width=385&amp;height=120&amp;START_MAXIMIZED=FALSE&amp;creator=factset&amp;display_string=Audit"}</definedName>
    <definedName name="_4374__FDSAUDITLINK__" hidden="1">{"fdsup://Directions/FactSet Auditing Viewer?action=AUDIT_VALUE&amp;DB=129&amp;ID1=12738710&amp;VALUEID=02001&amp;SDATE=200601&amp;PERIODTYPE=QTR_STD&amp;SCFT=3&amp;window=popup_no_bar&amp;width=385&amp;height=120&amp;START_MAXIMIZED=FALSE&amp;creator=factset&amp;display_string=Audit"}</definedName>
    <definedName name="_4375__FDSAUDITLINK__" hidden="1">{"fdsup://Directions/FactSet Auditing Viewer?action=AUDIT_VALUE&amp;DB=129&amp;ID1=12738710&amp;VALUEID=02001&amp;SDATE=200504&amp;PERIODTYPE=QTR_STD&amp;SCFT=3&amp;window=popup_no_bar&amp;width=385&amp;height=120&amp;START_MAXIMIZED=FALSE&amp;creator=factset&amp;display_string=Audit"}</definedName>
    <definedName name="_4376__FDSAUDITLINK__" hidden="1">{"fdsup://Directions/FactSet Auditing Viewer?action=AUDIT_VALUE&amp;DB=129&amp;ID1=12738710&amp;VALUEID=02001&amp;SDATE=200504&amp;PERIODTYPE=QTR_STD&amp;SCFT=3&amp;window=popup_no_bar&amp;width=385&amp;height=120&amp;START_MAXIMIZED=FALSE&amp;creator=factset&amp;display_string=Audit"}</definedName>
    <definedName name="_4377__FDSAUDITLINK__" hidden="1">{"fdsup://Directions/FactSet Auditing Viewer?action=AUDIT_VALUE&amp;DB=129&amp;ID1=12738710&amp;VALUEID=02001&amp;SDATE=200503&amp;PERIODTYPE=QTR_STD&amp;SCFT=3&amp;window=popup_no_bar&amp;width=385&amp;height=120&amp;START_MAXIMIZED=FALSE&amp;creator=factset&amp;display_string=Audit"}</definedName>
    <definedName name="_4378__FDSAUDITLINK__" hidden="1">{"fdsup://Directions/FactSet Auditing Viewer?action=AUDIT_VALUE&amp;DB=129&amp;ID1=12738710&amp;VALUEID=02001&amp;SDATE=200503&amp;PERIODTYPE=QTR_STD&amp;SCFT=3&amp;window=popup_no_bar&amp;width=385&amp;height=120&amp;START_MAXIMIZED=FALSE&amp;creator=factset&amp;display_string=Audit"}</definedName>
    <definedName name="_4379__FDSAUDITLINK__" hidden="1">{"fdsup://Directions/FactSet Auditing Viewer?action=AUDIT_VALUE&amp;DB=129&amp;ID1=12738710&amp;VALUEID=02001&amp;SDATE=200502&amp;PERIODTYPE=QTR_STD&amp;SCFT=3&amp;window=popup_no_bar&amp;width=385&amp;height=120&amp;START_MAXIMIZED=FALSE&amp;creator=factset&amp;display_string=Audit"}</definedName>
    <definedName name="_438__FDSAUDITLINK__" hidden="1">{"fdsup://Directions/FactSet Auditing Viewer?action=AUDIT_VALUE&amp;DB=129&amp;ID1=02144110&amp;VALUEID=02001&amp;SDATE=201003&amp;PERIODTYPE=QTR_STD&amp;SCFT=3&amp;window=popup_no_bar&amp;width=385&amp;height=120&amp;START_MAXIMIZED=FALSE&amp;creator=factset&amp;display_string=Audit"}</definedName>
    <definedName name="_4380__FDSAUDITLINK__" hidden="1">{"fdsup://Directions/FactSet Auditing Viewer?action=AUDIT_VALUE&amp;DB=129&amp;ID1=12738710&amp;VALUEID=02001&amp;SDATE=200502&amp;PERIODTYPE=QTR_STD&amp;SCFT=3&amp;window=popup_no_bar&amp;width=385&amp;height=120&amp;START_MAXIMIZED=FALSE&amp;creator=factset&amp;display_string=Audit"}</definedName>
    <definedName name="_4381__FDSAUDITLINK__" hidden="1">{"fdsup://Directions/FactSet Auditing Viewer?action=AUDIT_VALUE&amp;DB=129&amp;ID1=12738710&amp;VALUEID=02001&amp;SDATE=200501&amp;PERIODTYPE=QTR_STD&amp;SCFT=3&amp;window=popup_no_bar&amp;width=385&amp;height=120&amp;START_MAXIMIZED=FALSE&amp;creator=factset&amp;display_string=Audit"}</definedName>
    <definedName name="_4382__FDSAUDITLINK__" hidden="1">{"fdsup://Directions/FactSet Auditing Viewer?action=AUDIT_VALUE&amp;DB=129&amp;ID1=12738710&amp;VALUEID=02001&amp;SDATE=200501&amp;PERIODTYPE=QTR_STD&amp;SCFT=3&amp;window=popup_no_bar&amp;width=385&amp;height=120&amp;START_MAXIMIZED=FALSE&amp;creator=factset&amp;display_string=Audit"}</definedName>
    <definedName name="_4383__FDSAUDITLINK__" hidden="1">{"fdsup://Directions/FactSet Auditing Viewer?action=AUDIT_VALUE&amp;DB=129&amp;ID1=12738710&amp;VALUEID=02001&amp;SDATE=200403&amp;PERIODTYPE=QTR_STD&amp;SCFT=3&amp;window=popup_no_bar&amp;width=385&amp;height=120&amp;START_MAXIMIZED=FALSE&amp;creator=factset&amp;display_string=Audit"}</definedName>
    <definedName name="_4384__FDSAUDITLINK__" hidden="1">{"fdsup://Directions/FactSet Auditing Viewer?action=AUDIT_VALUE&amp;DB=129&amp;ID1=12738710&amp;VALUEID=02001&amp;SDATE=200403&amp;PERIODTYPE=QTR_STD&amp;SCFT=3&amp;window=popup_no_bar&amp;width=385&amp;height=120&amp;START_MAXIMIZED=FALSE&amp;creator=factset&amp;display_string=Audit"}</definedName>
    <definedName name="_4385__FDSAUDITLINK__" hidden="1">{"fdsup://Directions/FactSet Auditing Viewer?action=AUDIT_VALUE&amp;DB=129&amp;ID1=12738710&amp;VALUEID=02001&amp;SDATE=200402&amp;PERIODTYPE=QTR_STD&amp;SCFT=3&amp;window=popup_no_bar&amp;width=385&amp;height=120&amp;START_MAXIMIZED=FALSE&amp;creator=factset&amp;display_string=Audit"}</definedName>
    <definedName name="_4386__FDSAUDITLINK__" hidden="1">{"fdsup://Directions/FactSet Auditing Viewer?action=AUDIT_VALUE&amp;DB=129&amp;ID1=12738710&amp;VALUEID=02001&amp;SDATE=200402&amp;PERIODTYPE=QTR_STD&amp;SCFT=3&amp;window=popup_no_bar&amp;width=385&amp;height=120&amp;START_MAXIMIZED=FALSE&amp;creator=factset&amp;display_string=Audit"}</definedName>
    <definedName name="_4387__FDSAUDITLINK__" hidden="1">{"fdsup://Directions/FactSet Auditing Viewer?action=AUDIT_VALUE&amp;DB=129&amp;ID1=12738710&amp;VALUEID=02001&amp;SDATE=200401&amp;PERIODTYPE=QTR_STD&amp;SCFT=3&amp;window=popup_no_bar&amp;width=385&amp;height=120&amp;START_MAXIMIZED=FALSE&amp;creator=factset&amp;display_string=Audit"}</definedName>
    <definedName name="_4388__FDSAUDITLINK__" hidden="1">{"fdsup://Directions/FactSet Auditing Viewer?action=AUDIT_VALUE&amp;DB=129&amp;ID1=12738710&amp;VALUEID=02001&amp;SDATE=200401&amp;PERIODTYPE=QTR_STD&amp;SCFT=3&amp;window=popup_no_bar&amp;width=385&amp;height=120&amp;START_MAXIMIZED=FALSE&amp;creator=factset&amp;display_string=Audit"}</definedName>
    <definedName name="_4389__FDSAUDITLINK__" hidden="1">{"fdsup://Directions/FactSet Auditing Viewer?action=AUDIT_VALUE&amp;DB=129&amp;ID1=14964U10&amp;VALUEID=02001&amp;SDATE=200801&amp;PERIODTYPE=QTR_STD&amp;SCFT=3&amp;window=popup_no_bar&amp;width=385&amp;height=120&amp;START_MAXIMIZED=FALSE&amp;creator=factset&amp;display_string=Audit"}</definedName>
    <definedName name="_439__FDSAUDITLINK__" hidden="1">{"fdsup://Directions/FactSet Auditing Viewer?action=AUDIT_VALUE&amp;DB=129&amp;ID1=03265410&amp;VALUEID=02001&amp;SDATE=201004&amp;PERIODTYPE=QTR_STD&amp;SCFT=3&amp;window=popup_no_bar&amp;width=385&amp;height=120&amp;START_MAXIMIZED=FALSE&amp;creator=factset&amp;display_string=Audit"}</definedName>
    <definedName name="_4390__FDSAUDITLINK__" hidden="1">{"fdsup://Directions/FactSet Auditing Viewer?action=AUDIT_VALUE&amp;DB=129&amp;ID1=14964U10&amp;VALUEID=02001&amp;SDATE=200801&amp;PERIODTYPE=QTR_STD&amp;SCFT=3&amp;window=popup_no_bar&amp;width=385&amp;height=120&amp;START_MAXIMIZED=FALSE&amp;creator=factset&amp;display_string=Audit"}</definedName>
    <definedName name="_4391__FDSAUDITLINK__" hidden="1">{"fdsup://Directions/FactSet Auditing Viewer?action=AUDIT_VALUE&amp;DB=129&amp;ID1=14964U10&amp;VALUEID=02001&amp;SDATE=200703&amp;PERIODTYPE=QTR_STD&amp;SCFT=3&amp;window=popup_no_bar&amp;width=385&amp;height=120&amp;START_MAXIMIZED=FALSE&amp;creator=factset&amp;display_string=Audit"}</definedName>
    <definedName name="_4392__FDSAUDITLINK__" hidden="1">{"fdsup://Directions/FactSet Auditing Viewer?action=AUDIT_VALUE&amp;DB=129&amp;ID1=14964U10&amp;VALUEID=02001&amp;SDATE=200703&amp;PERIODTYPE=QTR_STD&amp;SCFT=3&amp;window=popup_no_bar&amp;width=385&amp;height=120&amp;START_MAXIMIZED=FALSE&amp;creator=factset&amp;display_string=Audit"}</definedName>
    <definedName name="_4393__FDSAUDITLINK__" hidden="1">{"fdsup://Directions/FactSet Auditing Viewer?action=AUDIT_VALUE&amp;DB=129&amp;ID1=14964U10&amp;VALUEID=02001&amp;SDATE=200702&amp;PERIODTYPE=QTR_STD&amp;SCFT=3&amp;window=popup_no_bar&amp;width=385&amp;height=120&amp;START_MAXIMIZED=FALSE&amp;creator=factset&amp;display_string=Audit"}</definedName>
    <definedName name="_4394__FDSAUDITLINK__" hidden="1">{"fdsup://Directions/FactSet Auditing Viewer?action=AUDIT_VALUE&amp;DB=129&amp;ID1=14964U10&amp;VALUEID=02001&amp;SDATE=200702&amp;PERIODTYPE=QTR_STD&amp;SCFT=3&amp;window=popup_no_bar&amp;width=385&amp;height=120&amp;START_MAXIMIZED=FALSE&amp;creator=factset&amp;display_string=Audit"}</definedName>
    <definedName name="_4395__FDSAUDITLINK__" hidden="1">{"fdsup://Directions/FactSet Auditing Viewer?action=AUDIT_VALUE&amp;DB=129&amp;ID1=11162130&amp;VALUEID=02001&amp;SDATE=200802&amp;PERIODTYPE=QTR_STD&amp;SCFT=3&amp;window=popup_no_bar&amp;width=385&amp;height=120&amp;START_MAXIMIZED=FALSE&amp;creator=factset&amp;display_string=Audit"}</definedName>
    <definedName name="_4396__FDSAUDITLINK__" hidden="1">{"fdsup://Directions/FactSet Auditing Viewer?action=AUDIT_VALUE&amp;DB=129&amp;ID1=11162130&amp;VALUEID=02001&amp;SDATE=200802&amp;PERIODTYPE=QTR_STD&amp;SCFT=3&amp;window=popup_no_bar&amp;width=385&amp;height=120&amp;START_MAXIMIZED=FALSE&amp;creator=factset&amp;display_string=Audit"}</definedName>
    <definedName name="_4397__FDSAUDITLINK__" hidden="1">{"fdsup://Directions/FactSet Auditing Viewer?action=AUDIT_VALUE&amp;DB=129&amp;ID1=11162130&amp;VALUEID=02001&amp;SDATE=200801&amp;PERIODTYPE=QTR_STD&amp;SCFT=3&amp;window=popup_no_bar&amp;width=385&amp;height=120&amp;START_MAXIMIZED=FALSE&amp;creator=factset&amp;display_string=Audit"}</definedName>
    <definedName name="_4398__FDSAUDITLINK__" hidden="1">{"fdsup://Directions/FactSet Auditing Viewer?action=AUDIT_VALUE&amp;DB=129&amp;ID1=11162130&amp;VALUEID=02001&amp;SDATE=200801&amp;PERIODTYPE=QTR_STD&amp;SCFT=3&amp;window=popup_no_bar&amp;width=385&amp;height=120&amp;START_MAXIMIZED=FALSE&amp;creator=factset&amp;display_string=Audit"}</definedName>
    <definedName name="_4399__FDSAUDITLINK__" hidden="1">{"fdsup://Directions/FactSet Auditing Viewer?action=AUDIT_VALUE&amp;DB=129&amp;ID1=11162130&amp;VALUEID=02001&amp;SDATE=200703&amp;PERIODTYPE=QTR_STD&amp;SCFT=3&amp;window=popup_no_bar&amp;width=385&amp;height=120&amp;START_MAXIMIZED=FALSE&amp;creator=factset&amp;display_string=Audit"}</definedName>
    <definedName name="_44__FDSAUDITLINK__" hidden="1">{"fdsup://directions/FAT Viewer?action=UPDATE&amp;creator=factset&amp;DYN_ARGS=TRUE&amp;DOC_NAME=FAT:FQL_AUDITING_CLIENT_TEMPLATE.FAT&amp;display_string=Audit&amp;VAR:KEY=SPSRIJMTEZ&amp;VAR:QUERY=RkZfU0hTX0ZMT0FUKEFOTiw0MDYzMyk=&amp;WINDOW=FIRST_POPUP&amp;HEIGHT=450&amp;WIDTH=450&amp;START_MAXIMI","ZED=FALSE&amp;VAR:CALENDAR=US&amp;VAR:SYMBOL=LVS&amp;VAR:INDEX=0"}</definedName>
    <definedName name="_440__FDSAUDITLINK__" hidden="1">{"fdsup://Directions/FactSet Auditing Viewer?action=AUDIT_VALUE&amp;DB=129&amp;ID1=03265410&amp;VALUEID=02001&amp;SDATE=201004&amp;PERIODTYPE=QTR_STD&amp;SCFT=3&amp;window=popup_no_bar&amp;width=385&amp;height=120&amp;START_MAXIMIZED=FALSE&amp;creator=factset&amp;display_string=Audit"}</definedName>
    <definedName name="_4400__FDSAUDITLINK__" hidden="1">{"fdsup://Directions/FactSet Auditing Viewer?action=AUDIT_VALUE&amp;DB=129&amp;ID1=11162130&amp;VALUEID=02001&amp;SDATE=200703&amp;PERIODTYPE=QTR_STD&amp;SCFT=3&amp;window=popup_no_bar&amp;width=385&amp;height=120&amp;START_MAXIMIZED=FALSE&amp;creator=factset&amp;display_string=Audit"}</definedName>
    <definedName name="_4401__FDSAUDITLINK__" hidden="1">{"fdsup://Directions/FactSet Auditing Viewer?action=AUDIT_VALUE&amp;DB=129&amp;ID1=11162130&amp;VALUEID=02001&amp;SDATE=200702&amp;PERIODTYPE=QTR_STD&amp;SCFT=3&amp;window=popup_no_bar&amp;width=385&amp;height=120&amp;START_MAXIMIZED=FALSE&amp;creator=factset&amp;display_string=Audit"}</definedName>
    <definedName name="_4402__FDSAUDITLINK__" hidden="1">{"fdsup://Directions/FactSet Auditing Viewer?action=AUDIT_VALUE&amp;DB=129&amp;ID1=11162130&amp;VALUEID=02001&amp;SDATE=200702&amp;PERIODTYPE=QTR_STD&amp;SCFT=3&amp;window=popup_no_bar&amp;width=385&amp;height=120&amp;START_MAXIMIZED=FALSE&amp;creator=factset&amp;display_string=Audit"}</definedName>
    <definedName name="_4403__FDSAUDITLINK__" hidden="1">{"fdsup://Directions/FactSet Auditing Viewer?action=AUDIT_VALUE&amp;DB=129&amp;ID1=11162130&amp;VALUEID=02001&amp;SDATE=200701&amp;PERIODTYPE=QTR_STD&amp;SCFT=3&amp;window=popup_no_bar&amp;width=385&amp;height=120&amp;START_MAXIMIZED=FALSE&amp;creator=factset&amp;display_string=Audit"}</definedName>
    <definedName name="_4404__FDSAUDITLINK__" hidden="1">{"fdsup://Directions/FactSet Auditing Viewer?action=AUDIT_VALUE&amp;DB=129&amp;ID1=11162130&amp;VALUEID=02001&amp;SDATE=200701&amp;PERIODTYPE=QTR_STD&amp;SCFT=3&amp;window=popup_no_bar&amp;width=385&amp;height=120&amp;START_MAXIMIZED=FALSE&amp;creator=factset&amp;display_string=Audit"}</definedName>
    <definedName name="_4405__FDSAUDITLINK__" hidden="1">{"fdsup://Directions/FactSet Auditing Viewer?action=AUDIT_VALUE&amp;DB=129&amp;ID1=11162130&amp;VALUEID=02001&amp;SDATE=200603&amp;PERIODTYPE=QTR_STD&amp;SCFT=3&amp;window=popup_no_bar&amp;width=385&amp;height=120&amp;START_MAXIMIZED=FALSE&amp;creator=factset&amp;display_string=Audit"}</definedName>
    <definedName name="_4406__FDSAUDITLINK__" hidden="1">{"fdsup://Directions/FactSet Auditing Viewer?action=AUDIT_VALUE&amp;DB=129&amp;ID1=11162130&amp;VALUEID=02001&amp;SDATE=200603&amp;PERIODTYPE=QTR_STD&amp;SCFT=3&amp;window=popup_no_bar&amp;width=385&amp;height=120&amp;START_MAXIMIZED=FALSE&amp;creator=factset&amp;display_string=Audit"}</definedName>
    <definedName name="_4407__FDSAUDITLINK__" hidden="1">{"fdsup://Directions/FactSet Auditing Viewer?action=AUDIT_VALUE&amp;DB=129&amp;ID1=11162130&amp;VALUEID=02001&amp;SDATE=200602&amp;PERIODTYPE=QTR_STD&amp;SCFT=3&amp;window=popup_no_bar&amp;width=385&amp;height=120&amp;START_MAXIMIZED=FALSE&amp;creator=factset&amp;display_string=Audit"}</definedName>
    <definedName name="_4408__FDSAUDITLINK__" hidden="1">{"fdsup://Directions/FactSet Auditing Viewer?action=AUDIT_VALUE&amp;DB=129&amp;ID1=11162130&amp;VALUEID=02001&amp;SDATE=200602&amp;PERIODTYPE=QTR_STD&amp;SCFT=3&amp;window=popup_no_bar&amp;width=385&amp;height=120&amp;START_MAXIMIZED=FALSE&amp;creator=factset&amp;display_string=Audit"}</definedName>
    <definedName name="_4409__FDSAUDITLINK__" hidden="1">{"fdsup://Directions/FactSet Auditing Viewer?action=AUDIT_VALUE&amp;DB=129&amp;ID1=11162130&amp;VALUEID=02001&amp;SDATE=200601&amp;PERIODTYPE=QTR_STD&amp;SCFT=3&amp;window=popup_no_bar&amp;width=385&amp;height=120&amp;START_MAXIMIZED=FALSE&amp;creator=factset&amp;display_string=Audit"}</definedName>
    <definedName name="_441__FDSAUDITLINK__" hidden="1">{"fdsup://Directions/FactSet Auditing Viewer?action=AUDIT_VALUE&amp;DB=129&amp;ID1=00752J10&amp;VALUEID=02001&amp;SDATE=201003&amp;PERIODTYPE=QTR_STD&amp;SCFT=3&amp;window=popup_no_bar&amp;width=385&amp;height=120&amp;START_MAXIMIZED=FALSE&amp;creator=factset&amp;display_string=Audit"}</definedName>
    <definedName name="_4410__FDSAUDITLINK__" hidden="1">{"fdsup://Directions/FactSet Auditing Viewer?action=AUDIT_VALUE&amp;DB=129&amp;ID1=11162130&amp;VALUEID=02001&amp;SDATE=200601&amp;PERIODTYPE=QTR_STD&amp;SCFT=3&amp;window=popup_no_bar&amp;width=385&amp;height=120&amp;START_MAXIMIZED=FALSE&amp;creator=factset&amp;display_string=Audit"}</definedName>
    <definedName name="_4411__FDSAUDITLINK__" hidden="1">{"fdsup://Directions/FactSet Auditing Viewer?action=AUDIT_VALUE&amp;DB=129&amp;ID1=11162130&amp;VALUEID=02001&amp;SDATE=200503&amp;PERIODTYPE=QTR_STD&amp;SCFT=3&amp;window=popup_no_bar&amp;width=385&amp;height=120&amp;START_MAXIMIZED=FALSE&amp;creator=factset&amp;display_string=Audit"}</definedName>
    <definedName name="_4412__FDSAUDITLINK__" hidden="1">{"fdsup://Directions/FactSet Auditing Viewer?action=AUDIT_VALUE&amp;DB=129&amp;ID1=11162130&amp;VALUEID=02001&amp;SDATE=200503&amp;PERIODTYPE=QTR_STD&amp;SCFT=3&amp;window=popup_no_bar&amp;width=385&amp;height=120&amp;START_MAXIMIZED=FALSE&amp;creator=factset&amp;display_string=Audit"}</definedName>
    <definedName name="_4413__FDSAUDITLINK__" hidden="1">{"fdsup://Directions/FactSet Auditing Viewer?action=AUDIT_VALUE&amp;DB=129&amp;ID1=11162130&amp;VALUEID=02001&amp;SDATE=200502&amp;PERIODTYPE=QTR_STD&amp;SCFT=3&amp;window=popup_no_bar&amp;width=385&amp;height=120&amp;START_MAXIMIZED=FALSE&amp;creator=factset&amp;display_string=Audit"}</definedName>
    <definedName name="_4414__FDSAUDITLINK__" hidden="1">{"fdsup://Directions/FactSet Auditing Viewer?action=AUDIT_VALUE&amp;DB=129&amp;ID1=11162130&amp;VALUEID=02001&amp;SDATE=200502&amp;PERIODTYPE=QTR_STD&amp;SCFT=3&amp;window=popup_no_bar&amp;width=385&amp;height=120&amp;START_MAXIMIZED=FALSE&amp;creator=factset&amp;display_string=Audit"}</definedName>
    <definedName name="_4415__FDSAUDITLINK__" hidden="1">{"fdsup://Directions/FactSet Auditing Viewer?action=AUDIT_VALUE&amp;DB=129&amp;ID1=11162130&amp;VALUEID=02001&amp;SDATE=200403&amp;PERIODTYPE=QTR_STD&amp;SCFT=3&amp;window=popup_no_bar&amp;width=385&amp;height=120&amp;START_MAXIMIZED=FALSE&amp;creator=factset&amp;display_string=Audit"}</definedName>
    <definedName name="_4416__FDSAUDITLINK__" hidden="1">{"fdsup://Directions/FactSet Auditing Viewer?action=AUDIT_VALUE&amp;DB=129&amp;ID1=11162130&amp;VALUEID=02001&amp;SDATE=200403&amp;PERIODTYPE=QTR_STD&amp;SCFT=3&amp;window=popup_no_bar&amp;width=385&amp;height=120&amp;START_MAXIMIZED=FALSE&amp;creator=factset&amp;display_string=Audit"}</definedName>
    <definedName name="_4417__FDSAUDITLINK__" hidden="1">{"fdsup://Directions/FactSet Auditing Viewer?action=AUDIT_VALUE&amp;DB=129&amp;ID1=11162130&amp;VALUEID=02001&amp;SDATE=200402&amp;PERIODTYPE=QTR_STD&amp;SCFT=3&amp;window=popup_no_bar&amp;width=385&amp;height=120&amp;START_MAXIMIZED=FALSE&amp;creator=factset&amp;display_string=Audit"}</definedName>
    <definedName name="_4418__FDSAUDITLINK__" hidden="1">{"fdsup://Directions/FactSet Auditing Viewer?action=AUDIT_VALUE&amp;DB=129&amp;ID1=11162130&amp;VALUEID=02001&amp;SDATE=200402&amp;PERIODTYPE=QTR_STD&amp;SCFT=3&amp;window=popup_no_bar&amp;width=385&amp;height=120&amp;START_MAXIMIZED=FALSE&amp;creator=factset&amp;display_string=Audit"}</definedName>
    <definedName name="_4419__FDSAUDITLINK__" hidden="1">{"fdsup://Directions/FactSet Auditing Viewer?action=AUDIT_VALUE&amp;DB=129&amp;ID1=04743P10&amp;VALUEID=02001&amp;SDATE=200801&amp;PERIODTYPE=QTR_STD&amp;SCFT=3&amp;window=popup_no_bar&amp;width=385&amp;height=120&amp;START_MAXIMIZED=FALSE&amp;creator=factset&amp;display_string=Audit"}</definedName>
    <definedName name="_442__FDSAUDITLINK__" hidden="1">{"fdsup://Directions/FactSet Auditing Viewer?action=AUDIT_VALUE&amp;DB=129&amp;ID1=00752J10&amp;VALUEID=02001&amp;SDATE=201003&amp;PERIODTYPE=QTR_STD&amp;SCFT=3&amp;window=popup_no_bar&amp;width=385&amp;height=120&amp;START_MAXIMIZED=FALSE&amp;creator=factset&amp;display_string=Audit"}</definedName>
    <definedName name="_4420__FDSAUDITLINK__" hidden="1">{"fdsup://Directions/FactSet Auditing Viewer?action=AUDIT_VALUE&amp;DB=129&amp;ID1=04743P10&amp;VALUEID=02001&amp;SDATE=200801&amp;PERIODTYPE=QTR_STD&amp;SCFT=3&amp;window=popup_no_bar&amp;width=385&amp;height=120&amp;START_MAXIMIZED=FALSE&amp;creator=factset&amp;display_string=Audit"}</definedName>
    <definedName name="_4421__FDSAUDITLINK__" hidden="1">{"fdsup://Directions/FactSet Auditing Viewer?action=AUDIT_VALUE&amp;DB=129&amp;ID1=04743P10&amp;VALUEID=02001&amp;SDATE=200703&amp;PERIODTYPE=QTR_STD&amp;SCFT=3&amp;window=popup_no_bar&amp;width=385&amp;height=120&amp;START_MAXIMIZED=FALSE&amp;creator=factset&amp;display_string=Audit"}</definedName>
    <definedName name="_4422__FDSAUDITLINK__" hidden="1">{"fdsup://Directions/FactSet Auditing Viewer?action=AUDIT_VALUE&amp;DB=129&amp;ID1=04743P10&amp;VALUEID=02001&amp;SDATE=200703&amp;PERIODTYPE=QTR_STD&amp;SCFT=3&amp;window=popup_no_bar&amp;width=385&amp;height=120&amp;START_MAXIMIZED=FALSE&amp;creator=factset&amp;display_string=Audit"}</definedName>
    <definedName name="_4423__FDSAUDITLINK__" hidden="1">{"fdsup://Directions/FactSet Auditing Viewer?action=AUDIT_VALUE&amp;DB=129&amp;ID1=04743P10&amp;VALUEID=02001&amp;SDATE=200702&amp;PERIODTYPE=QTR_STD&amp;SCFT=3&amp;window=popup_no_bar&amp;width=385&amp;height=120&amp;START_MAXIMIZED=FALSE&amp;creator=factset&amp;display_string=Audit"}</definedName>
    <definedName name="_4424__FDSAUDITLINK__" hidden="1">{"fdsup://Directions/FactSet Auditing Viewer?action=AUDIT_VALUE&amp;DB=129&amp;ID1=04743P10&amp;VALUEID=02001&amp;SDATE=200702&amp;PERIODTYPE=QTR_STD&amp;SCFT=3&amp;window=popup_no_bar&amp;width=385&amp;height=120&amp;START_MAXIMIZED=FALSE&amp;creator=factset&amp;display_string=Audit"}</definedName>
    <definedName name="_4425__FDSAUDITLINK__" hidden="1">{"fdsup://Directions/FactSet Auditing Viewer?action=AUDIT_VALUE&amp;DB=129&amp;ID1=04743P10&amp;VALUEID=02001&amp;SDATE=200701&amp;PERIODTYPE=QTR_STD&amp;SCFT=3&amp;window=popup_no_bar&amp;width=385&amp;height=120&amp;START_MAXIMIZED=FALSE&amp;creator=factset&amp;display_string=Audit"}</definedName>
    <definedName name="_4426__FDSAUDITLINK__" hidden="1">{"fdsup://Directions/FactSet Auditing Viewer?action=AUDIT_VALUE&amp;DB=129&amp;ID1=04743P10&amp;VALUEID=02001&amp;SDATE=200701&amp;PERIODTYPE=QTR_STD&amp;SCFT=3&amp;window=popup_no_bar&amp;width=385&amp;height=120&amp;START_MAXIMIZED=FALSE&amp;creator=factset&amp;display_string=Audit"}</definedName>
    <definedName name="_4427__FDSAUDITLINK__" hidden="1">{"fdsup://Directions/FactSet Auditing Viewer?action=AUDIT_VALUE&amp;DB=129&amp;ID1=04743P10&amp;VALUEID=02001&amp;SDATE=200603&amp;PERIODTYPE=QTR_STD&amp;SCFT=3&amp;window=popup_no_bar&amp;width=385&amp;height=120&amp;START_MAXIMIZED=FALSE&amp;creator=factset&amp;display_string=Audit"}</definedName>
    <definedName name="_4428__FDSAUDITLINK__" hidden="1">{"fdsup://Directions/FactSet Auditing Viewer?action=AUDIT_VALUE&amp;DB=129&amp;ID1=04743P10&amp;VALUEID=02001&amp;SDATE=200603&amp;PERIODTYPE=QTR_STD&amp;SCFT=3&amp;window=popup_no_bar&amp;width=385&amp;height=120&amp;START_MAXIMIZED=FALSE&amp;creator=factset&amp;display_string=Audit"}</definedName>
    <definedName name="_4429__FDSAUDITLINK__" hidden="1">{"fdsup://Directions/FactSet Auditing Viewer?action=AUDIT_VALUE&amp;DB=129&amp;ID1=04743P10&amp;VALUEID=02001&amp;SDATE=200602&amp;PERIODTYPE=QTR_STD&amp;SCFT=3&amp;window=popup_no_bar&amp;width=385&amp;height=120&amp;START_MAXIMIZED=FALSE&amp;creator=factset&amp;display_string=Audit"}</definedName>
    <definedName name="_443__FDSAUDITLINK__" hidden="1">{"fdsup://Directions/FactSet Auditing Viewer?action=AUDIT_VALUE&amp;DB=129&amp;ID1=98975F10&amp;VALUEID=02001&amp;SDATE=201002&amp;PERIODTYPE=QTR_STD&amp;SCFT=3&amp;window=popup_no_bar&amp;width=385&amp;height=120&amp;START_MAXIMIZED=FALSE&amp;creator=factset&amp;display_string=Audit"}</definedName>
    <definedName name="_4430__FDSAUDITLINK__" hidden="1">{"fdsup://Directions/FactSet Auditing Viewer?action=AUDIT_VALUE&amp;DB=129&amp;ID1=04743P10&amp;VALUEID=02001&amp;SDATE=200602&amp;PERIODTYPE=QTR_STD&amp;SCFT=3&amp;window=popup_no_bar&amp;width=385&amp;height=120&amp;START_MAXIMIZED=FALSE&amp;creator=factset&amp;display_string=Audit"}</definedName>
    <definedName name="_4431__FDSAUDITLINK__" hidden="1">{"fdsup://Directions/FactSet Auditing Viewer?action=AUDIT_VALUE&amp;DB=129&amp;ID1=04743P10&amp;VALUEID=02001&amp;SDATE=200601&amp;PERIODTYPE=QTR_STD&amp;SCFT=3&amp;window=popup_no_bar&amp;width=385&amp;height=120&amp;START_MAXIMIZED=FALSE&amp;creator=factset&amp;display_string=Audit"}</definedName>
    <definedName name="_4432__FDSAUDITLINK__" hidden="1">{"fdsup://Directions/FactSet Auditing Viewer?action=AUDIT_VALUE&amp;DB=129&amp;ID1=04743P10&amp;VALUEID=02001&amp;SDATE=200601&amp;PERIODTYPE=QTR_STD&amp;SCFT=3&amp;window=popup_no_bar&amp;width=385&amp;height=120&amp;START_MAXIMIZED=FALSE&amp;creator=factset&amp;display_string=Audit"}</definedName>
    <definedName name="_4433__FDSAUDITLINK__" hidden="1">{"fdsup://Directions/FactSet Auditing Viewer?action=AUDIT_VALUE&amp;DB=129&amp;ID1=04743P10&amp;VALUEID=02001&amp;SDATE=200503&amp;PERIODTYPE=QTR_STD&amp;SCFT=3&amp;window=popup_no_bar&amp;width=385&amp;height=120&amp;START_MAXIMIZED=FALSE&amp;creator=factset&amp;display_string=Audit"}</definedName>
    <definedName name="_4434__FDSAUDITLINK__" hidden="1">{"fdsup://Directions/FactSet Auditing Viewer?action=AUDIT_VALUE&amp;DB=129&amp;ID1=04743P10&amp;VALUEID=02001&amp;SDATE=200503&amp;PERIODTYPE=QTR_STD&amp;SCFT=3&amp;window=popup_no_bar&amp;width=385&amp;height=120&amp;START_MAXIMIZED=FALSE&amp;creator=factset&amp;display_string=Audit"}</definedName>
    <definedName name="_4435__FDSAUDITLINK__" hidden="1">{"fdsup://Directions/FactSet Auditing Viewer?action=AUDIT_VALUE&amp;DB=129&amp;ID1=04743P10&amp;VALUEID=02001&amp;SDATE=200502&amp;PERIODTYPE=QTR_STD&amp;SCFT=3&amp;window=popup_no_bar&amp;width=385&amp;height=120&amp;START_MAXIMIZED=FALSE&amp;creator=factset&amp;display_string=Audit"}</definedName>
    <definedName name="_4436__FDSAUDITLINK__" hidden="1">{"fdsup://Directions/FactSet Auditing Viewer?action=AUDIT_VALUE&amp;DB=129&amp;ID1=04743P10&amp;VALUEID=02001&amp;SDATE=200502&amp;PERIODTYPE=QTR_STD&amp;SCFT=3&amp;window=popup_no_bar&amp;width=385&amp;height=120&amp;START_MAXIMIZED=FALSE&amp;creator=factset&amp;display_string=Audit"}</definedName>
    <definedName name="_4437__FDSAUDITLINK__" hidden="1">{"fdsup://Directions/FactSet Auditing Viewer?action=AUDIT_VALUE&amp;DB=129&amp;ID1=04743P10&amp;VALUEID=02001&amp;SDATE=200501&amp;PERIODTYPE=QTR_STD&amp;SCFT=3&amp;window=popup_no_bar&amp;width=385&amp;height=120&amp;START_MAXIMIZED=FALSE&amp;creator=factset&amp;display_string=Audit"}</definedName>
    <definedName name="_4438__FDSAUDITLINK__" hidden="1">{"fdsup://Directions/FactSet Auditing Viewer?action=AUDIT_VALUE&amp;DB=129&amp;ID1=04743P10&amp;VALUEID=02001&amp;SDATE=200501&amp;PERIODTYPE=QTR_STD&amp;SCFT=3&amp;window=popup_no_bar&amp;width=385&amp;height=120&amp;START_MAXIMIZED=FALSE&amp;creator=factset&amp;display_string=Audit"}</definedName>
    <definedName name="_4439__FDSAUDITLINK__" hidden="1">{"fdsup://Directions/FactSet Auditing Viewer?action=AUDIT_VALUE&amp;DB=129&amp;ID1=04743P10&amp;VALUEID=02001&amp;SDATE=200403&amp;PERIODTYPE=QTR_STD&amp;SCFT=3&amp;window=popup_no_bar&amp;width=385&amp;height=120&amp;START_MAXIMIZED=FALSE&amp;creator=factset&amp;display_string=Audit"}</definedName>
    <definedName name="_444__FDSAUDITLINK__" hidden="1">{"fdsup://Directions/FactSet Auditing Viewer?action=AUDIT_VALUE&amp;DB=129&amp;ID1=98975F10&amp;VALUEID=02001&amp;SDATE=201002&amp;PERIODTYPE=QTR_STD&amp;SCFT=3&amp;window=popup_no_bar&amp;width=385&amp;height=120&amp;START_MAXIMIZED=FALSE&amp;creator=factset&amp;display_string=Audit"}</definedName>
    <definedName name="_4440__FDSAUDITLINK__" hidden="1">{"fdsup://Directions/FactSet Auditing Viewer?action=AUDIT_VALUE&amp;DB=129&amp;ID1=04743P10&amp;VALUEID=02001&amp;SDATE=200403&amp;PERIODTYPE=QTR_STD&amp;SCFT=3&amp;window=popup_no_bar&amp;width=385&amp;height=120&amp;START_MAXIMIZED=FALSE&amp;creator=factset&amp;display_string=Audit"}</definedName>
    <definedName name="_4441__FDSAUDITLINK__" hidden="1">{"fdsup://Directions/FactSet Auditing Viewer?action=AUDIT_VALUE&amp;DB=129&amp;ID1=04743P10&amp;VALUEID=02001&amp;SDATE=200402&amp;PERIODTYPE=QTR_STD&amp;SCFT=3&amp;window=popup_no_bar&amp;width=385&amp;height=120&amp;START_MAXIMIZED=FALSE&amp;creator=factset&amp;display_string=Audit"}</definedName>
    <definedName name="_4442__FDSAUDITLINK__" hidden="1">{"fdsup://Directions/FactSet Auditing Viewer?action=AUDIT_VALUE&amp;DB=129&amp;ID1=04743P10&amp;VALUEID=02001&amp;SDATE=200402&amp;PERIODTYPE=QTR_STD&amp;SCFT=3&amp;window=popup_no_bar&amp;width=385&amp;height=120&amp;START_MAXIMIZED=FALSE&amp;creator=factset&amp;display_string=Audit"}</definedName>
    <definedName name="_4443__FDSAUDITLINK__" hidden="1">{"fdsup://Directions/FactSet Auditing Viewer?action=AUDIT_VALUE&amp;DB=129&amp;ID1=04743P10&amp;VALUEID=02001&amp;SDATE=200401&amp;PERIODTYPE=QTR_STD&amp;SCFT=3&amp;window=popup_no_bar&amp;width=385&amp;height=120&amp;START_MAXIMIZED=FALSE&amp;creator=factset&amp;display_string=Audit"}</definedName>
    <definedName name="_4444__FDSAUDITLINK__" hidden="1">{"fdsup://Directions/FactSet Auditing Viewer?action=AUDIT_VALUE&amp;DB=129&amp;ID1=04743P10&amp;VALUEID=02001&amp;SDATE=200401&amp;PERIODTYPE=QTR_STD&amp;SCFT=3&amp;window=popup_no_bar&amp;width=385&amp;height=120&amp;START_MAXIMIZED=FALSE&amp;creator=factset&amp;display_string=Audit"}</definedName>
    <definedName name="_4445__FDSAUDITLINK__" hidden="1">{"fdsup://Directions/FactSet Auditing Viewer?action=AUDIT_VALUE&amp;DB=129&amp;ID1=03251510&amp;VALUEID=02001&amp;SDATE=200801&amp;PERIODTYPE=QTR_STD&amp;SCFT=3&amp;window=popup_no_bar&amp;width=385&amp;height=120&amp;START_MAXIMIZED=FALSE&amp;creator=factset&amp;display_string=Audit"}</definedName>
    <definedName name="_4446__FDSAUDITLINK__" hidden="1">{"fdsup://Directions/FactSet Auditing Viewer?action=AUDIT_VALUE&amp;DB=129&amp;ID1=03251510&amp;VALUEID=02001&amp;SDATE=200801&amp;PERIODTYPE=QTR_STD&amp;SCFT=3&amp;window=popup_no_bar&amp;width=385&amp;height=120&amp;START_MAXIMIZED=FALSE&amp;creator=factset&amp;display_string=Audit"}</definedName>
    <definedName name="_4447__FDSAUDITLINK__" hidden="1">{"fdsup://Directions/FactSet Auditing Viewer?action=AUDIT_VALUE&amp;DB=129&amp;ID1=03251510&amp;VALUEID=02001&amp;SDATE=200703&amp;PERIODTYPE=QTR_STD&amp;SCFT=3&amp;window=popup_no_bar&amp;width=385&amp;height=120&amp;START_MAXIMIZED=FALSE&amp;creator=factset&amp;display_string=Audit"}</definedName>
    <definedName name="_4448__FDSAUDITLINK__" hidden="1">{"fdsup://Directions/FactSet Auditing Viewer?action=AUDIT_VALUE&amp;DB=129&amp;ID1=03251510&amp;VALUEID=02001&amp;SDATE=200703&amp;PERIODTYPE=QTR_STD&amp;SCFT=3&amp;window=popup_no_bar&amp;width=385&amp;height=120&amp;START_MAXIMIZED=FALSE&amp;creator=factset&amp;display_string=Audit"}</definedName>
    <definedName name="_4449__FDSAUDITLINK__" hidden="1">{"fdsup://Directions/FactSet Auditing Viewer?action=AUDIT_VALUE&amp;DB=129&amp;ID1=03251510&amp;VALUEID=02001&amp;SDATE=200702&amp;PERIODTYPE=QTR_STD&amp;SCFT=3&amp;window=popup_no_bar&amp;width=385&amp;height=120&amp;START_MAXIMIZED=FALSE&amp;creator=factset&amp;display_string=Audit"}</definedName>
    <definedName name="_445__FDSAUDITLINK__" hidden="1">{"fdsup://Directions/FactSet Auditing Viewer?action=AUDIT_VALUE&amp;DB=129&amp;ID1=98391910&amp;VALUEID=02001&amp;SDATE=201001&amp;PERIODTYPE=QTR_STD&amp;SCFT=3&amp;window=popup_no_bar&amp;width=385&amp;height=120&amp;START_MAXIMIZED=FALSE&amp;creator=factset&amp;display_string=Audit"}</definedName>
    <definedName name="_4450__FDSAUDITLINK__" hidden="1">{"fdsup://Directions/FactSet Auditing Viewer?action=AUDIT_VALUE&amp;DB=129&amp;ID1=03251510&amp;VALUEID=02001&amp;SDATE=200702&amp;PERIODTYPE=QTR_STD&amp;SCFT=3&amp;window=popup_no_bar&amp;width=385&amp;height=120&amp;START_MAXIMIZED=FALSE&amp;creator=factset&amp;display_string=Audit"}</definedName>
    <definedName name="_4451__FDSAUDITLINK__" hidden="1">{"fdsup://Directions/FactSet Auditing Viewer?action=AUDIT_VALUE&amp;DB=129&amp;ID1=03251510&amp;VALUEID=02001&amp;SDATE=200701&amp;PERIODTYPE=QTR_STD&amp;SCFT=3&amp;window=popup_no_bar&amp;width=385&amp;height=120&amp;START_MAXIMIZED=FALSE&amp;creator=factset&amp;display_string=Audit"}</definedName>
    <definedName name="_4452__FDSAUDITLINK__" hidden="1">{"fdsup://Directions/FactSet Auditing Viewer?action=AUDIT_VALUE&amp;DB=129&amp;ID1=03251510&amp;VALUEID=02001&amp;SDATE=200701&amp;PERIODTYPE=QTR_STD&amp;SCFT=3&amp;window=popup_no_bar&amp;width=385&amp;height=120&amp;START_MAXIMIZED=FALSE&amp;creator=factset&amp;display_string=Audit"}</definedName>
    <definedName name="_4453__FDSAUDITLINK__" hidden="1">{"fdsup://Directions/FactSet Auditing Viewer?action=AUDIT_VALUE&amp;DB=129&amp;ID1=03251510&amp;VALUEID=02001&amp;SDATE=200603&amp;PERIODTYPE=QTR_STD&amp;SCFT=3&amp;window=popup_no_bar&amp;width=385&amp;height=120&amp;START_MAXIMIZED=FALSE&amp;creator=factset&amp;display_string=Audit"}</definedName>
    <definedName name="_4454__FDSAUDITLINK__" hidden="1">{"fdsup://Directions/FactSet Auditing Viewer?action=AUDIT_VALUE&amp;DB=129&amp;ID1=03251510&amp;VALUEID=02001&amp;SDATE=200603&amp;PERIODTYPE=QTR_STD&amp;SCFT=3&amp;window=popup_no_bar&amp;width=385&amp;height=120&amp;START_MAXIMIZED=FALSE&amp;creator=factset&amp;display_string=Audit"}</definedName>
    <definedName name="_4455__FDSAUDITLINK__" hidden="1">{"fdsup://Directions/FactSet Auditing Viewer?action=AUDIT_VALUE&amp;DB=129&amp;ID1=03251510&amp;VALUEID=02001&amp;SDATE=200602&amp;PERIODTYPE=QTR_STD&amp;SCFT=3&amp;window=popup_no_bar&amp;width=385&amp;height=120&amp;START_MAXIMIZED=FALSE&amp;creator=factset&amp;display_string=Audit"}</definedName>
    <definedName name="_4456__FDSAUDITLINK__" hidden="1">{"fdsup://Directions/FactSet Auditing Viewer?action=AUDIT_VALUE&amp;DB=129&amp;ID1=03251510&amp;VALUEID=02001&amp;SDATE=200602&amp;PERIODTYPE=QTR_STD&amp;SCFT=3&amp;window=popup_no_bar&amp;width=385&amp;height=120&amp;START_MAXIMIZED=FALSE&amp;creator=factset&amp;display_string=Audit"}</definedName>
    <definedName name="_4457__FDSAUDITLINK__" hidden="1">{"fdsup://Directions/FactSet Auditing Viewer?action=AUDIT_VALUE&amp;DB=129&amp;ID1=03251510&amp;VALUEID=02001&amp;SDATE=200601&amp;PERIODTYPE=QTR_STD&amp;SCFT=3&amp;window=popup_no_bar&amp;width=385&amp;height=120&amp;START_MAXIMIZED=FALSE&amp;creator=factset&amp;display_string=Audit"}</definedName>
    <definedName name="_4458__FDSAUDITLINK__" hidden="1">{"fdsup://Directions/FactSet Auditing Viewer?action=AUDIT_VALUE&amp;DB=129&amp;ID1=03251510&amp;VALUEID=02001&amp;SDATE=200601&amp;PERIODTYPE=QTR_STD&amp;SCFT=3&amp;window=popup_no_bar&amp;width=385&amp;height=120&amp;START_MAXIMIZED=FALSE&amp;creator=factset&amp;display_string=Audit"}</definedName>
    <definedName name="_4459__FDSAUDITLINK__" hidden="1">{"fdsup://Directions/FactSet Auditing Viewer?action=AUDIT_VALUE&amp;DB=129&amp;ID1=00790310&amp;VALUEID=02001&amp;SDATE=200801&amp;PERIODTYPE=QTR_STD&amp;SCFT=3&amp;window=popup_no_bar&amp;width=385&amp;height=120&amp;START_MAXIMIZED=FALSE&amp;creator=factset&amp;display_string=Audit"}</definedName>
    <definedName name="_446__FDSAUDITLINK__" hidden="1">{"fdsup://Directions/FactSet Auditing Viewer?action=AUDIT_VALUE&amp;DB=129&amp;ID1=98391910&amp;VALUEID=02001&amp;SDATE=201001&amp;PERIODTYPE=QTR_STD&amp;SCFT=3&amp;window=popup_no_bar&amp;width=385&amp;height=120&amp;START_MAXIMIZED=FALSE&amp;creator=factset&amp;display_string=Audit"}</definedName>
    <definedName name="_4460__FDSAUDITLINK__" hidden="1">{"fdsup://Directions/FactSet Auditing Viewer?action=AUDIT_VALUE&amp;DB=129&amp;ID1=00790310&amp;VALUEID=02001&amp;SDATE=200801&amp;PERIODTYPE=QTR_STD&amp;SCFT=3&amp;window=popup_no_bar&amp;width=385&amp;height=120&amp;START_MAXIMIZED=FALSE&amp;creator=factset&amp;display_string=Audit"}</definedName>
    <definedName name="_4461__FDSAUDITLINK__" hidden="1">{"fdsup://Directions/FactSet Auditing Viewer?action=AUDIT_VALUE&amp;DB=129&amp;ID1=00790310&amp;VALUEID=02001&amp;SDATE=200703&amp;PERIODTYPE=QTR_STD&amp;SCFT=3&amp;window=popup_no_bar&amp;width=385&amp;height=120&amp;START_MAXIMIZED=FALSE&amp;creator=factset&amp;display_string=Audit"}</definedName>
    <definedName name="_4462__FDSAUDITLINK__" hidden="1">{"fdsup://Directions/FactSet Auditing Viewer?action=AUDIT_VALUE&amp;DB=129&amp;ID1=00790310&amp;VALUEID=02001&amp;SDATE=200703&amp;PERIODTYPE=QTR_STD&amp;SCFT=3&amp;window=popup_no_bar&amp;width=385&amp;height=120&amp;START_MAXIMIZED=FALSE&amp;creator=factset&amp;display_string=Audit"}</definedName>
    <definedName name="_4463__FDSAUDITLINK__" hidden="1">{"fdsup://Directions/FactSet Auditing Viewer?action=AUDIT_VALUE&amp;DB=129&amp;ID1=00790310&amp;VALUEID=02001&amp;SDATE=200702&amp;PERIODTYPE=QTR_STD&amp;SCFT=3&amp;window=popup_no_bar&amp;width=385&amp;height=120&amp;START_MAXIMIZED=FALSE&amp;creator=factset&amp;display_string=Audit"}</definedName>
    <definedName name="_4464__FDSAUDITLINK__" hidden="1">{"fdsup://Directions/FactSet Auditing Viewer?action=AUDIT_VALUE&amp;DB=129&amp;ID1=00790310&amp;VALUEID=02001&amp;SDATE=200702&amp;PERIODTYPE=QTR_STD&amp;SCFT=3&amp;window=popup_no_bar&amp;width=385&amp;height=120&amp;START_MAXIMIZED=FALSE&amp;creator=factset&amp;display_string=Audit"}</definedName>
    <definedName name="_4465__FDSAUDITLINK__" hidden="1">{"fdsup://Directions/FactSet Auditing Viewer?action=AUDIT_VALUE&amp;DB=129&amp;ID1=00790310&amp;VALUEID=02001&amp;SDATE=200701&amp;PERIODTYPE=QTR_STD&amp;SCFT=3&amp;window=popup_no_bar&amp;width=385&amp;height=120&amp;START_MAXIMIZED=FALSE&amp;creator=factset&amp;display_string=Audit"}</definedName>
    <definedName name="_4466__FDSAUDITLINK__" hidden="1">{"fdsup://Directions/FactSet Auditing Viewer?action=AUDIT_VALUE&amp;DB=129&amp;ID1=00790310&amp;VALUEID=02001&amp;SDATE=200701&amp;PERIODTYPE=QTR_STD&amp;SCFT=3&amp;window=popup_no_bar&amp;width=385&amp;height=120&amp;START_MAXIMIZED=FALSE&amp;creator=factset&amp;display_string=Audit"}</definedName>
    <definedName name="_4467__FDSAUDITLINK__" hidden="1">{"fdsup://Directions/FactSet Auditing Viewer?action=AUDIT_VALUE&amp;DB=129&amp;ID1=00790310&amp;VALUEID=02001&amp;SDATE=200603&amp;PERIODTYPE=QTR_STD&amp;SCFT=3&amp;window=popup_no_bar&amp;width=385&amp;height=120&amp;START_MAXIMIZED=FALSE&amp;creator=factset&amp;display_string=Audit"}</definedName>
    <definedName name="_4468__FDSAUDITLINK__" hidden="1">{"fdsup://Directions/FactSet Auditing Viewer?action=AUDIT_VALUE&amp;DB=129&amp;ID1=00790310&amp;VALUEID=02001&amp;SDATE=200603&amp;PERIODTYPE=QTR_STD&amp;SCFT=3&amp;window=popup_no_bar&amp;width=385&amp;height=120&amp;START_MAXIMIZED=FALSE&amp;creator=factset&amp;display_string=Audit"}</definedName>
    <definedName name="_4469__FDSAUDITLINK__" hidden="1">{"fdsup://Directions/FactSet Auditing Viewer?action=AUDIT_VALUE&amp;DB=129&amp;ID1=00790310&amp;VALUEID=02001&amp;SDATE=200602&amp;PERIODTYPE=QTR_STD&amp;SCFT=3&amp;window=popup_no_bar&amp;width=385&amp;height=120&amp;START_MAXIMIZED=FALSE&amp;creator=factset&amp;display_string=Audit"}</definedName>
    <definedName name="_447__FDSAUDITLINK__" hidden="1">{"fdsup://Directions/FactSet Auditing Viewer?action=AUDIT_VALUE&amp;DB=129&amp;ID1=95810210&amp;VALUEID=02001&amp;SDATE=201004&amp;PERIODTYPE=QTR_STD&amp;SCFT=3&amp;window=popup_no_bar&amp;width=385&amp;height=120&amp;START_MAXIMIZED=FALSE&amp;creator=factset&amp;display_string=Audit"}</definedName>
    <definedName name="_4470__FDSAUDITLINK__" hidden="1">{"fdsup://Directions/FactSet Auditing Viewer?action=AUDIT_VALUE&amp;DB=129&amp;ID1=00790310&amp;VALUEID=02001&amp;SDATE=200602&amp;PERIODTYPE=QTR_STD&amp;SCFT=3&amp;window=popup_no_bar&amp;width=385&amp;height=120&amp;START_MAXIMIZED=FALSE&amp;creator=factset&amp;display_string=Audit"}</definedName>
    <definedName name="_4471__FDSAUDITLINK__" hidden="1">{"fdsup://Directions/FactSet Auditing Viewer?action=AUDIT_VALUE&amp;DB=129&amp;ID1=00790310&amp;VALUEID=02001&amp;SDATE=200601&amp;PERIODTYPE=QTR_STD&amp;SCFT=3&amp;window=popup_no_bar&amp;width=385&amp;height=120&amp;START_MAXIMIZED=FALSE&amp;creator=factset&amp;display_string=Audit"}</definedName>
    <definedName name="_4472__FDSAUDITLINK__" hidden="1">{"fdsup://Directions/FactSet Auditing Viewer?action=AUDIT_VALUE&amp;DB=129&amp;ID1=00790310&amp;VALUEID=02001&amp;SDATE=200601&amp;PERIODTYPE=QTR_STD&amp;SCFT=3&amp;window=popup_no_bar&amp;width=385&amp;height=120&amp;START_MAXIMIZED=FALSE&amp;creator=factset&amp;display_string=Audit"}</definedName>
    <definedName name="_4473__FDSAUDITLINK__" hidden="1">{"fdsup://Directions/FactSet Auditing Viewer?action=AUDIT_VALUE&amp;DB=129&amp;ID1=00790310&amp;VALUEID=02001&amp;SDATE=200503&amp;PERIODTYPE=QTR_STD&amp;SCFT=3&amp;window=popup_no_bar&amp;width=385&amp;height=120&amp;START_MAXIMIZED=FALSE&amp;creator=factset&amp;display_string=Audit"}</definedName>
    <definedName name="_4474__FDSAUDITLINK__" hidden="1">{"fdsup://Directions/FactSet Auditing Viewer?action=AUDIT_VALUE&amp;DB=129&amp;ID1=00790310&amp;VALUEID=02001&amp;SDATE=200503&amp;PERIODTYPE=QTR_STD&amp;SCFT=3&amp;window=popup_no_bar&amp;width=385&amp;height=120&amp;START_MAXIMIZED=FALSE&amp;creator=factset&amp;display_string=Audit"}</definedName>
    <definedName name="_4475__FDSAUDITLINK__" hidden="1">{"fdsup://Directions/FactSet Auditing Viewer?action=AUDIT_VALUE&amp;DB=129&amp;ID1=00790310&amp;VALUEID=02001&amp;SDATE=200502&amp;PERIODTYPE=QTR_STD&amp;SCFT=3&amp;window=popup_no_bar&amp;width=385&amp;height=120&amp;START_MAXIMIZED=FALSE&amp;creator=factset&amp;display_string=Audit"}</definedName>
    <definedName name="_4476__FDSAUDITLINK__" hidden="1">{"fdsup://Directions/FactSet Auditing Viewer?action=AUDIT_VALUE&amp;DB=129&amp;ID1=00790310&amp;VALUEID=02001&amp;SDATE=200502&amp;PERIODTYPE=QTR_STD&amp;SCFT=3&amp;window=popup_no_bar&amp;width=385&amp;height=120&amp;START_MAXIMIZED=FALSE&amp;creator=factset&amp;display_string=Audit"}</definedName>
    <definedName name="_4477__FDSAUDITLINK__" hidden="1">{"fdsup://Directions/FactSet Auditing Viewer?action=AUDIT_VALUE&amp;DB=129&amp;ID1=00790310&amp;VALUEID=02001&amp;SDATE=200403&amp;PERIODTYPE=QTR_STD&amp;SCFT=3&amp;window=popup_no_bar&amp;width=385&amp;height=120&amp;START_MAXIMIZED=FALSE&amp;creator=factset&amp;display_string=Audit"}</definedName>
    <definedName name="_4478__FDSAUDITLINK__" hidden="1">{"fdsup://Directions/FactSet Auditing Viewer?action=AUDIT_VALUE&amp;DB=129&amp;ID1=00790310&amp;VALUEID=02001&amp;SDATE=200403&amp;PERIODTYPE=QTR_STD&amp;SCFT=3&amp;window=popup_no_bar&amp;width=385&amp;height=120&amp;START_MAXIMIZED=FALSE&amp;creator=factset&amp;display_string=Audit"}</definedName>
    <definedName name="_4479__FDSAUDITLINK__" hidden="1">{"fdsup://Directions/FactSet Auditing Viewer?action=AUDIT_VALUE&amp;DB=129&amp;ID1=00790310&amp;VALUEID=02001&amp;SDATE=200402&amp;PERIODTYPE=QTR_STD&amp;SCFT=3&amp;window=popup_no_bar&amp;width=385&amp;height=120&amp;START_MAXIMIZED=FALSE&amp;creator=factset&amp;display_string=Audit"}</definedName>
    <definedName name="_448__FDSAUDITLINK__" hidden="1">{"fdsup://Directions/FactSet Auditing Viewer?action=AUDIT_VALUE&amp;DB=129&amp;ID1=95810210&amp;VALUEID=02001&amp;SDATE=201004&amp;PERIODTYPE=QTR_STD&amp;SCFT=3&amp;window=popup_no_bar&amp;width=385&amp;height=120&amp;START_MAXIMIZED=FALSE&amp;creator=factset&amp;display_string=Audit"}</definedName>
    <definedName name="_4480__FDSAUDITLINK__" hidden="1">{"fdsup://Directions/FactSet Auditing Viewer?action=AUDIT_VALUE&amp;DB=129&amp;ID1=00790310&amp;VALUEID=02001&amp;SDATE=200402&amp;PERIODTYPE=QTR_STD&amp;SCFT=3&amp;window=popup_no_bar&amp;width=385&amp;height=120&amp;START_MAXIMIZED=FALSE&amp;creator=factset&amp;display_string=Audit"}</definedName>
    <definedName name="_4481__FDSAUDITLINK__" hidden="1">{"fdsup://Directions/FactSet Auditing Viewer?action=AUDIT_VALUE&amp;DB=129&amp;ID1=00790310&amp;VALUEID=02001&amp;SDATE=200401&amp;PERIODTYPE=QTR_STD&amp;SCFT=3&amp;window=popup_no_bar&amp;width=385&amp;height=120&amp;START_MAXIMIZED=FALSE&amp;creator=factset&amp;display_string=Audit"}</definedName>
    <definedName name="_4482__FDSAUDITLINK__" hidden="1">{"fdsup://Directions/FactSet Auditing Viewer?action=AUDIT_VALUE&amp;DB=129&amp;ID1=00790310&amp;VALUEID=02001&amp;SDATE=200401&amp;PERIODTYPE=QTR_STD&amp;SCFT=3&amp;window=popup_no_bar&amp;width=385&amp;height=120&amp;START_MAXIMIZED=FALSE&amp;creator=factset&amp;display_string=Audit"}</definedName>
    <definedName name="_4483__FDSAUDITLINK__" hidden="1">{"fdsup://Directions/FactSet Auditing Viewer?action=AUDIT_VALUE&amp;DB=129&amp;ID1=03822W40&amp;VALUEID=02001&amp;SDATE=200703&amp;PERIODTYPE=QTR_STD&amp;SCFT=3&amp;window=popup_no_bar&amp;width=385&amp;height=120&amp;START_MAXIMIZED=FALSE&amp;creator=factset&amp;display_string=Audit"}</definedName>
    <definedName name="_4484__FDSAUDITLINK__" hidden="1">{"fdsup://Directions/FactSet Auditing Viewer?action=AUDIT_VALUE&amp;DB=129&amp;ID1=03822W40&amp;VALUEID=02001&amp;SDATE=200703&amp;PERIODTYPE=QTR_STD&amp;SCFT=3&amp;window=popup_no_bar&amp;width=385&amp;height=120&amp;START_MAXIMIZED=FALSE&amp;creator=factset&amp;display_string=Audit"}</definedName>
    <definedName name="_4485__FDSAUDITLINK__" hidden="1">{"fdsup://Directions/FactSet Auditing Viewer?action=AUDIT_VALUE&amp;DB=129&amp;ID1=03822W40&amp;VALUEID=02001&amp;SDATE=200702&amp;PERIODTYPE=QTR_STD&amp;SCFT=3&amp;window=popup_no_bar&amp;width=385&amp;height=120&amp;START_MAXIMIZED=FALSE&amp;creator=factset&amp;display_string=Audit"}</definedName>
    <definedName name="_4486__FDSAUDITLINK__" hidden="1">{"fdsup://Directions/FactSet Auditing Viewer?action=AUDIT_VALUE&amp;DB=129&amp;ID1=03822W40&amp;VALUEID=02001&amp;SDATE=200702&amp;PERIODTYPE=QTR_STD&amp;SCFT=3&amp;window=popup_no_bar&amp;width=385&amp;height=120&amp;START_MAXIMIZED=FALSE&amp;creator=factset&amp;display_string=Audit"}</definedName>
    <definedName name="_4487__FDSAUDITLINK__" hidden="1">{"fdsup://Directions/FactSet Auditing Viewer?action=AUDIT_VALUE&amp;DB=129&amp;ID1=03822W40&amp;VALUEID=02001&amp;SDATE=200701&amp;PERIODTYPE=QTR_STD&amp;SCFT=3&amp;window=popup_no_bar&amp;width=385&amp;height=120&amp;START_MAXIMIZED=FALSE&amp;creator=factset&amp;display_string=Audit"}</definedName>
    <definedName name="_4488__FDSAUDITLINK__" hidden="1">{"fdsup://Directions/FactSet Auditing Viewer?action=AUDIT_VALUE&amp;DB=129&amp;ID1=03822W40&amp;VALUEID=02001&amp;SDATE=200701&amp;PERIODTYPE=QTR_STD&amp;SCFT=3&amp;window=popup_no_bar&amp;width=385&amp;height=120&amp;START_MAXIMIZED=FALSE&amp;creator=factset&amp;display_string=Audit"}</definedName>
    <definedName name="_4489__FDSAUDITLINK__" hidden="1">{"fdsup://Directions/FactSet Auditing Viewer?action=AUDIT_VALUE&amp;DB=129&amp;ID1=03822W40&amp;VALUEID=02001&amp;SDATE=200603&amp;PERIODTYPE=QTR_STD&amp;SCFT=3&amp;window=popup_no_bar&amp;width=385&amp;height=120&amp;START_MAXIMIZED=FALSE&amp;creator=factset&amp;display_string=Audit"}</definedName>
    <definedName name="_449__FDSAUDITLINK__" hidden="1">{"fdsup://Directions/FactSet Auditing Viewer?action=AUDIT_VALUE&amp;DB=129&amp;ID1=92849730&amp;VALUEID=02001&amp;SDATE=201003&amp;PERIODTYPE=QTR_STD&amp;SCFT=3&amp;window=popup_no_bar&amp;width=385&amp;height=120&amp;START_MAXIMIZED=FALSE&amp;creator=factset&amp;display_string=Audit"}</definedName>
    <definedName name="_4490__FDSAUDITLINK__" hidden="1">{"fdsup://Directions/FactSet Auditing Viewer?action=AUDIT_VALUE&amp;DB=129&amp;ID1=03822W40&amp;VALUEID=02001&amp;SDATE=200603&amp;PERIODTYPE=QTR_STD&amp;SCFT=3&amp;window=popup_no_bar&amp;width=385&amp;height=120&amp;START_MAXIMIZED=FALSE&amp;creator=factset&amp;display_string=Audit"}</definedName>
    <definedName name="_4491__FDSAUDITLINK__" hidden="1">{"fdsup://Directions/FactSet Auditing Viewer?action=AUDIT_VALUE&amp;DB=129&amp;ID1=03822W40&amp;VALUEID=02001&amp;SDATE=200602&amp;PERIODTYPE=QTR_STD&amp;SCFT=3&amp;window=popup_no_bar&amp;width=385&amp;height=120&amp;START_MAXIMIZED=FALSE&amp;creator=factset&amp;display_string=Audit"}</definedName>
    <definedName name="_4492__FDSAUDITLINK__" hidden="1">{"fdsup://Directions/FactSet Auditing Viewer?action=AUDIT_VALUE&amp;DB=129&amp;ID1=03822W40&amp;VALUEID=02001&amp;SDATE=200602&amp;PERIODTYPE=QTR_STD&amp;SCFT=3&amp;window=popup_no_bar&amp;width=385&amp;height=120&amp;START_MAXIMIZED=FALSE&amp;creator=factset&amp;display_string=Audit"}</definedName>
    <definedName name="_4493__FDSAUDITLINK__" hidden="1">{"fdsup://Directions/FactSet Auditing Viewer?action=AUDIT_VALUE&amp;DB=129&amp;ID1=03822W40&amp;VALUEID=02001&amp;SDATE=200601&amp;PERIODTYPE=QTR_STD&amp;SCFT=3&amp;window=popup_no_bar&amp;width=385&amp;height=120&amp;START_MAXIMIZED=FALSE&amp;creator=factset&amp;display_string=Audit"}</definedName>
    <definedName name="_4494__FDSAUDITLINK__" hidden="1">{"fdsup://Directions/FactSet Auditing Viewer?action=AUDIT_VALUE&amp;DB=129&amp;ID1=03822W40&amp;VALUEID=02001&amp;SDATE=200601&amp;PERIODTYPE=QTR_STD&amp;SCFT=3&amp;window=popup_no_bar&amp;width=385&amp;height=120&amp;START_MAXIMIZED=FALSE&amp;creator=factset&amp;display_string=Audit"}</definedName>
    <definedName name="_4495__FDSAUDITLINK__" hidden="1">{"fdsup://Directions/FactSet Auditing Viewer?action=AUDIT_VALUE&amp;DB=129&amp;ID1=03822W40&amp;VALUEID=02001&amp;SDATE=200503&amp;PERIODTYPE=QTR_STD&amp;SCFT=3&amp;window=popup_no_bar&amp;width=385&amp;height=120&amp;START_MAXIMIZED=FALSE&amp;creator=factset&amp;display_string=Audit"}</definedName>
    <definedName name="_4496__FDSAUDITLINK__" hidden="1">{"fdsup://Directions/FactSet Auditing Viewer?action=AUDIT_VALUE&amp;DB=129&amp;ID1=03822W40&amp;VALUEID=02001&amp;SDATE=200503&amp;PERIODTYPE=QTR_STD&amp;SCFT=3&amp;window=popup_no_bar&amp;width=385&amp;height=120&amp;START_MAXIMIZED=FALSE&amp;creator=factset&amp;display_string=Audit"}</definedName>
    <definedName name="_4497__FDSAUDITLINK__" hidden="1">{"fdsup://Directions/FactSet Auditing Viewer?action=AUDIT_VALUE&amp;DB=129&amp;ID1=03822W40&amp;VALUEID=02001&amp;SDATE=200502&amp;PERIODTYPE=QTR_STD&amp;SCFT=3&amp;window=popup_no_bar&amp;width=385&amp;height=120&amp;START_MAXIMIZED=FALSE&amp;creator=factset&amp;display_string=Audit"}</definedName>
    <definedName name="_4498__FDSAUDITLINK__" hidden="1">{"fdsup://Directions/FactSet Auditing Viewer?action=AUDIT_VALUE&amp;DB=129&amp;ID1=03822W40&amp;VALUEID=02001&amp;SDATE=200502&amp;PERIODTYPE=QTR_STD&amp;SCFT=3&amp;window=popup_no_bar&amp;width=385&amp;height=120&amp;START_MAXIMIZED=FALSE&amp;creator=factset&amp;display_string=Audit"}</definedName>
    <definedName name="_4499__FDSAUDITLINK__" hidden="1">{"fdsup://Directions/FactSet Auditing Viewer?action=AUDIT_VALUE&amp;DB=129&amp;ID1=03822W40&amp;VALUEID=02001&amp;SDATE=200501&amp;PERIODTYPE=QTR_STD&amp;SCFT=3&amp;window=popup_no_bar&amp;width=385&amp;height=120&amp;START_MAXIMIZED=FALSE&amp;creator=factset&amp;display_string=Audit"}</definedName>
    <definedName name="_45__FDSAUDITLINK__" hidden="1">{"fdsup://directions/FAT Viewer?action=UPDATE&amp;creator=factset&amp;DYN_ARGS=TRUE&amp;DOC_NAME=FAT:FQL_AUDITING_CLIENT_TEMPLATE.FAT&amp;display_string=Audit&amp;VAR:KEY=OJCHMBCVON&amp;VAR:QUERY=RkZfU0hTX0ZMT0FUKEFOTiw0MDYwMik=&amp;WINDOW=FIRST_POPUP&amp;HEIGHT=450&amp;WIDTH=450&amp;START_MAXIMI","ZED=FALSE&amp;VAR:CALENDAR=US&amp;VAR:SYMBOL=LVS&amp;VAR:INDEX=0"}</definedName>
    <definedName name="_450__FDSAUDITLINK__" hidden="1">{"fdsup://Directions/FactSet Auditing Viewer?action=AUDIT_VALUE&amp;DB=129&amp;ID1=92849730&amp;VALUEID=02001&amp;SDATE=201003&amp;PERIODTYPE=QTR_STD&amp;SCFT=3&amp;window=popup_no_bar&amp;width=385&amp;height=120&amp;START_MAXIMIZED=FALSE&amp;creator=factset&amp;display_string=Audit"}</definedName>
    <definedName name="_4500__FDSAUDITLINK__" hidden="1">{"fdsup://Directions/FactSet Auditing Viewer?action=AUDIT_VALUE&amp;DB=129&amp;ID1=03822W40&amp;VALUEID=02001&amp;SDATE=200501&amp;PERIODTYPE=QTR_STD&amp;SCFT=3&amp;window=popup_no_bar&amp;width=385&amp;height=120&amp;START_MAXIMIZED=FALSE&amp;creator=factset&amp;display_string=Audit"}</definedName>
    <definedName name="_4501__FDSAUDITLINK__" hidden="1">{"fdsup://Directions/FactSet Auditing Viewer?action=AUDIT_VALUE&amp;DB=129&amp;ID1=03822W40&amp;VALUEID=02001&amp;SDATE=200403&amp;PERIODTYPE=QTR_STD&amp;SCFT=3&amp;window=popup_no_bar&amp;width=385&amp;height=120&amp;START_MAXIMIZED=FALSE&amp;creator=factset&amp;display_string=Audit"}</definedName>
    <definedName name="_4502__FDSAUDITLINK__" hidden="1">{"fdsup://Directions/FactSet Auditing Viewer?action=AUDIT_VALUE&amp;DB=129&amp;ID1=03822W40&amp;VALUEID=02001&amp;SDATE=200403&amp;PERIODTYPE=QTR_STD&amp;SCFT=3&amp;window=popup_no_bar&amp;width=385&amp;height=120&amp;START_MAXIMIZED=FALSE&amp;creator=factset&amp;display_string=Audit"}</definedName>
    <definedName name="_4503__FDSAUDITLINK__" hidden="1">{"fdsup://Directions/FactSet Auditing Viewer?action=AUDIT_VALUE&amp;DB=129&amp;ID1=03822W40&amp;VALUEID=02001&amp;SDATE=200402&amp;PERIODTYPE=QTR_STD&amp;SCFT=3&amp;window=popup_no_bar&amp;width=385&amp;height=120&amp;START_MAXIMIZED=FALSE&amp;creator=factset&amp;display_string=Audit"}</definedName>
    <definedName name="_4504__FDSAUDITLINK__" hidden="1">{"fdsup://Directions/FactSet Auditing Viewer?action=AUDIT_VALUE&amp;DB=129&amp;ID1=03822W40&amp;VALUEID=02001&amp;SDATE=200402&amp;PERIODTYPE=QTR_STD&amp;SCFT=3&amp;window=popup_no_bar&amp;width=385&amp;height=120&amp;START_MAXIMIZED=FALSE&amp;creator=factset&amp;display_string=Audit"}</definedName>
    <definedName name="_4505__FDSAUDITLINK__" hidden="1">{"fdsup://Directions/FactSet Auditing Viewer?action=AUDIT_VALUE&amp;DB=129&amp;ID1=03822W40&amp;VALUEID=02001&amp;SDATE=200401&amp;PERIODTYPE=QTR_STD&amp;SCFT=3&amp;window=popup_no_bar&amp;width=385&amp;height=120&amp;START_MAXIMIZED=FALSE&amp;creator=factset&amp;display_string=Audit"}</definedName>
    <definedName name="_4506__FDSAUDITLINK__" hidden="1">{"fdsup://Directions/FactSet Auditing Viewer?action=AUDIT_VALUE&amp;DB=129&amp;ID1=03822W40&amp;VALUEID=02001&amp;SDATE=200401&amp;PERIODTYPE=QTR_STD&amp;SCFT=3&amp;window=popup_no_bar&amp;width=385&amp;height=120&amp;START_MAXIMIZED=FALSE&amp;creator=factset&amp;display_string=Audit"}</definedName>
    <definedName name="_4507__FDSAUDITLINK__" hidden="1">{"fdsup://Directions/FactSet Auditing Viewer?action=AUDIT_VALUE&amp;DB=129&amp;ID1=03822210&amp;VALUEID=02001&amp;SDATE=200802&amp;PERIODTYPE=QTR_STD&amp;SCFT=3&amp;window=popup_no_bar&amp;width=385&amp;height=120&amp;START_MAXIMIZED=FALSE&amp;creator=factset&amp;display_string=Audit"}</definedName>
    <definedName name="_4508__FDSAUDITLINK__" hidden="1">{"fdsup://Directions/FactSet Auditing Viewer?action=AUDIT_VALUE&amp;DB=129&amp;ID1=03822210&amp;VALUEID=02001&amp;SDATE=200802&amp;PERIODTYPE=QTR_STD&amp;SCFT=3&amp;window=popup_no_bar&amp;width=385&amp;height=120&amp;START_MAXIMIZED=FALSE&amp;creator=factset&amp;display_string=Audit"}</definedName>
    <definedName name="_4509__FDSAUDITLINK__" hidden="1">{"fdsup://Directions/FactSet Auditing Viewer?action=AUDIT_VALUE&amp;DB=129&amp;ID1=03822210&amp;VALUEID=02001&amp;SDATE=200801&amp;PERIODTYPE=QTR_STD&amp;SCFT=3&amp;window=popup_no_bar&amp;width=385&amp;height=120&amp;START_MAXIMIZED=FALSE&amp;creator=factset&amp;display_string=Audit"}</definedName>
    <definedName name="_451__FDSAUDITLINK__" hidden="1">{"fdsup://Directions/FactSet Auditing Viewer?action=AUDIT_VALUE&amp;DB=129&amp;ID1=92829810&amp;VALUEID=02001&amp;SDATE=201002&amp;PERIODTYPE=QTR_STD&amp;SCFT=3&amp;window=popup_no_bar&amp;width=385&amp;height=120&amp;START_MAXIMIZED=FALSE&amp;creator=factset&amp;display_string=Audit"}</definedName>
    <definedName name="_4510__FDSAUDITLINK__" hidden="1">{"fdsup://Directions/FactSet Auditing Viewer?action=AUDIT_VALUE&amp;DB=129&amp;ID1=03822210&amp;VALUEID=02001&amp;SDATE=200801&amp;PERIODTYPE=QTR_STD&amp;SCFT=3&amp;window=popup_no_bar&amp;width=385&amp;height=120&amp;START_MAXIMIZED=FALSE&amp;creator=factset&amp;display_string=Audit"}</definedName>
    <definedName name="_4511__FDSAUDITLINK__" hidden="1">{"fdsup://Directions/FactSet Auditing Viewer?action=AUDIT_VALUE&amp;DB=129&amp;ID1=03822210&amp;VALUEID=02001&amp;SDATE=200703&amp;PERIODTYPE=QTR_STD&amp;SCFT=3&amp;window=popup_no_bar&amp;width=385&amp;height=120&amp;START_MAXIMIZED=FALSE&amp;creator=factset&amp;display_string=Audit"}</definedName>
    <definedName name="_4512__FDSAUDITLINK__" hidden="1">{"fdsup://Directions/FactSet Auditing Viewer?action=AUDIT_VALUE&amp;DB=129&amp;ID1=03822210&amp;VALUEID=02001&amp;SDATE=200703&amp;PERIODTYPE=QTR_STD&amp;SCFT=3&amp;window=popup_no_bar&amp;width=385&amp;height=120&amp;START_MAXIMIZED=FALSE&amp;creator=factset&amp;display_string=Audit"}</definedName>
    <definedName name="_4513__FDSAUDITLINK__" hidden="1">{"fdsup://Directions/FactSet Auditing Viewer?action=AUDIT_VALUE&amp;DB=129&amp;ID1=03822210&amp;VALUEID=02001&amp;SDATE=200702&amp;PERIODTYPE=QTR_STD&amp;SCFT=3&amp;window=popup_no_bar&amp;width=385&amp;height=120&amp;START_MAXIMIZED=FALSE&amp;creator=factset&amp;display_string=Audit"}</definedName>
    <definedName name="_4514__FDSAUDITLINK__" hidden="1">{"fdsup://Directions/FactSet Auditing Viewer?action=AUDIT_VALUE&amp;DB=129&amp;ID1=03822210&amp;VALUEID=02001&amp;SDATE=200702&amp;PERIODTYPE=QTR_STD&amp;SCFT=3&amp;window=popup_no_bar&amp;width=385&amp;height=120&amp;START_MAXIMIZED=FALSE&amp;creator=factset&amp;display_string=Audit"}</definedName>
    <definedName name="_4515__FDSAUDITLINK__" hidden="1">{"fdsup://Directions/FactSet Auditing Viewer?action=AUDIT_VALUE&amp;DB=129&amp;ID1=03822210&amp;VALUEID=02001&amp;SDATE=200701&amp;PERIODTYPE=QTR_STD&amp;SCFT=3&amp;window=popup_no_bar&amp;width=385&amp;height=120&amp;START_MAXIMIZED=FALSE&amp;creator=factset&amp;display_string=Audit"}</definedName>
    <definedName name="_4516__FDSAUDITLINK__" hidden="1">{"fdsup://Directions/FactSet Auditing Viewer?action=AUDIT_VALUE&amp;DB=129&amp;ID1=03822210&amp;VALUEID=02001&amp;SDATE=200701&amp;PERIODTYPE=QTR_STD&amp;SCFT=3&amp;window=popup_no_bar&amp;width=385&amp;height=120&amp;START_MAXIMIZED=FALSE&amp;creator=factset&amp;display_string=Audit"}</definedName>
    <definedName name="_4517__FDSAUDITLINK__" hidden="1">{"fdsup://Directions/FactSet Auditing Viewer?action=AUDIT_VALUE&amp;DB=129&amp;ID1=03822210&amp;VALUEID=02001&amp;SDATE=200603&amp;PERIODTYPE=QTR_STD&amp;SCFT=3&amp;window=popup_no_bar&amp;width=385&amp;height=120&amp;START_MAXIMIZED=FALSE&amp;creator=factset&amp;display_string=Audit"}</definedName>
    <definedName name="_4518__FDSAUDITLINK__" hidden="1">{"fdsup://Directions/FactSet Auditing Viewer?action=AUDIT_VALUE&amp;DB=129&amp;ID1=03822210&amp;VALUEID=02001&amp;SDATE=200603&amp;PERIODTYPE=QTR_STD&amp;SCFT=3&amp;window=popup_no_bar&amp;width=385&amp;height=120&amp;START_MAXIMIZED=FALSE&amp;creator=factset&amp;display_string=Audit"}</definedName>
    <definedName name="_4519__FDSAUDITLINK__" hidden="1">{"fdsup://Directions/FactSet Auditing Viewer?action=AUDIT_VALUE&amp;DB=129&amp;ID1=03822210&amp;VALUEID=02001&amp;SDATE=200602&amp;PERIODTYPE=QTR_STD&amp;SCFT=3&amp;window=popup_no_bar&amp;width=385&amp;height=120&amp;START_MAXIMIZED=FALSE&amp;creator=factset&amp;display_string=Audit"}</definedName>
    <definedName name="_452__FDSAUDITLINK__" hidden="1">{"fdsup://Directions/FactSet Auditing Viewer?action=AUDIT_VALUE&amp;DB=129&amp;ID1=92829810&amp;VALUEID=02001&amp;SDATE=201002&amp;PERIODTYPE=QTR_STD&amp;SCFT=3&amp;window=popup_no_bar&amp;width=385&amp;height=120&amp;START_MAXIMIZED=FALSE&amp;creator=factset&amp;display_string=Audit"}</definedName>
    <definedName name="_4520__FDSAUDITLINK__" hidden="1">{"fdsup://Directions/FactSet Auditing Viewer?action=AUDIT_VALUE&amp;DB=129&amp;ID1=03822210&amp;VALUEID=02001&amp;SDATE=200602&amp;PERIODTYPE=QTR_STD&amp;SCFT=3&amp;window=popup_no_bar&amp;width=385&amp;height=120&amp;START_MAXIMIZED=FALSE&amp;creator=factset&amp;display_string=Audit"}</definedName>
    <definedName name="_4521__FDSAUDITLINK__" hidden="1">{"fdsup://Directions/FactSet Auditing Viewer?action=AUDIT_VALUE&amp;DB=129&amp;ID1=03822210&amp;VALUEID=02001&amp;SDATE=200601&amp;PERIODTYPE=QTR_STD&amp;SCFT=3&amp;window=popup_no_bar&amp;width=385&amp;height=120&amp;START_MAXIMIZED=FALSE&amp;creator=factset&amp;display_string=Audit"}</definedName>
    <definedName name="_4522__FDSAUDITLINK__" hidden="1">{"fdsup://Directions/FactSet Auditing Viewer?action=AUDIT_VALUE&amp;DB=129&amp;ID1=03822210&amp;VALUEID=02001&amp;SDATE=200601&amp;PERIODTYPE=QTR_STD&amp;SCFT=3&amp;window=popup_no_bar&amp;width=385&amp;height=120&amp;START_MAXIMIZED=FALSE&amp;creator=factset&amp;display_string=Audit"}</definedName>
    <definedName name="_4523__FDSAUDITLINK__" hidden="1">{"fdsup://Directions/FactSet Auditing Viewer?action=AUDIT_VALUE&amp;DB=129&amp;ID1=03822210&amp;VALUEID=02001&amp;SDATE=200503&amp;PERIODTYPE=QTR_STD&amp;SCFT=3&amp;window=popup_no_bar&amp;width=385&amp;height=120&amp;START_MAXIMIZED=FALSE&amp;creator=factset&amp;display_string=Audit"}</definedName>
    <definedName name="_4524__FDSAUDITLINK__" hidden="1">{"fdsup://Directions/FactSet Auditing Viewer?action=AUDIT_VALUE&amp;DB=129&amp;ID1=03822210&amp;VALUEID=02001&amp;SDATE=200503&amp;PERIODTYPE=QTR_STD&amp;SCFT=3&amp;window=popup_no_bar&amp;width=385&amp;height=120&amp;START_MAXIMIZED=FALSE&amp;creator=factset&amp;display_string=Audit"}</definedName>
    <definedName name="_4525__FDSAUDITLINK__" hidden="1">{"fdsup://Directions/FactSet Auditing Viewer?action=AUDIT_VALUE&amp;DB=129&amp;ID1=03822210&amp;VALUEID=02001&amp;SDATE=200502&amp;PERIODTYPE=QTR_STD&amp;SCFT=3&amp;window=popup_no_bar&amp;width=385&amp;height=120&amp;START_MAXIMIZED=FALSE&amp;creator=factset&amp;display_string=Audit"}</definedName>
    <definedName name="_4526__FDSAUDITLINK__" hidden="1">{"fdsup://Directions/FactSet Auditing Viewer?action=AUDIT_VALUE&amp;DB=129&amp;ID1=03822210&amp;VALUEID=02001&amp;SDATE=200502&amp;PERIODTYPE=QTR_STD&amp;SCFT=3&amp;window=popup_no_bar&amp;width=385&amp;height=120&amp;START_MAXIMIZED=FALSE&amp;creator=factset&amp;display_string=Audit"}</definedName>
    <definedName name="_4527__FDSAUDITLINK__" hidden="1">{"fdsup://Directions/FactSet Auditing Viewer?action=AUDIT_VALUE&amp;DB=129&amp;ID1=03822210&amp;VALUEID=02001&amp;SDATE=200501&amp;PERIODTYPE=QTR_STD&amp;SCFT=3&amp;window=popup_no_bar&amp;width=385&amp;height=120&amp;START_MAXIMIZED=FALSE&amp;creator=factset&amp;display_string=Audit"}</definedName>
    <definedName name="_4528__FDSAUDITLINK__" hidden="1">{"fdsup://Directions/FactSet Auditing Viewer?action=AUDIT_VALUE&amp;DB=129&amp;ID1=03822210&amp;VALUEID=02001&amp;SDATE=200501&amp;PERIODTYPE=QTR_STD&amp;SCFT=3&amp;window=popup_no_bar&amp;width=385&amp;height=120&amp;START_MAXIMIZED=FALSE&amp;creator=factset&amp;display_string=Audit"}</definedName>
    <definedName name="_4529__FDSAUDITLINK__" hidden="1">{"fdsup://Directions/FactSet Auditing Viewer?action=AUDIT_VALUE&amp;DB=129&amp;ID1=03822210&amp;VALUEID=02001&amp;SDATE=200403&amp;PERIODTYPE=QTR_STD&amp;SCFT=3&amp;window=popup_no_bar&amp;width=385&amp;height=120&amp;START_MAXIMIZED=FALSE&amp;creator=factset&amp;display_string=Audit"}</definedName>
    <definedName name="_453__FDSAUDITLINK__" hidden="1">{"fdsup://Directions/FactSet Auditing Viewer?action=AUDIT_VALUE&amp;DB=129&amp;ID1=88250810&amp;VALUEID=02001&amp;SDATE=201002&amp;PERIODTYPE=QTR_STD&amp;SCFT=3&amp;window=popup_no_bar&amp;width=385&amp;height=120&amp;START_MAXIMIZED=FALSE&amp;creator=factset&amp;display_string=Audit"}</definedName>
    <definedName name="_4530__FDSAUDITLINK__" hidden="1">{"fdsup://Directions/FactSet Auditing Viewer?action=AUDIT_VALUE&amp;DB=129&amp;ID1=03822210&amp;VALUEID=02001&amp;SDATE=200403&amp;PERIODTYPE=QTR_STD&amp;SCFT=3&amp;window=popup_no_bar&amp;width=385&amp;height=120&amp;START_MAXIMIZED=FALSE&amp;creator=factset&amp;display_string=Audit"}</definedName>
    <definedName name="_4531__FDSAUDITLINK__" hidden="1">{"fdsup://Directions/FactSet Auditing Viewer?action=AUDIT_VALUE&amp;DB=129&amp;ID1=03822210&amp;VALUEID=02001&amp;SDATE=200402&amp;PERIODTYPE=QTR_STD&amp;SCFT=3&amp;window=popup_no_bar&amp;width=385&amp;height=120&amp;START_MAXIMIZED=FALSE&amp;creator=factset&amp;display_string=Audit"}</definedName>
    <definedName name="_4532__FDSAUDITLINK__" hidden="1">{"fdsup://Directions/FactSet Auditing Viewer?action=AUDIT_VALUE&amp;DB=129&amp;ID1=03822210&amp;VALUEID=02001&amp;SDATE=200402&amp;PERIODTYPE=QTR_STD&amp;SCFT=3&amp;window=popup_no_bar&amp;width=385&amp;height=120&amp;START_MAXIMIZED=FALSE&amp;creator=factset&amp;display_string=Audit"}</definedName>
    <definedName name="_4533__FDSAUDITLINK__" hidden="1">{"fdsup://Directions/FactSet Auditing Viewer?action=AUDIT_VALUE&amp;DB=129&amp;ID1=02144110&amp;VALUEID=02001&amp;SDATE=200801&amp;PERIODTYPE=QTR_STD&amp;SCFT=3&amp;window=popup_no_bar&amp;width=385&amp;height=120&amp;START_MAXIMIZED=FALSE&amp;creator=factset&amp;display_string=Audit"}</definedName>
    <definedName name="_4534__FDSAUDITLINK__" hidden="1">{"fdsup://Directions/FactSet Auditing Viewer?action=AUDIT_VALUE&amp;DB=129&amp;ID1=02144110&amp;VALUEID=02001&amp;SDATE=200801&amp;PERIODTYPE=QTR_STD&amp;SCFT=3&amp;window=popup_no_bar&amp;width=385&amp;height=120&amp;START_MAXIMIZED=FALSE&amp;creator=factset&amp;display_string=Audit"}</definedName>
    <definedName name="_4535__FDSAUDITLINK__" hidden="1">{"fdsup://Directions/FactSet Auditing Viewer?action=AUDIT_VALUE&amp;DB=129&amp;ID1=02144110&amp;VALUEID=02001&amp;SDATE=200703&amp;PERIODTYPE=QTR_STD&amp;SCFT=3&amp;window=popup_no_bar&amp;width=385&amp;height=120&amp;START_MAXIMIZED=FALSE&amp;creator=factset&amp;display_string=Audit"}</definedName>
    <definedName name="_4536__FDSAUDITLINK__" hidden="1">{"fdsup://Directions/FactSet Auditing Viewer?action=AUDIT_VALUE&amp;DB=129&amp;ID1=02144110&amp;VALUEID=02001&amp;SDATE=200703&amp;PERIODTYPE=QTR_STD&amp;SCFT=3&amp;window=popup_no_bar&amp;width=385&amp;height=120&amp;START_MAXIMIZED=FALSE&amp;creator=factset&amp;display_string=Audit"}</definedName>
    <definedName name="_4537__FDSAUDITLINK__" hidden="1">{"fdsup://Directions/FactSet Auditing Viewer?action=AUDIT_VALUE&amp;DB=129&amp;ID1=02144110&amp;VALUEID=02001&amp;SDATE=200702&amp;PERIODTYPE=QTR_STD&amp;SCFT=3&amp;window=popup_no_bar&amp;width=385&amp;height=120&amp;START_MAXIMIZED=FALSE&amp;creator=factset&amp;display_string=Audit"}</definedName>
    <definedName name="_4538__FDSAUDITLINK__" hidden="1">{"fdsup://Directions/FactSet Auditing Viewer?action=AUDIT_VALUE&amp;DB=129&amp;ID1=02144110&amp;VALUEID=02001&amp;SDATE=200702&amp;PERIODTYPE=QTR_STD&amp;SCFT=3&amp;window=popup_no_bar&amp;width=385&amp;height=120&amp;START_MAXIMIZED=FALSE&amp;creator=factset&amp;display_string=Audit"}</definedName>
    <definedName name="_4539__FDSAUDITLINK__" hidden="1">{"fdsup://Directions/FactSet Auditing Viewer?action=AUDIT_VALUE&amp;DB=129&amp;ID1=02144110&amp;VALUEID=02001&amp;SDATE=200701&amp;PERIODTYPE=QTR_STD&amp;SCFT=3&amp;window=popup_no_bar&amp;width=385&amp;height=120&amp;START_MAXIMIZED=FALSE&amp;creator=factset&amp;display_string=Audit"}</definedName>
    <definedName name="_454__FDSAUDITLINK__" hidden="1">{"fdsup://Directions/FactSet Auditing Viewer?action=AUDIT_VALUE&amp;DB=129&amp;ID1=88250810&amp;VALUEID=02001&amp;SDATE=201002&amp;PERIODTYPE=QTR_STD&amp;SCFT=3&amp;window=popup_no_bar&amp;width=385&amp;height=120&amp;START_MAXIMIZED=FALSE&amp;creator=factset&amp;display_string=Audit"}</definedName>
    <definedName name="_4540__FDSAUDITLINK__" hidden="1">{"fdsup://Directions/FactSet Auditing Viewer?action=AUDIT_VALUE&amp;DB=129&amp;ID1=02144110&amp;VALUEID=02001&amp;SDATE=200701&amp;PERIODTYPE=QTR_STD&amp;SCFT=3&amp;window=popup_no_bar&amp;width=385&amp;height=120&amp;START_MAXIMIZED=FALSE&amp;creator=factset&amp;display_string=Audit"}</definedName>
    <definedName name="_4541__FDSAUDITLINK__" hidden="1">{"fdsup://Directions/FactSet Auditing Viewer?action=AUDIT_VALUE&amp;DB=129&amp;ID1=02144110&amp;VALUEID=02001&amp;SDATE=200603&amp;PERIODTYPE=QTR_STD&amp;SCFT=3&amp;window=popup_no_bar&amp;width=385&amp;height=120&amp;START_MAXIMIZED=FALSE&amp;creator=factset&amp;display_string=Audit"}</definedName>
    <definedName name="_4542__FDSAUDITLINK__" hidden="1">{"fdsup://Directions/FactSet Auditing Viewer?action=AUDIT_VALUE&amp;DB=129&amp;ID1=02144110&amp;VALUEID=02001&amp;SDATE=200603&amp;PERIODTYPE=QTR_STD&amp;SCFT=3&amp;window=popup_no_bar&amp;width=385&amp;height=120&amp;START_MAXIMIZED=FALSE&amp;creator=factset&amp;display_string=Audit"}</definedName>
    <definedName name="_4543__FDSAUDITLINK__" hidden="1">{"fdsup://Directions/FactSet Auditing Viewer?action=AUDIT_VALUE&amp;DB=129&amp;ID1=02144110&amp;VALUEID=02001&amp;SDATE=200602&amp;PERIODTYPE=QTR_STD&amp;SCFT=3&amp;window=popup_no_bar&amp;width=385&amp;height=120&amp;START_MAXIMIZED=FALSE&amp;creator=factset&amp;display_string=Audit"}</definedName>
    <definedName name="_4544__FDSAUDITLINK__" hidden="1">{"fdsup://Directions/FactSet Auditing Viewer?action=AUDIT_VALUE&amp;DB=129&amp;ID1=02144110&amp;VALUEID=02001&amp;SDATE=200602&amp;PERIODTYPE=QTR_STD&amp;SCFT=3&amp;window=popup_no_bar&amp;width=385&amp;height=120&amp;START_MAXIMIZED=FALSE&amp;creator=factset&amp;display_string=Audit"}</definedName>
    <definedName name="_4545__FDSAUDITLINK__" hidden="1">{"fdsup://Directions/FactSet Auditing Viewer?action=AUDIT_VALUE&amp;DB=129&amp;ID1=02144110&amp;VALUEID=02001&amp;SDATE=200601&amp;PERIODTYPE=QTR_STD&amp;SCFT=3&amp;window=popup_no_bar&amp;width=385&amp;height=120&amp;START_MAXIMIZED=FALSE&amp;creator=factset&amp;display_string=Audit"}</definedName>
    <definedName name="_4546__FDSAUDITLINK__" hidden="1">{"fdsup://Directions/FactSet Auditing Viewer?action=AUDIT_VALUE&amp;DB=129&amp;ID1=02144110&amp;VALUEID=02001&amp;SDATE=200601&amp;PERIODTYPE=QTR_STD&amp;SCFT=3&amp;window=popup_no_bar&amp;width=385&amp;height=120&amp;START_MAXIMIZED=FALSE&amp;creator=factset&amp;display_string=Audit"}</definedName>
    <definedName name="_4547__FDSAUDITLINK__" hidden="1">{"fdsup://Directions/FactSet Auditing Viewer?action=AUDIT_VALUE&amp;DB=129&amp;ID1=02144110&amp;VALUEID=02001&amp;SDATE=200503&amp;PERIODTYPE=QTR_STD&amp;SCFT=3&amp;window=popup_no_bar&amp;width=385&amp;height=120&amp;START_MAXIMIZED=FALSE&amp;creator=factset&amp;display_string=Audit"}</definedName>
    <definedName name="_4548__FDSAUDITLINK__" hidden="1">{"fdsup://Directions/FactSet Auditing Viewer?action=AUDIT_VALUE&amp;DB=129&amp;ID1=02144110&amp;VALUEID=02001&amp;SDATE=200503&amp;PERIODTYPE=QTR_STD&amp;SCFT=3&amp;window=popup_no_bar&amp;width=385&amp;height=120&amp;START_MAXIMIZED=FALSE&amp;creator=factset&amp;display_string=Audit"}</definedName>
    <definedName name="_4549__FDSAUDITLINK__" hidden="1">{"fdsup://Directions/FactSet Auditing Viewer?action=AUDIT_VALUE&amp;DB=129&amp;ID1=02144110&amp;VALUEID=02001&amp;SDATE=200502&amp;PERIODTYPE=QTR_STD&amp;SCFT=3&amp;window=popup_no_bar&amp;width=385&amp;height=120&amp;START_MAXIMIZED=FALSE&amp;creator=factset&amp;display_string=Audit"}</definedName>
    <definedName name="_455__FDSAUDITLINK__" hidden="1">{"fdsup://Directions/FactSet Auditing Viewer?action=AUDIT_VALUE&amp;DB=129&amp;ID1=89674K10&amp;VALUEID=02001&amp;SDATE=201002&amp;PERIODTYPE=QTR_STD&amp;SCFT=3&amp;window=popup_no_bar&amp;width=385&amp;height=120&amp;START_MAXIMIZED=FALSE&amp;creator=factset&amp;display_string=Audit"}</definedName>
    <definedName name="_4550__FDSAUDITLINK__" hidden="1">{"fdsup://Directions/FactSet Auditing Viewer?action=AUDIT_VALUE&amp;DB=129&amp;ID1=02144110&amp;VALUEID=02001&amp;SDATE=200502&amp;PERIODTYPE=QTR_STD&amp;SCFT=3&amp;window=popup_no_bar&amp;width=385&amp;height=120&amp;START_MAXIMIZED=FALSE&amp;creator=factset&amp;display_string=Audit"}</definedName>
    <definedName name="_4551__FDSAUDITLINK__" hidden="1">{"fdsup://Directions/FactSet Auditing Viewer?action=AUDIT_VALUE&amp;DB=129&amp;ID1=02144110&amp;VALUEID=02001&amp;SDATE=200501&amp;PERIODTYPE=QTR_STD&amp;SCFT=3&amp;window=popup_no_bar&amp;width=385&amp;height=120&amp;START_MAXIMIZED=FALSE&amp;creator=factset&amp;display_string=Audit"}</definedName>
    <definedName name="_4552__FDSAUDITLINK__" hidden="1">{"fdsup://Directions/FactSet Auditing Viewer?action=AUDIT_VALUE&amp;DB=129&amp;ID1=02144110&amp;VALUEID=02001&amp;SDATE=200501&amp;PERIODTYPE=QTR_STD&amp;SCFT=3&amp;window=popup_no_bar&amp;width=385&amp;height=120&amp;START_MAXIMIZED=FALSE&amp;creator=factset&amp;display_string=Audit"}</definedName>
    <definedName name="_4553__FDSAUDITLINK__" hidden="1">{"fdsup://Directions/FactSet Auditing Viewer?action=AUDIT_VALUE&amp;DB=129&amp;ID1=02144110&amp;VALUEID=02001&amp;SDATE=200403&amp;PERIODTYPE=QTR_STD&amp;SCFT=3&amp;window=popup_no_bar&amp;width=385&amp;height=120&amp;START_MAXIMIZED=FALSE&amp;creator=factset&amp;display_string=Audit"}</definedName>
    <definedName name="_4554__FDSAUDITLINK__" hidden="1">{"fdsup://Directions/FactSet Auditing Viewer?action=AUDIT_VALUE&amp;DB=129&amp;ID1=02144110&amp;VALUEID=02001&amp;SDATE=200403&amp;PERIODTYPE=QTR_STD&amp;SCFT=3&amp;window=popup_no_bar&amp;width=385&amp;height=120&amp;START_MAXIMIZED=FALSE&amp;creator=factset&amp;display_string=Audit"}</definedName>
    <definedName name="_4555__FDSAUDITLINK__" hidden="1">{"fdsup://Directions/FactSet Auditing Viewer?action=AUDIT_VALUE&amp;DB=129&amp;ID1=02144110&amp;VALUEID=02001&amp;SDATE=200402&amp;PERIODTYPE=QTR_STD&amp;SCFT=3&amp;window=popup_no_bar&amp;width=385&amp;height=120&amp;START_MAXIMIZED=FALSE&amp;creator=factset&amp;display_string=Audit"}</definedName>
    <definedName name="_4556__FDSAUDITLINK__" hidden="1">{"fdsup://Directions/FactSet Auditing Viewer?action=AUDIT_VALUE&amp;DB=129&amp;ID1=02144110&amp;VALUEID=02001&amp;SDATE=200402&amp;PERIODTYPE=QTR_STD&amp;SCFT=3&amp;window=popup_no_bar&amp;width=385&amp;height=120&amp;START_MAXIMIZED=FALSE&amp;creator=factset&amp;display_string=Audit"}</definedName>
    <definedName name="_4557__FDSAUDITLINK__" hidden="1">{"fdsup://Directions/FactSet Auditing Viewer?action=AUDIT_VALUE&amp;DB=129&amp;ID1=02144110&amp;VALUEID=02001&amp;SDATE=200401&amp;PERIODTYPE=QTR_STD&amp;SCFT=3&amp;window=popup_no_bar&amp;width=385&amp;height=120&amp;START_MAXIMIZED=FALSE&amp;creator=factset&amp;display_string=Audit"}</definedName>
    <definedName name="_4558__FDSAUDITLINK__" hidden="1">{"fdsup://Directions/FactSet Auditing Viewer?action=AUDIT_VALUE&amp;DB=129&amp;ID1=02144110&amp;VALUEID=02001&amp;SDATE=200401&amp;PERIODTYPE=QTR_STD&amp;SCFT=3&amp;window=popup_no_bar&amp;width=385&amp;height=120&amp;START_MAXIMIZED=FALSE&amp;creator=factset&amp;display_string=Audit"}</definedName>
    <definedName name="_4559__FDSAUDITLINK__" hidden="1">{"fdsup://Directions/FactSet Auditing Viewer?action=AUDIT_VALUE&amp;DB=129&amp;ID1=03265410&amp;VALUEID=02001&amp;SDATE=200802&amp;PERIODTYPE=QTR_STD&amp;SCFT=3&amp;window=popup_no_bar&amp;width=385&amp;height=120&amp;START_MAXIMIZED=FALSE&amp;creator=factset&amp;display_string=Audit"}</definedName>
    <definedName name="_456__FDSAUDITLINK__" hidden="1">{"fdsup://Directions/FactSet Auditing Viewer?action=AUDIT_VALUE&amp;DB=129&amp;ID1=89674K10&amp;VALUEID=02001&amp;SDATE=201002&amp;PERIODTYPE=QTR_STD&amp;SCFT=3&amp;window=popup_no_bar&amp;width=385&amp;height=120&amp;START_MAXIMIZED=FALSE&amp;creator=factset&amp;display_string=Audit"}</definedName>
    <definedName name="_4560__FDSAUDITLINK__" hidden="1">{"fdsup://Directions/FactSet Auditing Viewer?action=AUDIT_VALUE&amp;DB=129&amp;ID1=03265410&amp;VALUEID=02001&amp;SDATE=200802&amp;PERIODTYPE=QTR_STD&amp;SCFT=3&amp;window=popup_no_bar&amp;width=385&amp;height=120&amp;START_MAXIMIZED=FALSE&amp;creator=factset&amp;display_string=Audit"}</definedName>
    <definedName name="_4561__FDSAUDITLINK__" hidden="1">{"fdsup://Directions/FactSet Auditing Viewer?action=AUDIT_VALUE&amp;DB=129&amp;ID1=03265410&amp;VALUEID=02001&amp;SDATE=200801&amp;PERIODTYPE=QTR_STD&amp;SCFT=3&amp;window=popup_no_bar&amp;width=385&amp;height=120&amp;START_MAXIMIZED=FALSE&amp;creator=factset&amp;display_string=Audit"}</definedName>
    <definedName name="_4562__FDSAUDITLINK__" hidden="1">{"fdsup://Directions/FactSet Auditing Viewer?action=AUDIT_VALUE&amp;DB=129&amp;ID1=03265410&amp;VALUEID=02001&amp;SDATE=200801&amp;PERIODTYPE=QTR_STD&amp;SCFT=3&amp;window=popup_no_bar&amp;width=385&amp;height=120&amp;START_MAXIMIZED=FALSE&amp;creator=factset&amp;display_string=Audit"}</definedName>
    <definedName name="_4563__FDSAUDITLINK__" hidden="1">{"fdsup://Directions/FactSet Auditing Viewer?action=AUDIT_VALUE&amp;DB=129&amp;ID1=03265410&amp;VALUEID=02001&amp;SDATE=200703&amp;PERIODTYPE=QTR_STD&amp;SCFT=3&amp;window=popup_no_bar&amp;width=385&amp;height=120&amp;START_MAXIMIZED=FALSE&amp;creator=factset&amp;display_string=Audit"}</definedName>
    <definedName name="_4564__FDSAUDITLINK__" hidden="1">{"fdsup://Directions/FactSet Auditing Viewer?action=AUDIT_VALUE&amp;DB=129&amp;ID1=03265410&amp;VALUEID=02001&amp;SDATE=200703&amp;PERIODTYPE=QTR_STD&amp;SCFT=3&amp;window=popup_no_bar&amp;width=385&amp;height=120&amp;START_MAXIMIZED=FALSE&amp;creator=factset&amp;display_string=Audit"}</definedName>
    <definedName name="_4565__FDSAUDITLINK__" hidden="1">{"fdsup://Directions/FactSet Auditing Viewer?action=AUDIT_VALUE&amp;DB=129&amp;ID1=03265410&amp;VALUEID=02001&amp;SDATE=200702&amp;PERIODTYPE=QTR_STD&amp;SCFT=3&amp;window=popup_no_bar&amp;width=385&amp;height=120&amp;START_MAXIMIZED=FALSE&amp;creator=factset&amp;display_string=Audit"}</definedName>
    <definedName name="_4566__FDSAUDITLINK__" hidden="1">{"fdsup://Directions/FactSet Auditing Viewer?action=AUDIT_VALUE&amp;DB=129&amp;ID1=03265410&amp;VALUEID=02001&amp;SDATE=200702&amp;PERIODTYPE=QTR_STD&amp;SCFT=3&amp;window=popup_no_bar&amp;width=385&amp;height=120&amp;START_MAXIMIZED=FALSE&amp;creator=factset&amp;display_string=Audit"}</definedName>
    <definedName name="_4567__FDSAUDITLINK__" hidden="1">{"fdsup://Directions/FactSet Auditing Viewer?action=AUDIT_VALUE&amp;DB=129&amp;ID1=03265410&amp;VALUEID=02001&amp;SDATE=200701&amp;PERIODTYPE=QTR_STD&amp;SCFT=3&amp;window=popup_no_bar&amp;width=385&amp;height=120&amp;START_MAXIMIZED=FALSE&amp;creator=factset&amp;display_string=Audit"}</definedName>
    <definedName name="_4568__FDSAUDITLINK__" hidden="1">{"fdsup://Directions/FactSet Auditing Viewer?action=AUDIT_VALUE&amp;DB=129&amp;ID1=03265410&amp;VALUEID=02001&amp;SDATE=200701&amp;PERIODTYPE=QTR_STD&amp;SCFT=3&amp;window=popup_no_bar&amp;width=385&amp;height=120&amp;START_MAXIMIZED=FALSE&amp;creator=factset&amp;display_string=Audit"}</definedName>
    <definedName name="_4569__FDSAUDITLINK__" hidden="1">{"fdsup://Directions/FactSet Auditing Viewer?action=AUDIT_VALUE&amp;DB=129&amp;ID1=03265410&amp;VALUEID=02001&amp;SDATE=200603&amp;PERIODTYPE=QTR_STD&amp;SCFT=3&amp;window=popup_no_bar&amp;width=385&amp;height=120&amp;START_MAXIMIZED=FALSE&amp;creator=factset&amp;display_string=Audit"}</definedName>
    <definedName name="_457__FDSAUDITLINK__" hidden="1">{"fdsup://Directions/FactSet Auditing Viewer?action=AUDIT_VALUE&amp;DB=129&amp;ID1=83088M10&amp;VALUEID=02001&amp;SDATE=201003&amp;PERIODTYPE=QTR_STD&amp;SCFT=3&amp;window=popup_no_bar&amp;width=385&amp;height=120&amp;START_MAXIMIZED=FALSE&amp;creator=factset&amp;display_string=Audit"}</definedName>
    <definedName name="_4570__FDSAUDITLINK__" hidden="1">{"fdsup://Directions/FactSet Auditing Viewer?action=AUDIT_VALUE&amp;DB=129&amp;ID1=03265410&amp;VALUEID=02001&amp;SDATE=200603&amp;PERIODTYPE=QTR_STD&amp;SCFT=3&amp;window=popup_no_bar&amp;width=385&amp;height=120&amp;START_MAXIMIZED=FALSE&amp;creator=factset&amp;display_string=Audit"}</definedName>
    <definedName name="_4571__FDSAUDITLINK__" hidden="1">{"fdsup://Directions/FactSet Auditing Viewer?action=AUDIT_VALUE&amp;DB=129&amp;ID1=03265410&amp;VALUEID=02001&amp;SDATE=200601&amp;PERIODTYPE=QTR_STD&amp;SCFT=3&amp;window=popup_no_bar&amp;width=385&amp;height=120&amp;START_MAXIMIZED=FALSE&amp;creator=factset&amp;display_string=Audit"}</definedName>
    <definedName name="_4572__FDSAUDITLINK__" hidden="1">{"fdsup://Directions/FactSet Auditing Viewer?action=AUDIT_VALUE&amp;DB=129&amp;ID1=03265410&amp;VALUEID=02001&amp;SDATE=200601&amp;PERIODTYPE=QTR_STD&amp;SCFT=3&amp;window=popup_no_bar&amp;width=385&amp;height=120&amp;START_MAXIMIZED=FALSE&amp;creator=factset&amp;display_string=Audit"}</definedName>
    <definedName name="_4573__FDSAUDITLINK__" hidden="1">{"fdsup://Directions/FactSet Auditing Viewer?action=AUDIT_VALUE&amp;DB=129&amp;ID1=03265410&amp;VALUEID=02001&amp;SDATE=200503&amp;PERIODTYPE=QTR_STD&amp;SCFT=3&amp;window=popup_no_bar&amp;width=385&amp;height=120&amp;START_MAXIMIZED=FALSE&amp;creator=factset&amp;display_string=Audit"}</definedName>
    <definedName name="_4574__FDSAUDITLINK__" hidden="1">{"fdsup://Directions/FactSet Auditing Viewer?action=AUDIT_VALUE&amp;DB=129&amp;ID1=03265410&amp;VALUEID=02001&amp;SDATE=200503&amp;PERIODTYPE=QTR_STD&amp;SCFT=3&amp;window=popup_no_bar&amp;width=385&amp;height=120&amp;START_MAXIMIZED=FALSE&amp;creator=factset&amp;display_string=Audit"}</definedName>
    <definedName name="_4575__FDSAUDITLINK__" hidden="1">{"fdsup://Directions/FactSet Auditing Viewer?action=AUDIT_VALUE&amp;DB=129&amp;ID1=03265410&amp;VALUEID=02001&amp;SDATE=200502&amp;PERIODTYPE=QTR_STD&amp;SCFT=3&amp;window=popup_no_bar&amp;width=385&amp;height=120&amp;START_MAXIMIZED=FALSE&amp;creator=factset&amp;display_string=Audit"}</definedName>
    <definedName name="_4576__FDSAUDITLINK__" hidden="1">{"fdsup://Directions/FactSet Auditing Viewer?action=AUDIT_VALUE&amp;DB=129&amp;ID1=03265410&amp;VALUEID=02001&amp;SDATE=200502&amp;PERIODTYPE=QTR_STD&amp;SCFT=3&amp;window=popup_no_bar&amp;width=385&amp;height=120&amp;START_MAXIMIZED=FALSE&amp;creator=factset&amp;display_string=Audit"}</definedName>
    <definedName name="_4577__FDSAUDITLINK__" hidden="1">{"fdsup://Directions/FactSet Auditing Viewer?action=AUDIT_VALUE&amp;DB=129&amp;ID1=03265410&amp;VALUEID=02001&amp;SDATE=200501&amp;PERIODTYPE=QTR_STD&amp;SCFT=3&amp;window=popup_no_bar&amp;width=385&amp;height=120&amp;START_MAXIMIZED=FALSE&amp;creator=factset&amp;display_string=Audit"}</definedName>
    <definedName name="_4578__FDSAUDITLINK__" hidden="1">{"fdsup://Directions/FactSet Auditing Viewer?action=AUDIT_VALUE&amp;DB=129&amp;ID1=03265410&amp;VALUEID=02001&amp;SDATE=200501&amp;PERIODTYPE=QTR_STD&amp;SCFT=3&amp;window=popup_no_bar&amp;width=385&amp;height=120&amp;START_MAXIMIZED=FALSE&amp;creator=factset&amp;display_string=Audit"}</definedName>
    <definedName name="_4579__FDSAUDITLINK__" hidden="1">{"fdsup://Directions/FactSet Auditing Viewer?action=AUDIT_VALUE&amp;DB=129&amp;ID1=03265410&amp;VALUEID=02001&amp;SDATE=200403&amp;PERIODTYPE=QTR_STD&amp;SCFT=3&amp;window=popup_no_bar&amp;width=385&amp;height=120&amp;START_MAXIMIZED=FALSE&amp;creator=factset&amp;display_string=Audit"}</definedName>
    <definedName name="_458__FDSAUDITLINK__" hidden="1">{"fdsup://Directions/FactSet Auditing Viewer?action=AUDIT_VALUE&amp;DB=129&amp;ID1=83088M10&amp;VALUEID=02001&amp;SDATE=201003&amp;PERIODTYPE=QTR_STD&amp;SCFT=3&amp;window=popup_no_bar&amp;width=385&amp;height=120&amp;START_MAXIMIZED=FALSE&amp;creator=factset&amp;display_string=Audit"}</definedName>
    <definedName name="_4580__FDSAUDITLINK__" hidden="1">{"fdsup://Directions/FactSet Auditing Viewer?action=AUDIT_VALUE&amp;DB=129&amp;ID1=03265410&amp;VALUEID=02001&amp;SDATE=200403&amp;PERIODTYPE=QTR_STD&amp;SCFT=3&amp;window=popup_no_bar&amp;width=385&amp;height=120&amp;START_MAXIMIZED=FALSE&amp;creator=factset&amp;display_string=Audit"}</definedName>
    <definedName name="_4581__FDSAUDITLINK__" hidden="1">{"fdsup://Directions/FactSet Auditing Viewer?action=AUDIT_VALUE&amp;DB=129&amp;ID1=03265410&amp;VALUEID=02001&amp;SDATE=200402&amp;PERIODTYPE=QTR_STD&amp;SCFT=3&amp;window=popup_no_bar&amp;width=385&amp;height=120&amp;START_MAXIMIZED=FALSE&amp;creator=factset&amp;display_string=Audit"}</definedName>
    <definedName name="_4582__FDSAUDITLINK__" hidden="1">{"fdsup://Directions/FactSet Auditing Viewer?action=AUDIT_VALUE&amp;DB=129&amp;ID1=03265410&amp;VALUEID=02001&amp;SDATE=200402&amp;PERIODTYPE=QTR_STD&amp;SCFT=3&amp;window=popup_no_bar&amp;width=385&amp;height=120&amp;START_MAXIMIZED=FALSE&amp;creator=factset&amp;display_string=Audit"}</definedName>
    <definedName name="_4583__FDSAUDITLINK__" hidden="1">{"fdsup://Directions/FactSet Auditing Viewer?action=AUDIT_VALUE&amp;DB=129&amp;ID1=00752J10&amp;VALUEID=02001&amp;SDATE=200801&amp;PERIODTYPE=QTR_STD&amp;SCFT=3&amp;window=popup_no_bar&amp;width=385&amp;height=120&amp;START_MAXIMIZED=FALSE&amp;creator=factset&amp;display_string=Audit"}</definedName>
    <definedName name="_4584__FDSAUDITLINK__" hidden="1">{"fdsup://Directions/FactSet Auditing Viewer?action=AUDIT_VALUE&amp;DB=129&amp;ID1=00752J10&amp;VALUEID=02001&amp;SDATE=200801&amp;PERIODTYPE=QTR_STD&amp;SCFT=3&amp;window=popup_no_bar&amp;width=385&amp;height=120&amp;START_MAXIMIZED=FALSE&amp;creator=factset&amp;display_string=Audit"}</definedName>
    <definedName name="_4585__FDSAUDITLINK__" hidden="1">{"fdsup://Directions/FactSet Auditing Viewer?action=AUDIT_VALUE&amp;DB=129&amp;ID1=00752J10&amp;VALUEID=02001&amp;SDATE=200703&amp;PERIODTYPE=QTR_STD&amp;SCFT=3&amp;window=popup_no_bar&amp;width=385&amp;height=120&amp;START_MAXIMIZED=FALSE&amp;creator=factset&amp;display_string=Audit"}</definedName>
    <definedName name="_4586__FDSAUDITLINK__" hidden="1">{"fdsup://Directions/FactSet Auditing Viewer?action=AUDIT_VALUE&amp;DB=129&amp;ID1=00752J10&amp;VALUEID=02001&amp;SDATE=200703&amp;PERIODTYPE=QTR_STD&amp;SCFT=3&amp;window=popup_no_bar&amp;width=385&amp;height=120&amp;START_MAXIMIZED=FALSE&amp;creator=factset&amp;display_string=Audit"}</definedName>
    <definedName name="_4587__FDSAUDITLINK__" hidden="1">{"fdsup://Directions/FactSet Auditing Viewer?action=AUDIT_VALUE&amp;DB=129&amp;ID1=00752J10&amp;VALUEID=02001&amp;SDATE=200702&amp;PERIODTYPE=QTR_STD&amp;SCFT=3&amp;window=popup_no_bar&amp;width=385&amp;height=120&amp;START_MAXIMIZED=FALSE&amp;creator=factset&amp;display_string=Audit"}</definedName>
    <definedName name="_4588__FDSAUDITLINK__" hidden="1">{"fdsup://Directions/FactSet Auditing Viewer?action=AUDIT_VALUE&amp;DB=129&amp;ID1=00752J10&amp;VALUEID=02001&amp;SDATE=200702&amp;PERIODTYPE=QTR_STD&amp;SCFT=3&amp;window=popup_no_bar&amp;width=385&amp;height=120&amp;START_MAXIMIZED=FALSE&amp;creator=factset&amp;display_string=Audit"}</definedName>
    <definedName name="_4589__FDSAUDITLINK__" hidden="1">{"fdsup://Directions/FactSet Auditing Viewer?action=AUDIT_VALUE&amp;DB=129&amp;ID1=00752J10&amp;VALUEID=02001&amp;SDATE=200701&amp;PERIODTYPE=QTR_STD&amp;SCFT=3&amp;window=popup_no_bar&amp;width=385&amp;height=120&amp;START_MAXIMIZED=FALSE&amp;creator=factset&amp;display_string=Audit"}</definedName>
    <definedName name="_459__FDSAUDITLINK__" hidden="1">{"fdsup://Directions/FactSet Auditing Viewer?action=AUDIT_VALUE&amp;DB=129&amp;ID1=G7945M10&amp;VALUEID=02001&amp;SDATE=201004&amp;PERIODTYPE=QTR_STD&amp;SCFT=3&amp;window=popup_no_bar&amp;width=385&amp;height=120&amp;START_MAXIMIZED=FALSE&amp;creator=factset&amp;display_string=Audit"}</definedName>
    <definedName name="_4590__FDSAUDITLINK__" hidden="1">{"fdsup://Directions/FactSet Auditing Viewer?action=AUDIT_VALUE&amp;DB=129&amp;ID1=00752J10&amp;VALUEID=02001&amp;SDATE=200701&amp;PERIODTYPE=QTR_STD&amp;SCFT=3&amp;window=popup_no_bar&amp;width=385&amp;height=120&amp;START_MAXIMIZED=FALSE&amp;creator=factset&amp;display_string=Audit"}</definedName>
    <definedName name="_4591__FDSAUDITLINK__" hidden="1">{"fdsup://Directions/FactSet Auditing Viewer?action=AUDIT_VALUE&amp;DB=129&amp;ID1=00752J10&amp;VALUEID=02001&amp;SDATE=200603&amp;PERIODTYPE=QTR_STD&amp;SCFT=3&amp;window=popup_no_bar&amp;width=385&amp;height=120&amp;START_MAXIMIZED=FALSE&amp;creator=factset&amp;display_string=Audit"}</definedName>
    <definedName name="_4592__FDSAUDITLINK__" hidden="1">{"fdsup://Directions/FactSet Auditing Viewer?action=AUDIT_VALUE&amp;DB=129&amp;ID1=00752J10&amp;VALUEID=02001&amp;SDATE=200603&amp;PERIODTYPE=QTR_STD&amp;SCFT=3&amp;window=popup_no_bar&amp;width=385&amp;height=120&amp;START_MAXIMIZED=FALSE&amp;creator=factset&amp;display_string=Audit"}</definedName>
    <definedName name="_4593__FDSAUDITLINK__" hidden="1">{"fdsup://Directions/FactSet Auditing Viewer?action=AUDIT_VALUE&amp;DB=129&amp;ID1=00752J10&amp;VALUEID=02001&amp;SDATE=200602&amp;PERIODTYPE=QTR_STD&amp;SCFT=3&amp;window=popup_no_bar&amp;width=385&amp;height=120&amp;START_MAXIMIZED=FALSE&amp;creator=factset&amp;display_string=Audit"}</definedName>
    <definedName name="_4594__FDSAUDITLINK__" hidden="1">{"fdsup://Directions/FactSet Auditing Viewer?action=AUDIT_VALUE&amp;DB=129&amp;ID1=00752J10&amp;VALUEID=02001&amp;SDATE=200602&amp;PERIODTYPE=QTR_STD&amp;SCFT=3&amp;window=popup_no_bar&amp;width=385&amp;height=120&amp;START_MAXIMIZED=FALSE&amp;creator=factset&amp;display_string=Audit"}</definedName>
    <definedName name="_4595__FDSAUDITLINK__" hidden="1">{"fdsup://Directions/FactSet Auditing Viewer?action=AUDIT_VALUE&amp;DB=129&amp;ID1=00752J10&amp;VALUEID=02001&amp;SDATE=200601&amp;PERIODTYPE=QTR_STD&amp;SCFT=3&amp;window=popup_no_bar&amp;width=385&amp;height=120&amp;START_MAXIMIZED=FALSE&amp;creator=factset&amp;display_string=Audit"}</definedName>
    <definedName name="_4596__FDSAUDITLINK__" hidden="1">{"fdsup://Directions/FactSet Auditing Viewer?action=AUDIT_VALUE&amp;DB=129&amp;ID1=00752J10&amp;VALUEID=02001&amp;SDATE=200601&amp;PERIODTYPE=QTR_STD&amp;SCFT=3&amp;window=popup_no_bar&amp;width=385&amp;height=120&amp;START_MAXIMIZED=FALSE&amp;creator=factset&amp;display_string=Audit"}</definedName>
    <definedName name="_4597__FDSAUDITLINK__" hidden="1">{"fdsup://Directions/FactSet Auditing Viewer?action=AUDIT_VALUE&amp;DB=129&amp;ID1=00752J10&amp;VALUEID=02001&amp;SDATE=200503&amp;PERIODTYPE=QTR_STD&amp;SCFT=3&amp;window=popup_no_bar&amp;width=385&amp;height=120&amp;START_MAXIMIZED=FALSE&amp;creator=factset&amp;display_string=Audit"}</definedName>
    <definedName name="_4598__FDSAUDITLINK__" hidden="1">{"fdsup://Directions/FactSet Auditing Viewer?action=AUDIT_VALUE&amp;DB=129&amp;ID1=00752J10&amp;VALUEID=02001&amp;SDATE=200503&amp;PERIODTYPE=QTR_STD&amp;SCFT=3&amp;window=popup_no_bar&amp;width=385&amp;height=120&amp;START_MAXIMIZED=FALSE&amp;creator=factset&amp;display_string=Audit"}</definedName>
    <definedName name="_4599__FDSAUDITLINK__" hidden="1">{"fdsup://Directions/FactSet Auditing Viewer?action=AUDIT_VALUE&amp;DB=129&amp;ID1=00752J10&amp;VALUEID=02001&amp;SDATE=200502&amp;PERIODTYPE=QTR_STD&amp;SCFT=3&amp;window=popup_no_bar&amp;width=385&amp;height=120&amp;START_MAXIMIZED=FALSE&amp;creator=factset&amp;display_string=Audit"}</definedName>
    <definedName name="_46__FDSAUDITLINK__" hidden="1">{"fdsup://directions/FAT Viewer?action=UPDATE&amp;creator=factset&amp;DYN_ARGS=TRUE&amp;DOC_NAME=FAT:FQL_AUDITING_CLIENT_TEMPLATE.FAT&amp;display_string=Audit&amp;VAR:KEY=SRKPGXGFCD&amp;VAR:QUERY=RkZfU0hTX0ZMT0FUKEFOTiw0MDU3NCk=&amp;WINDOW=FIRST_POPUP&amp;HEIGHT=450&amp;WIDTH=450&amp;START_MAXIMI","ZED=FALSE&amp;VAR:CALENDAR=US&amp;VAR:SYMBOL=LVS&amp;VAR:INDEX=0"}</definedName>
    <definedName name="_460__FDSAUDITLINK__" hidden="1">{"fdsup://Directions/FactSet Auditing Viewer?action=AUDIT_VALUE&amp;DB=129&amp;ID1=G7945M10&amp;VALUEID=02001&amp;SDATE=201004&amp;PERIODTYPE=QTR_STD&amp;SCFT=3&amp;window=popup_no_bar&amp;width=385&amp;height=120&amp;START_MAXIMIZED=FALSE&amp;creator=factset&amp;display_string=Audit"}</definedName>
    <definedName name="_4600__FDSAUDITLINK__" hidden="1">{"fdsup://Directions/FactSet Auditing Viewer?action=AUDIT_VALUE&amp;DB=129&amp;ID1=00752J10&amp;VALUEID=02001&amp;SDATE=200502&amp;PERIODTYPE=QTR_STD&amp;SCFT=3&amp;window=popup_no_bar&amp;width=385&amp;height=120&amp;START_MAXIMIZED=FALSE&amp;creator=factset&amp;display_string=Audit"}</definedName>
    <definedName name="_4601__FDSAUDITLINK__" hidden="1">{"fdsup://Directions/FactSet Auditing Viewer?action=AUDIT_VALUE&amp;DB=129&amp;ID1=03265410&amp;VALUEID=02001&amp;SDATE=201102&amp;PERIODTYPE=QTR_STD&amp;SCFT=3&amp;window=popup_no_bar&amp;width=385&amp;height=120&amp;START_MAXIMIZED=FALSE&amp;creator=factset&amp;display_string=Audit"}</definedName>
    <definedName name="_4602__FDSAUDITLINK__" hidden="1">{"fdsup://Directions/FactSet Auditing Viewer?action=AUDIT_VALUE&amp;DB=129&amp;ID1=03265410&amp;VALUEID=05194&amp;SDATE=201102&amp;PERIODTYPE=QTR_STD&amp;SCFT=3&amp;window=popup_no_bar&amp;width=385&amp;height=120&amp;START_MAXIMIZED=FALSE&amp;creator=factset&amp;display_string=Audit"}</definedName>
    <definedName name="_4603__FDSAUDITLINK__" hidden="1">{"fdsup://Directions/FactSet Auditing Viewer?action=AUDIT_VALUE&amp;DB=129&amp;ID1=74752510&amp;VALUEID=02001&amp;SDATE=201102&amp;PERIODTYPE=QTR_STD&amp;SCFT=3&amp;window=popup_no_bar&amp;width=385&amp;height=120&amp;START_MAXIMIZED=FALSE&amp;creator=factset&amp;display_string=Audit"}</definedName>
    <definedName name="_4604__FDSAUDITLINK__" hidden="1">{"fdsup://Directions/FactSet Auditing Viewer?action=AUDIT_VALUE&amp;DB=129&amp;ID1=67066G10&amp;VALUEID=02001&amp;SDATE=201101&amp;PERIODTYPE=QTR_STD&amp;SCFT=3&amp;window=popup_no_bar&amp;width=385&amp;height=120&amp;START_MAXIMIZED=FALSE&amp;creator=factset&amp;display_string=Audit"}</definedName>
    <definedName name="_4605__FDSAUDITLINK__" hidden="1">{"fdsup://Directions/FactSet Auditing Viewer?action=AUDIT_VALUE&amp;DB=129&amp;ID1=74752510&amp;VALUEID=05194&amp;SDATE=201102&amp;PERIODTYPE=QTR_STD&amp;SCFT=3&amp;window=popup_no_bar&amp;width=385&amp;height=120&amp;START_MAXIMIZED=FALSE&amp;creator=factset&amp;display_string=Audit"}</definedName>
    <definedName name="_4606__FDSAUDITLINK__" hidden="1">{"fdsup://Directions/FactSet Auditing Viewer?action=AUDIT_VALUE&amp;DB=129&amp;ID1=67066G10&amp;VALUEID=05194&amp;SDATE=201101&amp;PERIODTYPE=QTR_STD&amp;SCFT=3&amp;window=popup_no_bar&amp;width=385&amp;height=120&amp;START_MAXIMIZED=FALSE&amp;creator=factset&amp;display_string=Audit"}</definedName>
    <definedName name="_4607__FDSAUDITLINK__" hidden="1">{"fdsup://Directions/FactSet Auditing Viewer?action=AUDIT_VALUE&amp;DB=129&amp;ID1=637248&amp;VALUEID=02001&amp;SDATE=201101&amp;PERIODTYPE=QTR_STD&amp;SCFT=3&amp;window=popup_no_bar&amp;width=385&amp;height=120&amp;START_MAXIMIZED=FALSE&amp;creator=factset&amp;display_string=Audit"}</definedName>
    <definedName name="_4608__FDSAUDITLINK__" hidden="1">{"fdsup://Directions/FactSet Auditing Viewer?action=AUDIT_VALUE&amp;DB=129&amp;ID1=45814010&amp;VALUEID=02001&amp;SDATE=201101&amp;PERIODTYPE=QTR_STD&amp;SCFT=3&amp;window=popup_no_bar&amp;width=385&amp;height=120&amp;START_MAXIMIZED=FALSE&amp;creator=factset&amp;display_string=Audit"}</definedName>
    <definedName name="_4609__FDSAUDITLINK__" hidden="1">{"fdsup://Directions/FactSet Auditing Viewer?action=AUDIT_VALUE&amp;DB=129&amp;ID1=45814010&amp;VALUEID=05194&amp;SDATE=201101&amp;PERIODTYPE=QTR_STD&amp;SCFT=3&amp;window=popup_no_bar&amp;width=385&amp;height=120&amp;START_MAXIMIZED=FALSE&amp;creator=factset&amp;display_string=Audit"}</definedName>
    <definedName name="_461__FDSAUDITLINK__" hidden="1">{"fdsup://Directions/FactSet Auditing Viewer?action=AUDIT_VALUE&amp;DB=129&amp;ID1=78477410&amp;VALUEID=02001&amp;SDATE=201002&amp;PERIODTYPE=QTR_STD&amp;SCFT=3&amp;window=popup_no_bar&amp;width=385&amp;height=120&amp;START_MAXIMIZED=FALSE&amp;creator=factset&amp;display_string=Audit"}</definedName>
    <definedName name="_462__FDSAUDITLINK__" hidden="1">{"fdsup://Directions/FactSet Auditing Viewer?action=AUDIT_VALUE&amp;DB=129&amp;ID1=78477410&amp;VALUEID=02001&amp;SDATE=201002&amp;PERIODTYPE=QTR_STD&amp;SCFT=3&amp;window=popup_no_bar&amp;width=385&amp;height=120&amp;START_MAXIMIZED=FALSE&amp;creator=factset&amp;display_string=Audit"}</definedName>
    <definedName name="_463__FDSAUDITLINK__" hidden="1">{"fdsup://Directions/FactSet Auditing Viewer?action=AUDIT_VALUE&amp;DB=129&amp;ID1=87160710&amp;VALUEID=02001&amp;SDATE=201003&amp;PERIODTYPE=QTR_STD&amp;SCFT=3&amp;window=popup_no_bar&amp;width=385&amp;height=120&amp;START_MAXIMIZED=FALSE&amp;creator=factset&amp;display_string=Audit"}</definedName>
    <definedName name="_464__FDSAUDITLINK__" hidden="1">{"fdsup://Directions/FactSet Auditing Viewer?action=AUDIT_VALUE&amp;DB=129&amp;ID1=87160710&amp;VALUEID=02001&amp;SDATE=201003&amp;PERIODTYPE=QTR_STD&amp;SCFT=3&amp;window=popup_no_bar&amp;width=385&amp;height=120&amp;START_MAXIMIZED=FALSE&amp;creator=factset&amp;display_string=Audit"}</definedName>
    <definedName name="_465__FDSAUDITLINK__" hidden="1">{"fdsup://Directions/FactSet Auditing Viewer?action=AUDIT_VALUE&amp;DB=129&amp;ID1=80004C10&amp;VALUEID=02001&amp;SDATE=201002&amp;PERIODTYPE=QTR_STD&amp;SCFT=3&amp;window=popup_no_bar&amp;width=385&amp;height=120&amp;START_MAXIMIZED=FALSE&amp;creator=factset&amp;display_string=Audit"}</definedName>
    <definedName name="_466__FDSAUDITLINK__" hidden="1">{"fdsup://Directions/FactSet Auditing Viewer?action=AUDIT_VALUE&amp;DB=129&amp;ID1=80004C10&amp;VALUEID=02001&amp;SDATE=201002&amp;PERIODTYPE=QTR_STD&amp;SCFT=3&amp;window=popup_no_bar&amp;width=385&amp;height=120&amp;START_MAXIMIZED=FALSE&amp;creator=factset&amp;display_string=Audit"}</definedName>
    <definedName name="_467__FDSAUDITLINK__" hidden="1">{"fdsup://Directions/FactSet Auditing Viewer?action=AUDIT_VALUE&amp;DB=129&amp;ID1=81685010&amp;VALUEID=02001&amp;SDATE=201002&amp;PERIODTYPE=QTR_STD&amp;SCFT=3&amp;window=popup_no_bar&amp;width=385&amp;height=120&amp;START_MAXIMIZED=FALSE&amp;creator=factset&amp;display_string=Audit"}</definedName>
    <definedName name="_468__FDSAUDITLINK__" hidden="1">{"fdsup://Directions/FactSet Auditing Viewer?action=AUDIT_VALUE&amp;DB=129&amp;ID1=81685010&amp;VALUEID=02001&amp;SDATE=201002&amp;PERIODTYPE=QTR_STD&amp;SCFT=3&amp;window=popup_no_bar&amp;width=385&amp;height=120&amp;START_MAXIMIZED=FALSE&amp;creator=factset&amp;display_string=Audit"}</definedName>
    <definedName name="_469__FDSAUDITLINK__" hidden="1">{"fdsup://Directions/FactSet Auditing Viewer?action=AUDIT_VALUE&amp;DB=129&amp;ID1=82691910&amp;VALUEID=02001&amp;SDATE=201002&amp;PERIODTYPE=QTR_STD&amp;SCFT=3&amp;window=popup_no_bar&amp;width=385&amp;height=120&amp;START_MAXIMIZED=FALSE&amp;creator=factset&amp;display_string=Audit"}</definedName>
    <definedName name="_47__FDSAUDITLINK__" hidden="1">{"fdsup://directions/FAT Viewer?action=UPDATE&amp;creator=factset&amp;DYN_ARGS=TRUE&amp;DOC_NAME=FAT:FQL_AUDITING_CLIENT_TEMPLATE.FAT&amp;display_string=Audit&amp;VAR:KEY=WBIHUVUBQT&amp;VAR:QUERY=RkZfU0hTX0ZMT0FUKEFOTiwp&amp;WINDOW=FIRST_POPUP&amp;HEIGHT=450&amp;WIDTH=450&amp;START_MAXIMIZED=FALS","E&amp;VAR:CALENDAR=US&amp;VAR:SYMBOL=MGM&amp;VAR:INDEX=0"}</definedName>
    <definedName name="_470__FDSAUDITLINK__" hidden="1">{"fdsup://Directions/FactSet Auditing Viewer?action=AUDIT_VALUE&amp;DB=129&amp;ID1=82691910&amp;VALUEID=02001&amp;SDATE=201002&amp;PERIODTYPE=QTR_STD&amp;SCFT=3&amp;window=popup_no_bar&amp;width=385&amp;height=120&amp;START_MAXIMIZED=FALSE&amp;creator=factset&amp;display_string=Audit"}</definedName>
    <definedName name="_471__FDSAUDITLINK__" hidden="1">{"fdsup://Directions/FactSet Auditing Viewer?action=AUDIT_VALUE&amp;DB=129&amp;ID1=82705T10&amp;VALUEID=02001&amp;SDATE=201002&amp;PERIODTYPE=QTR_STD&amp;SCFT=3&amp;window=popup_no_bar&amp;width=385&amp;height=120&amp;START_MAXIMIZED=FALSE&amp;creator=factset&amp;display_string=Audit"}</definedName>
    <definedName name="_472__FDSAUDITLINK__" hidden="1">{"fdsup://Directions/FactSet Auditing Viewer?action=AUDIT_VALUE&amp;DB=129&amp;ID1=82705T10&amp;VALUEID=02001&amp;SDATE=201002&amp;PERIODTYPE=QTR_STD&amp;SCFT=3&amp;window=popup_no_bar&amp;width=385&amp;height=120&amp;START_MAXIMIZED=FALSE&amp;creator=factset&amp;display_string=Audit"}</definedName>
    <definedName name="_473__FDSAUDITLINK__" hidden="1">{"fdsup://Directions/FactSet Auditing Viewer?action=AUDIT_VALUE&amp;DB=129&amp;ID1=75091710&amp;VALUEID=02001&amp;SDATE=201002&amp;PERIODTYPE=QTR_STD&amp;SCFT=3&amp;window=popup_no_bar&amp;width=385&amp;height=120&amp;START_MAXIMIZED=FALSE&amp;creator=factset&amp;display_string=Audit"}</definedName>
    <definedName name="_474__FDSAUDITLINK__" hidden="1">{"fdsup://Directions/FactSet Auditing Viewer?action=AUDIT_VALUE&amp;DB=129&amp;ID1=75091710&amp;VALUEID=02001&amp;SDATE=201002&amp;PERIODTYPE=QTR_STD&amp;SCFT=3&amp;window=popup_no_bar&amp;width=385&amp;height=120&amp;START_MAXIMIZED=FALSE&amp;creator=factset&amp;display_string=Audit"}</definedName>
    <definedName name="_475__FDSAUDITLINK__" hidden="1">{"fdsup://Directions/FactSet Auditing Viewer?action=AUDIT_VALUE&amp;DB=129&amp;ID1=74994110&amp;VALUEID=02001&amp;SDATE=201001&amp;PERIODTYPE=QTR_STD&amp;SCFT=3&amp;window=popup_no_bar&amp;width=385&amp;height=120&amp;START_MAXIMIZED=FALSE&amp;creator=factset&amp;display_string=Audit"}</definedName>
    <definedName name="_476__FDSAUDITLINK__" hidden="1">{"fdsup://Directions/FactSet Auditing Viewer?action=AUDIT_VALUE&amp;DB=129&amp;ID1=74994110&amp;VALUEID=02001&amp;SDATE=201001&amp;PERIODTYPE=QTR_STD&amp;SCFT=3&amp;window=popup_no_bar&amp;width=385&amp;height=120&amp;START_MAXIMIZED=FALSE&amp;creator=factset&amp;display_string=Audit"}</definedName>
    <definedName name="_477__FDSAUDITLINK__" hidden="1">{"fdsup://Directions/FactSet Auditing Viewer?action=AUDIT_VALUE&amp;DB=129&amp;ID1=74727710&amp;VALUEID=02001&amp;SDATE=201001&amp;PERIODTYPE=QTR_STD&amp;SCFT=3&amp;window=popup_no_bar&amp;width=385&amp;height=120&amp;START_MAXIMIZED=FALSE&amp;creator=factset&amp;display_string=Audit"}</definedName>
    <definedName name="_478__FDSAUDITLINK__" hidden="1">{"fdsup://Directions/FactSet Auditing Viewer?action=AUDIT_VALUE&amp;DB=129&amp;ID1=74727710&amp;VALUEID=02001&amp;SDATE=201001&amp;PERIODTYPE=QTR_STD&amp;SCFT=3&amp;window=popup_no_bar&amp;width=385&amp;height=120&amp;START_MAXIMIZED=FALSE&amp;creator=factset&amp;display_string=Audit"}</definedName>
    <definedName name="_479__FDSAUDITLINK__" hidden="1">{"fdsup://Directions/FactSet Auditing Viewer?action=AUDIT_VALUE&amp;DB=129&amp;ID1=74752510&amp;VALUEID=02001&amp;SDATE=201003&amp;PERIODTYPE=QTR_STD&amp;SCFT=3&amp;window=popup_no_bar&amp;width=385&amp;height=120&amp;START_MAXIMIZED=FALSE&amp;creator=factset&amp;display_string=Audit"}</definedName>
    <definedName name="_48__FDSAUDITLINK__" hidden="1">{"fdsup://directions/FAT Viewer?action=UPDATE&amp;creator=factset&amp;DYN_ARGS=TRUE&amp;DOC_NAME=FAT:FQL_AUDITING_CLIENT_TEMPLATE.FAT&amp;display_string=Audit&amp;VAR:KEY=WBIHUVUBQT&amp;VAR:QUERY=RkZfU0hTX0ZMT0FUKEFOTiwp&amp;WINDOW=FIRST_POPUP&amp;HEIGHT=450&amp;WIDTH=450&amp;START_MAXIMIZED=FALS","E&amp;VAR:CALENDAR=US&amp;VAR:SYMBOL=MGM&amp;VAR:INDEX=0"}</definedName>
    <definedName name="_480__FDSAUDITLINK__" hidden="1">{"fdsup://Directions/FactSet Auditing Viewer?action=AUDIT_VALUE&amp;DB=129&amp;ID1=74752510&amp;VALUEID=02001&amp;SDATE=201003&amp;PERIODTYPE=QTR_STD&amp;SCFT=3&amp;window=popup_no_bar&amp;width=385&amp;height=120&amp;START_MAXIMIZED=FALSE&amp;creator=factset&amp;display_string=Audit"}</definedName>
    <definedName name="_481__FDSAUDITLINK__" hidden="1">{"fdsup://Directions/FactSet Auditing Viewer?action=AUDIT_VALUE&amp;DB=129&amp;ID1=72581M30&amp;VALUEID=02001&amp;SDATE=201002&amp;PERIODTYPE=QTR_STD&amp;SCFT=3&amp;window=popup_no_bar&amp;width=385&amp;height=120&amp;START_MAXIMIZED=FALSE&amp;creator=factset&amp;display_string=Audit"}</definedName>
    <definedName name="_482__FDSAUDITLINK__" hidden="1">{"fdsup://Directions/FactSet Auditing Viewer?action=AUDIT_VALUE&amp;DB=129&amp;ID1=72581M30&amp;VALUEID=02001&amp;SDATE=201002&amp;PERIODTYPE=QTR_STD&amp;SCFT=3&amp;window=popup_no_bar&amp;width=385&amp;height=120&amp;START_MAXIMIZED=FALSE&amp;creator=factset&amp;display_string=Audit"}</definedName>
    <definedName name="_483__FDSAUDITLINK__" hidden="1">{"fdsup://Directions/FactSet Auditing Viewer?action=AUDIT_VALUE&amp;DB=129&amp;ID1=73927610&amp;VALUEID=02001&amp;SDATE=201002&amp;PERIODTYPE=QTR_STD&amp;SCFT=3&amp;window=popup_no_bar&amp;width=385&amp;height=120&amp;START_MAXIMIZED=FALSE&amp;creator=factset&amp;display_string=Audit"}</definedName>
    <definedName name="_484__FDSAUDITLINK__" hidden="1">{"fdsup://Directions/FactSet Auditing Viewer?action=AUDIT_VALUE&amp;DB=129&amp;ID1=73927610&amp;VALUEID=02001&amp;SDATE=201002&amp;PERIODTYPE=QTR_STD&amp;SCFT=3&amp;window=popup_no_bar&amp;width=385&amp;height=120&amp;START_MAXIMIZED=FALSE&amp;creator=factset&amp;display_string=Audit"}</definedName>
    <definedName name="_485__FDSAUDITLINK__" hidden="1">{"fdsup://Directions/FactSet Auditing Viewer?action=AUDIT_VALUE&amp;DB=129&amp;ID1=69344F10&amp;VALUEID=02001&amp;SDATE=201002&amp;PERIODTYPE=QTR_STD&amp;SCFT=3&amp;window=popup_no_bar&amp;width=385&amp;height=120&amp;START_MAXIMIZED=FALSE&amp;creator=factset&amp;display_string=Audit"}</definedName>
    <definedName name="_486__FDSAUDITLINK__" hidden="1">{"fdsup://Directions/FactSet Auditing Viewer?action=AUDIT_VALUE&amp;DB=129&amp;ID1=69344F10&amp;VALUEID=02001&amp;SDATE=201002&amp;PERIODTYPE=QTR_STD&amp;SCFT=3&amp;window=popup_no_bar&amp;width=385&amp;height=120&amp;START_MAXIMIZED=FALSE&amp;creator=factset&amp;display_string=Audit"}</definedName>
    <definedName name="_487__FDSAUDITLINK__" hidden="1">{"fdsup://Directions/FactSet Auditing Viewer?action=AUDIT_VALUE&amp;DB=129&amp;ID1=69341710&amp;VALUEID=02001&amp;SDATE=201002&amp;PERIODTYPE=QTR_STD&amp;SCFT=3&amp;window=popup_no_bar&amp;width=385&amp;height=120&amp;START_MAXIMIZED=FALSE&amp;creator=factset&amp;display_string=Audit"}</definedName>
    <definedName name="_488__FDSAUDITLINK__" hidden="1">{"fdsup://Directions/FactSet Auditing Viewer?action=AUDIT_VALUE&amp;DB=129&amp;ID1=69341710&amp;VALUEID=02001&amp;SDATE=201002&amp;PERIODTYPE=QTR_STD&amp;SCFT=3&amp;window=popup_no_bar&amp;width=385&amp;height=120&amp;START_MAXIMIZED=FALSE&amp;creator=factset&amp;display_string=Audit"}</definedName>
    <definedName name="_489__FDSAUDITLINK__" hidden="1">{"fdsup://Directions/FactSet Auditing Viewer?action=AUDIT_VALUE&amp;DB=129&amp;ID1=68218910&amp;VALUEID=02001&amp;SDATE=201002&amp;PERIODTYPE=QTR_STD&amp;SCFT=3&amp;window=popup_no_bar&amp;width=385&amp;height=120&amp;START_MAXIMIZED=FALSE&amp;creator=factset&amp;display_string=Audit"}</definedName>
    <definedName name="_49__FDSAUDITLINK__" hidden="1">{"fdsup://directions/FAT Viewer?action=UPDATE&amp;creator=factset&amp;DYN_ARGS=TRUE&amp;DOC_NAME=FAT:FQL_AUDITING_CLIENT_TEMPLATE.FAT&amp;display_string=Audit&amp;VAR:KEY=WBIHUVUBQT&amp;VAR:QUERY=RkZfU0hTX0ZMT0FUKEFOTiwp&amp;WINDOW=FIRST_POPUP&amp;HEIGHT=450&amp;WIDTH=450&amp;START_MAXIMIZED=FALS","E&amp;VAR:CALENDAR=US&amp;VAR:SYMBOL=MGM&amp;VAR:INDEX=0"}</definedName>
    <definedName name="_490__FDSAUDITLINK__" hidden="1">{"fdsup://Directions/FactSet Auditing Viewer?action=AUDIT_VALUE&amp;DB=129&amp;ID1=68218910&amp;VALUEID=02001&amp;SDATE=201002&amp;PERIODTYPE=QTR_STD&amp;SCFT=3&amp;window=popup_no_bar&amp;width=385&amp;height=120&amp;START_MAXIMIZED=FALSE&amp;creator=factset&amp;display_string=Audit"}</definedName>
    <definedName name="_491__FDSAUDITLINK__" hidden="1">{"fdsup://Directions/FactSet Auditing Viewer?action=AUDIT_VALUE&amp;DB=129&amp;ID1=B505PN&amp;VALUEID=02001&amp;SDATE=201002&amp;PERIODTYPE=QTR_STD&amp;SCFT=3&amp;window=popup_no_bar&amp;width=385&amp;height=120&amp;START_MAXIMIZED=FALSE&amp;creator=factset&amp;display_string=Audit"}</definedName>
    <definedName name="_492__FDSAUDITLINK__" hidden="1">{"fdsup://Directions/FactSet Auditing Viewer?action=AUDIT_VALUE&amp;DB=129&amp;ID1=B505PN&amp;VALUEID=02001&amp;SDATE=201002&amp;PERIODTYPE=QTR_STD&amp;SCFT=3&amp;window=popup_no_bar&amp;width=385&amp;height=120&amp;START_MAXIMIZED=FALSE&amp;creator=factset&amp;display_string=Audit"}</definedName>
    <definedName name="_493__FDSAUDITLINK__" hidden="1">{"fdsup://Directions/FactSet Auditing Viewer?action=AUDIT_VALUE&amp;DB=129&amp;ID1=67000810&amp;VALUEID=02001&amp;SDATE=201002&amp;PERIODTYPE=QTR_STD&amp;SCFT=3&amp;window=popup_no_bar&amp;width=385&amp;height=120&amp;START_MAXIMIZED=FALSE&amp;creator=factset&amp;display_string=Audit"}</definedName>
    <definedName name="_494__FDSAUDITLINK__" hidden="1">{"fdsup://Directions/FactSet Auditing Viewer?action=AUDIT_VALUE&amp;DB=129&amp;ID1=67000810&amp;VALUEID=02001&amp;SDATE=201002&amp;PERIODTYPE=QTR_STD&amp;SCFT=3&amp;window=popup_no_bar&amp;width=385&amp;height=120&amp;START_MAXIMIZED=FALSE&amp;creator=factset&amp;display_string=Audit"}</definedName>
    <definedName name="_495__FDSAUDITLINK__" hidden="1">{"fdsup://Directions/FactSet Auditing Viewer?action=AUDIT_VALUE&amp;DB=129&amp;ID1=67066G10&amp;VALUEID=02001&amp;SDATE=201002&amp;PERIODTYPE=QTR_STD&amp;SCFT=3&amp;window=popup_no_bar&amp;width=385&amp;height=120&amp;START_MAXIMIZED=FALSE&amp;creator=factset&amp;display_string=Audit"}</definedName>
    <definedName name="_496__FDSAUDITLINK__" hidden="1">{"fdsup://Directions/FactSet Auditing Viewer?action=AUDIT_VALUE&amp;DB=129&amp;ID1=67066G10&amp;VALUEID=02001&amp;SDATE=201002&amp;PERIODTYPE=QTR_STD&amp;SCFT=3&amp;window=popup_no_bar&amp;width=385&amp;height=120&amp;START_MAXIMIZED=FALSE&amp;creator=factset&amp;display_string=Audit"}</definedName>
    <definedName name="_497__FDSAUDITLINK__" hidden="1">{"fdsup://Directions/FactSet Auditing Viewer?action=AUDIT_VALUE&amp;DB=129&amp;ID1=64118B10&amp;VALUEID=02001&amp;SDATE=201002&amp;PERIODTYPE=QTR_STD&amp;SCFT=3&amp;window=popup_no_bar&amp;width=385&amp;height=120&amp;START_MAXIMIZED=FALSE&amp;creator=factset&amp;display_string=Audit"}</definedName>
    <definedName name="_498__FDSAUDITLINK__" hidden="1">{"fdsup://Directions/FactSet Auditing Viewer?action=AUDIT_VALUE&amp;DB=129&amp;ID1=64118B10&amp;VALUEID=02001&amp;SDATE=201002&amp;PERIODTYPE=QTR_STD&amp;SCFT=3&amp;window=popup_no_bar&amp;width=385&amp;height=120&amp;START_MAXIMIZED=FALSE&amp;creator=factset&amp;display_string=Audit"}</definedName>
    <definedName name="_499__FDSAUDITLINK__" hidden="1">{"fdsup://Directions/FactSet Auditing Viewer?action=AUDIT_VALUE&amp;DB=129&amp;ID1=57772K10&amp;VALUEID=02001&amp;SDATE=201004&amp;PERIODTYPE=QTR_STD&amp;SCFT=3&amp;window=popup_no_bar&amp;width=385&amp;height=120&amp;START_MAXIMIZED=FALSE&amp;creator=factset&amp;display_string=Audit"}</definedName>
    <definedName name="_5__123Graph_AR_M_MARGINS" hidden="1">#REF!</definedName>
    <definedName name="_5__123Graph_BR_M_VOLUMES" hidden="1">#REF!</definedName>
    <definedName name="_5__FDSAUDITLINK__" hidden="1">{"fdsup://directions/FAT Viewer?action=UPDATE&amp;creator=factset&amp;DYN_ARGS=TRUE&amp;DOC_NAME=FAT:FQL_AUDITING_CLIENT_TEMPLATE.FAT&amp;display_string=Audit&amp;VAR:KEY=WZKBOHYPWT&amp;VAR:QUERY=RkZfU0hTX0ZMT0FUKEFOTiwp&amp;WINDOW=FIRST_POPUP&amp;HEIGHT=450&amp;WIDTH=450&amp;START_MAXIMIZED=FALS","E&amp;VAR:CALENDAR=US&amp;VAR:SYMBOL=MGM RESORTS INT'L&amp;VAR:INDEX=0"}</definedName>
    <definedName name="_5_Small_Signal_Discrete">#REF!</definedName>
    <definedName name="_5_Total_Small_Signal_Discrete">#REF!</definedName>
    <definedName name="_50__FDSAUDITLINK__" hidden="1">{"fdsup://directions/FAT Viewer?action=UPDATE&amp;creator=factset&amp;DYN_ARGS=TRUE&amp;DOC_NAME=FAT:FQL_AUDITING_CLIENT_TEMPLATE.FAT&amp;display_string=Audit&amp;VAR:KEY=WBIHUVUBQT&amp;VAR:QUERY=RkZfU0hTX0ZMT0FUKEFOTiwp&amp;WINDOW=FIRST_POPUP&amp;HEIGHT=450&amp;WIDTH=450&amp;START_MAXIMIZED=FALS","E&amp;VAR:CALENDAR=US&amp;VAR:SYMBOL=MGM&amp;VAR:INDEX=0"}</definedName>
    <definedName name="_500__FDSAUDITLINK__" hidden="1">{"fdsup://Directions/FactSet Auditing Viewer?action=AUDIT_VALUE&amp;DB=129&amp;ID1=57772K10&amp;VALUEID=02001&amp;SDATE=201004&amp;PERIODTYPE=QTR_STD&amp;SCFT=3&amp;window=popup_no_bar&amp;width=385&amp;height=120&amp;START_MAXIMIZED=FALSE&amp;creator=factset&amp;display_string=Audit"}</definedName>
    <definedName name="_501__FDSAUDITLINK__" hidden="1">{"fdsup://Directions/FactSet Auditing Viewer?action=AUDIT_VALUE&amp;DB=129&amp;ID1=59511210&amp;VALUEID=02001&amp;SDATE=201003&amp;PERIODTYPE=QTR_STD&amp;SCFT=3&amp;window=popup_no_bar&amp;width=385&amp;height=120&amp;START_MAXIMIZED=FALSE&amp;creator=factset&amp;display_string=Audit"}</definedName>
    <definedName name="_502__FDSAUDITLINK__" hidden="1">{"fdsup://Directions/FactSet Auditing Viewer?action=AUDIT_VALUE&amp;DB=129&amp;ID1=59511210&amp;VALUEID=02001&amp;SDATE=201003&amp;PERIODTYPE=QTR_STD&amp;SCFT=3&amp;window=popup_no_bar&amp;width=385&amp;height=120&amp;START_MAXIMIZED=FALSE&amp;creator=factset&amp;display_string=Audit"}</definedName>
    <definedName name="_503__FDSAUDITLINK__" hidden="1">{"fdsup://Directions/FactSet Auditing Viewer?action=AUDIT_VALUE&amp;DB=129&amp;ID1=59513710&amp;VALUEID=02001&amp;SDATE=201003&amp;PERIODTYPE=QTR_STD&amp;SCFT=3&amp;window=popup_no_bar&amp;width=385&amp;height=120&amp;START_MAXIMIZED=FALSE&amp;creator=factset&amp;display_string=Audit"}</definedName>
    <definedName name="_504__FDSAUDITLINK__" hidden="1">{"fdsup://Directions/FactSet Auditing Viewer?action=AUDIT_VALUE&amp;DB=129&amp;ID1=59513710&amp;VALUEID=02001&amp;SDATE=201003&amp;PERIODTYPE=QTR_STD&amp;SCFT=3&amp;window=popup_no_bar&amp;width=385&amp;height=120&amp;START_MAXIMIZED=FALSE&amp;creator=factset&amp;display_string=Audit"}</definedName>
    <definedName name="_505__FDSAUDITLINK__" hidden="1">{"fdsup://Directions/FactSet Auditing Viewer?action=AUDIT_VALUE&amp;DB=129&amp;ID1=G5876H10&amp;VALUEID=02001&amp;SDATE=201002&amp;PERIODTYPE=QTR_STD&amp;SCFT=3&amp;window=popup_no_bar&amp;width=385&amp;height=120&amp;START_MAXIMIZED=FALSE&amp;creator=factset&amp;display_string=Audit"}</definedName>
    <definedName name="_506__FDSAUDITLINK__" hidden="1">{"fdsup://Directions/FactSet Auditing Viewer?action=AUDIT_VALUE&amp;DB=129&amp;ID1=G5876H10&amp;VALUEID=02001&amp;SDATE=201002&amp;PERIODTYPE=QTR_STD&amp;SCFT=3&amp;window=popup_no_bar&amp;width=385&amp;height=120&amp;START_MAXIMIZED=FALSE&amp;creator=factset&amp;display_string=Audit"}</definedName>
    <definedName name="_507__FDSAUDITLINK__" hidden="1">{"fdsup://Directions/FactSet Auditing Viewer?action=AUDIT_VALUE&amp;DB=129&amp;ID1=62007630&amp;VALUEID=02001&amp;SDATE=201002&amp;PERIODTYPE=QTR_STD&amp;SCFT=3&amp;window=popup_no_bar&amp;width=385&amp;height=120&amp;START_MAXIMIZED=FALSE&amp;creator=factset&amp;display_string=Audit"}</definedName>
    <definedName name="_508__FDSAUDITLINK__" hidden="1">{"fdsup://Directions/FactSet Auditing Viewer?action=AUDIT_VALUE&amp;DB=129&amp;ID1=62007630&amp;VALUEID=02001&amp;SDATE=201002&amp;PERIODTYPE=QTR_STD&amp;SCFT=3&amp;window=popup_no_bar&amp;width=385&amp;height=120&amp;START_MAXIMIZED=FALSE&amp;creator=factset&amp;display_string=Audit"}</definedName>
    <definedName name="_509__FDSAUDITLINK__" hidden="1">{"fdsup://Directions/FactSet Auditing Viewer?action=AUDIT_VALUE&amp;DB=129&amp;ID1=60456710&amp;VALUEID=02001&amp;SDATE=201004&amp;PERIODTYPE=QTR_STD&amp;SCFT=3&amp;window=popup_no_bar&amp;width=385&amp;height=120&amp;START_MAXIMIZED=FALSE&amp;creator=factset&amp;display_string=Audit"}</definedName>
    <definedName name="_51__FDSAUDITLINK__" hidden="1">{"fdsup://directions/FAT Viewer?action=UPDATE&amp;creator=factset&amp;DYN_ARGS=TRUE&amp;DOC_NAME=FAT:FQL_AUDITING_CLIENT_TEMPLATE.FAT&amp;display_string=Audit&amp;VAR:KEY=WBIHUVUBQT&amp;VAR:QUERY=RkZfU0hTX0ZMT0FUKEFOTiwp&amp;WINDOW=FIRST_POPUP&amp;HEIGHT=450&amp;WIDTH=450&amp;START_MAXIMIZED=FALS","E&amp;VAR:CALENDAR=US&amp;VAR:SYMBOL=MGM&amp;VAR:INDEX=0"}</definedName>
    <definedName name="_510__FDSAUDITLINK__" hidden="1">{"fdsup://Directions/FactSet Auditing Viewer?action=AUDIT_VALUE&amp;DB=129&amp;ID1=60456710&amp;VALUEID=02001&amp;SDATE=201004&amp;PERIODTYPE=QTR_STD&amp;SCFT=3&amp;window=popup_no_bar&amp;width=385&amp;height=120&amp;START_MAXIMIZED=FALSE&amp;creator=factset&amp;display_string=Audit"}</definedName>
    <definedName name="_511__FDSAUDITLINK__" hidden="1">{"fdsup://Directions/FactSet Auditing Viewer?action=AUDIT_VALUE&amp;DB=129&amp;ID1=59479310&amp;VALUEID=02001&amp;SDATE=201002&amp;PERIODTYPE=QTR_STD&amp;SCFT=3&amp;window=popup_no_bar&amp;width=385&amp;height=120&amp;START_MAXIMIZED=FALSE&amp;creator=factset&amp;display_string=Audit"}</definedName>
    <definedName name="_512__FDSAUDITLINK__" hidden="1">{"fdsup://Directions/FactSet Auditing Viewer?action=AUDIT_VALUE&amp;DB=129&amp;ID1=59479310&amp;VALUEID=02001&amp;SDATE=201002&amp;PERIODTYPE=QTR_STD&amp;SCFT=3&amp;window=popup_no_bar&amp;width=385&amp;height=120&amp;START_MAXIMIZED=FALSE&amp;creator=factset&amp;display_string=Audit"}</definedName>
    <definedName name="_513__FDSAUDITLINK__" hidden="1">{"fdsup://Directions/FactSet Auditing Viewer?action=AUDIT_VALUE&amp;DB=129&amp;ID1=59501710&amp;VALUEID=02001&amp;SDATE=201001&amp;PERIODTYPE=QTR_STD&amp;SCFT=3&amp;window=popup_no_bar&amp;width=385&amp;height=120&amp;START_MAXIMIZED=FALSE&amp;creator=factset&amp;display_string=Audit"}</definedName>
    <definedName name="_514__FDSAUDITLINK__" hidden="1">{"fdsup://Directions/FactSet Auditing Viewer?action=AUDIT_VALUE&amp;DB=129&amp;ID1=59501710&amp;VALUEID=02001&amp;SDATE=201001&amp;PERIODTYPE=QTR_STD&amp;SCFT=3&amp;window=popup_no_bar&amp;width=385&amp;height=120&amp;START_MAXIMIZED=FALSE&amp;creator=factset&amp;display_string=Audit"}</definedName>
    <definedName name="_515__FDSAUDITLINK__" hidden="1">{"fdsup://Directions/FactSet Auditing Viewer?action=AUDIT_VALUE&amp;DB=129&amp;ID1=50216110&amp;VALUEID=02001&amp;SDATE=201002&amp;PERIODTYPE=QTR_STD&amp;SCFT=3&amp;window=popup_no_bar&amp;width=385&amp;height=120&amp;START_MAXIMIZED=FALSE&amp;creator=factset&amp;display_string=Audit"}</definedName>
    <definedName name="_516__FDSAUDITLINK__" hidden="1">{"fdsup://Directions/FactSet Auditing Viewer?action=AUDIT_VALUE&amp;DB=129&amp;ID1=50216110&amp;VALUEID=02001&amp;SDATE=201002&amp;PERIODTYPE=QTR_STD&amp;SCFT=3&amp;window=popup_no_bar&amp;width=385&amp;height=120&amp;START_MAXIMIZED=FALSE&amp;creator=factset&amp;display_string=Audit"}</definedName>
    <definedName name="_517__FDSAUDITLINK__" hidden="1">{"fdsup://Directions/FactSet Auditing Viewer?action=AUDIT_VALUE&amp;DB=129&amp;ID1=51841510&amp;VALUEID=02001&amp;SDATE=201002&amp;PERIODTYPE=QTR_STD&amp;SCFT=3&amp;window=popup_no_bar&amp;width=385&amp;height=120&amp;START_MAXIMIZED=FALSE&amp;creator=factset&amp;display_string=Audit"}</definedName>
    <definedName name="_518__FDSAUDITLINK__" hidden="1">{"fdsup://Directions/FactSet Auditing Viewer?action=AUDIT_VALUE&amp;DB=129&amp;ID1=51841510&amp;VALUEID=02001&amp;SDATE=201002&amp;PERIODTYPE=QTR_STD&amp;SCFT=3&amp;window=popup_no_bar&amp;width=385&amp;height=120&amp;START_MAXIMIZED=FALSE&amp;creator=factset&amp;display_string=Audit"}</definedName>
    <definedName name="_519__FDSAUDITLINK__" hidden="1">{"fdsup://Directions/FactSet Auditing Viewer?action=AUDIT_VALUE&amp;DB=129&amp;ID1=51280710&amp;VALUEID=02001&amp;SDATE=201004&amp;PERIODTYPE=QTR_STD&amp;SCFT=3&amp;window=popup_no_bar&amp;width=385&amp;height=120&amp;START_MAXIMIZED=FALSE&amp;creator=factset&amp;display_string=Audit"}</definedName>
    <definedName name="_52__FDSAUDITLINK__" hidden="1">{"fdsup://directions/FAT Viewer?action=UPDATE&amp;creator=factset&amp;DYN_ARGS=TRUE&amp;DOC_NAME=FAT:FQL_AUDITING_CLIENT_TEMPLATE.FAT&amp;display_string=Audit&amp;VAR:KEY=WBIHUVUBQT&amp;VAR:QUERY=RkZfU0hTX0ZMT0FUKEFOTiwp&amp;WINDOW=FIRST_POPUP&amp;HEIGHT=450&amp;WIDTH=450&amp;START_MAXIMIZED=FALS","E&amp;VAR:CALENDAR=US&amp;VAR:SYMBOL=MGM&amp;VAR:INDEX=0"}</definedName>
    <definedName name="_520__FDSAUDITLINK__" hidden="1">{"fdsup://Directions/FactSet Auditing Viewer?action=AUDIT_VALUE&amp;DB=129&amp;ID1=51280710&amp;VALUEID=02001&amp;SDATE=201004&amp;PERIODTYPE=QTR_STD&amp;SCFT=3&amp;window=popup_no_bar&amp;width=385&amp;height=120&amp;START_MAXIMIZED=FALSE&amp;creator=factset&amp;display_string=Audit"}</definedName>
    <definedName name="_521__FDSAUDITLINK__" hidden="1">{"fdsup://Directions/FactSet Auditing Viewer?action=AUDIT_VALUE&amp;DB=129&amp;ID1=53567810&amp;VALUEID=02001&amp;SDATE=201004&amp;PERIODTYPE=QTR_STD&amp;SCFT=3&amp;window=popup_no_bar&amp;width=385&amp;height=120&amp;START_MAXIMIZED=FALSE&amp;creator=factset&amp;display_string=Audit"}</definedName>
    <definedName name="_522__FDSAUDITLINK__" hidden="1">{"fdsup://Directions/FactSet Auditing Viewer?action=AUDIT_VALUE&amp;DB=129&amp;ID1=53567810&amp;VALUEID=02001&amp;SDATE=201004&amp;PERIODTYPE=QTR_STD&amp;SCFT=3&amp;window=popup_no_bar&amp;width=385&amp;height=120&amp;START_MAXIMIZED=FALSE&amp;creator=factset&amp;display_string=Audit"}</definedName>
    <definedName name="_523__FDSAUDITLINK__" hidden="1">{"fdsup://Directions/FactSet Auditing Viewer?action=AUDIT_VALUE&amp;DB=129&amp;ID1=48248010&amp;VALUEID=02001&amp;SDATE=201004&amp;PERIODTYPE=QTR_STD&amp;SCFT=3&amp;window=popup_no_bar&amp;width=385&amp;height=120&amp;START_MAXIMIZED=FALSE&amp;creator=factset&amp;display_string=Audit"}</definedName>
    <definedName name="_524__FDSAUDITLINK__" hidden="1">{"fdsup://Directions/FactSet Auditing Viewer?action=AUDIT_VALUE&amp;DB=129&amp;ID1=48248010&amp;VALUEID=02001&amp;SDATE=201004&amp;PERIODTYPE=QTR_STD&amp;SCFT=3&amp;window=popup_no_bar&amp;width=385&amp;height=120&amp;START_MAXIMIZED=FALSE&amp;creator=factset&amp;display_string=Audit"}</definedName>
    <definedName name="_525__FDSAUDITLINK__" hidden="1">{"fdsup://Directions/FactSet Auditing Viewer?action=AUDIT_VALUE&amp;DB=129&amp;ID1=48836020&amp;VALUEID=02001&amp;SDATE=201001&amp;PERIODTYPE=QTR_STD&amp;SCFT=3&amp;window=popup_no_bar&amp;width=385&amp;height=120&amp;START_MAXIMIZED=FALSE&amp;creator=factset&amp;display_string=Audit"}</definedName>
    <definedName name="_526__FDSAUDITLINK__" hidden="1">{"fdsup://Directions/FactSet Auditing Viewer?action=AUDIT_VALUE&amp;DB=129&amp;ID1=48836020&amp;VALUEID=02001&amp;SDATE=201001&amp;PERIODTYPE=QTR_STD&amp;SCFT=3&amp;window=popup_no_bar&amp;width=385&amp;height=120&amp;START_MAXIMIZED=FALSE&amp;creator=factset&amp;display_string=Audit"}</definedName>
    <definedName name="_527__FDSAUDITLINK__" hidden="1">{"fdsup://Directions/FactSet Auditing Viewer?action=AUDIT_VALUE&amp;DB=129&amp;ID1=48203R10&amp;VALUEID=02001&amp;SDATE=201002&amp;PERIODTYPE=QTR_STD&amp;SCFT=3&amp;window=popup_no_bar&amp;width=385&amp;height=120&amp;START_MAXIMIZED=FALSE&amp;creator=factset&amp;display_string=Audit"}</definedName>
    <definedName name="_528__FDSAUDITLINK__" hidden="1">{"fdsup://Directions/FactSet Auditing Viewer?action=AUDIT_VALUE&amp;DB=129&amp;ID1=48203R10&amp;VALUEID=02001&amp;SDATE=201002&amp;PERIODTYPE=QTR_STD&amp;SCFT=3&amp;window=popup_no_bar&amp;width=385&amp;height=120&amp;START_MAXIMIZED=FALSE&amp;creator=factset&amp;display_string=Audit"}</definedName>
    <definedName name="_529__FDSAUDITLINK__" hidden="1">{"fdsup://Directions/FactSet Auditing Viewer?action=AUDIT_VALUE&amp;DB=129&amp;ID1=46069S10&amp;VALUEID=02001&amp;SDATE=201002&amp;PERIODTYPE=QTR_STD&amp;SCFT=3&amp;window=popup_no_bar&amp;width=385&amp;height=120&amp;START_MAXIMIZED=FALSE&amp;creator=factset&amp;display_string=Audit"}</definedName>
    <definedName name="_53__FDSAUDITLINK__" hidden="1">{"fdsup://directions/FAT Viewer?action=UPDATE&amp;creator=factset&amp;DYN_ARGS=TRUE&amp;DOC_NAME=FAT:FQL_AUDITING_CLIENT_TEMPLATE.FAT&amp;display_string=Audit&amp;VAR:KEY=WBIHUVUBQT&amp;VAR:QUERY=RkZfU0hTX0ZMT0FUKEFOTiwp&amp;WINDOW=FIRST_POPUP&amp;HEIGHT=450&amp;WIDTH=450&amp;START_MAXIMIZED=FALS","E&amp;VAR:CALENDAR=US&amp;VAR:SYMBOL=MGM&amp;VAR:INDEX=0"}</definedName>
    <definedName name="_530__FDSAUDITLINK__" hidden="1">{"fdsup://Directions/FactSet Auditing Viewer?action=AUDIT_VALUE&amp;DB=129&amp;ID1=46069S10&amp;VALUEID=02001&amp;SDATE=201002&amp;PERIODTYPE=QTR_STD&amp;SCFT=3&amp;window=popup_no_bar&amp;width=385&amp;height=120&amp;START_MAXIMIZED=FALSE&amp;creator=factset&amp;display_string=Audit"}</definedName>
    <definedName name="_531__FDSAUDITLINK__" hidden="1">{"fdsup://Directions/FactSet Auditing Viewer?action=AUDIT_VALUE&amp;DB=129&amp;ID1=46025410&amp;VALUEID=02001&amp;SDATE=201004&amp;PERIODTYPE=QTR_STD&amp;SCFT=3&amp;window=popup_no_bar&amp;width=385&amp;height=120&amp;START_MAXIMIZED=FALSE&amp;creator=factset&amp;display_string=Audit"}</definedName>
    <definedName name="_532__FDSAUDITLINK__" hidden="1">{"fdsup://Directions/FactSet Auditing Viewer?action=AUDIT_VALUE&amp;DB=129&amp;ID1=46025410&amp;VALUEID=02001&amp;SDATE=201004&amp;PERIODTYPE=QTR_STD&amp;SCFT=3&amp;window=popup_no_bar&amp;width=385&amp;height=120&amp;START_MAXIMIZED=FALSE&amp;creator=factset&amp;display_string=Audit"}</definedName>
    <definedName name="_533__FDSAUDITLINK__" hidden="1">{"fdsup://Directions/FactSet Auditing Viewer?action=AUDIT_VALUE&amp;DB=129&amp;ID1=45814010&amp;VALUEID=02001&amp;SDATE=201002&amp;PERIODTYPE=QTR_STD&amp;SCFT=3&amp;window=popup_no_bar&amp;width=385&amp;height=120&amp;START_MAXIMIZED=FALSE&amp;creator=factset&amp;display_string=Audit"}</definedName>
    <definedName name="_534__FDSAUDITLINK__" hidden="1">{"fdsup://Directions/FactSet Auditing Viewer?action=AUDIT_VALUE&amp;DB=129&amp;ID1=45814010&amp;VALUEID=02001&amp;SDATE=201002&amp;PERIODTYPE=QTR_STD&amp;SCFT=3&amp;window=popup_no_bar&amp;width=385&amp;height=120&amp;START_MAXIMIZED=FALSE&amp;creator=factset&amp;display_string=Audit"}</definedName>
    <definedName name="_535__FDSAUDITLINK__" hidden="1">{"fdsup://Directions/FactSet Auditing Viewer?action=AUDIT_VALUE&amp;DB=129&amp;ID1=45811810&amp;VALUEID=02001&amp;SDATE=201001&amp;PERIODTYPE=QTR_STD&amp;SCFT=3&amp;window=popup_no_bar&amp;width=385&amp;height=120&amp;START_MAXIMIZED=FALSE&amp;creator=factset&amp;display_string=Audit"}</definedName>
    <definedName name="_536__FDSAUDITLINK__" hidden="1">{"fdsup://Directions/FactSet Auditing Viewer?action=AUDIT_VALUE&amp;DB=129&amp;ID1=45811810&amp;VALUEID=02001&amp;SDATE=201001&amp;PERIODTYPE=QTR_STD&amp;SCFT=3&amp;window=popup_no_bar&amp;width=385&amp;height=120&amp;START_MAXIMIZED=FALSE&amp;creator=factset&amp;display_string=Audit"}</definedName>
    <definedName name="_537__FDSAUDITLINK__" hidden="1">{"fdsup://Directions/FactSet Auditing Viewer?action=AUDIT_VALUE&amp;DB=129&amp;ID1=42823610&amp;VALUEID=02001&amp;SDATE=201003&amp;PERIODTYPE=QTR_STD&amp;SCFT=3&amp;window=popup_no_bar&amp;width=385&amp;height=120&amp;START_MAXIMIZED=FALSE&amp;creator=factset&amp;display_string=Audit"}</definedName>
    <definedName name="_538__FDSAUDITLINK__" hidden="1">{"fdsup://Directions/FactSet Auditing Viewer?action=AUDIT_VALUE&amp;DB=129&amp;ID1=42823610&amp;VALUEID=02001&amp;SDATE=201003&amp;PERIODTYPE=QTR_STD&amp;SCFT=3&amp;window=popup_no_bar&amp;width=385&amp;height=120&amp;START_MAXIMIZED=FALSE&amp;creator=factset&amp;display_string=Audit"}</definedName>
    <definedName name="_539__FDSAUDITLINK__" hidden="1">{"fdsup://Directions/FactSet Auditing Viewer?action=AUDIT_VALUE&amp;DB=129&amp;ID1=H2906T10&amp;VALUEID=02001&amp;SDATE=201002&amp;PERIODTYPE=QTR_STD&amp;SCFT=3&amp;window=popup_no_bar&amp;width=385&amp;height=120&amp;START_MAXIMIZED=FALSE&amp;creator=factset&amp;display_string=Audit"}</definedName>
    <definedName name="_54__FDSAUDITLINK__" hidden="1">{"fdsup://directions/FAT Viewer?action=UPDATE&amp;creator=factset&amp;DYN_ARGS=TRUE&amp;DOC_NAME=FAT:FQL_AUDITING_CLIENT_TEMPLATE.FAT&amp;display_string=Audit&amp;VAR:KEY=WBIHUVUBQT&amp;VAR:QUERY=RkZfU0hTX0ZMT0FUKEFOTiwp&amp;WINDOW=FIRST_POPUP&amp;HEIGHT=450&amp;WIDTH=450&amp;START_MAXIMIZED=FALS","E&amp;VAR:CALENDAR=US&amp;VAR:SYMBOL=MGM&amp;VAR:INDEX=0"}</definedName>
    <definedName name="_540__FDSAUDITLINK__" hidden="1">{"fdsup://Directions/FactSet Auditing Viewer?action=AUDIT_VALUE&amp;DB=129&amp;ID1=H2906T10&amp;VALUEID=02001&amp;SDATE=201002&amp;PERIODTYPE=QTR_STD&amp;SCFT=3&amp;window=popup_no_bar&amp;width=385&amp;height=120&amp;START_MAXIMIZED=FALSE&amp;creator=factset&amp;display_string=Audit"}</definedName>
    <definedName name="_541__FDSAUDITLINK__" hidden="1">{"fdsup://Directions/FactSet Auditing Viewer?action=AUDIT_VALUE&amp;DB=129&amp;ID1=34637510&amp;VALUEID=02001&amp;SDATE=201002&amp;PERIODTYPE=QTR_STD&amp;SCFT=3&amp;window=popup_no_bar&amp;width=385&amp;height=120&amp;START_MAXIMIZED=FALSE&amp;creator=factset&amp;display_string=Audit"}</definedName>
    <definedName name="_542__FDSAUDITLINK__" hidden="1">{"fdsup://Directions/FactSet Auditing Viewer?action=AUDIT_VALUE&amp;DB=129&amp;ID1=34637510&amp;VALUEID=02001&amp;SDATE=201002&amp;PERIODTYPE=QTR_STD&amp;SCFT=3&amp;window=popup_no_bar&amp;width=385&amp;height=120&amp;START_MAXIMIZED=FALSE&amp;creator=factset&amp;display_string=Audit"}</definedName>
    <definedName name="_543__FDSAUDITLINK__" hidden="1">{"fdsup://Directions/FactSet Auditing Viewer?action=AUDIT_VALUE&amp;DB=129&amp;ID1=31561610&amp;VALUEID=02001&amp;SDATE=201003&amp;PERIODTYPE=QTR_STD&amp;SCFT=3&amp;window=popup_no_bar&amp;width=385&amp;height=120&amp;START_MAXIMIZED=FALSE&amp;creator=factset&amp;display_string=Audit"}</definedName>
    <definedName name="_544__FDSAUDITLINK__" hidden="1">{"fdsup://Directions/FactSet Auditing Viewer?action=AUDIT_VALUE&amp;DB=129&amp;ID1=31561610&amp;VALUEID=02001&amp;SDATE=201003&amp;PERIODTYPE=QTR_STD&amp;SCFT=3&amp;window=popup_no_bar&amp;width=385&amp;height=120&amp;START_MAXIMIZED=FALSE&amp;creator=factset&amp;display_string=Audit"}</definedName>
    <definedName name="_545__FDSAUDITLINK__" hidden="1">{"fdsup://Directions/FactSet Auditing Viewer?action=AUDIT_VALUE&amp;DB=129&amp;ID1=29247520&amp;VALUEID=02001&amp;SDATE=201004&amp;PERIODTYPE=QTR_STD&amp;SCFT=3&amp;window=popup_no_bar&amp;width=385&amp;height=120&amp;START_MAXIMIZED=FALSE&amp;creator=factset&amp;display_string=Audit"}</definedName>
    <definedName name="_546__FDSAUDITLINK__" hidden="1">{"fdsup://Directions/FactSet Auditing Viewer?action=AUDIT_VALUE&amp;DB=129&amp;ID1=29247520&amp;VALUEID=02001&amp;SDATE=201004&amp;PERIODTYPE=QTR_STD&amp;SCFT=3&amp;window=popup_no_bar&amp;width=385&amp;height=120&amp;START_MAXIMIZED=FALSE&amp;creator=factset&amp;display_string=Audit"}</definedName>
    <definedName name="_547__FDSAUDITLINK__" hidden="1">{"fdsup://Directions/FactSet Auditing Viewer?action=AUDIT_VALUE&amp;DB=129&amp;ID1=25454310&amp;VALUEID=02001&amp;SDATE=201002&amp;PERIODTYPE=QTR_STD&amp;SCFT=3&amp;window=popup_no_bar&amp;width=385&amp;height=120&amp;START_MAXIMIZED=FALSE&amp;creator=factset&amp;display_string=Audit"}</definedName>
    <definedName name="_548__FDSAUDITLINK__" hidden="1">{"fdsup://Directions/FactSet Auditing Viewer?action=AUDIT_VALUE&amp;DB=129&amp;ID1=25454310&amp;VALUEID=02001&amp;SDATE=201002&amp;PERIODTYPE=QTR_STD&amp;SCFT=3&amp;window=popup_no_bar&amp;width=385&amp;height=120&amp;START_MAXIMIZED=FALSE&amp;creator=factset&amp;display_string=Audit"}</definedName>
    <definedName name="_549__FDSAUDITLINK__" hidden="1">{"fdsup://Directions/FactSet Auditing Viewer?action=AUDIT_VALUE&amp;DB=129&amp;ID1=24702R10&amp;VALUEID=02001&amp;SDATE=201002&amp;PERIODTYPE=QTR_STD&amp;SCFT=3&amp;window=popup_no_bar&amp;width=385&amp;height=120&amp;START_MAXIMIZED=FALSE&amp;creator=factset&amp;display_string=Audit"}</definedName>
    <definedName name="_55__FDSAUDITLINK__" hidden="1">{"fdsup://directions/FAT Viewer?action=UPDATE&amp;creator=factset&amp;DYN_ARGS=TRUE&amp;DOC_NAME=FAT:FQL_AUDITING_CLIENT_TEMPLATE.FAT&amp;display_string=Audit&amp;VAR:KEY=WBIHUVUBQT&amp;VAR:QUERY=RkZfU0hTX0ZMT0FUKEFOTiwp&amp;WINDOW=FIRST_POPUP&amp;HEIGHT=450&amp;WIDTH=450&amp;START_MAXIMIZED=FALS","E&amp;VAR:CALENDAR=US&amp;VAR:SYMBOL=MGM&amp;VAR:INDEX=0"}</definedName>
    <definedName name="_550__FDSAUDITLINK__" hidden="1">{"fdsup://Directions/FactSet Auditing Viewer?action=AUDIT_VALUE&amp;DB=129&amp;ID1=24702R10&amp;VALUEID=02001&amp;SDATE=201002&amp;PERIODTYPE=QTR_STD&amp;SCFT=3&amp;window=popup_no_bar&amp;width=385&amp;height=120&amp;START_MAXIMIZED=FALSE&amp;creator=factset&amp;display_string=Audit"}</definedName>
    <definedName name="_551__FDSAUDITLINK__" hidden="1">{"fdsup://Directions/FactSet Auditing Viewer?action=AUDIT_VALUE&amp;DB=129&amp;ID1=23257210&amp;VALUEID=02001&amp;SDATE=201002&amp;PERIODTYPE=QTR_STD&amp;SCFT=3&amp;window=popup_no_bar&amp;width=385&amp;height=120&amp;START_MAXIMIZED=FALSE&amp;creator=factset&amp;display_string=Audit"}</definedName>
    <definedName name="_552__FDSAUDITLINK__" hidden="1">{"fdsup://Directions/FactSet Auditing Viewer?action=AUDIT_VALUE&amp;DB=129&amp;ID1=23257210&amp;VALUEID=02001&amp;SDATE=201002&amp;PERIODTYPE=QTR_STD&amp;SCFT=3&amp;window=popup_no_bar&amp;width=385&amp;height=120&amp;START_MAXIMIZED=FALSE&amp;creator=factset&amp;display_string=Audit"}</definedName>
    <definedName name="_553__FDSAUDITLINK__" hidden="1">{"fdsup://Directions/FactSet Auditing Viewer?action=AUDIT_VALUE&amp;DB=129&amp;ID1=23280610&amp;VALUEID=02001&amp;SDATE=201002&amp;PERIODTYPE=QTR_STD&amp;SCFT=3&amp;window=popup_no_bar&amp;width=385&amp;height=120&amp;START_MAXIMIZED=FALSE&amp;creator=factset&amp;display_string=Audit"}</definedName>
    <definedName name="_554__FDSAUDITLINK__" hidden="1">{"fdsup://Directions/FactSet Auditing Viewer?action=AUDIT_VALUE&amp;DB=129&amp;ID1=23280610&amp;VALUEID=02001&amp;SDATE=201002&amp;PERIODTYPE=QTR_STD&amp;SCFT=3&amp;window=popup_no_bar&amp;width=385&amp;height=120&amp;START_MAXIMIZED=FALSE&amp;creator=factset&amp;display_string=Audit"}</definedName>
    <definedName name="_555__FDSAUDITLINK__" hidden="1">{"fdsup://Directions/FactSet Auditing Viewer?action=AUDIT_VALUE&amp;DB=129&amp;ID1=17275R10&amp;VALUEID=02001&amp;SDATE=201004&amp;PERIODTYPE=QTR_STD&amp;SCFT=3&amp;window=popup_no_bar&amp;width=385&amp;height=120&amp;START_MAXIMIZED=FALSE&amp;creator=factset&amp;display_string=Audit"}</definedName>
    <definedName name="_556__FDSAUDITLINK__" hidden="1">{"fdsup://Directions/FactSet Auditing Viewer?action=AUDIT_VALUE&amp;DB=129&amp;ID1=17275R10&amp;VALUEID=02001&amp;SDATE=201004&amp;PERIODTYPE=QTR_STD&amp;SCFT=3&amp;window=popup_no_bar&amp;width=385&amp;height=120&amp;START_MAXIMIZED=FALSE&amp;creator=factset&amp;display_string=Audit"}</definedName>
    <definedName name="_557__FDSAUDITLINK__" hidden="1">{"fdsup://Directions/FactSet Auditing Viewer?action=AUDIT_VALUE&amp;DB=129&amp;ID1=22544710&amp;VALUEID=02001&amp;SDATE=201004&amp;PERIODTYPE=QTR_STD&amp;SCFT=3&amp;window=popup_no_bar&amp;width=385&amp;height=120&amp;START_MAXIMIZED=FALSE&amp;creator=factset&amp;display_string=Audit"}</definedName>
    <definedName name="_558__FDSAUDITLINK__" hidden="1">{"fdsup://Directions/FactSet Auditing Viewer?action=AUDIT_VALUE&amp;DB=129&amp;ID1=22544710&amp;VALUEID=02001&amp;SDATE=201004&amp;PERIODTYPE=QTR_STD&amp;SCFT=3&amp;window=popup_no_bar&amp;width=385&amp;height=120&amp;START_MAXIMIZED=FALSE&amp;creator=factset&amp;display_string=Audit"}</definedName>
    <definedName name="_559__FDSAUDITLINK__" hidden="1">{"fdsup://Directions/FactSet Auditing Viewer?action=AUDIT_VALUE&amp;DB=129&amp;ID1=20714230&amp;VALUEID=02001&amp;SDATE=201003&amp;PERIODTYPE=QTR_STD&amp;SCFT=3&amp;window=popup_no_bar&amp;width=385&amp;height=120&amp;START_MAXIMIZED=FALSE&amp;creator=factset&amp;display_string=Audit"}</definedName>
    <definedName name="_56__FDSAUDITLINK__" hidden="1">{"fdsup://directions/FAT Viewer?action=UPDATE&amp;creator=factset&amp;DYN_ARGS=TRUE&amp;DOC_NAME=FAT:FQL_AUDITING_CLIENT_TEMPLATE.FAT&amp;display_string=Audit&amp;VAR:KEY=WBIHUVUBQT&amp;VAR:QUERY=RkZfU0hTX0ZMT0FUKEFOTiwp&amp;WINDOW=FIRST_POPUP&amp;HEIGHT=450&amp;WIDTH=450&amp;START_MAXIMIZED=FALS","E&amp;VAR:CALENDAR=US&amp;VAR:SYMBOL=MGM&amp;VAR:INDEX=0"}</definedName>
    <definedName name="_560__FDSAUDITLINK__" hidden="1">{"fdsup://Directions/FactSet Auditing Viewer?action=AUDIT_VALUE&amp;DB=129&amp;ID1=20714230&amp;VALUEID=02001&amp;SDATE=201003&amp;PERIODTYPE=QTR_STD&amp;SCFT=3&amp;window=popup_no_bar&amp;width=385&amp;height=120&amp;START_MAXIMIZED=FALSE&amp;creator=factset&amp;display_string=Audit"}</definedName>
    <definedName name="_561__FDSAUDITLINK__" hidden="1">{"fdsup://Directions/FactSet Auditing Viewer?action=AUDIT_VALUE&amp;DB=129&amp;ID1=12738710&amp;VALUEID=02001&amp;SDATE=201002&amp;PERIODTYPE=QTR_STD&amp;SCFT=3&amp;window=popup_no_bar&amp;width=385&amp;height=120&amp;START_MAXIMIZED=FALSE&amp;creator=factset&amp;display_string=Audit"}</definedName>
    <definedName name="_562__FDSAUDITLINK__" hidden="1">{"fdsup://Directions/FactSet Auditing Viewer?action=AUDIT_VALUE&amp;DB=129&amp;ID1=12738710&amp;VALUEID=02001&amp;SDATE=201002&amp;PERIODTYPE=QTR_STD&amp;SCFT=3&amp;window=popup_no_bar&amp;width=385&amp;height=120&amp;START_MAXIMIZED=FALSE&amp;creator=factset&amp;display_string=Audit"}</definedName>
    <definedName name="_563__FDSAUDITLINK__" hidden="1">{"fdsup://Directions/FactSet Auditing Viewer?action=AUDIT_VALUE&amp;DB=129&amp;ID1=14964U10&amp;VALUEID=02001&amp;SDATE=201002&amp;PERIODTYPE=QTR_STD&amp;SCFT=3&amp;window=popup_no_bar&amp;width=385&amp;height=120&amp;START_MAXIMIZED=FALSE&amp;creator=factset&amp;display_string=Audit"}</definedName>
    <definedName name="_564__FDSAUDITLINK__" hidden="1">{"fdsup://Directions/FactSet Auditing Viewer?action=AUDIT_VALUE&amp;DB=129&amp;ID1=14964U10&amp;VALUEID=02001&amp;SDATE=201002&amp;PERIODTYPE=QTR_STD&amp;SCFT=3&amp;window=popup_no_bar&amp;width=385&amp;height=120&amp;START_MAXIMIZED=FALSE&amp;creator=factset&amp;display_string=Audit"}</definedName>
    <definedName name="_565__FDSAUDITLINK__" hidden="1">{"fdsup://Directions/FactSet Auditing Viewer?action=AUDIT_VALUE&amp;DB=129&amp;ID1=11162130&amp;VALUEID=02001&amp;SDATE=201003&amp;PERIODTYPE=QTR_STD&amp;SCFT=3&amp;window=popup_no_bar&amp;width=385&amp;height=120&amp;START_MAXIMIZED=FALSE&amp;creator=factset&amp;display_string=Audit"}</definedName>
    <definedName name="_566__FDSAUDITLINK__" hidden="1">{"fdsup://Directions/FactSet Auditing Viewer?action=AUDIT_VALUE&amp;DB=129&amp;ID1=11162130&amp;VALUEID=02001&amp;SDATE=201003&amp;PERIODTYPE=QTR_STD&amp;SCFT=3&amp;window=popup_no_bar&amp;width=385&amp;height=120&amp;START_MAXIMIZED=FALSE&amp;creator=factset&amp;display_string=Audit"}</definedName>
    <definedName name="_567__FDSAUDITLINK__" hidden="1">{"fdsup://Directions/FactSet Auditing Viewer?action=AUDIT_VALUE&amp;DB=129&amp;ID1=Y0486S10&amp;VALUEID=02001&amp;SDATE=201003&amp;PERIODTYPE=QTR_STD&amp;SCFT=3&amp;window=popup_no_bar&amp;width=385&amp;height=120&amp;START_MAXIMIZED=FALSE&amp;creator=factset&amp;display_string=Audit"}</definedName>
    <definedName name="_568__FDSAUDITLINK__" hidden="1">{"fdsup://Directions/FactSet Auditing Viewer?action=AUDIT_VALUE&amp;DB=129&amp;ID1=Y0486S10&amp;VALUEID=02001&amp;SDATE=201003&amp;PERIODTYPE=QTR_STD&amp;SCFT=3&amp;window=popup_no_bar&amp;width=385&amp;height=120&amp;START_MAXIMIZED=FALSE&amp;creator=factset&amp;display_string=Audit"}</definedName>
    <definedName name="_569__FDSAUDITLINK__" hidden="1">{"fdsup://Directions/FactSet Auditing Viewer?action=AUDIT_VALUE&amp;DB=129&amp;ID1=04743P10&amp;VALUEID=02001&amp;SDATE=201002&amp;PERIODTYPE=QTR_STD&amp;SCFT=3&amp;window=popup_no_bar&amp;width=385&amp;height=120&amp;START_MAXIMIZED=FALSE&amp;creator=factset&amp;display_string=Audit"}</definedName>
    <definedName name="_57__FDSAUDITLINK__" hidden="1">{"fdsup://directions/FAT Viewer?action=UPDATE&amp;creator=factset&amp;DYN_ARGS=TRUE&amp;DOC_NAME=FAT:FQL_AUDITING_CLIENT_TEMPLATE.FAT&amp;display_string=Audit&amp;VAR:KEY=WBIHUVUBQT&amp;VAR:QUERY=RkZfU0hTX0ZMT0FUKEFOTiwp&amp;WINDOW=FIRST_POPUP&amp;HEIGHT=450&amp;WIDTH=450&amp;START_MAXIMIZED=FALS","E&amp;VAR:CALENDAR=US&amp;VAR:SYMBOL=MGM&amp;VAR:INDEX=0"}</definedName>
    <definedName name="_570__FDSAUDITLINK__" hidden="1">{"fdsup://Directions/FactSet Auditing Viewer?action=AUDIT_VALUE&amp;DB=129&amp;ID1=04743P10&amp;VALUEID=02001&amp;SDATE=201002&amp;PERIODTYPE=QTR_STD&amp;SCFT=3&amp;window=popup_no_bar&amp;width=385&amp;height=120&amp;START_MAXIMIZED=FALSE&amp;creator=factset&amp;display_string=Audit"}</definedName>
    <definedName name="_571__FDSAUDITLINK__" hidden="1">{"fdsup://Directions/FactSet Auditing Viewer?action=AUDIT_VALUE&amp;DB=129&amp;ID1=03251510&amp;VALUEID=02001&amp;SDATE=201002&amp;PERIODTYPE=QTR_STD&amp;SCFT=3&amp;window=popup_no_bar&amp;width=385&amp;height=120&amp;START_MAXIMIZED=FALSE&amp;creator=factset&amp;display_string=Audit"}</definedName>
    <definedName name="_572__FDSAUDITLINK__" hidden="1">{"fdsup://Directions/FactSet Auditing Viewer?action=AUDIT_VALUE&amp;DB=129&amp;ID1=03251510&amp;VALUEID=02001&amp;SDATE=201002&amp;PERIODTYPE=QTR_STD&amp;SCFT=3&amp;window=popup_no_bar&amp;width=385&amp;height=120&amp;START_MAXIMIZED=FALSE&amp;creator=factset&amp;display_string=Audit"}</definedName>
    <definedName name="_573__FDSAUDITLINK__" hidden="1">{"fdsup://Directions/FactSet Auditing Viewer?action=AUDIT_VALUE&amp;DB=129&amp;ID1=00790310&amp;VALUEID=02001&amp;SDATE=201002&amp;PERIODTYPE=QTR_STD&amp;SCFT=3&amp;window=popup_no_bar&amp;width=385&amp;height=120&amp;START_MAXIMIZED=FALSE&amp;creator=factset&amp;display_string=Audit"}</definedName>
    <definedName name="_574__FDSAUDITLINK__" hidden="1">{"fdsup://Directions/FactSet Auditing Viewer?action=AUDIT_VALUE&amp;DB=129&amp;ID1=00790310&amp;VALUEID=02001&amp;SDATE=201002&amp;PERIODTYPE=QTR_STD&amp;SCFT=3&amp;window=popup_no_bar&amp;width=385&amp;height=120&amp;START_MAXIMIZED=FALSE&amp;creator=factset&amp;display_string=Audit"}</definedName>
    <definedName name="_575__FDSAUDITLINK__" hidden="1">{"fdsup://Directions/FactSet Auditing Viewer?action=AUDIT_VALUE&amp;DB=129&amp;ID1=03822W40&amp;VALUEID=02001&amp;SDATE=201001&amp;PERIODTYPE=QTR_STD&amp;SCFT=3&amp;window=popup_no_bar&amp;width=385&amp;height=120&amp;START_MAXIMIZED=FALSE&amp;creator=factset&amp;display_string=Audit"}</definedName>
    <definedName name="_576__FDSAUDITLINK__" hidden="1">{"fdsup://Directions/FactSet Auditing Viewer?action=AUDIT_VALUE&amp;DB=129&amp;ID1=03822W40&amp;VALUEID=02001&amp;SDATE=201001&amp;PERIODTYPE=QTR_STD&amp;SCFT=3&amp;window=popup_no_bar&amp;width=385&amp;height=120&amp;START_MAXIMIZED=FALSE&amp;creator=factset&amp;display_string=Audit"}</definedName>
    <definedName name="_577__FDSAUDITLINK__" hidden="1">{"fdsup://Directions/FactSet Auditing Viewer?action=AUDIT_VALUE&amp;DB=129&amp;ID1=03822210&amp;VALUEID=02001&amp;SDATE=201003&amp;PERIODTYPE=QTR_STD&amp;SCFT=3&amp;window=popup_no_bar&amp;width=385&amp;height=120&amp;START_MAXIMIZED=FALSE&amp;creator=factset&amp;display_string=Audit"}</definedName>
    <definedName name="_578__FDSAUDITLINK__" hidden="1">{"fdsup://Directions/FactSet Auditing Viewer?action=AUDIT_VALUE&amp;DB=129&amp;ID1=03822210&amp;VALUEID=02001&amp;SDATE=201003&amp;PERIODTYPE=QTR_STD&amp;SCFT=3&amp;window=popup_no_bar&amp;width=385&amp;height=120&amp;START_MAXIMIZED=FALSE&amp;creator=factset&amp;display_string=Audit"}</definedName>
    <definedName name="_579__FDSAUDITLINK__" hidden="1">{"fdsup://Directions/FactSet Auditing Viewer?action=AUDIT_VALUE&amp;DB=129&amp;ID1=02144110&amp;VALUEID=02001&amp;SDATE=201002&amp;PERIODTYPE=QTR_STD&amp;SCFT=3&amp;window=popup_no_bar&amp;width=385&amp;height=120&amp;START_MAXIMIZED=FALSE&amp;creator=factset&amp;display_string=Audit"}</definedName>
    <definedName name="_58__FDSAUDITLINK__" hidden="1">{"fdsup://directions/FAT Viewer?action=UPDATE&amp;creator=factset&amp;DYN_ARGS=TRUE&amp;DOC_NAME=FAT:FQL_AUDITING_CLIENT_TEMPLATE.FAT&amp;display_string=Audit&amp;VAR:KEY=IZIJKTSBIX&amp;VAR:QUERY=RkZfU0hTX0ZMT0FUKEFOTiwp&amp;WINDOW=FIRST_POPUP&amp;HEIGHT=450&amp;WIDTH=450&amp;START_MAXIMIZED=FALS","E&amp;VAR:CALENDAR=US&amp;VAR:SYMBOL=WYNN&amp;VAR:INDEX=0"}</definedName>
    <definedName name="_580__FDSAUDITLINK__" hidden="1">{"fdsup://Directions/FactSet Auditing Viewer?action=AUDIT_VALUE&amp;DB=129&amp;ID1=02144110&amp;VALUEID=02001&amp;SDATE=201002&amp;PERIODTYPE=QTR_STD&amp;SCFT=3&amp;window=popup_no_bar&amp;width=385&amp;height=120&amp;START_MAXIMIZED=FALSE&amp;creator=factset&amp;display_string=Audit"}</definedName>
    <definedName name="_581__FDSAUDITLINK__" hidden="1">{"fdsup://Directions/FactSet Auditing Viewer?action=AUDIT_VALUE&amp;DB=129&amp;ID1=03265410&amp;VALUEID=02001&amp;SDATE=201003&amp;PERIODTYPE=QTR_STD&amp;SCFT=3&amp;window=popup_no_bar&amp;width=385&amp;height=120&amp;START_MAXIMIZED=FALSE&amp;creator=factset&amp;display_string=Audit"}</definedName>
    <definedName name="_582__FDSAUDITLINK__" hidden="1">{"fdsup://Directions/FactSet Auditing Viewer?action=AUDIT_VALUE&amp;DB=129&amp;ID1=03265410&amp;VALUEID=02001&amp;SDATE=201003&amp;PERIODTYPE=QTR_STD&amp;SCFT=3&amp;window=popup_no_bar&amp;width=385&amp;height=120&amp;START_MAXIMIZED=FALSE&amp;creator=factset&amp;display_string=Audit"}</definedName>
    <definedName name="_583__FDSAUDITLINK__" hidden="1">{"fdsup://Directions/FactSet Auditing Viewer?action=AUDIT_VALUE&amp;DB=129&amp;ID1=00752J10&amp;VALUEID=02001&amp;SDATE=201002&amp;PERIODTYPE=QTR_STD&amp;SCFT=3&amp;window=popup_no_bar&amp;width=385&amp;height=120&amp;START_MAXIMIZED=FALSE&amp;creator=factset&amp;display_string=Audit"}</definedName>
    <definedName name="_584__FDSAUDITLINK__" hidden="1">{"fdsup://Directions/FactSet Auditing Viewer?action=AUDIT_VALUE&amp;DB=129&amp;ID1=00752J10&amp;VALUEID=02001&amp;SDATE=201002&amp;PERIODTYPE=QTR_STD&amp;SCFT=3&amp;window=popup_no_bar&amp;width=385&amp;height=120&amp;START_MAXIMIZED=FALSE&amp;creator=factset&amp;display_string=Audit"}</definedName>
    <definedName name="_585__FDSAUDITLINK__" hidden="1">{"fdsup://Directions/FactSet Auditing Viewer?action=AUDIT_VALUE&amp;DB=129&amp;ID1=98975F10&amp;VALUEID=02001&amp;SDATE=201001&amp;PERIODTYPE=QTR_STD&amp;SCFT=3&amp;window=popup_no_bar&amp;width=385&amp;height=120&amp;START_MAXIMIZED=FALSE&amp;creator=factset&amp;display_string=Audit"}</definedName>
    <definedName name="_586__FDSAUDITLINK__" hidden="1">{"fdsup://Directions/FactSet Auditing Viewer?action=AUDIT_VALUE&amp;DB=129&amp;ID1=98975F10&amp;VALUEID=02001&amp;SDATE=201001&amp;PERIODTYPE=QTR_STD&amp;SCFT=3&amp;window=popup_no_bar&amp;width=385&amp;height=120&amp;START_MAXIMIZED=FALSE&amp;creator=factset&amp;display_string=Audit"}</definedName>
    <definedName name="_587__FDSAUDITLINK__" hidden="1">{"fdsup://Directions/FactSet Auditing Viewer?action=AUDIT_VALUE&amp;DB=129&amp;ID1=95810210&amp;VALUEID=02001&amp;SDATE=201003&amp;PERIODTYPE=QTR_STD&amp;SCFT=3&amp;window=popup_no_bar&amp;width=385&amp;height=120&amp;START_MAXIMIZED=FALSE&amp;creator=factset&amp;display_string=Audit"}</definedName>
    <definedName name="_588__FDSAUDITLINK__" hidden="1">{"fdsup://Directions/FactSet Auditing Viewer?action=AUDIT_VALUE&amp;DB=129&amp;ID1=95810210&amp;VALUEID=02001&amp;SDATE=201003&amp;PERIODTYPE=QTR_STD&amp;SCFT=3&amp;window=popup_no_bar&amp;width=385&amp;height=120&amp;START_MAXIMIZED=FALSE&amp;creator=factset&amp;display_string=Audit"}</definedName>
    <definedName name="_589__FDSAUDITLINK__" hidden="1">{"fdsup://Directions/FactSet Auditing Viewer?action=AUDIT_VALUE&amp;DB=129&amp;ID1=92849730&amp;VALUEID=02001&amp;SDATE=201002&amp;PERIODTYPE=QTR_STD&amp;SCFT=3&amp;window=popup_no_bar&amp;width=385&amp;height=120&amp;START_MAXIMIZED=FALSE&amp;creator=factset&amp;display_string=Audit"}</definedName>
    <definedName name="_59__FDSAUDITLINK__" hidden="1">{"fdsup://directions/FAT Viewer?action=UPDATE&amp;creator=factset&amp;DYN_ARGS=TRUE&amp;DOC_NAME=FAT:FQL_AUDITING_CLIENT_TEMPLATE.FAT&amp;display_string=Audit&amp;VAR:KEY=IZIJKTSBIX&amp;VAR:QUERY=RkZfU0hTX0ZMT0FUKEFOTiwp&amp;WINDOW=FIRST_POPUP&amp;HEIGHT=450&amp;WIDTH=450&amp;START_MAXIMIZED=FALS","E&amp;VAR:CALENDAR=US&amp;VAR:SYMBOL=WYNN&amp;VAR:INDEX=0"}</definedName>
    <definedName name="_590__FDSAUDITLINK__" hidden="1">{"fdsup://Directions/FactSet Auditing Viewer?action=AUDIT_VALUE&amp;DB=129&amp;ID1=92849730&amp;VALUEID=02001&amp;SDATE=201002&amp;PERIODTYPE=QTR_STD&amp;SCFT=3&amp;window=popup_no_bar&amp;width=385&amp;height=120&amp;START_MAXIMIZED=FALSE&amp;creator=factset&amp;display_string=Audit"}</definedName>
    <definedName name="_591__FDSAUDITLINK__" hidden="1">{"fdsup://Directions/FactSet Auditing Viewer?action=AUDIT_VALUE&amp;DB=129&amp;ID1=92829810&amp;VALUEID=02001&amp;SDATE=201001&amp;PERIODTYPE=QTR_STD&amp;SCFT=3&amp;window=popup_no_bar&amp;width=385&amp;height=120&amp;START_MAXIMIZED=FALSE&amp;creator=factset&amp;display_string=Audit"}</definedName>
    <definedName name="_592__FDSAUDITLINK__" hidden="1">{"fdsup://Directions/FactSet Auditing Viewer?action=AUDIT_VALUE&amp;DB=129&amp;ID1=92829810&amp;VALUEID=02001&amp;SDATE=201001&amp;PERIODTYPE=QTR_STD&amp;SCFT=3&amp;window=popup_no_bar&amp;width=385&amp;height=120&amp;START_MAXIMIZED=FALSE&amp;creator=factset&amp;display_string=Audit"}</definedName>
    <definedName name="_593__FDSAUDITLINK__" hidden="1">{"fdsup://Directions/FactSet Auditing Viewer?action=AUDIT_VALUE&amp;DB=129&amp;ID1=88250810&amp;VALUEID=02001&amp;SDATE=201001&amp;PERIODTYPE=QTR_STD&amp;SCFT=3&amp;window=popup_no_bar&amp;width=385&amp;height=120&amp;START_MAXIMIZED=FALSE&amp;creator=factset&amp;display_string=Audit"}</definedName>
    <definedName name="_594__FDSAUDITLINK__" hidden="1">{"fdsup://Directions/FactSet Auditing Viewer?action=AUDIT_VALUE&amp;DB=129&amp;ID1=88250810&amp;VALUEID=02001&amp;SDATE=201001&amp;PERIODTYPE=QTR_STD&amp;SCFT=3&amp;window=popup_no_bar&amp;width=385&amp;height=120&amp;START_MAXIMIZED=FALSE&amp;creator=factset&amp;display_string=Audit"}</definedName>
    <definedName name="_595__FDSAUDITLINK__" hidden="1">{"fdsup://Directions/FactSet Auditing Viewer?action=AUDIT_VALUE&amp;DB=129&amp;ID1=89674K10&amp;VALUEID=02001&amp;SDATE=201001&amp;PERIODTYPE=QTR_STD&amp;SCFT=3&amp;window=popup_no_bar&amp;width=385&amp;height=120&amp;START_MAXIMIZED=FALSE&amp;creator=factset&amp;display_string=Audit"}</definedName>
    <definedName name="_596__FDSAUDITLINK__" hidden="1">{"fdsup://Directions/FactSet Auditing Viewer?action=AUDIT_VALUE&amp;DB=129&amp;ID1=89674K10&amp;VALUEID=02001&amp;SDATE=201001&amp;PERIODTYPE=QTR_STD&amp;SCFT=3&amp;window=popup_no_bar&amp;width=385&amp;height=120&amp;START_MAXIMIZED=FALSE&amp;creator=factset&amp;display_string=Audit"}</definedName>
    <definedName name="_597__FDSAUDITLINK__" hidden="1">{"fdsup://Directions/FactSet Auditing Viewer?action=AUDIT_VALUE&amp;DB=129&amp;ID1=83088M10&amp;VALUEID=02001&amp;SDATE=201002&amp;PERIODTYPE=QTR_STD&amp;SCFT=3&amp;window=popup_no_bar&amp;width=385&amp;height=120&amp;START_MAXIMIZED=FALSE&amp;creator=factset&amp;display_string=Audit"}</definedName>
    <definedName name="_598__FDSAUDITLINK__" hidden="1">{"fdsup://Directions/FactSet Auditing Viewer?action=AUDIT_VALUE&amp;DB=129&amp;ID1=83088M10&amp;VALUEID=02001&amp;SDATE=201002&amp;PERIODTYPE=QTR_STD&amp;SCFT=3&amp;window=popup_no_bar&amp;width=385&amp;height=120&amp;START_MAXIMIZED=FALSE&amp;creator=factset&amp;display_string=Audit"}</definedName>
    <definedName name="_599__FDSAUDITLINK__" hidden="1">{"fdsup://Directions/FactSet Auditing Viewer?action=AUDIT_VALUE&amp;DB=129&amp;ID1=G7945M10&amp;VALUEID=02001&amp;SDATE=201003&amp;PERIODTYPE=QTR_STD&amp;SCFT=3&amp;window=popup_no_bar&amp;width=385&amp;height=120&amp;START_MAXIMIZED=FALSE&amp;creator=factset&amp;display_string=Audit"}</definedName>
    <definedName name="_6__123Graph_AR_M_MARG" hidden="1">#REF!</definedName>
    <definedName name="_6__123Graph_AR_M_VOLUMES" hidden="1">#REF!</definedName>
    <definedName name="_6__123Graph_XR_M_MARGINS" hidden="1">#REF!</definedName>
    <definedName name="_6__FDSAUDITLINK__" hidden="1">{"fdsup://directions/FAT Viewer?action=UPDATE&amp;creator=factset&amp;DYN_ARGS=TRUE&amp;DOC_NAME=FAT:FQL_AUDITING_CLIENT_TEMPLATE.FAT&amp;display_string=Audit&amp;VAR:KEY=WZKBOHYPWT&amp;VAR:QUERY=RkZfU0hTX0ZMT0FUKEFOTiwp&amp;WINDOW=FIRST_POPUP&amp;HEIGHT=450&amp;WIDTH=450&amp;START_MAXIMIZED=FALS","E&amp;VAR:CALENDAR=US&amp;VAR:SYMBOL=MGM RESORTS INT'L&amp;VAR:INDEX=0"}</definedName>
    <definedName name="_6_End_Market_Overview">#REF!</definedName>
    <definedName name="_60__FDSAUDITLINK__" hidden="1">{"fdsup://directions/FAT Viewer?action=UPDATE&amp;creator=factset&amp;DYN_ARGS=TRUE&amp;DOC_NAME=FAT:FQL_AUDITING_CLIENT_TEMPLATE.FAT&amp;display_string=Audit&amp;VAR:KEY=IZIJKTSBIX&amp;VAR:QUERY=RkZfU0hTX0ZMT0FUKEFOTiwp&amp;WINDOW=FIRST_POPUP&amp;HEIGHT=450&amp;WIDTH=450&amp;START_MAXIMIZED=FALS","E&amp;VAR:CALENDAR=US&amp;VAR:SYMBOL=WYNN&amp;VAR:INDEX=0"}</definedName>
    <definedName name="_600__FDSAUDITLINK__" hidden="1">{"fdsup://Directions/FactSet Auditing Viewer?action=AUDIT_VALUE&amp;DB=129&amp;ID1=G7945M10&amp;VALUEID=02001&amp;SDATE=201003&amp;PERIODTYPE=QTR_STD&amp;SCFT=3&amp;window=popup_no_bar&amp;width=385&amp;height=120&amp;START_MAXIMIZED=FALSE&amp;creator=factset&amp;display_string=Audit"}</definedName>
    <definedName name="_601__FDSAUDITLINK__" hidden="1">{"fdsup://Directions/FactSet Auditing Viewer?action=AUDIT_VALUE&amp;DB=129&amp;ID1=78477410&amp;VALUEID=02001&amp;SDATE=201001&amp;PERIODTYPE=QTR_STD&amp;SCFT=3&amp;window=popup_no_bar&amp;width=385&amp;height=120&amp;START_MAXIMIZED=FALSE&amp;creator=factset&amp;display_string=Audit"}</definedName>
    <definedName name="_602__FDSAUDITLINK__" hidden="1">{"fdsup://Directions/FactSet Auditing Viewer?action=AUDIT_VALUE&amp;DB=129&amp;ID1=78477410&amp;VALUEID=02001&amp;SDATE=201001&amp;PERIODTYPE=QTR_STD&amp;SCFT=3&amp;window=popup_no_bar&amp;width=385&amp;height=120&amp;START_MAXIMIZED=FALSE&amp;creator=factset&amp;display_string=Audit"}</definedName>
    <definedName name="_603__FDSAUDITLINK__" hidden="1">{"fdsup://Directions/FactSet Auditing Viewer?action=AUDIT_VALUE&amp;DB=129&amp;ID1=83547010&amp;VALUEID=02001&amp;SDATE=201001&amp;PERIODTYPE=QTR_STD&amp;SCFT=3&amp;window=popup_no_bar&amp;width=385&amp;height=120&amp;START_MAXIMIZED=FALSE&amp;creator=factset&amp;display_string=Audit"}</definedName>
    <definedName name="_604__FDSAUDITLINK__" hidden="1">{"fdsup://Directions/FactSet Auditing Viewer?action=AUDIT_VALUE&amp;DB=129&amp;ID1=83547010&amp;VALUEID=02001&amp;SDATE=201001&amp;PERIODTYPE=QTR_STD&amp;SCFT=3&amp;window=popup_no_bar&amp;width=385&amp;height=120&amp;START_MAXIMIZED=FALSE&amp;creator=factset&amp;display_string=Audit"}</definedName>
    <definedName name="_605__FDSAUDITLINK__" hidden="1">{"fdsup://Directions/FactSet Auditing Viewer?action=AUDIT_VALUE&amp;DB=129&amp;ID1=87160710&amp;VALUEID=02001&amp;SDATE=201002&amp;PERIODTYPE=QTR_STD&amp;SCFT=3&amp;window=popup_no_bar&amp;width=385&amp;height=120&amp;START_MAXIMIZED=FALSE&amp;creator=factset&amp;display_string=Audit"}</definedName>
    <definedName name="_606__FDSAUDITLINK__" hidden="1">{"fdsup://Directions/FactSet Auditing Viewer?action=AUDIT_VALUE&amp;DB=129&amp;ID1=87160710&amp;VALUEID=02001&amp;SDATE=201002&amp;PERIODTYPE=QTR_STD&amp;SCFT=3&amp;window=popup_no_bar&amp;width=385&amp;height=120&amp;START_MAXIMIZED=FALSE&amp;creator=factset&amp;display_string=Audit"}</definedName>
    <definedName name="_607__FDSAUDITLINK__" hidden="1">{"fdsup://Directions/FactSet Auditing Viewer?action=AUDIT_VALUE&amp;DB=129&amp;ID1=80004C10&amp;VALUEID=02001&amp;SDATE=201001&amp;PERIODTYPE=QTR_STD&amp;SCFT=3&amp;window=popup_no_bar&amp;width=385&amp;height=120&amp;START_MAXIMIZED=FALSE&amp;creator=factset&amp;display_string=Audit"}</definedName>
    <definedName name="_608__FDSAUDITLINK__" hidden="1">{"fdsup://Directions/FactSet Auditing Viewer?action=AUDIT_VALUE&amp;DB=129&amp;ID1=80004C10&amp;VALUEID=02001&amp;SDATE=201001&amp;PERIODTYPE=QTR_STD&amp;SCFT=3&amp;window=popup_no_bar&amp;width=385&amp;height=120&amp;START_MAXIMIZED=FALSE&amp;creator=factset&amp;display_string=Audit"}</definedName>
    <definedName name="_609__FDSAUDITLINK__" hidden="1">{"fdsup://Directions/FactSet Auditing Viewer?action=AUDIT_VALUE&amp;DB=129&amp;ID1=81685010&amp;VALUEID=02001&amp;SDATE=201001&amp;PERIODTYPE=QTR_STD&amp;SCFT=3&amp;window=popup_no_bar&amp;width=385&amp;height=120&amp;START_MAXIMIZED=FALSE&amp;creator=factset&amp;display_string=Audit"}</definedName>
    <definedName name="_61__FDSAUDITLINK__" hidden="1">{"fdsup://directions/FAT Viewer?action=UPDATE&amp;creator=factset&amp;DYN_ARGS=TRUE&amp;DOC_NAME=FAT:FQL_AUDITING_CLIENT_TEMPLATE.FAT&amp;display_string=Audit&amp;VAR:KEY=IZIJKTSBIX&amp;VAR:QUERY=RkZfU0hTX0ZMT0FUKEFOTiwp&amp;WINDOW=FIRST_POPUP&amp;HEIGHT=450&amp;WIDTH=450&amp;START_MAXIMIZED=FALS","E&amp;VAR:CALENDAR=US&amp;VAR:SYMBOL=WYNN&amp;VAR:INDEX=0"}</definedName>
    <definedName name="_610__FDSAUDITLINK__" hidden="1">{"fdsup://Directions/FactSet Auditing Viewer?action=AUDIT_VALUE&amp;DB=129&amp;ID1=81685010&amp;VALUEID=02001&amp;SDATE=201001&amp;PERIODTYPE=QTR_STD&amp;SCFT=3&amp;window=popup_no_bar&amp;width=385&amp;height=120&amp;START_MAXIMIZED=FALSE&amp;creator=factset&amp;display_string=Audit"}</definedName>
    <definedName name="_611__FDSAUDITLINK__" hidden="1">{"fdsup://Directions/FactSet Auditing Viewer?action=AUDIT_VALUE&amp;DB=129&amp;ID1=82691910&amp;VALUEID=02001&amp;SDATE=201001&amp;PERIODTYPE=QTR_STD&amp;SCFT=3&amp;window=popup_no_bar&amp;width=385&amp;height=120&amp;START_MAXIMIZED=FALSE&amp;creator=factset&amp;display_string=Audit"}</definedName>
    <definedName name="_612__FDSAUDITLINK__" hidden="1">{"fdsup://Directions/FactSet Auditing Viewer?action=AUDIT_VALUE&amp;DB=129&amp;ID1=82691910&amp;VALUEID=02001&amp;SDATE=201001&amp;PERIODTYPE=QTR_STD&amp;SCFT=3&amp;window=popup_no_bar&amp;width=385&amp;height=120&amp;START_MAXIMIZED=FALSE&amp;creator=factset&amp;display_string=Audit"}</definedName>
    <definedName name="_613__FDSAUDITLINK__" hidden="1">{"fdsup://Directions/FactSet Auditing Viewer?action=AUDIT_VALUE&amp;DB=129&amp;ID1=82705T10&amp;VALUEID=02001&amp;SDATE=201001&amp;PERIODTYPE=QTR_STD&amp;SCFT=3&amp;window=popup_no_bar&amp;width=385&amp;height=120&amp;START_MAXIMIZED=FALSE&amp;creator=factset&amp;display_string=Audit"}</definedName>
    <definedName name="_614__FDSAUDITLINK__" hidden="1">{"fdsup://Directions/FactSet Auditing Viewer?action=AUDIT_VALUE&amp;DB=129&amp;ID1=82705T10&amp;VALUEID=02001&amp;SDATE=201001&amp;PERIODTYPE=QTR_STD&amp;SCFT=3&amp;window=popup_no_bar&amp;width=385&amp;height=120&amp;START_MAXIMIZED=FALSE&amp;creator=factset&amp;display_string=Audit"}</definedName>
    <definedName name="_615__FDSAUDITLINK__" hidden="1">{"fdsup://Directions/FactSet Auditing Viewer?action=AUDIT_VALUE&amp;DB=129&amp;ID1=75091710&amp;VALUEID=02001&amp;SDATE=201001&amp;PERIODTYPE=QTR_STD&amp;SCFT=3&amp;window=popup_no_bar&amp;width=385&amp;height=120&amp;START_MAXIMIZED=FALSE&amp;creator=factset&amp;display_string=Audit"}</definedName>
    <definedName name="_616__FDSAUDITLINK__" hidden="1">{"fdsup://Directions/FactSet Auditing Viewer?action=AUDIT_VALUE&amp;DB=129&amp;ID1=75091710&amp;VALUEID=02001&amp;SDATE=201001&amp;PERIODTYPE=QTR_STD&amp;SCFT=3&amp;window=popup_no_bar&amp;width=385&amp;height=120&amp;START_MAXIMIZED=FALSE&amp;creator=factset&amp;display_string=Audit"}</definedName>
    <definedName name="_617__FDSAUDITLINK__" hidden="1">{"fdsup://Directions/FactSet Auditing Viewer?action=AUDIT_VALUE&amp;DB=129&amp;ID1=74752510&amp;VALUEID=02001&amp;SDATE=201002&amp;PERIODTYPE=QTR_STD&amp;SCFT=3&amp;window=popup_no_bar&amp;width=385&amp;height=120&amp;START_MAXIMIZED=FALSE&amp;creator=factset&amp;display_string=Audit"}</definedName>
    <definedName name="_618__FDSAUDITLINK__" hidden="1">{"fdsup://Directions/FactSet Auditing Viewer?action=AUDIT_VALUE&amp;DB=129&amp;ID1=74752510&amp;VALUEID=02001&amp;SDATE=201002&amp;PERIODTYPE=QTR_STD&amp;SCFT=3&amp;window=popup_no_bar&amp;width=385&amp;height=120&amp;START_MAXIMIZED=FALSE&amp;creator=factset&amp;display_string=Audit"}</definedName>
    <definedName name="_619__FDSAUDITLINK__" hidden="1">{"fdsup://Directions/FactSet Auditing Viewer?action=AUDIT_VALUE&amp;DB=129&amp;ID1=72581M30&amp;VALUEID=02001&amp;SDATE=201001&amp;PERIODTYPE=QTR_STD&amp;SCFT=3&amp;window=popup_no_bar&amp;width=385&amp;height=120&amp;START_MAXIMIZED=FALSE&amp;creator=factset&amp;display_string=Audit"}</definedName>
    <definedName name="_62__FDSAUDITLINK__" hidden="1">{"fdsup://directions/FAT Viewer?action=UPDATE&amp;creator=factset&amp;DYN_ARGS=TRUE&amp;DOC_NAME=FAT:FQL_AUDITING_CLIENT_TEMPLATE.FAT&amp;display_string=Audit&amp;VAR:KEY=IZIJKTSBIX&amp;VAR:QUERY=RkZfU0hTX0ZMT0FUKEFOTiwp&amp;WINDOW=FIRST_POPUP&amp;HEIGHT=450&amp;WIDTH=450&amp;START_MAXIMIZED=FALS","E&amp;VAR:CALENDAR=US&amp;VAR:SYMBOL=WYNN&amp;VAR:INDEX=0"}</definedName>
    <definedName name="_620__FDSAUDITLINK__" hidden="1">{"fdsup://Directions/FactSet Auditing Viewer?action=AUDIT_VALUE&amp;DB=129&amp;ID1=72581M30&amp;VALUEID=02001&amp;SDATE=201001&amp;PERIODTYPE=QTR_STD&amp;SCFT=3&amp;window=popup_no_bar&amp;width=385&amp;height=120&amp;START_MAXIMIZED=FALSE&amp;creator=factset&amp;display_string=Audit"}</definedName>
    <definedName name="_621__FDSAUDITLINK__" hidden="1">{"fdsup://Directions/FactSet Auditing Viewer?action=AUDIT_VALUE&amp;DB=129&amp;ID1=73927610&amp;VALUEID=02001&amp;SDATE=201001&amp;PERIODTYPE=QTR_STD&amp;SCFT=3&amp;window=popup_no_bar&amp;width=385&amp;height=120&amp;START_MAXIMIZED=FALSE&amp;creator=factset&amp;display_string=Audit"}</definedName>
    <definedName name="_622__FDSAUDITLINK__" hidden="1">{"fdsup://Directions/FactSet Auditing Viewer?action=AUDIT_VALUE&amp;DB=129&amp;ID1=73927610&amp;VALUEID=02001&amp;SDATE=201001&amp;PERIODTYPE=QTR_STD&amp;SCFT=3&amp;window=popup_no_bar&amp;width=385&amp;height=120&amp;START_MAXIMIZED=FALSE&amp;creator=factset&amp;display_string=Audit"}</definedName>
    <definedName name="_623__FDSAUDITLINK__" hidden="1">{"fdsup://Directions/FactSet Auditing Viewer?action=AUDIT_VALUE&amp;DB=129&amp;ID1=69344F10&amp;VALUEID=02001&amp;SDATE=201001&amp;PERIODTYPE=QTR_STD&amp;SCFT=3&amp;window=popup_no_bar&amp;width=385&amp;height=120&amp;START_MAXIMIZED=FALSE&amp;creator=factset&amp;display_string=Audit"}</definedName>
    <definedName name="_624__FDSAUDITLINK__" hidden="1">{"fdsup://Directions/FactSet Auditing Viewer?action=AUDIT_VALUE&amp;DB=129&amp;ID1=69344F10&amp;VALUEID=02001&amp;SDATE=201001&amp;PERIODTYPE=QTR_STD&amp;SCFT=3&amp;window=popup_no_bar&amp;width=385&amp;height=120&amp;START_MAXIMIZED=FALSE&amp;creator=factset&amp;display_string=Audit"}</definedName>
    <definedName name="_625__FDSAUDITLINK__" hidden="1">{"fdsup://Directions/FactSet Auditing Viewer?action=AUDIT_VALUE&amp;DB=129&amp;ID1=69341710&amp;VALUEID=02001&amp;SDATE=201001&amp;PERIODTYPE=QTR_STD&amp;SCFT=3&amp;window=popup_no_bar&amp;width=385&amp;height=120&amp;START_MAXIMIZED=FALSE&amp;creator=factset&amp;display_string=Audit"}</definedName>
    <definedName name="_626__FDSAUDITLINK__" hidden="1">{"fdsup://Directions/FactSet Auditing Viewer?action=AUDIT_VALUE&amp;DB=129&amp;ID1=69341710&amp;VALUEID=02001&amp;SDATE=201001&amp;PERIODTYPE=QTR_STD&amp;SCFT=3&amp;window=popup_no_bar&amp;width=385&amp;height=120&amp;START_MAXIMIZED=FALSE&amp;creator=factset&amp;display_string=Audit"}</definedName>
    <definedName name="_627__FDSAUDITLINK__" hidden="1">{"fdsup://Directions/FactSet Auditing Viewer?action=AUDIT_VALUE&amp;DB=129&amp;ID1=68218910&amp;VALUEID=02001&amp;SDATE=201001&amp;PERIODTYPE=QTR_STD&amp;SCFT=3&amp;window=popup_no_bar&amp;width=385&amp;height=120&amp;START_MAXIMIZED=FALSE&amp;creator=factset&amp;display_string=Audit"}</definedName>
    <definedName name="_628__FDSAUDITLINK__" hidden="1">{"fdsup://Directions/FactSet Auditing Viewer?action=AUDIT_VALUE&amp;DB=129&amp;ID1=68218910&amp;VALUEID=02001&amp;SDATE=201001&amp;PERIODTYPE=QTR_STD&amp;SCFT=3&amp;window=popup_no_bar&amp;width=385&amp;height=120&amp;START_MAXIMIZED=FALSE&amp;creator=factset&amp;display_string=Audit"}</definedName>
    <definedName name="_629__FDSAUDITLINK__" hidden="1">{"fdsup://Directions/FactSet Auditing Viewer?action=AUDIT_VALUE&amp;DB=129&amp;ID1=B505PN&amp;VALUEID=02001&amp;SDATE=201001&amp;PERIODTYPE=QTR_STD&amp;SCFT=3&amp;window=popup_no_bar&amp;width=385&amp;height=120&amp;START_MAXIMIZED=FALSE&amp;creator=factset&amp;display_string=Audit"}</definedName>
    <definedName name="_63__FDSAUDITLINK__" hidden="1">{"fdsup://directions/FAT Viewer?action=UPDATE&amp;creator=factset&amp;DYN_ARGS=TRUE&amp;DOC_NAME=FAT:FQL_AUDITING_CLIENT_TEMPLATE.FAT&amp;display_string=Audit&amp;VAR:KEY=IZIJKTSBIX&amp;VAR:QUERY=RkZfU0hTX0ZMT0FUKEFOTiwp&amp;WINDOW=FIRST_POPUP&amp;HEIGHT=450&amp;WIDTH=450&amp;START_MAXIMIZED=FALS","E&amp;VAR:CALENDAR=US&amp;VAR:SYMBOL=WYNN&amp;VAR:INDEX=0"}</definedName>
    <definedName name="_630__FDSAUDITLINK__" hidden="1">{"fdsup://Directions/FactSet Auditing Viewer?action=AUDIT_VALUE&amp;DB=129&amp;ID1=B505PN&amp;VALUEID=02001&amp;SDATE=201001&amp;PERIODTYPE=QTR_STD&amp;SCFT=3&amp;window=popup_no_bar&amp;width=385&amp;height=120&amp;START_MAXIMIZED=FALSE&amp;creator=factset&amp;display_string=Audit"}</definedName>
    <definedName name="_631__FDSAUDITLINK__" hidden="1">{"fdsup://Directions/FactSet Auditing Viewer?action=AUDIT_VALUE&amp;DB=129&amp;ID1=67000810&amp;VALUEID=02001&amp;SDATE=201001&amp;PERIODTYPE=QTR_STD&amp;SCFT=3&amp;window=popup_no_bar&amp;width=385&amp;height=120&amp;START_MAXIMIZED=FALSE&amp;creator=factset&amp;display_string=Audit"}</definedName>
    <definedName name="_632__FDSAUDITLINK__" hidden="1">{"fdsup://Directions/FactSet Auditing Viewer?action=AUDIT_VALUE&amp;DB=129&amp;ID1=67000810&amp;VALUEID=02001&amp;SDATE=201001&amp;PERIODTYPE=QTR_STD&amp;SCFT=3&amp;window=popup_no_bar&amp;width=385&amp;height=120&amp;START_MAXIMIZED=FALSE&amp;creator=factset&amp;display_string=Audit"}</definedName>
    <definedName name="_633__FDSAUDITLINK__" hidden="1">{"fdsup://Directions/FactSet Auditing Viewer?action=AUDIT_VALUE&amp;DB=129&amp;ID1=67066G10&amp;VALUEID=02001&amp;SDATE=201001&amp;PERIODTYPE=QTR_STD&amp;SCFT=3&amp;window=popup_no_bar&amp;width=385&amp;height=120&amp;START_MAXIMIZED=FALSE&amp;creator=factset&amp;display_string=Audit"}</definedName>
    <definedName name="_634__FDSAUDITLINK__" hidden="1">{"fdsup://Directions/FactSet Auditing Viewer?action=AUDIT_VALUE&amp;DB=129&amp;ID1=67066G10&amp;VALUEID=02001&amp;SDATE=201001&amp;PERIODTYPE=QTR_STD&amp;SCFT=3&amp;window=popup_no_bar&amp;width=385&amp;height=120&amp;START_MAXIMIZED=FALSE&amp;creator=factset&amp;display_string=Audit"}</definedName>
    <definedName name="_635__FDSAUDITLINK__" hidden="1">{"fdsup://Directions/FactSet Auditing Viewer?action=AUDIT_VALUE&amp;DB=129&amp;ID1=63764010&amp;VALUEID=02001&amp;SDATE=200903&amp;PERIODTYPE=QTR_STD&amp;SCFT=3&amp;window=popup_no_bar&amp;width=385&amp;height=120&amp;START_MAXIMIZED=FALSE&amp;creator=factset&amp;display_string=Audit"}</definedName>
    <definedName name="_636__FDSAUDITLINK__" hidden="1">{"fdsup://Directions/FactSet Auditing Viewer?action=AUDIT_VALUE&amp;DB=129&amp;ID1=63764010&amp;VALUEID=02001&amp;SDATE=200903&amp;PERIODTYPE=QTR_STD&amp;SCFT=3&amp;window=popup_no_bar&amp;width=385&amp;height=120&amp;START_MAXIMIZED=FALSE&amp;creator=factset&amp;display_string=Audit"}</definedName>
    <definedName name="_637__FDSAUDITLINK__" hidden="1">{"fdsup://Directions/FactSet Auditing Viewer?action=AUDIT_VALUE&amp;DB=129&amp;ID1=64118B10&amp;VALUEID=02001&amp;SDATE=201001&amp;PERIODTYPE=QTR_STD&amp;SCFT=3&amp;window=popup_no_bar&amp;width=385&amp;height=120&amp;START_MAXIMIZED=FALSE&amp;creator=factset&amp;display_string=Audit"}</definedName>
    <definedName name="_638__FDSAUDITLINK__" hidden="1">{"fdsup://Directions/FactSet Auditing Viewer?action=AUDIT_VALUE&amp;DB=129&amp;ID1=64118B10&amp;VALUEID=02001&amp;SDATE=201001&amp;PERIODTYPE=QTR_STD&amp;SCFT=3&amp;window=popup_no_bar&amp;width=385&amp;height=120&amp;START_MAXIMIZED=FALSE&amp;creator=factset&amp;display_string=Audit"}</definedName>
    <definedName name="_639__FDSAUDITLINK__" hidden="1">{"fdsup://Directions/FactSet Auditing Viewer?action=AUDIT_VALUE&amp;DB=129&amp;ID1=57772K10&amp;VALUEID=02001&amp;SDATE=201003&amp;PERIODTYPE=QTR_STD&amp;SCFT=3&amp;window=popup_no_bar&amp;width=385&amp;height=120&amp;START_MAXIMIZED=FALSE&amp;creator=factset&amp;display_string=Audit"}</definedName>
    <definedName name="_64__FDSAUDITLINK__" hidden="1">{"fdsup://directions/FAT Viewer?action=UPDATE&amp;creator=factset&amp;DYN_ARGS=TRUE&amp;DOC_NAME=FAT:FQL_AUDITING_CLIENT_TEMPLATE.FAT&amp;display_string=Audit&amp;VAR:KEY=IZIJKTSBIX&amp;VAR:QUERY=RkZfU0hTX0ZMT0FUKEFOTiwp&amp;WINDOW=FIRST_POPUP&amp;HEIGHT=450&amp;WIDTH=450&amp;START_MAXIMIZED=FALS","E&amp;VAR:CALENDAR=US&amp;VAR:SYMBOL=WYNN&amp;VAR:INDEX=0"}</definedName>
    <definedName name="_640__FDSAUDITLINK__" hidden="1">{"fdsup://Directions/FactSet Auditing Viewer?action=AUDIT_VALUE&amp;DB=129&amp;ID1=57772K10&amp;VALUEID=02001&amp;SDATE=201003&amp;PERIODTYPE=QTR_STD&amp;SCFT=3&amp;window=popup_no_bar&amp;width=385&amp;height=120&amp;START_MAXIMIZED=FALSE&amp;creator=factset&amp;display_string=Audit"}</definedName>
    <definedName name="_641__FDSAUDITLINK__" hidden="1">{"fdsup://Directions/FactSet Auditing Viewer?action=AUDIT_VALUE&amp;DB=129&amp;ID1=59511210&amp;VALUEID=02001&amp;SDATE=201002&amp;PERIODTYPE=QTR_STD&amp;SCFT=3&amp;window=popup_no_bar&amp;width=385&amp;height=120&amp;START_MAXIMIZED=FALSE&amp;creator=factset&amp;display_string=Audit"}</definedName>
    <definedName name="_642__FDSAUDITLINK__" hidden="1">{"fdsup://Directions/FactSet Auditing Viewer?action=AUDIT_VALUE&amp;DB=129&amp;ID1=59511210&amp;VALUEID=02001&amp;SDATE=201002&amp;PERIODTYPE=QTR_STD&amp;SCFT=3&amp;window=popup_no_bar&amp;width=385&amp;height=120&amp;START_MAXIMIZED=FALSE&amp;creator=factset&amp;display_string=Audit"}</definedName>
    <definedName name="_643__FDSAUDITLINK__" hidden="1">{"fdsup://Directions/FactSet Auditing Viewer?action=AUDIT_VALUE&amp;DB=129&amp;ID1=59513710&amp;VALUEID=02001&amp;SDATE=201002&amp;PERIODTYPE=QTR_STD&amp;SCFT=3&amp;window=popup_no_bar&amp;width=385&amp;height=120&amp;START_MAXIMIZED=FALSE&amp;creator=factset&amp;display_string=Audit"}</definedName>
    <definedName name="_644__FDSAUDITLINK__" hidden="1">{"fdsup://Directions/FactSet Auditing Viewer?action=AUDIT_VALUE&amp;DB=129&amp;ID1=59513710&amp;VALUEID=02001&amp;SDATE=201002&amp;PERIODTYPE=QTR_STD&amp;SCFT=3&amp;window=popup_no_bar&amp;width=385&amp;height=120&amp;START_MAXIMIZED=FALSE&amp;creator=factset&amp;display_string=Audit"}</definedName>
    <definedName name="_645__FDSAUDITLINK__" hidden="1">{"fdsup://Directions/FactSet Auditing Viewer?action=AUDIT_VALUE&amp;DB=129&amp;ID1=G5876H10&amp;VALUEID=02001&amp;SDATE=201001&amp;PERIODTYPE=QTR_STD&amp;SCFT=3&amp;window=popup_no_bar&amp;width=385&amp;height=120&amp;START_MAXIMIZED=FALSE&amp;creator=factset&amp;display_string=Audit"}</definedName>
    <definedName name="_646__FDSAUDITLINK__" hidden="1">{"fdsup://Directions/FactSet Auditing Viewer?action=AUDIT_VALUE&amp;DB=129&amp;ID1=G5876H10&amp;VALUEID=02001&amp;SDATE=201001&amp;PERIODTYPE=QTR_STD&amp;SCFT=3&amp;window=popup_no_bar&amp;width=385&amp;height=120&amp;START_MAXIMIZED=FALSE&amp;creator=factset&amp;display_string=Audit"}</definedName>
    <definedName name="_647__FDSAUDITLINK__" hidden="1">{"fdsup://Directions/FactSet Auditing Viewer?action=AUDIT_VALUE&amp;DB=129&amp;ID1=62007630&amp;VALUEID=02001&amp;SDATE=201001&amp;PERIODTYPE=QTR_STD&amp;SCFT=3&amp;window=popup_no_bar&amp;width=385&amp;height=120&amp;START_MAXIMIZED=FALSE&amp;creator=factset&amp;display_string=Audit"}</definedName>
    <definedName name="_648__FDSAUDITLINK__" hidden="1">{"fdsup://Directions/FactSet Auditing Viewer?action=AUDIT_VALUE&amp;DB=129&amp;ID1=62007630&amp;VALUEID=02001&amp;SDATE=201001&amp;PERIODTYPE=QTR_STD&amp;SCFT=3&amp;window=popup_no_bar&amp;width=385&amp;height=120&amp;START_MAXIMIZED=FALSE&amp;creator=factset&amp;display_string=Audit"}</definedName>
    <definedName name="_649__FDSAUDITLINK__" hidden="1">{"fdsup://Directions/FactSet Auditing Viewer?action=AUDIT_VALUE&amp;DB=129&amp;ID1=60456710&amp;VALUEID=02001&amp;SDATE=201003&amp;PERIODTYPE=QTR_STD&amp;SCFT=3&amp;window=popup_no_bar&amp;width=385&amp;height=120&amp;START_MAXIMIZED=FALSE&amp;creator=factset&amp;display_string=Audit"}</definedName>
    <definedName name="_65__FDSAUDITLINK__" hidden="1">{"fdsup://directions/FAT Viewer?action=UPDATE&amp;creator=factset&amp;DYN_ARGS=TRUE&amp;DOC_NAME=FAT:FQL_AUDITING_CLIENT_TEMPLATE.FAT&amp;display_string=Audit&amp;VAR:KEY=IZIJKTSBIX&amp;VAR:QUERY=RkZfU0hTX0ZMT0FUKEFOTiwp&amp;WINDOW=FIRST_POPUP&amp;HEIGHT=450&amp;WIDTH=450&amp;START_MAXIMIZED=FALS","E&amp;VAR:CALENDAR=US&amp;VAR:SYMBOL=WYNN&amp;VAR:INDEX=0"}</definedName>
    <definedName name="_650__FDSAUDITLINK__" hidden="1">{"fdsup://Directions/FactSet Auditing Viewer?action=AUDIT_VALUE&amp;DB=129&amp;ID1=60456710&amp;VALUEID=02001&amp;SDATE=201003&amp;PERIODTYPE=QTR_STD&amp;SCFT=3&amp;window=popup_no_bar&amp;width=385&amp;height=120&amp;START_MAXIMIZED=FALSE&amp;creator=factset&amp;display_string=Audit"}</definedName>
    <definedName name="_651__FDSAUDITLINK__" hidden="1">{"fdsup://Directions/FactSet Auditing Viewer?action=AUDIT_VALUE&amp;DB=129&amp;ID1=59479310&amp;VALUEID=02001&amp;SDATE=201001&amp;PERIODTYPE=QTR_STD&amp;SCFT=3&amp;window=popup_no_bar&amp;width=385&amp;height=120&amp;START_MAXIMIZED=FALSE&amp;creator=factset&amp;display_string=Audit"}</definedName>
    <definedName name="_652__FDSAUDITLINK__" hidden="1">{"fdsup://Directions/FactSet Auditing Viewer?action=AUDIT_VALUE&amp;DB=129&amp;ID1=59479310&amp;VALUEID=02001&amp;SDATE=201001&amp;PERIODTYPE=QTR_STD&amp;SCFT=3&amp;window=popup_no_bar&amp;width=385&amp;height=120&amp;START_MAXIMIZED=FALSE&amp;creator=factset&amp;display_string=Audit"}</definedName>
    <definedName name="_653__FDSAUDITLINK__" hidden="1">{"fdsup://Directions/FactSet Auditing Viewer?action=AUDIT_VALUE&amp;DB=129&amp;ID1=50216110&amp;VALUEID=02001&amp;SDATE=201001&amp;PERIODTYPE=QTR_STD&amp;SCFT=3&amp;window=popup_no_bar&amp;width=385&amp;height=120&amp;START_MAXIMIZED=FALSE&amp;creator=factset&amp;display_string=Audit"}</definedName>
    <definedName name="_654__FDSAUDITLINK__" hidden="1">{"fdsup://Directions/FactSet Auditing Viewer?action=AUDIT_VALUE&amp;DB=129&amp;ID1=50216110&amp;VALUEID=02001&amp;SDATE=201001&amp;PERIODTYPE=QTR_STD&amp;SCFT=3&amp;window=popup_no_bar&amp;width=385&amp;height=120&amp;START_MAXIMIZED=FALSE&amp;creator=factset&amp;display_string=Audit"}</definedName>
    <definedName name="_655__FDSAUDITLINK__" hidden="1">{"fdsup://Directions/FactSet Auditing Viewer?action=AUDIT_VALUE&amp;DB=129&amp;ID1=51841510&amp;VALUEID=02001&amp;SDATE=201001&amp;PERIODTYPE=QTR_STD&amp;SCFT=3&amp;window=popup_no_bar&amp;width=385&amp;height=120&amp;START_MAXIMIZED=FALSE&amp;creator=factset&amp;display_string=Audit"}</definedName>
    <definedName name="_656__FDSAUDITLINK__" hidden="1">{"fdsup://Directions/FactSet Auditing Viewer?action=AUDIT_VALUE&amp;DB=129&amp;ID1=51841510&amp;VALUEID=02001&amp;SDATE=201001&amp;PERIODTYPE=QTR_STD&amp;SCFT=3&amp;window=popup_no_bar&amp;width=385&amp;height=120&amp;START_MAXIMIZED=FALSE&amp;creator=factset&amp;display_string=Audit"}</definedName>
    <definedName name="_657__FDSAUDITLINK__" hidden="1">{"fdsup://Directions/FactSet Auditing Viewer?action=AUDIT_VALUE&amp;DB=129&amp;ID1=51280710&amp;VALUEID=02001&amp;SDATE=201003&amp;PERIODTYPE=QTR_STD&amp;SCFT=3&amp;window=popup_no_bar&amp;width=385&amp;height=120&amp;START_MAXIMIZED=FALSE&amp;creator=factset&amp;display_string=Audit"}</definedName>
    <definedName name="_658__FDSAUDITLINK__" hidden="1">{"fdsup://Directions/FactSet Auditing Viewer?action=AUDIT_VALUE&amp;DB=129&amp;ID1=51280710&amp;VALUEID=02001&amp;SDATE=201003&amp;PERIODTYPE=QTR_STD&amp;SCFT=3&amp;window=popup_no_bar&amp;width=385&amp;height=120&amp;START_MAXIMIZED=FALSE&amp;creator=factset&amp;display_string=Audit"}</definedName>
    <definedName name="_659__FDSAUDITLINK__" hidden="1">{"fdsup://Directions/FactSet Auditing Viewer?action=AUDIT_VALUE&amp;DB=129&amp;ID1=53567810&amp;VALUEID=02001&amp;SDATE=201003&amp;PERIODTYPE=QTR_STD&amp;SCFT=3&amp;window=popup_no_bar&amp;width=385&amp;height=120&amp;START_MAXIMIZED=FALSE&amp;creator=factset&amp;display_string=Audit"}</definedName>
    <definedName name="_66__FDSAUDITLINK__" hidden="1">{"fdsup://directions/FAT Viewer?action=UPDATE&amp;creator=factset&amp;DYN_ARGS=TRUE&amp;DOC_NAME=FAT:FQL_AUDITING_CLIENT_TEMPLATE.FAT&amp;display_string=Audit&amp;VAR:KEY=IZIJKTSBIX&amp;VAR:QUERY=RkZfU0hTX0ZMT0FUKEFOTiwp&amp;WINDOW=FIRST_POPUP&amp;HEIGHT=450&amp;WIDTH=450&amp;START_MAXIMIZED=FALS","E&amp;VAR:CALENDAR=US&amp;VAR:SYMBOL=WYNN&amp;VAR:INDEX=0"}</definedName>
    <definedName name="_660__FDSAUDITLINK__" hidden="1">{"fdsup://Directions/FactSet Auditing Viewer?action=AUDIT_VALUE&amp;DB=129&amp;ID1=53567810&amp;VALUEID=02001&amp;SDATE=201003&amp;PERIODTYPE=QTR_STD&amp;SCFT=3&amp;window=popup_no_bar&amp;width=385&amp;height=120&amp;START_MAXIMIZED=FALSE&amp;creator=factset&amp;display_string=Audit"}</definedName>
    <definedName name="_661__FDSAUDITLINK__" hidden="1">{"fdsup://Directions/FactSet Auditing Viewer?action=AUDIT_VALUE&amp;DB=129&amp;ID1=48248010&amp;VALUEID=02001&amp;SDATE=201003&amp;PERIODTYPE=QTR_STD&amp;SCFT=3&amp;window=popup_no_bar&amp;width=385&amp;height=120&amp;START_MAXIMIZED=FALSE&amp;creator=factset&amp;display_string=Audit"}</definedName>
    <definedName name="_662__FDSAUDITLINK__" hidden="1">{"fdsup://Directions/FactSet Auditing Viewer?action=AUDIT_VALUE&amp;DB=129&amp;ID1=48248010&amp;VALUEID=02001&amp;SDATE=201003&amp;PERIODTYPE=QTR_STD&amp;SCFT=3&amp;window=popup_no_bar&amp;width=385&amp;height=120&amp;START_MAXIMIZED=FALSE&amp;creator=factset&amp;display_string=Audit"}</definedName>
    <definedName name="_663__FDSAUDITLINK__" hidden="1">{"fdsup://Directions/FactSet Auditing Viewer?action=AUDIT_VALUE&amp;DB=129&amp;ID1=48203R10&amp;VALUEID=02001&amp;SDATE=201001&amp;PERIODTYPE=QTR_STD&amp;SCFT=3&amp;window=popup_no_bar&amp;width=385&amp;height=120&amp;START_MAXIMIZED=FALSE&amp;creator=factset&amp;display_string=Audit"}</definedName>
    <definedName name="_664__FDSAUDITLINK__" hidden="1">{"fdsup://Directions/FactSet Auditing Viewer?action=AUDIT_VALUE&amp;DB=129&amp;ID1=48203R10&amp;VALUEID=02001&amp;SDATE=201001&amp;PERIODTYPE=QTR_STD&amp;SCFT=3&amp;window=popup_no_bar&amp;width=385&amp;height=120&amp;START_MAXIMIZED=FALSE&amp;creator=factset&amp;display_string=Audit"}</definedName>
    <definedName name="_665__FDSAUDITLINK__" hidden="1">{"fdsup://Directions/FactSet Auditing Viewer?action=AUDIT_VALUE&amp;DB=129&amp;ID1=46069S10&amp;VALUEID=02001&amp;SDATE=201001&amp;PERIODTYPE=QTR_STD&amp;SCFT=3&amp;window=popup_no_bar&amp;width=385&amp;height=120&amp;START_MAXIMIZED=FALSE&amp;creator=factset&amp;display_string=Audit"}</definedName>
    <definedName name="_666__FDSAUDITLINK__" hidden="1">{"fdsup://Directions/FactSet Auditing Viewer?action=AUDIT_VALUE&amp;DB=129&amp;ID1=46069S10&amp;VALUEID=02001&amp;SDATE=201001&amp;PERIODTYPE=QTR_STD&amp;SCFT=3&amp;window=popup_no_bar&amp;width=385&amp;height=120&amp;START_MAXIMIZED=FALSE&amp;creator=factset&amp;display_string=Audit"}</definedName>
    <definedName name="_667__FDSAUDITLINK__" hidden="1">{"fdsup://Directions/FactSet Auditing Viewer?action=AUDIT_VALUE&amp;DB=129&amp;ID1=46025410&amp;VALUEID=02001&amp;SDATE=201003&amp;PERIODTYPE=QTR_STD&amp;SCFT=3&amp;window=popup_no_bar&amp;width=385&amp;height=120&amp;START_MAXIMIZED=FALSE&amp;creator=factset&amp;display_string=Audit"}</definedName>
    <definedName name="_668__FDSAUDITLINK__" hidden="1">{"fdsup://Directions/FactSet Auditing Viewer?action=AUDIT_VALUE&amp;DB=129&amp;ID1=46025410&amp;VALUEID=02001&amp;SDATE=201003&amp;PERIODTYPE=QTR_STD&amp;SCFT=3&amp;window=popup_no_bar&amp;width=385&amp;height=120&amp;START_MAXIMIZED=FALSE&amp;creator=factset&amp;display_string=Audit"}</definedName>
    <definedName name="_669__FDSAUDITLINK__" hidden="1">{"fdsup://Directions/FactSet Auditing Viewer?action=AUDIT_VALUE&amp;DB=129&amp;ID1=45814010&amp;VALUEID=02001&amp;SDATE=201001&amp;PERIODTYPE=QTR_STD&amp;SCFT=3&amp;window=popup_no_bar&amp;width=385&amp;height=120&amp;START_MAXIMIZED=FALSE&amp;creator=factset&amp;display_string=Audit"}</definedName>
    <definedName name="_67__FDSAUDITLINK__" hidden="1">{"fdsup://directions/FAT Viewer?action=UPDATE&amp;creator=factset&amp;DYN_ARGS=TRUE&amp;DOC_NAME=FAT:FQL_AUDITING_CLIENT_TEMPLATE.FAT&amp;display_string=Audit&amp;VAR:KEY=IZIJKTSBIX&amp;VAR:QUERY=RkZfU0hTX0ZMT0FUKEFOTiwp&amp;WINDOW=FIRST_POPUP&amp;HEIGHT=450&amp;WIDTH=450&amp;START_MAXIMIZED=FALS","E&amp;VAR:CALENDAR=US&amp;VAR:SYMBOL=WYNN&amp;VAR:INDEX=0"}</definedName>
    <definedName name="_670__FDSAUDITLINK__" hidden="1">{"fdsup://Directions/FactSet Auditing Viewer?action=AUDIT_VALUE&amp;DB=129&amp;ID1=45814010&amp;VALUEID=02001&amp;SDATE=201001&amp;PERIODTYPE=QTR_STD&amp;SCFT=3&amp;window=popup_no_bar&amp;width=385&amp;height=120&amp;START_MAXIMIZED=FALSE&amp;creator=factset&amp;display_string=Audit"}</definedName>
    <definedName name="_671__FDSAUDITLINK__" hidden="1">{"fdsup://Directions/FactSet Auditing Viewer?action=AUDIT_VALUE&amp;DB=129&amp;ID1=42823610&amp;VALUEID=02001&amp;SDATE=201002&amp;PERIODTYPE=QTR_STD&amp;SCFT=3&amp;window=popup_no_bar&amp;width=385&amp;height=120&amp;START_MAXIMIZED=FALSE&amp;creator=factset&amp;display_string=Audit"}</definedName>
    <definedName name="_672__FDSAUDITLINK__" hidden="1">{"fdsup://Directions/FactSet Auditing Viewer?action=AUDIT_VALUE&amp;DB=129&amp;ID1=42823610&amp;VALUEID=02001&amp;SDATE=201002&amp;PERIODTYPE=QTR_STD&amp;SCFT=3&amp;window=popup_no_bar&amp;width=385&amp;height=120&amp;START_MAXIMIZED=FALSE&amp;creator=factset&amp;display_string=Audit"}</definedName>
    <definedName name="_673__FDSAUDITLINK__" hidden="1">{"fdsup://Directions/FactSet Auditing Viewer?action=AUDIT_VALUE&amp;DB=129&amp;ID1=H2906T10&amp;VALUEID=02001&amp;SDATE=201001&amp;PERIODTYPE=QTR_STD&amp;SCFT=3&amp;window=popup_no_bar&amp;width=385&amp;height=120&amp;START_MAXIMIZED=FALSE&amp;creator=factset&amp;display_string=Audit"}</definedName>
    <definedName name="_674__FDSAUDITLINK__" hidden="1">{"fdsup://Directions/FactSet Auditing Viewer?action=AUDIT_VALUE&amp;DB=129&amp;ID1=H2906T10&amp;VALUEID=02001&amp;SDATE=201001&amp;PERIODTYPE=QTR_STD&amp;SCFT=3&amp;window=popup_no_bar&amp;width=385&amp;height=120&amp;START_MAXIMIZED=FALSE&amp;creator=factset&amp;display_string=Audit"}</definedName>
    <definedName name="_675__FDSAUDITLINK__" hidden="1">{"fdsup://Directions/FactSet Auditing Viewer?action=AUDIT_VALUE&amp;DB=129&amp;ID1=34637510&amp;VALUEID=02001&amp;SDATE=201001&amp;PERIODTYPE=QTR_STD&amp;SCFT=3&amp;window=popup_no_bar&amp;width=385&amp;height=120&amp;START_MAXIMIZED=FALSE&amp;creator=factset&amp;display_string=Audit"}</definedName>
    <definedName name="_676__FDSAUDITLINK__" hidden="1">{"fdsup://Directions/FactSet Auditing Viewer?action=AUDIT_VALUE&amp;DB=129&amp;ID1=34637510&amp;VALUEID=02001&amp;SDATE=201001&amp;PERIODTYPE=QTR_STD&amp;SCFT=3&amp;window=popup_no_bar&amp;width=385&amp;height=120&amp;START_MAXIMIZED=FALSE&amp;creator=factset&amp;display_string=Audit"}</definedName>
    <definedName name="_677__FDSAUDITLINK__" hidden="1">{"fdsup://Directions/FactSet Auditing Viewer?action=AUDIT_VALUE&amp;DB=129&amp;ID1=31561610&amp;VALUEID=02001&amp;SDATE=201002&amp;PERIODTYPE=QTR_STD&amp;SCFT=3&amp;window=popup_no_bar&amp;width=385&amp;height=120&amp;START_MAXIMIZED=FALSE&amp;creator=factset&amp;display_string=Audit"}</definedName>
    <definedName name="_678__FDSAUDITLINK__" hidden="1">{"fdsup://Directions/FactSet Auditing Viewer?action=AUDIT_VALUE&amp;DB=129&amp;ID1=31561610&amp;VALUEID=02001&amp;SDATE=201002&amp;PERIODTYPE=QTR_STD&amp;SCFT=3&amp;window=popup_no_bar&amp;width=385&amp;height=120&amp;START_MAXIMIZED=FALSE&amp;creator=factset&amp;display_string=Audit"}</definedName>
    <definedName name="_679__FDSAUDITLINK__" hidden="1">{"fdsup://Directions/FactSet Auditing Viewer?action=AUDIT_VALUE&amp;DB=129&amp;ID1=29247520&amp;VALUEID=02001&amp;SDATE=201003&amp;PERIODTYPE=QTR_STD&amp;SCFT=3&amp;window=popup_no_bar&amp;width=385&amp;height=120&amp;START_MAXIMIZED=FALSE&amp;creator=factset&amp;display_string=Audit"}</definedName>
    <definedName name="_68__FDSAUDITLINK__" hidden="1">{"fdsup://directions/FAT Viewer?action=UPDATE&amp;creator=factset&amp;DYN_ARGS=TRUE&amp;DOC_NAME=FAT:FQL_AUDITING_CLIENT_TEMPLATE.FAT&amp;display_string=Audit&amp;VAR:KEY=IZIJKTSBIX&amp;VAR:QUERY=RkZfU0hTX0ZMT0FUKEFOTiwp&amp;WINDOW=FIRST_POPUP&amp;HEIGHT=450&amp;WIDTH=450&amp;START_MAXIMIZED=FALS","E&amp;VAR:CALENDAR=US&amp;VAR:SYMBOL=WYNN&amp;VAR:INDEX=0"}</definedName>
    <definedName name="_680__FDSAUDITLINK__" hidden="1">{"fdsup://Directions/FactSet Auditing Viewer?action=AUDIT_VALUE&amp;DB=129&amp;ID1=29247520&amp;VALUEID=02001&amp;SDATE=201003&amp;PERIODTYPE=QTR_STD&amp;SCFT=3&amp;window=popup_no_bar&amp;width=385&amp;height=120&amp;START_MAXIMIZED=FALSE&amp;creator=factset&amp;display_string=Audit"}</definedName>
    <definedName name="_681__FDSAUDITLINK__" hidden="1">{"fdsup://Directions/FactSet Auditing Viewer?action=AUDIT_VALUE&amp;DB=129&amp;ID1=25454310&amp;VALUEID=02001&amp;SDATE=201001&amp;PERIODTYPE=QTR_STD&amp;SCFT=3&amp;window=popup_no_bar&amp;width=385&amp;height=120&amp;START_MAXIMIZED=FALSE&amp;creator=factset&amp;display_string=Audit"}</definedName>
    <definedName name="_682__FDSAUDITLINK__" hidden="1">{"fdsup://Directions/FactSet Auditing Viewer?action=AUDIT_VALUE&amp;DB=129&amp;ID1=25454310&amp;VALUEID=02001&amp;SDATE=201001&amp;PERIODTYPE=QTR_STD&amp;SCFT=3&amp;window=popup_no_bar&amp;width=385&amp;height=120&amp;START_MAXIMIZED=FALSE&amp;creator=factset&amp;display_string=Audit"}</definedName>
    <definedName name="_683__FDSAUDITLINK__" hidden="1">{"fdsup://Directions/FactSet Auditing Viewer?action=AUDIT_VALUE&amp;DB=129&amp;ID1=24702R10&amp;VALUEID=02001&amp;SDATE=201001&amp;PERIODTYPE=QTR_STD&amp;SCFT=3&amp;window=popup_no_bar&amp;width=385&amp;height=120&amp;START_MAXIMIZED=FALSE&amp;creator=factset&amp;display_string=Audit"}</definedName>
    <definedName name="_684__FDSAUDITLINK__" hidden="1">{"fdsup://Directions/FactSet Auditing Viewer?action=AUDIT_VALUE&amp;DB=129&amp;ID1=24702R10&amp;VALUEID=02001&amp;SDATE=201001&amp;PERIODTYPE=QTR_STD&amp;SCFT=3&amp;window=popup_no_bar&amp;width=385&amp;height=120&amp;START_MAXIMIZED=FALSE&amp;creator=factset&amp;display_string=Audit"}</definedName>
    <definedName name="_685__FDSAUDITLINK__" hidden="1">{"fdsup://Directions/FactSet Auditing Viewer?action=AUDIT_VALUE&amp;DB=129&amp;ID1=23257210&amp;VALUEID=02001&amp;SDATE=201001&amp;PERIODTYPE=QTR_STD&amp;SCFT=3&amp;window=popup_no_bar&amp;width=385&amp;height=120&amp;START_MAXIMIZED=FALSE&amp;creator=factset&amp;display_string=Audit"}</definedName>
    <definedName name="_686__FDSAUDITLINK__" hidden="1">{"fdsup://Directions/FactSet Auditing Viewer?action=AUDIT_VALUE&amp;DB=129&amp;ID1=23257210&amp;VALUEID=02001&amp;SDATE=201001&amp;PERIODTYPE=QTR_STD&amp;SCFT=3&amp;window=popup_no_bar&amp;width=385&amp;height=120&amp;START_MAXIMIZED=FALSE&amp;creator=factset&amp;display_string=Audit"}</definedName>
    <definedName name="_687__FDSAUDITLINK__" hidden="1">{"fdsup://Directions/FactSet Auditing Viewer?action=AUDIT_VALUE&amp;DB=129&amp;ID1=23280610&amp;VALUEID=02001&amp;SDATE=201001&amp;PERIODTYPE=QTR_STD&amp;SCFT=3&amp;window=popup_no_bar&amp;width=385&amp;height=120&amp;START_MAXIMIZED=FALSE&amp;creator=factset&amp;display_string=Audit"}</definedName>
    <definedName name="_688__FDSAUDITLINK__" hidden="1">{"fdsup://Directions/FactSet Auditing Viewer?action=AUDIT_VALUE&amp;DB=129&amp;ID1=23280610&amp;VALUEID=02001&amp;SDATE=201001&amp;PERIODTYPE=QTR_STD&amp;SCFT=3&amp;window=popup_no_bar&amp;width=385&amp;height=120&amp;START_MAXIMIZED=FALSE&amp;creator=factset&amp;display_string=Audit"}</definedName>
    <definedName name="_689__FDSAUDITLINK__" hidden="1">{"fdsup://Directions/FactSet Auditing Viewer?action=AUDIT_VALUE&amp;DB=129&amp;ID1=17275R10&amp;VALUEID=02001&amp;SDATE=201003&amp;PERIODTYPE=QTR_STD&amp;SCFT=3&amp;window=popup_no_bar&amp;width=385&amp;height=120&amp;START_MAXIMIZED=FALSE&amp;creator=factset&amp;display_string=Audit"}</definedName>
    <definedName name="_69__FDSAUDITLINK__" hidden="1">{"fdsup://directions/FAT Viewer?action=UPDATE&amp;creator=factset&amp;DYN_ARGS=TRUE&amp;DOC_NAME=FAT:FQL_AUDITING_CLIENT_TEMPLATE.FAT&amp;display_string=Audit&amp;VAR:KEY=WJMNAJKZIB&amp;VAR:QUERY=RkZfU0hTX0ZMT0FUKEFOTiw0MDg2Nik=&amp;WINDOW=FIRST_POPUP&amp;HEIGHT=450&amp;WIDTH=450&amp;START_MAXIMI","ZED=FALSE&amp;VAR:CALENDAR=US&amp;VAR:SYMBOL=MGM&amp;VAR:INDEX=0"}</definedName>
    <definedName name="_690__FDSAUDITLINK__" hidden="1">{"fdsup://Directions/FactSet Auditing Viewer?action=AUDIT_VALUE&amp;DB=129&amp;ID1=17275R10&amp;VALUEID=02001&amp;SDATE=201003&amp;PERIODTYPE=QTR_STD&amp;SCFT=3&amp;window=popup_no_bar&amp;width=385&amp;height=120&amp;START_MAXIMIZED=FALSE&amp;creator=factset&amp;display_string=Audit"}</definedName>
    <definedName name="_691__FDSAUDITLINK__" hidden="1">{"fdsup://Directions/FactSet Auditing Viewer?action=AUDIT_VALUE&amp;DB=129&amp;ID1=22544710&amp;VALUEID=02001&amp;SDATE=201003&amp;PERIODTYPE=QTR_STD&amp;SCFT=3&amp;window=popup_no_bar&amp;width=385&amp;height=120&amp;START_MAXIMIZED=FALSE&amp;creator=factset&amp;display_string=Audit"}</definedName>
    <definedName name="_692__FDSAUDITLINK__" hidden="1">{"fdsup://Directions/FactSet Auditing Viewer?action=AUDIT_VALUE&amp;DB=129&amp;ID1=22544710&amp;VALUEID=02001&amp;SDATE=201003&amp;PERIODTYPE=QTR_STD&amp;SCFT=3&amp;window=popup_no_bar&amp;width=385&amp;height=120&amp;START_MAXIMIZED=FALSE&amp;creator=factset&amp;display_string=Audit"}</definedName>
    <definedName name="_693__FDSAUDITLINK__" hidden="1">{"fdsup://Directions/FactSet Auditing Viewer?action=AUDIT_VALUE&amp;DB=129&amp;ID1=20714230&amp;VALUEID=02001&amp;SDATE=201002&amp;PERIODTYPE=QTR_STD&amp;SCFT=3&amp;window=popup_no_bar&amp;width=385&amp;height=120&amp;START_MAXIMIZED=FALSE&amp;creator=factset&amp;display_string=Audit"}</definedName>
    <definedName name="_694__FDSAUDITLINK__" hidden="1">{"fdsup://Directions/FactSet Auditing Viewer?action=AUDIT_VALUE&amp;DB=129&amp;ID1=20714230&amp;VALUEID=02001&amp;SDATE=201002&amp;PERIODTYPE=QTR_STD&amp;SCFT=3&amp;window=popup_no_bar&amp;width=385&amp;height=120&amp;START_MAXIMIZED=FALSE&amp;creator=factset&amp;display_string=Audit"}</definedName>
    <definedName name="_695__FDSAUDITLINK__" hidden="1">{"fdsup://Directions/FactSet Auditing Viewer?action=AUDIT_VALUE&amp;DB=129&amp;ID1=12738710&amp;VALUEID=02001&amp;SDATE=201001&amp;PERIODTYPE=QTR_STD&amp;SCFT=3&amp;window=popup_no_bar&amp;width=385&amp;height=120&amp;START_MAXIMIZED=FALSE&amp;creator=factset&amp;display_string=Audit"}</definedName>
    <definedName name="_696__FDSAUDITLINK__" hidden="1">{"fdsup://Directions/FactSet Auditing Viewer?action=AUDIT_VALUE&amp;DB=129&amp;ID1=12738710&amp;VALUEID=02001&amp;SDATE=201001&amp;PERIODTYPE=QTR_STD&amp;SCFT=3&amp;window=popup_no_bar&amp;width=385&amp;height=120&amp;START_MAXIMIZED=FALSE&amp;creator=factset&amp;display_string=Audit"}</definedName>
    <definedName name="_697__FDSAUDITLINK__" hidden="1">{"fdsup://Directions/FactSet Auditing Viewer?action=AUDIT_VALUE&amp;DB=129&amp;ID1=14964U10&amp;VALUEID=02001&amp;SDATE=201001&amp;PERIODTYPE=QTR_STD&amp;SCFT=3&amp;window=popup_no_bar&amp;width=385&amp;height=120&amp;START_MAXIMIZED=FALSE&amp;creator=factset&amp;display_string=Audit"}</definedName>
    <definedName name="_698__FDSAUDITLINK__" hidden="1">{"fdsup://Directions/FactSet Auditing Viewer?action=AUDIT_VALUE&amp;DB=129&amp;ID1=14964U10&amp;VALUEID=02001&amp;SDATE=201001&amp;PERIODTYPE=QTR_STD&amp;SCFT=3&amp;window=popup_no_bar&amp;width=385&amp;height=120&amp;START_MAXIMIZED=FALSE&amp;creator=factset&amp;display_string=Audit"}</definedName>
    <definedName name="_699__FDSAUDITLINK__" hidden="1">{"fdsup://Directions/FactSet Auditing Viewer?action=AUDIT_VALUE&amp;DB=129&amp;ID1=11162130&amp;VALUEID=02001&amp;SDATE=201002&amp;PERIODTYPE=QTR_STD&amp;SCFT=3&amp;window=popup_no_bar&amp;width=385&amp;height=120&amp;START_MAXIMIZED=FALSE&amp;creator=factset&amp;display_string=Audit"}</definedName>
    <definedName name="_7__123Graph_AR_M_MARGINS" hidden="1">#REF!</definedName>
    <definedName name="_7__123Graph_BR_M_MARGINS" hidden="1">#REF!</definedName>
    <definedName name="_7__123Graph_XR_M_VOLUMES" hidden="1">#REF!</definedName>
    <definedName name="_7__FDSAUDITLINK__" hidden="1">{"fdsup://directions/FAT Viewer?action=UPDATE&amp;creator=factset&amp;DYN_ARGS=TRUE&amp;DOC_NAME=FAT:FQL_AUDITING_CLIENT_TEMPLATE.FAT&amp;display_string=Audit&amp;VAR:KEY=WZKBOHYPWT&amp;VAR:QUERY=RkZfU0hTX0ZMT0FUKEFOTiwp&amp;WINDOW=FIRST_POPUP&amp;HEIGHT=450&amp;WIDTH=450&amp;START_MAXIMIZED=FALS","E&amp;VAR:CALENDAR=US&amp;VAR:SYMBOL=MGM RESORTS INT'L&amp;VAR:INDEX=0"}</definedName>
    <definedName name="_7_Glossary_of_Terms">#REF!</definedName>
    <definedName name="_70__FDSAUDITLINK__" hidden="1">{"fdsup://directions/FAT Viewer?action=UPDATE&amp;creator=factset&amp;DYN_ARGS=TRUE&amp;DOC_NAME=FAT:FQL_AUDITING_CLIENT_TEMPLATE.FAT&amp;display_string=Audit&amp;VAR:KEY=AFEBMXEBCZ&amp;VAR:QUERY=RkZfU0hTX0ZMT0FUKEFOTiw0MDg0Nyk=&amp;WINDOW=FIRST_POPUP&amp;HEIGHT=450&amp;WIDTH=450&amp;START_MAXIMI","ZED=FALSE&amp;VAR:CALENDAR=US&amp;VAR:SYMBOL=MGM&amp;VAR:INDEX=0"}</definedName>
    <definedName name="_700__FDSAUDITLINK__" hidden="1">{"fdsup://Directions/FactSet Auditing Viewer?action=AUDIT_VALUE&amp;DB=129&amp;ID1=11162130&amp;VALUEID=02001&amp;SDATE=201002&amp;PERIODTYPE=QTR_STD&amp;SCFT=3&amp;window=popup_no_bar&amp;width=385&amp;height=120&amp;START_MAXIMIZED=FALSE&amp;creator=factset&amp;display_string=Audit"}</definedName>
    <definedName name="_701__FDSAUDITLINK__" hidden="1">{"fdsup://Directions/FactSet Auditing Viewer?action=AUDIT_VALUE&amp;DB=129&amp;ID1=Y0486S10&amp;VALUEID=02001&amp;SDATE=201002&amp;PERIODTYPE=QTR_STD&amp;SCFT=3&amp;window=popup_no_bar&amp;width=385&amp;height=120&amp;START_MAXIMIZED=FALSE&amp;creator=factset&amp;display_string=Audit"}</definedName>
    <definedName name="_702__FDSAUDITLINK__" hidden="1">{"fdsup://Directions/FactSet Auditing Viewer?action=AUDIT_VALUE&amp;DB=129&amp;ID1=Y0486S10&amp;VALUEID=02001&amp;SDATE=201002&amp;PERIODTYPE=QTR_STD&amp;SCFT=3&amp;window=popup_no_bar&amp;width=385&amp;height=120&amp;START_MAXIMIZED=FALSE&amp;creator=factset&amp;display_string=Audit"}</definedName>
    <definedName name="_703__FDSAUDITLINK__" hidden="1">{"fdsup://Directions/FactSet Auditing Viewer?action=AUDIT_VALUE&amp;DB=129&amp;ID1=04743P10&amp;VALUEID=02001&amp;SDATE=201001&amp;PERIODTYPE=QTR_STD&amp;SCFT=3&amp;window=popup_no_bar&amp;width=385&amp;height=120&amp;START_MAXIMIZED=FALSE&amp;creator=factset&amp;display_string=Audit"}</definedName>
    <definedName name="_704__FDSAUDITLINK__" hidden="1">{"fdsup://Directions/FactSet Auditing Viewer?action=AUDIT_VALUE&amp;DB=129&amp;ID1=04743P10&amp;VALUEID=02001&amp;SDATE=201001&amp;PERIODTYPE=QTR_STD&amp;SCFT=3&amp;window=popup_no_bar&amp;width=385&amp;height=120&amp;START_MAXIMIZED=FALSE&amp;creator=factset&amp;display_string=Audit"}</definedName>
    <definedName name="_705__FDSAUDITLINK__" hidden="1">{"fdsup://Directions/FactSet Auditing Viewer?action=AUDIT_VALUE&amp;DB=129&amp;ID1=03251510&amp;VALUEID=02001&amp;SDATE=201001&amp;PERIODTYPE=QTR_STD&amp;SCFT=3&amp;window=popup_no_bar&amp;width=385&amp;height=120&amp;START_MAXIMIZED=FALSE&amp;creator=factset&amp;display_string=Audit"}</definedName>
    <definedName name="_706__FDSAUDITLINK__" hidden="1">{"fdsup://Directions/FactSet Auditing Viewer?action=AUDIT_VALUE&amp;DB=129&amp;ID1=03251510&amp;VALUEID=02001&amp;SDATE=201001&amp;PERIODTYPE=QTR_STD&amp;SCFT=3&amp;window=popup_no_bar&amp;width=385&amp;height=120&amp;START_MAXIMIZED=FALSE&amp;creator=factset&amp;display_string=Audit"}</definedName>
    <definedName name="_707__FDSAUDITLINK__" hidden="1">{"fdsup://Directions/FactSet Auditing Viewer?action=AUDIT_VALUE&amp;DB=129&amp;ID1=00790310&amp;VALUEID=02001&amp;SDATE=201001&amp;PERIODTYPE=QTR_STD&amp;SCFT=3&amp;window=popup_no_bar&amp;width=385&amp;height=120&amp;START_MAXIMIZED=FALSE&amp;creator=factset&amp;display_string=Audit"}</definedName>
    <definedName name="_708__FDSAUDITLINK__" hidden="1">{"fdsup://Directions/FactSet Auditing Viewer?action=AUDIT_VALUE&amp;DB=129&amp;ID1=00790310&amp;VALUEID=02001&amp;SDATE=201001&amp;PERIODTYPE=QTR_STD&amp;SCFT=3&amp;window=popup_no_bar&amp;width=385&amp;height=120&amp;START_MAXIMIZED=FALSE&amp;creator=factset&amp;display_string=Audit"}</definedName>
    <definedName name="_709__FDSAUDITLINK__" hidden="1">{"fdsup://Directions/FactSet Auditing Viewer?action=AUDIT_VALUE&amp;DB=129&amp;ID1=03822210&amp;VALUEID=02001&amp;SDATE=201002&amp;PERIODTYPE=QTR_STD&amp;SCFT=3&amp;window=popup_no_bar&amp;width=385&amp;height=120&amp;START_MAXIMIZED=FALSE&amp;creator=factset&amp;display_string=Audit"}</definedName>
    <definedName name="_71__FDSAUDITLINK__" hidden="1">{"fdsup://directions/FAT Viewer?action=UPDATE&amp;creator=factset&amp;DYN_ARGS=TRUE&amp;DOC_NAME=FAT:FQL_AUDITING_CLIENT_TEMPLATE.FAT&amp;display_string=Audit&amp;VAR:KEY=QLCZANEJYJ&amp;VAR:QUERY=RkZfU0hTX0ZMT0FUKEFOTiw0MDgxNik=&amp;WINDOW=FIRST_POPUP&amp;HEIGHT=450&amp;WIDTH=450&amp;START_MAXIMI","ZED=FALSE&amp;VAR:CALENDAR=US&amp;VAR:SYMBOL=MGM&amp;VAR:INDEX=0"}</definedName>
    <definedName name="_710__FDSAUDITLINK__" hidden="1">{"fdsup://Directions/FactSet Auditing Viewer?action=AUDIT_VALUE&amp;DB=129&amp;ID1=03822210&amp;VALUEID=02001&amp;SDATE=201002&amp;PERIODTYPE=QTR_STD&amp;SCFT=3&amp;window=popup_no_bar&amp;width=385&amp;height=120&amp;START_MAXIMIZED=FALSE&amp;creator=factset&amp;display_string=Audit"}</definedName>
    <definedName name="_711__FDSAUDITLINK__" hidden="1">{"fdsup://Directions/FactSet Auditing Viewer?action=AUDIT_VALUE&amp;DB=129&amp;ID1=02144110&amp;VALUEID=02001&amp;SDATE=201001&amp;PERIODTYPE=QTR_STD&amp;SCFT=3&amp;window=popup_no_bar&amp;width=385&amp;height=120&amp;START_MAXIMIZED=FALSE&amp;creator=factset&amp;display_string=Audit"}</definedName>
    <definedName name="_712__FDSAUDITLINK__" hidden="1">{"fdsup://Directions/FactSet Auditing Viewer?action=AUDIT_VALUE&amp;DB=129&amp;ID1=02144110&amp;VALUEID=02001&amp;SDATE=201001&amp;PERIODTYPE=QTR_STD&amp;SCFT=3&amp;window=popup_no_bar&amp;width=385&amp;height=120&amp;START_MAXIMIZED=FALSE&amp;creator=factset&amp;display_string=Audit"}</definedName>
    <definedName name="_713__FDSAUDITLINK__" hidden="1">{"fdsup://Directions/FactSet Auditing Viewer?action=AUDIT_VALUE&amp;DB=129&amp;ID1=03265410&amp;VALUEID=02001&amp;SDATE=201002&amp;PERIODTYPE=QTR_STD&amp;SCFT=3&amp;window=popup_no_bar&amp;width=385&amp;height=120&amp;START_MAXIMIZED=FALSE&amp;creator=factset&amp;display_string=Audit"}</definedName>
    <definedName name="_714__FDSAUDITLINK__" hidden="1">{"fdsup://Directions/FactSet Auditing Viewer?action=AUDIT_VALUE&amp;DB=129&amp;ID1=03265410&amp;VALUEID=02001&amp;SDATE=201002&amp;PERIODTYPE=QTR_STD&amp;SCFT=3&amp;window=popup_no_bar&amp;width=385&amp;height=120&amp;START_MAXIMIZED=FALSE&amp;creator=factset&amp;display_string=Audit"}</definedName>
    <definedName name="_715__FDSAUDITLINK__" hidden="1">{"fdsup://Directions/FactSet Auditing Viewer?action=AUDIT_VALUE&amp;DB=129&amp;ID1=00752J10&amp;VALUEID=02001&amp;SDATE=201001&amp;PERIODTYPE=QTR_STD&amp;SCFT=3&amp;window=popup_no_bar&amp;width=385&amp;height=120&amp;START_MAXIMIZED=FALSE&amp;creator=factset&amp;display_string=Audit"}</definedName>
    <definedName name="_716__FDSAUDITLINK__" hidden="1">{"fdsup://Directions/FactSet Auditing Viewer?action=AUDIT_VALUE&amp;DB=129&amp;ID1=00752J10&amp;VALUEID=02001&amp;SDATE=201001&amp;PERIODTYPE=QTR_STD&amp;SCFT=3&amp;window=popup_no_bar&amp;width=385&amp;height=120&amp;START_MAXIMIZED=FALSE&amp;creator=factset&amp;display_string=Audit"}</definedName>
    <definedName name="_717__FDSAUDITLINK__" hidden="1">{"fdsup://Directions/FactSet Auditing Viewer?action=AUDIT_VALUE&amp;DB=129&amp;ID1=98391910&amp;VALUEID=02001&amp;SDATE=200903&amp;PERIODTYPE=QTR_STD&amp;SCFT=3&amp;window=popup_no_bar&amp;width=385&amp;height=120&amp;START_MAXIMIZED=FALSE&amp;creator=factset&amp;display_string=Audit"}</definedName>
    <definedName name="_718__FDSAUDITLINK__" hidden="1">{"fdsup://Directions/FactSet Auditing Viewer?action=AUDIT_VALUE&amp;DB=129&amp;ID1=98391910&amp;VALUEID=02001&amp;SDATE=200903&amp;PERIODTYPE=QTR_STD&amp;SCFT=3&amp;window=popup_no_bar&amp;width=385&amp;height=120&amp;START_MAXIMIZED=FALSE&amp;creator=factset&amp;display_string=Audit"}</definedName>
    <definedName name="_719__FDSAUDITLINK__" hidden="1">{"fdsup://Directions/FactSet Auditing Viewer?action=AUDIT_VALUE&amp;DB=129&amp;ID1=95810210&amp;VALUEID=02001&amp;SDATE=201002&amp;PERIODTYPE=QTR_STD&amp;SCFT=3&amp;window=popup_no_bar&amp;width=385&amp;height=120&amp;START_MAXIMIZED=FALSE&amp;creator=factset&amp;display_string=Audit"}</definedName>
    <definedName name="_72__FDSAUDITLINK__" hidden="1">{"fdsup://directions/FAT Viewer?action=UPDATE&amp;creator=factset&amp;DYN_ARGS=TRUE&amp;DOC_NAME=FAT:FQL_AUDITING_CLIENT_TEMPLATE.FAT&amp;display_string=Audit&amp;VAR:KEY=KVSHOTOXQB&amp;VAR:QUERY=RkZfU0hTX0ZMT0FUKEFOTiw0MDc4Nik=&amp;WINDOW=FIRST_POPUP&amp;HEIGHT=450&amp;WIDTH=450&amp;START_MAXIMI","ZED=FALSE&amp;VAR:CALENDAR=US&amp;VAR:SYMBOL=MGM&amp;VAR:INDEX=0"}</definedName>
    <definedName name="_720__FDSAUDITLINK__" hidden="1">{"fdsup://Directions/FactSet Auditing Viewer?action=AUDIT_VALUE&amp;DB=129&amp;ID1=95810210&amp;VALUEID=02001&amp;SDATE=201002&amp;PERIODTYPE=QTR_STD&amp;SCFT=3&amp;window=popup_no_bar&amp;width=385&amp;height=120&amp;START_MAXIMIZED=FALSE&amp;creator=factset&amp;display_string=Audit"}</definedName>
    <definedName name="_721__FDSAUDITLINK__" hidden="1">{"fdsup://Directions/FactSet Auditing Viewer?action=AUDIT_VALUE&amp;DB=129&amp;ID1=92849730&amp;VALUEID=02001&amp;SDATE=201001&amp;PERIODTYPE=QTR_STD&amp;SCFT=3&amp;window=popup_no_bar&amp;width=385&amp;height=120&amp;START_MAXIMIZED=FALSE&amp;creator=factset&amp;display_string=Audit"}</definedName>
    <definedName name="_722__FDSAUDITLINK__" hidden="1">{"fdsup://Directions/FactSet Auditing Viewer?action=AUDIT_VALUE&amp;DB=129&amp;ID1=92849730&amp;VALUEID=02001&amp;SDATE=201001&amp;PERIODTYPE=QTR_STD&amp;SCFT=3&amp;window=popup_no_bar&amp;width=385&amp;height=120&amp;START_MAXIMIZED=FALSE&amp;creator=factset&amp;display_string=Audit"}</definedName>
    <definedName name="_723__FDSAUDITLINK__" hidden="1">{"fdsup://Directions/FactSet Auditing Viewer?action=AUDIT_VALUE&amp;DB=129&amp;ID1=83088M10&amp;VALUEID=02001&amp;SDATE=201001&amp;PERIODTYPE=QTR_STD&amp;SCFT=3&amp;window=popup_no_bar&amp;width=385&amp;height=120&amp;START_MAXIMIZED=FALSE&amp;creator=factset&amp;display_string=Audit"}</definedName>
    <definedName name="_724__FDSAUDITLINK__" hidden="1">{"fdsup://Directions/FactSet Auditing Viewer?action=AUDIT_VALUE&amp;DB=129&amp;ID1=83088M10&amp;VALUEID=02001&amp;SDATE=201001&amp;PERIODTYPE=QTR_STD&amp;SCFT=3&amp;window=popup_no_bar&amp;width=385&amp;height=120&amp;START_MAXIMIZED=FALSE&amp;creator=factset&amp;display_string=Audit"}</definedName>
    <definedName name="_725__FDSAUDITLINK__" hidden="1">{"fdsup://Directions/FactSet Auditing Viewer?action=AUDIT_VALUE&amp;DB=129&amp;ID1=G7945M10&amp;VALUEID=02001&amp;SDATE=201002&amp;PERIODTYPE=QTR_STD&amp;SCFT=3&amp;window=popup_no_bar&amp;width=385&amp;height=120&amp;START_MAXIMIZED=FALSE&amp;creator=factset&amp;display_string=Audit"}</definedName>
    <definedName name="_726__FDSAUDITLINK__" hidden="1">{"fdsup://Directions/FactSet Auditing Viewer?action=AUDIT_VALUE&amp;DB=129&amp;ID1=G7945M10&amp;VALUEID=02001&amp;SDATE=201002&amp;PERIODTYPE=QTR_STD&amp;SCFT=3&amp;window=popup_no_bar&amp;width=385&amp;height=120&amp;START_MAXIMIZED=FALSE&amp;creator=factset&amp;display_string=Audit"}</definedName>
    <definedName name="_727__FDSAUDITLINK__" hidden="1">{"fdsup://Directions/FactSet Auditing Viewer?action=AUDIT_VALUE&amp;DB=129&amp;ID1=87160710&amp;VALUEID=02001&amp;SDATE=201001&amp;PERIODTYPE=QTR_STD&amp;SCFT=3&amp;window=popup_no_bar&amp;width=385&amp;height=120&amp;START_MAXIMIZED=FALSE&amp;creator=factset&amp;display_string=Audit"}</definedName>
    <definedName name="_728__FDSAUDITLINK__" hidden="1">{"fdsup://Directions/FactSet Auditing Viewer?action=AUDIT_VALUE&amp;DB=129&amp;ID1=87160710&amp;VALUEID=02001&amp;SDATE=201001&amp;PERIODTYPE=QTR_STD&amp;SCFT=3&amp;window=popup_no_bar&amp;width=385&amp;height=120&amp;START_MAXIMIZED=FALSE&amp;creator=factset&amp;display_string=Audit"}</definedName>
    <definedName name="_729__FDSAUDITLINK__" hidden="1">{"fdsup://Directions/FactSet Auditing Viewer?action=AUDIT_VALUE&amp;DB=129&amp;ID1=81685010&amp;VALUEID=02001&amp;SDATE=200904&amp;PERIODTYPE=QTR_STD&amp;SCFT=3&amp;window=popup_no_bar&amp;width=385&amp;height=120&amp;START_MAXIMIZED=FALSE&amp;creator=factset&amp;display_string=Audit"}</definedName>
    <definedName name="_73__FDSAUDITLINK__" hidden="1">{"fdsup://directions/FAT Viewer?action=UPDATE&amp;creator=factset&amp;DYN_ARGS=TRUE&amp;DOC_NAME=FAT:FQL_AUDITING_CLIENT_TEMPLATE.FAT&amp;display_string=Audit&amp;VAR:KEY=WZSJEDCBMR&amp;VAR:QUERY=RkZfU0hTX0ZMT0FUKEFOTiw0MDc1NSk=&amp;WINDOW=FIRST_POPUP&amp;HEIGHT=450&amp;WIDTH=450&amp;START_MAXIMI","ZED=FALSE&amp;VAR:CALENDAR=US&amp;VAR:SYMBOL=MGM&amp;VAR:INDEX=0"}</definedName>
    <definedName name="_730__FDSAUDITLINK__" hidden="1">{"fdsup://Directions/FactSet Auditing Viewer?action=AUDIT_VALUE&amp;DB=129&amp;ID1=81685010&amp;VALUEID=02001&amp;SDATE=200904&amp;PERIODTYPE=QTR_STD&amp;SCFT=3&amp;window=popup_no_bar&amp;width=385&amp;height=120&amp;START_MAXIMIZED=FALSE&amp;creator=factset&amp;display_string=Audit"}</definedName>
    <definedName name="_731__FDSAUDITLINK__" hidden="1">{"fdsup://Directions/FactSet Auditing Viewer?action=AUDIT_VALUE&amp;DB=129&amp;ID1=74994110&amp;VALUEID=02001&amp;SDATE=200903&amp;PERIODTYPE=QTR_STD&amp;SCFT=3&amp;window=popup_no_bar&amp;width=385&amp;height=120&amp;START_MAXIMIZED=FALSE&amp;creator=factset&amp;display_string=Audit"}</definedName>
    <definedName name="_732__FDSAUDITLINK__" hidden="1">{"fdsup://Directions/FactSet Auditing Viewer?action=AUDIT_VALUE&amp;DB=129&amp;ID1=74994110&amp;VALUEID=02001&amp;SDATE=200903&amp;PERIODTYPE=QTR_STD&amp;SCFT=3&amp;window=popup_no_bar&amp;width=385&amp;height=120&amp;START_MAXIMIZED=FALSE&amp;creator=factset&amp;display_string=Audit"}</definedName>
    <definedName name="_733__FDSAUDITLINK__" hidden="1">{"fdsup://Directions/FactSet Auditing Viewer?action=AUDIT_VALUE&amp;DB=129&amp;ID1=74727710&amp;VALUEID=02001&amp;SDATE=200903&amp;PERIODTYPE=QTR_STD&amp;SCFT=3&amp;window=popup_no_bar&amp;width=385&amp;height=120&amp;START_MAXIMIZED=FALSE&amp;creator=factset&amp;display_string=Audit"}</definedName>
    <definedName name="_734__FDSAUDITLINK__" hidden="1">{"fdsup://Directions/FactSet Auditing Viewer?action=AUDIT_VALUE&amp;DB=129&amp;ID1=74727710&amp;VALUEID=02001&amp;SDATE=200903&amp;PERIODTYPE=QTR_STD&amp;SCFT=3&amp;window=popup_no_bar&amp;width=385&amp;height=120&amp;START_MAXIMIZED=FALSE&amp;creator=factset&amp;display_string=Audit"}</definedName>
    <definedName name="_735__FDSAUDITLINK__" hidden="1">{"fdsup://Directions/FactSet Auditing Viewer?action=AUDIT_VALUE&amp;DB=129&amp;ID1=74752510&amp;VALUEID=02001&amp;SDATE=201001&amp;PERIODTYPE=QTR_STD&amp;SCFT=3&amp;window=popup_no_bar&amp;width=385&amp;height=120&amp;START_MAXIMIZED=FALSE&amp;creator=factset&amp;display_string=Audit"}</definedName>
    <definedName name="_736__FDSAUDITLINK__" hidden="1">{"fdsup://Directions/FactSet Auditing Viewer?action=AUDIT_VALUE&amp;DB=129&amp;ID1=74752510&amp;VALUEID=02001&amp;SDATE=201001&amp;PERIODTYPE=QTR_STD&amp;SCFT=3&amp;window=popup_no_bar&amp;width=385&amp;height=120&amp;START_MAXIMIZED=FALSE&amp;creator=factset&amp;display_string=Audit"}</definedName>
    <definedName name="_737__FDSAUDITLINK__" hidden="1">{"fdsup://Directions/FactSet Auditing Viewer?action=AUDIT_VALUE&amp;DB=129&amp;ID1=B505PN&amp;VALUEID=02001&amp;SDATE=200904&amp;PERIODTYPE=QTR_STD&amp;SCFT=3&amp;window=popup_no_bar&amp;width=385&amp;height=120&amp;START_MAXIMIZED=FALSE&amp;creator=factset&amp;display_string=Audit"}</definedName>
    <definedName name="_738__FDSAUDITLINK__" hidden="1">{"fdsup://Directions/FactSet Auditing Viewer?action=AUDIT_VALUE&amp;DB=129&amp;ID1=B505PN&amp;VALUEID=02001&amp;SDATE=200904&amp;PERIODTYPE=QTR_STD&amp;SCFT=3&amp;window=popup_no_bar&amp;width=385&amp;height=120&amp;START_MAXIMIZED=FALSE&amp;creator=factset&amp;display_string=Audit"}</definedName>
    <definedName name="_739__FDSAUDITLINK__" hidden="1">{"fdsup://Directions/FactSet Auditing Viewer?action=AUDIT_VALUE&amp;DB=129&amp;ID1=63764010&amp;VALUEID=02001&amp;SDATE=200902&amp;PERIODTYPE=QTR_STD&amp;SCFT=3&amp;window=popup_no_bar&amp;width=385&amp;height=120&amp;START_MAXIMIZED=FALSE&amp;creator=factset&amp;display_string=Audit"}</definedName>
    <definedName name="_74__FDSAUDITLINK__" hidden="1">{"fdsup://directions/FAT Viewer?action=UPDATE&amp;creator=factset&amp;DYN_ARGS=TRUE&amp;DOC_NAME=FAT:FQL_AUDITING_CLIENT_TEMPLATE.FAT&amp;display_string=Audit&amp;VAR:KEY=WXIDSJMPQF&amp;VAR:QUERY=RkZfU0hTX0ZMT0FUKEFOTiw0MDcyNCk=&amp;WINDOW=FIRST_POPUP&amp;HEIGHT=450&amp;WIDTH=450&amp;START_MAXIMI","ZED=FALSE&amp;VAR:CALENDAR=US&amp;VAR:SYMBOL=MGM&amp;VAR:INDEX=0"}</definedName>
    <definedName name="_740__FDSAUDITLINK__" hidden="1">{"fdsup://Directions/FactSet Auditing Viewer?action=AUDIT_VALUE&amp;DB=129&amp;ID1=63764010&amp;VALUEID=02001&amp;SDATE=200902&amp;PERIODTYPE=QTR_STD&amp;SCFT=3&amp;window=popup_no_bar&amp;width=385&amp;height=120&amp;START_MAXIMIZED=FALSE&amp;creator=factset&amp;display_string=Audit"}</definedName>
    <definedName name="_741__FDSAUDITLINK__" hidden="1">{"fdsup://Directions/FactSet Auditing Viewer?action=AUDIT_VALUE&amp;DB=129&amp;ID1=57772K10&amp;VALUEID=02001&amp;SDATE=201002&amp;PERIODTYPE=QTR_STD&amp;SCFT=3&amp;window=popup_no_bar&amp;width=385&amp;height=120&amp;START_MAXIMIZED=FALSE&amp;creator=factset&amp;display_string=Audit"}</definedName>
    <definedName name="_742__FDSAUDITLINK__" hidden="1">{"fdsup://Directions/FactSet Auditing Viewer?action=AUDIT_VALUE&amp;DB=129&amp;ID1=57772K10&amp;VALUEID=02001&amp;SDATE=201002&amp;PERIODTYPE=QTR_STD&amp;SCFT=3&amp;window=popup_no_bar&amp;width=385&amp;height=120&amp;START_MAXIMIZED=FALSE&amp;creator=factset&amp;display_string=Audit"}</definedName>
    <definedName name="_743__FDSAUDITLINK__" hidden="1">{"fdsup://Directions/FactSet Auditing Viewer?action=AUDIT_VALUE&amp;DB=129&amp;ID1=59511210&amp;VALUEID=02001&amp;SDATE=201001&amp;PERIODTYPE=QTR_STD&amp;SCFT=3&amp;window=popup_no_bar&amp;width=385&amp;height=120&amp;START_MAXIMIZED=FALSE&amp;creator=factset&amp;display_string=Audit"}</definedName>
    <definedName name="_744__FDSAUDITLINK__" hidden="1">{"fdsup://Directions/FactSet Auditing Viewer?action=AUDIT_VALUE&amp;DB=129&amp;ID1=59511210&amp;VALUEID=02001&amp;SDATE=201001&amp;PERIODTYPE=QTR_STD&amp;SCFT=3&amp;window=popup_no_bar&amp;width=385&amp;height=120&amp;START_MAXIMIZED=FALSE&amp;creator=factset&amp;display_string=Audit"}</definedName>
    <definedName name="_745__FDSAUDITLINK__" hidden="1">{"fdsup://Directions/FactSet Auditing Viewer?action=AUDIT_VALUE&amp;DB=129&amp;ID1=59513710&amp;VALUEID=02001&amp;SDATE=201001&amp;PERIODTYPE=QTR_STD&amp;SCFT=3&amp;window=popup_no_bar&amp;width=385&amp;height=120&amp;START_MAXIMIZED=FALSE&amp;creator=factset&amp;display_string=Audit"}</definedName>
    <definedName name="_746__FDSAUDITLINK__" hidden="1">{"fdsup://Directions/FactSet Auditing Viewer?action=AUDIT_VALUE&amp;DB=129&amp;ID1=59513710&amp;VALUEID=02001&amp;SDATE=201001&amp;PERIODTYPE=QTR_STD&amp;SCFT=3&amp;window=popup_no_bar&amp;width=385&amp;height=120&amp;START_MAXIMIZED=FALSE&amp;creator=factset&amp;display_string=Audit"}</definedName>
    <definedName name="_747__FDSAUDITLINK__" hidden="1">{"fdsup://Directions/FactSet Auditing Viewer?action=AUDIT_VALUE&amp;DB=129&amp;ID1=60456710&amp;VALUEID=02001&amp;SDATE=201002&amp;PERIODTYPE=QTR_STD&amp;SCFT=3&amp;window=popup_no_bar&amp;width=385&amp;height=120&amp;START_MAXIMIZED=FALSE&amp;creator=factset&amp;display_string=Audit"}</definedName>
    <definedName name="_748__FDSAUDITLINK__" hidden="1">{"fdsup://Directions/FactSet Auditing Viewer?action=AUDIT_VALUE&amp;DB=129&amp;ID1=60456710&amp;VALUEID=02001&amp;SDATE=201002&amp;PERIODTYPE=QTR_STD&amp;SCFT=3&amp;window=popup_no_bar&amp;width=385&amp;height=120&amp;START_MAXIMIZED=FALSE&amp;creator=factset&amp;display_string=Audit"}</definedName>
    <definedName name="_749__FDSAUDITLINK__" hidden="1">{"fdsup://Directions/FactSet Auditing Viewer?action=AUDIT_VALUE&amp;DB=129&amp;ID1=59501710&amp;VALUEID=02001&amp;SDATE=200903&amp;PERIODTYPE=QTR_STD&amp;SCFT=3&amp;window=popup_no_bar&amp;width=385&amp;height=120&amp;START_MAXIMIZED=FALSE&amp;creator=factset&amp;display_string=Audit"}</definedName>
    <definedName name="_75__FDSAUDITLINK__" hidden="1">{"fdsup://directions/FAT Viewer?action=UPDATE&amp;creator=factset&amp;DYN_ARGS=TRUE&amp;DOC_NAME=FAT:FQL_AUDITING_CLIENT_TEMPLATE.FAT&amp;display_string=Audit&amp;VAR:KEY=IXQTIZYLIV&amp;VAR:QUERY=RkZfU0hTX0ZMT0FUKEFOTiw0MDY5NCk=&amp;WINDOW=FIRST_POPUP&amp;HEIGHT=450&amp;WIDTH=450&amp;START_MAXIMI","ZED=FALSE&amp;VAR:CALENDAR=US&amp;VAR:SYMBOL=MGM&amp;VAR:INDEX=0"}</definedName>
    <definedName name="_750__FDSAUDITLINK__" hidden="1">{"fdsup://Directions/FactSet Auditing Viewer?action=AUDIT_VALUE&amp;DB=129&amp;ID1=59501710&amp;VALUEID=02001&amp;SDATE=200903&amp;PERIODTYPE=QTR_STD&amp;SCFT=3&amp;window=popup_no_bar&amp;width=385&amp;height=120&amp;START_MAXIMIZED=FALSE&amp;creator=factset&amp;display_string=Audit"}</definedName>
    <definedName name="_751__FDSAUDITLINK__" hidden="1">{"fdsup://Directions/FactSet Auditing Viewer?action=AUDIT_VALUE&amp;DB=129&amp;ID1=51280710&amp;VALUEID=02001&amp;SDATE=201002&amp;PERIODTYPE=QTR_STD&amp;SCFT=3&amp;window=popup_no_bar&amp;width=385&amp;height=120&amp;START_MAXIMIZED=FALSE&amp;creator=factset&amp;display_string=Audit"}</definedName>
    <definedName name="_752__FDSAUDITLINK__" hidden="1">{"fdsup://Directions/FactSet Auditing Viewer?action=AUDIT_VALUE&amp;DB=129&amp;ID1=51280710&amp;VALUEID=02001&amp;SDATE=201002&amp;PERIODTYPE=QTR_STD&amp;SCFT=3&amp;window=popup_no_bar&amp;width=385&amp;height=120&amp;START_MAXIMIZED=FALSE&amp;creator=factset&amp;display_string=Audit"}</definedName>
    <definedName name="_753__FDSAUDITLINK__" hidden="1">{"fdsup://Directions/FactSet Auditing Viewer?action=AUDIT_VALUE&amp;DB=129&amp;ID1=53567810&amp;VALUEID=02001&amp;SDATE=201002&amp;PERIODTYPE=QTR_STD&amp;SCFT=3&amp;window=popup_no_bar&amp;width=385&amp;height=120&amp;START_MAXIMIZED=FALSE&amp;creator=factset&amp;display_string=Audit"}</definedName>
    <definedName name="_754__FDSAUDITLINK__" hidden="1">{"fdsup://Directions/FactSet Auditing Viewer?action=AUDIT_VALUE&amp;DB=129&amp;ID1=53567810&amp;VALUEID=02001&amp;SDATE=201002&amp;PERIODTYPE=QTR_STD&amp;SCFT=3&amp;window=popup_no_bar&amp;width=385&amp;height=120&amp;START_MAXIMIZED=FALSE&amp;creator=factset&amp;display_string=Audit"}</definedName>
    <definedName name="_755__FDSAUDITLINK__" hidden="1">{"fdsup://Directions/FactSet Auditing Viewer?action=AUDIT_VALUE&amp;DB=129&amp;ID1=48248010&amp;VALUEID=02001&amp;SDATE=201002&amp;PERIODTYPE=QTR_STD&amp;SCFT=3&amp;window=popup_no_bar&amp;width=385&amp;height=120&amp;START_MAXIMIZED=FALSE&amp;creator=factset&amp;display_string=Audit"}</definedName>
    <definedName name="_756__FDSAUDITLINK__" hidden="1">{"fdsup://Directions/FactSet Auditing Viewer?action=AUDIT_VALUE&amp;DB=129&amp;ID1=48248010&amp;VALUEID=02001&amp;SDATE=201002&amp;PERIODTYPE=QTR_STD&amp;SCFT=3&amp;window=popup_no_bar&amp;width=385&amp;height=120&amp;START_MAXIMIZED=FALSE&amp;creator=factset&amp;display_string=Audit"}</definedName>
    <definedName name="_757__FDSAUDITLINK__" hidden="1">{"fdsup://Directions/FactSet Auditing Viewer?action=AUDIT_VALUE&amp;DB=129&amp;ID1=48836020&amp;VALUEID=02001&amp;SDATE=200903&amp;PERIODTYPE=QTR_STD&amp;SCFT=3&amp;window=popup_no_bar&amp;width=385&amp;height=120&amp;START_MAXIMIZED=FALSE&amp;creator=factset&amp;display_string=Audit"}</definedName>
    <definedName name="_758__FDSAUDITLINK__" hidden="1">{"fdsup://Directions/FactSet Auditing Viewer?action=AUDIT_VALUE&amp;DB=129&amp;ID1=48836020&amp;VALUEID=02001&amp;SDATE=200903&amp;PERIODTYPE=QTR_STD&amp;SCFT=3&amp;window=popup_no_bar&amp;width=385&amp;height=120&amp;START_MAXIMIZED=FALSE&amp;creator=factset&amp;display_string=Audit"}</definedName>
    <definedName name="_759__FDSAUDITLINK__" hidden="1">{"fdsup://Directions/FactSet Auditing Viewer?action=AUDIT_VALUE&amp;DB=129&amp;ID1=46025410&amp;VALUEID=02001&amp;SDATE=201002&amp;PERIODTYPE=QTR_STD&amp;SCFT=3&amp;window=popup_no_bar&amp;width=385&amp;height=120&amp;START_MAXIMIZED=FALSE&amp;creator=factset&amp;display_string=Audit"}</definedName>
    <definedName name="_76__FDSAUDITLINK__" hidden="1">{"fdsup://directions/FAT Viewer?action=UPDATE&amp;creator=factset&amp;DYN_ARGS=TRUE&amp;DOC_NAME=FAT:FQL_AUDITING_CLIENT_TEMPLATE.FAT&amp;display_string=Audit&amp;VAR:KEY=CBKBSXYLOH&amp;VAR:QUERY=RkZfU0hTX0ZMT0FUKEFOTiw0MDY2Myk=&amp;WINDOW=FIRST_POPUP&amp;HEIGHT=450&amp;WIDTH=450&amp;START_MAXIMI","ZED=FALSE&amp;VAR:CALENDAR=US&amp;VAR:SYMBOL=MGM&amp;VAR:INDEX=0"}</definedName>
    <definedName name="_760__FDSAUDITLINK__" hidden="1">{"fdsup://Directions/FactSet Auditing Viewer?action=AUDIT_VALUE&amp;DB=129&amp;ID1=46025410&amp;VALUEID=02001&amp;SDATE=201002&amp;PERIODTYPE=QTR_STD&amp;SCFT=3&amp;window=popup_no_bar&amp;width=385&amp;height=120&amp;START_MAXIMIZED=FALSE&amp;creator=factset&amp;display_string=Audit"}</definedName>
    <definedName name="_761__FDSAUDITLINK__" hidden="1">{"fdsup://Directions/FactSet Auditing Viewer?action=AUDIT_VALUE&amp;DB=129&amp;ID1=45811810&amp;VALUEID=02001&amp;SDATE=200903&amp;PERIODTYPE=QTR_STD&amp;SCFT=3&amp;window=popup_no_bar&amp;width=385&amp;height=120&amp;START_MAXIMIZED=FALSE&amp;creator=factset&amp;display_string=Audit"}</definedName>
    <definedName name="_762__FDSAUDITLINK__" hidden="1">{"fdsup://Directions/FactSet Auditing Viewer?action=AUDIT_VALUE&amp;DB=129&amp;ID1=45811810&amp;VALUEID=02001&amp;SDATE=200903&amp;PERIODTYPE=QTR_STD&amp;SCFT=3&amp;window=popup_no_bar&amp;width=385&amp;height=120&amp;START_MAXIMIZED=FALSE&amp;creator=factset&amp;display_string=Audit"}</definedName>
    <definedName name="_763__FDSAUDITLINK__" hidden="1">{"fdsup://Directions/FactSet Auditing Viewer?action=AUDIT_VALUE&amp;DB=129&amp;ID1=42823610&amp;VALUEID=02001&amp;SDATE=201001&amp;PERIODTYPE=QTR_STD&amp;SCFT=3&amp;window=popup_no_bar&amp;width=385&amp;height=120&amp;START_MAXIMIZED=FALSE&amp;creator=factset&amp;display_string=Audit"}</definedName>
    <definedName name="_764__FDSAUDITLINK__" hidden="1">{"fdsup://Directions/FactSet Auditing Viewer?action=AUDIT_VALUE&amp;DB=129&amp;ID1=42823610&amp;VALUEID=02001&amp;SDATE=201001&amp;PERIODTYPE=QTR_STD&amp;SCFT=3&amp;window=popup_no_bar&amp;width=385&amp;height=120&amp;START_MAXIMIZED=FALSE&amp;creator=factset&amp;display_string=Audit"}</definedName>
    <definedName name="_765__FDSAUDITLINK__" hidden="1">{"fdsup://Directions/FactSet Auditing Viewer?action=AUDIT_VALUE&amp;DB=129&amp;ID1=31561610&amp;VALUEID=02001&amp;SDATE=201001&amp;PERIODTYPE=QTR_STD&amp;SCFT=3&amp;window=popup_no_bar&amp;width=385&amp;height=120&amp;START_MAXIMIZED=FALSE&amp;creator=factset&amp;display_string=Audit"}</definedName>
    <definedName name="_766__FDSAUDITLINK__" hidden="1">{"fdsup://Directions/FactSet Auditing Viewer?action=AUDIT_VALUE&amp;DB=129&amp;ID1=31561610&amp;VALUEID=02001&amp;SDATE=201001&amp;PERIODTYPE=QTR_STD&amp;SCFT=3&amp;window=popup_no_bar&amp;width=385&amp;height=120&amp;START_MAXIMIZED=FALSE&amp;creator=factset&amp;display_string=Audit"}</definedName>
    <definedName name="_767__FDSAUDITLINK__" hidden="1">{"fdsup://Directions/FactSet Auditing Viewer?action=AUDIT_VALUE&amp;DB=129&amp;ID1=29247520&amp;VALUEID=02001&amp;SDATE=201002&amp;PERIODTYPE=QTR_STD&amp;SCFT=3&amp;window=popup_no_bar&amp;width=385&amp;height=120&amp;START_MAXIMIZED=FALSE&amp;creator=factset&amp;display_string=Audit"}</definedName>
    <definedName name="_768__FDSAUDITLINK__" hidden="1">{"fdsup://Directions/FactSet Auditing Viewer?action=AUDIT_VALUE&amp;DB=129&amp;ID1=29247520&amp;VALUEID=02001&amp;SDATE=201002&amp;PERIODTYPE=QTR_STD&amp;SCFT=3&amp;window=popup_no_bar&amp;width=385&amp;height=120&amp;START_MAXIMIZED=FALSE&amp;creator=factset&amp;display_string=Audit"}</definedName>
    <definedName name="_769__FDSAUDITLINK__" hidden="1">{"fdsup://Directions/FactSet Auditing Viewer?action=AUDIT_VALUE&amp;DB=129&amp;ID1=17275R10&amp;VALUEID=02001&amp;SDATE=201002&amp;PERIODTYPE=QTR_STD&amp;SCFT=3&amp;window=popup_no_bar&amp;width=385&amp;height=120&amp;START_MAXIMIZED=FALSE&amp;creator=factset&amp;display_string=Audit"}</definedName>
    <definedName name="_77__FDSAUDITLINK__" hidden="1">{"fdsup://directions/FAT Viewer?action=UPDATE&amp;creator=factset&amp;DYN_ARGS=TRUE&amp;DOC_NAME=FAT:FQL_AUDITING_CLIENT_TEMPLATE.FAT&amp;display_string=Audit&amp;VAR:KEY=SNWTMVEPQP&amp;VAR:QUERY=RkZfU0hTX0ZMT0FUKEFOTiw0MDYzMyk=&amp;WINDOW=FIRST_POPUP&amp;HEIGHT=450&amp;WIDTH=450&amp;START_MAXIMI","ZED=FALSE&amp;VAR:CALENDAR=US&amp;VAR:SYMBOL=MGM&amp;VAR:INDEX=0"}</definedName>
    <definedName name="_770__FDSAUDITLINK__" hidden="1">{"fdsup://Directions/FactSet Auditing Viewer?action=AUDIT_VALUE&amp;DB=129&amp;ID1=17275R10&amp;VALUEID=02001&amp;SDATE=201002&amp;PERIODTYPE=QTR_STD&amp;SCFT=3&amp;window=popup_no_bar&amp;width=385&amp;height=120&amp;START_MAXIMIZED=FALSE&amp;creator=factset&amp;display_string=Audit"}</definedName>
    <definedName name="_771__FDSAUDITLINK__" hidden="1">{"fdsup://Directions/FactSet Auditing Viewer?action=AUDIT_VALUE&amp;DB=129&amp;ID1=22544710&amp;VALUEID=02001&amp;SDATE=201002&amp;PERIODTYPE=QTR_STD&amp;SCFT=3&amp;window=popup_no_bar&amp;width=385&amp;height=120&amp;START_MAXIMIZED=FALSE&amp;creator=factset&amp;display_string=Audit"}</definedName>
    <definedName name="_772__FDSAUDITLINK__" hidden="1">{"fdsup://Directions/FactSet Auditing Viewer?action=AUDIT_VALUE&amp;DB=129&amp;ID1=22544710&amp;VALUEID=02001&amp;SDATE=201002&amp;PERIODTYPE=QTR_STD&amp;SCFT=3&amp;window=popup_no_bar&amp;width=385&amp;height=120&amp;START_MAXIMIZED=FALSE&amp;creator=factset&amp;display_string=Audit"}</definedName>
    <definedName name="_773__FDSAUDITLINK__" hidden="1">{"fdsup://Directions/FactSet Auditing Viewer?action=AUDIT_VALUE&amp;DB=129&amp;ID1=20714230&amp;VALUEID=02001&amp;SDATE=201001&amp;PERIODTYPE=QTR_STD&amp;SCFT=3&amp;window=popup_no_bar&amp;width=385&amp;height=120&amp;START_MAXIMIZED=FALSE&amp;creator=factset&amp;display_string=Audit"}</definedName>
    <definedName name="_774__FDSAUDITLINK__" hidden="1">{"fdsup://Directions/FactSet Auditing Viewer?action=AUDIT_VALUE&amp;DB=129&amp;ID1=20714230&amp;VALUEID=02001&amp;SDATE=201001&amp;PERIODTYPE=QTR_STD&amp;SCFT=3&amp;window=popup_no_bar&amp;width=385&amp;height=120&amp;START_MAXIMIZED=FALSE&amp;creator=factset&amp;display_string=Audit"}</definedName>
    <definedName name="_775__FDSAUDITLINK__" hidden="1">{"fdsup://Directions/FactSet Auditing Viewer?action=AUDIT_VALUE&amp;DB=129&amp;ID1=12738710&amp;VALUEID=02001&amp;SDATE=200904&amp;PERIODTYPE=QTR_STD&amp;SCFT=3&amp;window=popup_no_bar&amp;width=385&amp;height=120&amp;START_MAXIMIZED=FALSE&amp;creator=factset&amp;display_string=Audit"}</definedName>
    <definedName name="_776__FDSAUDITLINK__" hidden="1">{"fdsup://Directions/FactSet Auditing Viewer?action=AUDIT_VALUE&amp;DB=129&amp;ID1=12738710&amp;VALUEID=02001&amp;SDATE=200904&amp;PERIODTYPE=QTR_STD&amp;SCFT=3&amp;window=popup_no_bar&amp;width=385&amp;height=120&amp;START_MAXIMIZED=FALSE&amp;creator=factset&amp;display_string=Audit"}</definedName>
    <definedName name="_777__FDSAUDITLINK__" hidden="1">{"fdsup://Directions/FactSet Auditing Viewer?action=AUDIT_VALUE&amp;DB=129&amp;ID1=11162130&amp;VALUEID=02001&amp;SDATE=201001&amp;PERIODTYPE=QTR_STD&amp;SCFT=3&amp;window=popup_no_bar&amp;width=385&amp;height=120&amp;START_MAXIMIZED=FALSE&amp;creator=factset&amp;display_string=Audit"}</definedName>
    <definedName name="_778__FDSAUDITLINK__" hidden="1">{"fdsup://Directions/FactSet Auditing Viewer?action=AUDIT_VALUE&amp;DB=129&amp;ID1=11162130&amp;VALUEID=02001&amp;SDATE=201001&amp;PERIODTYPE=QTR_STD&amp;SCFT=3&amp;window=popup_no_bar&amp;width=385&amp;height=120&amp;START_MAXIMIZED=FALSE&amp;creator=factset&amp;display_string=Audit"}</definedName>
    <definedName name="_779__FDSAUDITLINK__" hidden="1">{"fdsup://Directions/FactSet Auditing Viewer?action=AUDIT_VALUE&amp;DB=129&amp;ID1=Y0486S10&amp;VALUEID=02001&amp;SDATE=201001&amp;PERIODTYPE=QTR_STD&amp;SCFT=3&amp;window=popup_no_bar&amp;width=385&amp;height=120&amp;START_MAXIMIZED=FALSE&amp;creator=factset&amp;display_string=Audit"}</definedName>
    <definedName name="_78__FDSAUDITLINK__" hidden="1">{"fdsup://directions/FAT Viewer?action=UPDATE&amp;creator=factset&amp;DYN_ARGS=TRUE&amp;DOC_NAME=FAT:FQL_AUDITING_CLIENT_TEMPLATE.FAT&amp;display_string=Audit&amp;VAR:KEY=SNCVCNSHSD&amp;VAR:QUERY=RkZfU0hTX0ZMT0FUKEFOTiw0MDYwMik=&amp;WINDOW=FIRST_POPUP&amp;HEIGHT=450&amp;WIDTH=450&amp;START_MAXIMI","ZED=FALSE&amp;VAR:CALENDAR=US&amp;VAR:SYMBOL=MGM&amp;VAR:INDEX=0"}</definedName>
    <definedName name="_780__FDSAUDITLINK__" hidden="1">{"fdsup://Directions/FactSet Auditing Viewer?action=AUDIT_VALUE&amp;DB=129&amp;ID1=Y0486S10&amp;VALUEID=02001&amp;SDATE=201001&amp;PERIODTYPE=QTR_STD&amp;SCFT=3&amp;window=popup_no_bar&amp;width=385&amp;height=120&amp;START_MAXIMIZED=FALSE&amp;creator=factset&amp;display_string=Audit"}</definedName>
    <definedName name="_781__FDSAUDITLINK__" hidden="1">{"fdsup://Directions/FactSet Auditing Viewer?action=AUDIT_VALUE&amp;DB=129&amp;ID1=03822W40&amp;VALUEID=02001&amp;SDATE=200903&amp;PERIODTYPE=QTR_STD&amp;SCFT=3&amp;window=popup_no_bar&amp;width=385&amp;height=120&amp;START_MAXIMIZED=FALSE&amp;creator=factset&amp;display_string=Audit"}</definedName>
    <definedName name="_782__FDSAUDITLINK__" hidden="1">{"fdsup://Directions/FactSet Auditing Viewer?action=AUDIT_VALUE&amp;DB=129&amp;ID1=03822W40&amp;VALUEID=02001&amp;SDATE=200903&amp;PERIODTYPE=QTR_STD&amp;SCFT=3&amp;window=popup_no_bar&amp;width=385&amp;height=120&amp;START_MAXIMIZED=FALSE&amp;creator=factset&amp;display_string=Audit"}</definedName>
    <definedName name="_783__FDSAUDITLINK__" hidden="1">{"fdsup://Directions/FactSet Auditing Viewer?action=AUDIT_VALUE&amp;DB=129&amp;ID1=03822210&amp;VALUEID=02001&amp;SDATE=201001&amp;PERIODTYPE=QTR_STD&amp;SCFT=3&amp;window=popup_no_bar&amp;width=385&amp;height=120&amp;START_MAXIMIZED=FALSE&amp;creator=factset&amp;display_string=Audit"}</definedName>
    <definedName name="_784__FDSAUDITLINK__" hidden="1">{"fdsup://Directions/FactSet Auditing Viewer?action=AUDIT_VALUE&amp;DB=129&amp;ID1=03822210&amp;VALUEID=02001&amp;SDATE=201001&amp;PERIODTYPE=QTR_STD&amp;SCFT=3&amp;window=popup_no_bar&amp;width=385&amp;height=120&amp;START_MAXIMIZED=FALSE&amp;creator=factset&amp;display_string=Audit"}</definedName>
    <definedName name="_785__FDSAUDITLINK__" hidden="1">{"fdsup://Directions/FactSet Auditing Viewer?action=AUDIT_VALUE&amp;DB=129&amp;ID1=03265410&amp;VALUEID=02001&amp;SDATE=201001&amp;PERIODTYPE=QTR_STD&amp;SCFT=3&amp;window=popup_no_bar&amp;width=385&amp;height=120&amp;START_MAXIMIZED=FALSE&amp;creator=factset&amp;display_string=Audit"}</definedName>
    <definedName name="_786__FDSAUDITLINK__" hidden="1">{"fdsup://Directions/FactSet Auditing Viewer?action=AUDIT_VALUE&amp;DB=129&amp;ID1=03265410&amp;VALUEID=02001&amp;SDATE=201001&amp;PERIODTYPE=QTR_STD&amp;SCFT=3&amp;window=popup_no_bar&amp;width=385&amp;height=120&amp;START_MAXIMIZED=FALSE&amp;creator=factset&amp;display_string=Audit"}</definedName>
    <definedName name="_787__FDSAUDITLINK__" hidden="1">{"fdsup://Directions/FactSet Auditing Viewer?action=AUDIT_VALUE&amp;DB=129&amp;ID1=98975F10&amp;VALUEID=02001&amp;SDATE=200903&amp;PERIODTYPE=QTR_STD&amp;SCFT=3&amp;window=popup_no_bar&amp;width=385&amp;height=120&amp;START_MAXIMIZED=FALSE&amp;creator=factset&amp;display_string=Audit"}</definedName>
    <definedName name="_788__FDSAUDITLINK__" hidden="1">{"fdsup://Directions/FactSet Auditing Viewer?action=AUDIT_VALUE&amp;DB=129&amp;ID1=98975F10&amp;VALUEID=02001&amp;SDATE=200903&amp;PERIODTYPE=QTR_STD&amp;SCFT=3&amp;window=popup_no_bar&amp;width=385&amp;height=120&amp;START_MAXIMIZED=FALSE&amp;creator=factset&amp;display_string=Audit"}</definedName>
    <definedName name="_789__FDSAUDITLINK__" hidden="1">{"fdsup://Directions/FactSet Auditing Viewer?action=AUDIT_VALUE&amp;DB=129&amp;ID1=98391910&amp;VALUEID=02001&amp;SDATE=200902&amp;PERIODTYPE=QTR_STD&amp;SCFT=3&amp;window=popup_no_bar&amp;width=385&amp;height=120&amp;START_MAXIMIZED=FALSE&amp;creator=factset&amp;display_string=Audit"}</definedName>
    <definedName name="_79__FDSAUDITLINK__" hidden="1">{"fdsup://directions/FAT Viewer?action=UPDATE&amp;creator=factset&amp;DYN_ARGS=TRUE&amp;DOC_NAME=FAT:FQL_AUDITING_CLIENT_TEMPLATE.FAT&amp;display_string=Audit&amp;VAR:KEY=SNUNIVADST&amp;VAR:QUERY=RkZfU0hTX0ZMT0FUKEFOTiw0MDU3NCk=&amp;WINDOW=FIRST_POPUP&amp;HEIGHT=450&amp;WIDTH=450&amp;START_MAXIMI","ZED=FALSE&amp;VAR:CALENDAR=US&amp;VAR:SYMBOL=MGM&amp;VAR:INDEX=0"}</definedName>
    <definedName name="_790__FDSAUDITLINK__" hidden="1">{"fdsup://Directions/FactSet Auditing Viewer?action=AUDIT_VALUE&amp;DB=129&amp;ID1=98391910&amp;VALUEID=02001&amp;SDATE=200902&amp;PERIODTYPE=QTR_STD&amp;SCFT=3&amp;window=popup_no_bar&amp;width=385&amp;height=120&amp;START_MAXIMIZED=FALSE&amp;creator=factset&amp;display_string=Audit"}</definedName>
    <definedName name="_791__FDSAUDITLINK__" hidden="1">{"fdsup://Directions/FactSet Auditing Viewer?action=AUDIT_VALUE&amp;DB=129&amp;ID1=95810210&amp;VALUEID=02001&amp;SDATE=201001&amp;PERIODTYPE=QTR_STD&amp;SCFT=3&amp;window=popup_no_bar&amp;width=385&amp;height=120&amp;START_MAXIMIZED=FALSE&amp;creator=factset&amp;display_string=Audit"}</definedName>
    <definedName name="_792__FDSAUDITLINK__" hidden="1">{"fdsup://Directions/FactSet Auditing Viewer?action=AUDIT_VALUE&amp;DB=129&amp;ID1=95810210&amp;VALUEID=02001&amp;SDATE=201001&amp;PERIODTYPE=QTR_STD&amp;SCFT=3&amp;window=popup_no_bar&amp;width=385&amp;height=120&amp;START_MAXIMIZED=FALSE&amp;creator=factset&amp;display_string=Audit"}</definedName>
    <definedName name="_793__FDSAUDITLINK__" hidden="1">{"fdsup://Directions/FactSet Auditing Viewer?action=AUDIT_VALUE&amp;DB=129&amp;ID1=92829810&amp;VALUEID=02001&amp;SDATE=200903&amp;PERIODTYPE=QTR_STD&amp;SCFT=3&amp;window=popup_no_bar&amp;width=385&amp;height=120&amp;START_MAXIMIZED=FALSE&amp;creator=factset&amp;display_string=Audit"}</definedName>
    <definedName name="_794__FDSAUDITLINK__" hidden="1">{"fdsup://Directions/FactSet Auditing Viewer?action=AUDIT_VALUE&amp;DB=129&amp;ID1=92829810&amp;VALUEID=02001&amp;SDATE=200903&amp;PERIODTYPE=QTR_STD&amp;SCFT=3&amp;window=popup_no_bar&amp;width=385&amp;height=120&amp;START_MAXIMIZED=FALSE&amp;creator=factset&amp;display_string=Audit"}</definedName>
    <definedName name="_795__FDSAUDITLINK__" hidden="1">{"fdsup://Directions/FactSet Auditing Viewer?action=AUDIT_VALUE&amp;DB=129&amp;ID1=88250810&amp;VALUEID=02001&amp;SDATE=200903&amp;PERIODTYPE=QTR_STD&amp;SCFT=3&amp;window=popup_no_bar&amp;width=385&amp;height=120&amp;START_MAXIMIZED=FALSE&amp;creator=factset&amp;display_string=Audit"}</definedName>
    <definedName name="_796__FDSAUDITLINK__" hidden="1">{"fdsup://Directions/FactSet Auditing Viewer?action=AUDIT_VALUE&amp;DB=129&amp;ID1=88250810&amp;VALUEID=02001&amp;SDATE=200903&amp;PERIODTYPE=QTR_STD&amp;SCFT=3&amp;window=popup_no_bar&amp;width=385&amp;height=120&amp;START_MAXIMIZED=FALSE&amp;creator=factset&amp;display_string=Audit"}</definedName>
    <definedName name="_797__FDSAUDITLINK__" hidden="1">{"fdsup://Directions/FactSet Auditing Viewer?action=AUDIT_VALUE&amp;DB=129&amp;ID1=89674K10&amp;VALUEID=02001&amp;SDATE=200903&amp;PERIODTYPE=QTR_STD&amp;SCFT=3&amp;window=popup_no_bar&amp;width=385&amp;height=120&amp;START_MAXIMIZED=FALSE&amp;creator=factset&amp;display_string=Audit"}</definedName>
    <definedName name="_798__FDSAUDITLINK__" hidden="1">{"fdsup://Directions/FactSet Auditing Viewer?action=AUDIT_VALUE&amp;DB=129&amp;ID1=89674K10&amp;VALUEID=02001&amp;SDATE=200903&amp;PERIODTYPE=QTR_STD&amp;SCFT=3&amp;window=popup_no_bar&amp;width=385&amp;height=120&amp;START_MAXIMIZED=FALSE&amp;creator=factset&amp;display_string=Audit"}</definedName>
    <definedName name="_799__FDSAUDITLINK__" hidden="1">{"fdsup://Directions/FactSet Auditing Viewer?action=AUDIT_VALUE&amp;DB=129&amp;ID1=G7945M10&amp;VALUEID=02001&amp;SDATE=201001&amp;PERIODTYPE=QTR_STD&amp;SCFT=3&amp;window=popup_no_bar&amp;width=385&amp;height=120&amp;START_MAXIMIZED=FALSE&amp;creator=factset&amp;display_string=Audit"}</definedName>
    <definedName name="_8__123Graph_AR_M_MARG" hidden="1">#REF!</definedName>
    <definedName name="_8__123Graph_AR_M_VOLUMES" hidden="1">#REF!</definedName>
    <definedName name="_8__123Graph_BR_M_VOLUMES" hidden="1">#REF!</definedName>
    <definedName name="_8__FDSAUDITLINK__" hidden="1">{"fdsup://directions/FAT Viewer?action=UPDATE&amp;creator=factset&amp;DYN_ARGS=TRUE&amp;DOC_NAME=FAT:FQL_AUDITING_CLIENT_TEMPLATE.FAT&amp;display_string=Audit&amp;VAR:KEY=WZKBOHYPWT&amp;VAR:QUERY=RkZfU0hTX0ZMT0FUKEFOTiwp&amp;WINDOW=FIRST_POPUP&amp;HEIGHT=450&amp;WIDTH=450&amp;START_MAXIMIZED=FALS","E&amp;VAR:CALENDAR=US&amp;VAR:SYMBOL=MGM RESORTS INT'L&amp;VAR:INDEX=0"}</definedName>
    <definedName name="_80__FDSAUDITLINK__" hidden="1">{"fdsup://directions/FAT Viewer?action=UPDATE&amp;creator=factset&amp;DYN_ARGS=TRUE&amp;DOC_NAME=FAT:FQL_AUDITING_CLIENT_TEMPLATE.FAT&amp;display_string=Audit&amp;VAR:KEY=CVKBUDAJIJ&amp;VAR:QUERY=RkZfU0hTX0ZMT0FUKEFOTiw0MDg2Nik=&amp;WINDOW=FIRST_POPUP&amp;HEIGHT=450&amp;WIDTH=450&amp;START_MAXIMI","ZED=FALSE&amp;VAR:CALENDAR=US&amp;VAR:SYMBOL=WYNN&amp;VAR:INDEX=0"}</definedName>
    <definedName name="_800__FDSAUDITLINK__" hidden="1">{"fdsup://Directions/FactSet Auditing Viewer?action=AUDIT_VALUE&amp;DB=129&amp;ID1=G7945M10&amp;VALUEID=02001&amp;SDATE=201001&amp;PERIODTYPE=QTR_STD&amp;SCFT=3&amp;window=popup_no_bar&amp;width=385&amp;height=120&amp;START_MAXIMIZED=FALSE&amp;creator=factset&amp;display_string=Audit"}</definedName>
    <definedName name="_801__FDSAUDITLINK__" hidden="1">{"fdsup://Directions/FactSet Auditing Viewer?action=AUDIT_VALUE&amp;DB=129&amp;ID1=78477410&amp;VALUEID=02001&amp;SDATE=200903&amp;PERIODTYPE=QTR_STD&amp;SCFT=3&amp;window=popup_no_bar&amp;width=385&amp;height=120&amp;START_MAXIMIZED=FALSE&amp;creator=factset&amp;display_string=Audit"}</definedName>
    <definedName name="_802__FDSAUDITLINK__" hidden="1">{"fdsup://Directions/FactSet Auditing Viewer?action=AUDIT_VALUE&amp;DB=129&amp;ID1=78477410&amp;VALUEID=02001&amp;SDATE=200903&amp;PERIODTYPE=QTR_STD&amp;SCFT=3&amp;window=popup_no_bar&amp;width=385&amp;height=120&amp;START_MAXIMIZED=FALSE&amp;creator=factset&amp;display_string=Audit"}</definedName>
    <definedName name="_803__FDSAUDITLINK__" hidden="1">{"fdsup://Directions/FactSet Auditing Viewer?action=AUDIT_VALUE&amp;DB=129&amp;ID1=82705710&amp;VALUEID=02001&amp;SDATE=200903&amp;PERIODTYPE=QTR_STD&amp;SCFT=3&amp;window=popup_no_bar&amp;width=385&amp;height=120&amp;START_MAXIMIZED=FALSE&amp;creator=factset&amp;display_string=Audit"}</definedName>
    <definedName name="_804__FDSAUDITLINK__" hidden="1">{"fdsup://Directions/FactSet Auditing Viewer?action=AUDIT_VALUE&amp;DB=129&amp;ID1=82705710&amp;VALUEID=02001&amp;SDATE=200903&amp;PERIODTYPE=QTR_STD&amp;SCFT=3&amp;window=popup_no_bar&amp;width=385&amp;height=120&amp;START_MAXIMIZED=FALSE&amp;creator=factset&amp;display_string=Audit"}</definedName>
    <definedName name="_805__FDSAUDITLINK__" hidden="1">{"fdsup://Directions/FactSet Auditing Viewer?action=AUDIT_VALUE&amp;DB=129&amp;ID1=83547010&amp;VALUEID=02001&amp;SDATE=200903&amp;PERIODTYPE=QTR_STD&amp;SCFT=3&amp;window=popup_no_bar&amp;width=385&amp;height=120&amp;START_MAXIMIZED=FALSE&amp;creator=factset&amp;display_string=Audit"}</definedName>
    <definedName name="_806__FDSAUDITLINK__" hidden="1">{"fdsup://Directions/FactSet Auditing Viewer?action=AUDIT_VALUE&amp;DB=129&amp;ID1=83547010&amp;VALUEID=02001&amp;SDATE=200903&amp;PERIODTYPE=QTR_STD&amp;SCFT=3&amp;window=popup_no_bar&amp;width=385&amp;height=120&amp;START_MAXIMIZED=FALSE&amp;creator=factset&amp;display_string=Audit"}</definedName>
    <definedName name="_807__FDSAUDITLINK__" hidden="1">{"fdsup://Directions/FactSet Auditing Viewer?action=AUDIT_VALUE&amp;DB=129&amp;ID1=80004C10&amp;VALUEID=02001&amp;SDATE=200903&amp;PERIODTYPE=QTR_STD&amp;SCFT=3&amp;window=popup_no_bar&amp;width=385&amp;height=120&amp;START_MAXIMIZED=FALSE&amp;creator=factset&amp;display_string=Audit"}</definedName>
    <definedName name="_808__FDSAUDITLINK__" hidden="1">{"fdsup://Directions/FactSet Auditing Viewer?action=AUDIT_VALUE&amp;DB=129&amp;ID1=80004C10&amp;VALUEID=02001&amp;SDATE=200903&amp;PERIODTYPE=QTR_STD&amp;SCFT=3&amp;window=popup_no_bar&amp;width=385&amp;height=120&amp;START_MAXIMIZED=FALSE&amp;creator=factset&amp;display_string=Audit"}</definedName>
    <definedName name="_809__FDSAUDITLINK__" hidden="1">{"fdsup://Directions/FactSet Auditing Viewer?action=AUDIT_VALUE&amp;DB=129&amp;ID1=81685010&amp;VALUEID=02001&amp;SDATE=200903&amp;PERIODTYPE=QTR_STD&amp;SCFT=3&amp;window=popup_no_bar&amp;width=385&amp;height=120&amp;START_MAXIMIZED=FALSE&amp;creator=factset&amp;display_string=Audit"}</definedName>
    <definedName name="_81__FDSAUDITLINK__" hidden="1">{"fdsup://directions/FAT Viewer?action=UPDATE&amp;creator=factset&amp;DYN_ARGS=TRUE&amp;DOC_NAME=FAT:FQL_AUDITING_CLIENT_TEMPLATE.FAT&amp;display_string=Audit&amp;VAR:KEY=YJKPUXAHEB&amp;VAR:QUERY=RkZfU0hTX0ZMT0FUKEFOTiw0MDg0Nyk=&amp;WINDOW=FIRST_POPUP&amp;HEIGHT=450&amp;WIDTH=450&amp;START_MAXIMI","ZED=FALSE&amp;VAR:CALENDAR=US&amp;VAR:SYMBOL=WYNN&amp;VAR:INDEX=0"}</definedName>
    <definedName name="_810__FDSAUDITLINK__" hidden="1">{"fdsup://Directions/FactSet Auditing Viewer?action=AUDIT_VALUE&amp;DB=129&amp;ID1=81685010&amp;VALUEID=02001&amp;SDATE=200903&amp;PERIODTYPE=QTR_STD&amp;SCFT=3&amp;window=popup_no_bar&amp;width=385&amp;height=120&amp;START_MAXIMIZED=FALSE&amp;creator=factset&amp;display_string=Audit"}</definedName>
    <definedName name="_811__FDSAUDITLINK__" hidden="1">{"fdsup://Directions/FactSet Auditing Viewer?action=AUDIT_VALUE&amp;DB=129&amp;ID1=82691910&amp;VALUEID=02001&amp;SDATE=200903&amp;PERIODTYPE=QTR_STD&amp;SCFT=3&amp;window=popup_no_bar&amp;width=385&amp;height=120&amp;START_MAXIMIZED=FALSE&amp;creator=factset&amp;display_string=Audit"}</definedName>
    <definedName name="_812__FDSAUDITLINK__" hidden="1">{"fdsup://Directions/FactSet Auditing Viewer?action=AUDIT_VALUE&amp;DB=129&amp;ID1=82691910&amp;VALUEID=02001&amp;SDATE=200903&amp;PERIODTYPE=QTR_STD&amp;SCFT=3&amp;window=popup_no_bar&amp;width=385&amp;height=120&amp;START_MAXIMIZED=FALSE&amp;creator=factset&amp;display_string=Audit"}</definedName>
    <definedName name="_813__FDSAUDITLINK__" hidden="1">{"fdsup://Directions/FactSet Auditing Viewer?action=AUDIT_VALUE&amp;DB=129&amp;ID1=82705T10&amp;VALUEID=02001&amp;SDATE=200903&amp;PERIODTYPE=QTR_STD&amp;SCFT=3&amp;window=popup_no_bar&amp;width=385&amp;height=120&amp;START_MAXIMIZED=FALSE&amp;creator=factset&amp;display_string=Audit"}</definedName>
    <definedName name="_814__FDSAUDITLINK__" hidden="1">{"fdsup://Directions/FactSet Auditing Viewer?action=AUDIT_VALUE&amp;DB=129&amp;ID1=82705T10&amp;VALUEID=02001&amp;SDATE=200903&amp;PERIODTYPE=QTR_STD&amp;SCFT=3&amp;window=popup_no_bar&amp;width=385&amp;height=120&amp;START_MAXIMIZED=FALSE&amp;creator=factset&amp;display_string=Audit"}</definedName>
    <definedName name="_815__FDSAUDITLINK__" hidden="1">{"fdsup://Directions/FactSet Auditing Viewer?action=AUDIT_VALUE&amp;DB=129&amp;ID1=75091710&amp;VALUEID=02001&amp;SDATE=200903&amp;PERIODTYPE=QTR_STD&amp;SCFT=3&amp;window=popup_no_bar&amp;width=385&amp;height=120&amp;START_MAXIMIZED=FALSE&amp;creator=factset&amp;display_string=Audit"}</definedName>
    <definedName name="_816__FDSAUDITLINK__" hidden="1">{"fdsup://Directions/FactSet Auditing Viewer?action=AUDIT_VALUE&amp;DB=129&amp;ID1=75091710&amp;VALUEID=02001&amp;SDATE=200903&amp;PERIODTYPE=QTR_STD&amp;SCFT=3&amp;window=popup_no_bar&amp;width=385&amp;height=120&amp;START_MAXIMIZED=FALSE&amp;creator=factset&amp;display_string=Audit"}</definedName>
    <definedName name="_817__FDSAUDITLINK__" hidden="1">{"fdsup://Directions/FactSet Auditing Viewer?action=AUDIT_VALUE&amp;DB=129&amp;ID1=74994110&amp;VALUEID=02001&amp;SDATE=200902&amp;PERIODTYPE=QTR_STD&amp;SCFT=3&amp;window=popup_no_bar&amp;width=385&amp;height=120&amp;START_MAXIMIZED=FALSE&amp;creator=factset&amp;display_string=Audit"}</definedName>
    <definedName name="_818__FDSAUDITLINK__" hidden="1">{"fdsup://Directions/FactSet Auditing Viewer?action=AUDIT_VALUE&amp;DB=129&amp;ID1=74994110&amp;VALUEID=02001&amp;SDATE=200902&amp;PERIODTYPE=QTR_STD&amp;SCFT=3&amp;window=popup_no_bar&amp;width=385&amp;height=120&amp;START_MAXIMIZED=FALSE&amp;creator=factset&amp;display_string=Audit"}</definedName>
    <definedName name="_819__FDSAUDITLINK__" hidden="1">{"fdsup://Directions/FactSet Auditing Viewer?action=AUDIT_VALUE&amp;DB=129&amp;ID1=74727710&amp;VALUEID=02001&amp;SDATE=200902&amp;PERIODTYPE=QTR_STD&amp;SCFT=3&amp;window=popup_no_bar&amp;width=385&amp;height=120&amp;START_MAXIMIZED=FALSE&amp;creator=factset&amp;display_string=Audit"}</definedName>
    <definedName name="_82__FDSAUDITLINK__" hidden="1">{"fdsup://directions/FAT Viewer?action=UPDATE&amp;creator=factset&amp;DYN_ARGS=TRUE&amp;DOC_NAME=FAT:FQL_AUDITING_CLIENT_TEMPLATE.FAT&amp;display_string=Audit&amp;VAR:KEY=WFGJMHOZGF&amp;VAR:QUERY=RkZfU0hTX0ZMT0FUKEFOTiw0MDgxNik=&amp;WINDOW=FIRST_POPUP&amp;HEIGHT=450&amp;WIDTH=450&amp;START_MAXIMI","ZED=FALSE&amp;VAR:CALENDAR=US&amp;VAR:SYMBOL=WYNN&amp;VAR:INDEX=0"}</definedName>
    <definedName name="_820__FDSAUDITLINK__" hidden="1">{"fdsup://Directions/FactSet Auditing Viewer?action=AUDIT_VALUE&amp;DB=129&amp;ID1=74727710&amp;VALUEID=02001&amp;SDATE=200902&amp;PERIODTYPE=QTR_STD&amp;SCFT=3&amp;window=popup_no_bar&amp;width=385&amp;height=120&amp;START_MAXIMIZED=FALSE&amp;creator=factset&amp;display_string=Audit"}</definedName>
    <definedName name="_821__FDSAUDITLINK__" hidden="1">{"fdsup://Directions/FactSet Auditing Viewer?action=AUDIT_VALUE&amp;DB=129&amp;ID1=72581M30&amp;VALUEID=02001&amp;SDATE=200903&amp;PERIODTYPE=QTR_STD&amp;SCFT=3&amp;window=popup_no_bar&amp;width=385&amp;height=120&amp;START_MAXIMIZED=FALSE&amp;creator=factset&amp;display_string=Audit"}</definedName>
    <definedName name="_822__FDSAUDITLINK__" hidden="1">{"fdsup://Directions/FactSet Auditing Viewer?action=AUDIT_VALUE&amp;DB=129&amp;ID1=72581M30&amp;VALUEID=02001&amp;SDATE=200903&amp;PERIODTYPE=QTR_STD&amp;SCFT=3&amp;window=popup_no_bar&amp;width=385&amp;height=120&amp;START_MAXIMIZED=FALSE&amp;creator=factset&amp;display_string=Audit"}</definedName>
    <definedName name="_823__FDSAUDITLINK__" hidden="1">{"fdsup://Directions/FactSet Auditing Viewer?action=AUDIT_VALUE&amp;DB=129&amp;ID1=73927610&amp;VALUEID=02001&amp;SDATE=200903&amp;PERIODTYPE=QTR_STD&amp;SCFT=3&amp;window=popup_no_bar&amp;width=385&amp;height=120&amp;START_MAXIMIZED=FALSE&amp;creator=factset&amp;display_string=Audit"}</definedName>
    <definedName name="_824__FDSAUDITLINK__" hidden="1">{"fdsup://Directions/FactSet Auditing Viewer?action=AUDIT_VALUE&amp;DB=129&amp;ID1=73927610&amp;VALUEID=02001&amp;SDATE=200903&amp;PERIODTYPE=QTR_STD&amp;SCFT=3&amp;window=popup_no_bar&amp;width=385&amp;height=120&amp;START_MAXIMIZED=FALSE&amp;creator=factset&amp;display_string=Audit"}</definedName>
    <definedName name="_825__FDSAUDITLINK__" hidden="1">{"fdsup://Directions/FactSet Auditing Viewer?action=AUDIT_VALUE&amp;DB=129&amp;ID1=69344F10&amp;VALUEID=02001&amp;SDATE=200903&amp;PERIODTYPE=QTR_STD&amp;SCFT=3&amp;window=popup_no_bar&amp;width=385&amp;height=120&amp;START_MAXIMIZED=FALSE&amp;creator=factset&amp;display_string=Audit"}</definedName>
    <definedName name="_826__FDSAUDITLINK__" hidden="1">{"fdsup://Directions/FactSet Auditing Viewer?action=AUDIT_VALUE&amp;DB=129&amp;ID1=69344F10&amp;VALUEID=02001&amp;SDATE=200903&amp;PERIODTYPE=QTR_STD&amp;SCFT=3&amp;window=popup_no_bar&amp;width=385&amp;height=120&amp;START_MAXIMIZED=FALSE&amp;creator=factset&amp;display_string=Audit"}</definedName>
    <definedName name="_827__FDSAUDITLINK__" hidden="1">{"fdsup://Directions/FactSet Auditing Viewer?action=AUDIT_VALUE&amp;DB=129&amp;ID1=69341710&amp;VALUEID=02001&amp;SDATE=200903&amp;PERIODTYPE=QTR_STD&amp;SCFT=3&amp;window=popup_no_bar&amp;width=385&amp;height=120&amp;START_MAXIMIZED=FALSE&amp;creator=factset&amp;display_string=Audit"}</definedName>
    <definedName name="_828__FDSAUDITLINK__" hidden="1">{"fdsup://Directions/FactSet Auditing Viewer?action=AUDIT_VALUE&amp;DB=129&amp;ID1=69341710&amp;VALUEID=02001&amp;SDATE=200903&amp;PERIODTYPE=QTR_STD&amp;SCFT=3&amp;window=popup_no_bar&amp;width=385&amp;height=120&amp;START_MAXIMIZED=FALSE&amp;creator=factset&amp;display_string=Audit"}</definedName>
    <definedName name="_829__FDSAUDITLINK__" hidden="1">{"fdsup://Directions/FactSet Auditing Viewer?action=AUDIT_VALUE&amp;DB=129&amp;ID1=68218910&amp;VALUEID=02001&amp;SDATE=200903&amp;PERIODTYPE=QTR_STD&amp;SCFT=3&amp;window=popup_no_bar&amp;width=385&amp;height=120&amp;START_MAXIMIZED=FALSE&amp;creator=factset&amp;display_string=Audit"}</definedName>
    <definedName name="_83__FDSAUDITLINK__" hidden="1">{"fdsup://directions/FAT Viewer?action=UPDATE&amp;creator=factset&amp;DYN_ARGS=TRUE&amp;DOC_NAME=FAT:FQL_AUDITING_CLIENT_TEMPLATE.FAT&amp;display_string=Audit&amp;VAR:KEY=AZCPEJYXSP&amp;VAR:QUERY=RkZfU0hTX0ZMT0FUKEFOTiw0MDc4Nik=&amp;WINDOW=FIRST_POPUP&amp;HEIGHT=450&amp;WIDTH=450&amp;START_MAXIMI","ZED=FALSE&amp;VAR:CALENDAR=US&amp;VAR:SYMBOL=WYNN&amp;VAR:INDEX=0"}</definedName>
    <definedName name="_830__FDSAUDITLINK__" hidden="1">{"fdsup://Directions/FactSet Auditing Viewer?action=AUDIT_VALUE&amp;DB=129&amp;ID1=68218910&amp;VALUEID=02001&amp;SDATE=200903&amp;PERIODTYPE=QTR_STD&amp;SCFT=3&amp;window=popup_no_bar&amp;width=385&amp;height=120&amp;START_MAXIMIZED=FALSE&amp;creator=factset&amp;display_string=Audit"}</definedName>
    <definedName name="_831__FDSAUDITLINK__" hidden="1">{"fdsup://Directions/FactSet Auditing Viewer?action=AUDIT_VALUE&amp;DB=129&amp;ID1=B505PN&amp;VALUEID=02001&amp;SDATE=200903&amp;PERIODTYPE=QTR_STD&amp;SCFT=3&amp;window=popup_no_bar&amp;width=385&amp;height=120&amp;START_MAXIMIZED=FALSE&amp;creator=factset&amp;display_string=Audit"}</definedName>
    <definedName name="_832__FDSAUDITLINK__" hidden="1">{"fdsup://Directions/FactSet Auditing Viewer?action=AUDIT_VALUE&amp;DB=129&amp;ID1=B505PN&amp;VALUEID=02001&amp;SDATE=200903&amp;PERIODTYPE=QTR_STD&amp;SCFT=3&amp;window=popup_no_bar&amp;width=385&amp;height=120&amp;START_MAXIMIZED=FALSE&amp;creator=factset&amp;display_string=Audit"}</definedName>
    <definedName name="_833__FDSAUDITLINK__" hidden="1">{"fdsup://Directions/FactSet Auditing Viewer?action=AUDIT_VALUE&amp;DB=129&amp;ID1=67000810&amp;VALUEID=02001&amp;SDATE=200903&amp;PERIODTYPE=QTR_STD&amp;SCFT=3&amp;window=popup_no_bar&amp;width=385&amp;height=120&amp;START_MAXIMIZED=FALSE&amp;creator=factset&amp;display_string=Audit"}</definedName>
    <definedName name="_834__FDSAUDITLINK__" hidden="1">{"fdsup://Directions/FactSet Auditing Viewer?action=AUDIT_VALUE&amp;DB=129&amp;ID1=67000810&amp;VALUEID=02001&amp;SDATE=200903&amp;PERIODTYPE=QTR_STD&amp;SCFT=3&amp;window=popup_no_bar&amp;width=385&amp;height=120&amp;START_MAXIMIZED=FALSE&amp;creator=factset&amp;display_string=Audit"}</definedName>
    <definedName name="_835__FDSAUDITLINK__" hidden="1">{"fdsup://Directions/FactSet Auditing Viewer?action=AUDIT_VALUE&amp;DB=129&amp;ID1=67066G10&amp;VALUEID=02001&amp;SDATE=200903&amp;PERIODTYPE=QTR_STD&amp;SCFT=3&amp;window=popup_no_bar&amp;width=385&amp;height=120&amp;START_MAXIMIZED=FALSE&amp;creator=factset&amp;display_string=Audit"}</definedName>
    <definedName name="_836__FDSAUDITLINK__" hidden="1">{"fdsup://Directions/FactSet Auditing Viewer?action=AUDIT_VALUE&amp;DB=129&amp;ID1=67066G10&amp;VALUEID=02001&amp;SDATE=200903&amp;PERIODTYPE=QTR_STD&amp;SCFT=3&amp;window=popup_no_bar&amp;width=385&amp;height=120&amp;START_MAXIMIZED=FALSE&amp;creator=factset&amp;display_string=Audit"}</definedName>
    <definedName name="_837__FDSAUDITLINK__" hidden="1">{"fdsup://Directions/FactSet Auditing Viewer?action=AUDIT_VALUE&amp;DB=129&amp;ID1=63764010&amp;VALUEID=02001&amp;SDATE=200901&amp;PERIODTYPE=QTR_STD&amp;SCFT=3&amp;window=popup_no_bar&amp;width=385&amp;height=120&amp;START_MAXIMIZED=FALSE&amp;creator=factset&amp;display_string=Audit"}</definedName>
    <definedName name="_838__FDSAUDITLINK__" hidden="1">{"fdsup://Directions/FactSet Auditing Viewer?action=AUDIT_VALUE&amp;DB=129&amp;ID1=63764010&amp;VALUEID=02001&amp;SDATE=200901&amp;PERIODTYPE=QTR_STD&amp;SCFT=3&amp;window=popup_no_bar&amp;width=385&amp;height=120&amp;START_MAXIMIZED=FALSE&amp;creator=factset&amp;display_string=Audit"}</definedName>
    <definedName name="_839__FDSAUDITLINK__" hidden="1">{"fdsup://Directions/FactSet Auditing Viewer?action=AUDIT_VALUE&amp;DB=129&amp;ID1=64118B10&amp;VALUEID=02001&amp;SDATE=200903&amp;PERIODTYPE=QTR_STD&amp;SCFT=3&amp;window=popup_no_bar&amp;width=385&amp;height=120&amp;START_MAXIMIZED=FALSE&amp;creator=factset&amp;display_string=Audit"}</definedName>
    <definedName name="_84__FDSAUDITLINK__" hidden="1">{"fdsup://directions/FAT Viewer?action=UPDATE&amp;creator=factset&amp;DYN_ARGS=TRUE&amp;DOC_NAME=FAT:FQL_AUDITING_CLIENT_TEMPLATE.FAT&amp;display_string=Audit&amp;VAR:KEY=IBAZUHSBWH&amp;VAR:QUERY=RkZfU0hTX0ZMT0FUKEFOTiw0MDc1NSk=&amp;WINDOW=FIRST_POPUP&amp;HEIGHT=450&amp;WIDTH=450&amp;START_MAXIMI","ZED=FALSE&amp;VAR:CALENDAR=US&amp;VAR:SYMBOL=WYNN&amp;VAR:INDEX=0"}</definedName>
    <definedName name="_840__FDSAUDITLINK__" hidden="1">{"fdsup://Directions/FactSet Auditing Viewer?action=AUDIT_VALUE&amp;DB=129&amp;ID1=64118B10&amp;VALUEID=02001&amp;SDATE=200903&amp;PERIODTYPE=QTR_STD&amp;SCFT=3&amp;window=popup_no_bar&amp;width=385&amp;height=120&amp;START_MAXIMIZED=FALSE&amp;creator=factset&amp;display_string=Audit"}</definedName>
    <definedName name="_841__FDSAUDITLINK__" hidden="1">{"fdsup://Directions/FactSet Auditing Viewer?action=AUDIT_VALUE&amp;DB=129&amp;ID1=57772K10&amp;VALUEID=02001&amp;SDATE=201001&amp;PERIODTYPE=QTR_STD&amp;SCFT=3&amp;window=popup_no_bar&amp;width=385&amp;height=120&amp;START_MAXIMIZED=FALSE&amp;creator=factset&amp;display_string=Audit"}</definedName>
    <definedName name="_842__FDSAUDITLINK__" hidden="1">{"fdsup://Directions/FactSet Auditing Viewer?action=AUDIT_VALUE&amp;DB=129&amp;ID1=57772K10&amp;VALUEID=02001&amp;SDATE=201001&amp;PERIODTYPE=QTR_STD&amp;SCFT=3&amp;window=popup_no_bar&amp;width=385&amp;height=120&amp;START_MAXIMIZED=FALSE&amp;creator=factset&amp;display_string=Audit"}</definedName>
    <definedName name="_843__FDSAUDITLINK__" hidden="1">{"fdsup://Directions/FactSet Auditing Viewer?action=AUDIT_VALUE&amp;DB=129&amp;ID1=G5876H10&amp;VALUEID=02001&amp;SDATE=200903&amp;PERIODTYPE=QTR_STD&amp;SCFT=3&amp;window=popup_no_bar&amp;width=385&amp;height=120&amp;START_MAXIMIZED=FALSE&amp;creator=factset&amp;display_string=Audit"}</definedName>
    <definedName name="_844__FDSAUDITLINK__" hidden="1">{"fdsup://Directions/FactSet Auditing Viewer?action=AUDIT_VALUE&amp;DB=129&amp;ID1=G5876H10&amp;VALUEID=02001&amp;SDATE=200903&amp;PERIODTYPE=QTR_STD&amp;SCFT=3&amp;window=popup_no_bar&amp;width=385&amp;height=120&amp;START_MAXIMIZED=FALSE&amp;creator=factset&amp;display_string=Audit"}</definedName>
    <definedName name="_845__FDSAUDITLINK__" hidden="1">{"fdsup://Directions/FactSet Auditing Viewer?action=AUDIT_VALUE&amp;DB=129&amp;ID1=62007630&amp;VALUEID=02001&amp;SDATE=200903&amp;PERIODTYPE=QTR_STD&amp;SCFT=3&amp;window=popup_no_bar&amp;width=385&amp;height=120&amp;START_MAXIMIZED=FALSE&amp;creator=factset&amp;display_string=Audit"}</definedName>
    <definedName name="_846__FDSAUDITLINK__" hidden="1">{"fdsup://Directions/FactSet Auditing Viewer?action=AUDIT_VALUE&amp;DB=129&amp;ID1=62007630&amp;VALUEID=02001&amp;SDATE=200903&amp;PERIODTYPE=QTR_STD&amp;SCFT=3&amp;window=popup_no_bar&amp;width=385&amp;height=120&amp;START_MAXIMIZED=FALSE&amp;creator=factset&amp;display_string=Audit"}</definedName>
    <definedName name="_847__FDSAUDITLINK__" hidden="1">{"fdsup://Directions/FactSet Auditing Viewer?action=AUDIT_VALUE&amp;DB=129&amp;ID1=60456710&amp;VALUEID=02001&amp;SDATE=201001&amp;PERIODTYPE=QTR_STD&amp;SCFT=3&amp;window=popup_no_bar&amp;width=385&amp;height=120&amp;START_MAXIMIZED=FALSE&amp;creator=factset&amp;display_string=Audit"}</definedName>
    <definedName name="_848__FDSAUDITLINK__" hidden="1">{"fdsup://Directions/FactSet Auditing Viewer?action=AUDIT_VALUE&amp;DB=129&amp;ID1=60456710&amp;VALUEID=02001&amp;SDATE=201001&amp;PERIODTYPE=QTR_STD&amp;SCFT=3&amp;window=popup_no_bar&amp;width=385&amp;height=120&amp;START_MAXIMIZED=FALSE&amp;creator=factset&amp;display_string=Audit"}</definedName>
    <definedName name="_849__FDSAUDITLINK__" hidden="1">{"fdsup://Directions/FactSet Auditing Viewer?action=AUDIT_VALUE&amp;DB=129&amp;ID1=59479310&amp;VALUEID=02001&amp;SDATE=200903&amp;PERIODTYPE=QTR_STD&amp;SCFT=3&amp;window=popup_no_bar&amp;width=385&amp;height=120&amp;START_MAXIMIZED=FALSE&amp;creator=factset&amp;display_string=Audit"}</definedName>
    <definedName name="_85__FDSAUDITLINK__" hidden="1">{"fdsup://directions/FAT Viewer?action=UPDATE&amp;creator=factset&amp;DYN_ARGS=TRUE&amp;DOC_NAME=FAT:FQL_AUDITING_CLIENT_TEMPLATE.FAT&amp;display_string=Audit&amp;VAR:KEY=EDAFYJABWR&amp;VAR:QUERY=RkZfU0hTX0ZMT0FUKEFOTiw0MDcyNCk=&amp;WINDOW=FIRST_POPUP&amp;HEIGHT=450&amp;WIDTH=450&amp;START_MAXIMI","ZED=FALSE&amp;VAR:CALENDAR=US&amp;VAR:SYMBOL=WYNN&amp;VAR:INDEX=0"}</definedName>
    <definedName name="_850__FDSAUDITLINK__" hidden="1">{"fdsup://Directions/FactSet Auditing Viewer?action=AUDIT_VALUE&amp;DB=129&amp;ID1=59479310&amp;VALUEID=02001&amp;SDATE=200903&amp;PERIODTYPE=QTR_STD&amp;SCFT=3&amp;window=popup_no_bar&amp;width=385&amp;height=120&amp;START_MAXIMIZED=FALSE&amp;creator=factset&amp;display_string=Audit"}</definedName>
    <definedName name="_851__FDSAUDITLINK__" hidden="1">{"fdsup://Directions/FactSet Auditing Viewer?action=AUDIT_VALUE&amp;DB=129&amp;ID1=59501710&amp;VALUEID=02001&amp;SDATE=200902&amp;PERIODTYPE=QTR_STD&amp;SCFT=3&amp;window=popup_no_bar&amp;width=385&amp;height=120&amp;START_MAXIMIZED=FALSE&amp;creator=factset&amp;display_string=Audit"}</definedName>
    <definedName name="_852__FDSAUDITLINK__" hidden="1">{"fdsup://Directions/FactSet Auditing Viewer?action=AUDIT_VALUE&amp;DB=129&amp;ID1=59501710&amp;VALUEID=02001&amp;SDATE=200902&amp;PERIODTYPE=QTR_STD&amp;SCFT=3&amp;window=popup_no_bar&amp;width=385&amp;height=120&amp;START_MAXIMIZED=FALSE&amp;creator=factset&amp;display_string=Audit"}</definedName>
    <definedName name="_853__FDSAUDITLINK__" hidden="1">{"fdsup://Directions/FactSet Auditing Viewer?action=AUDIT_VALUE&amp;DB=129&amp;ID1=50216110&amp;VALUEID=02001&amp;SDATE=200903&amp;PERIODTYPE=QTR_STD&amp;SCFT=3&amp;window=popup_no_bar&amp;width=385&amp;height=120&amp;START_MAXIMIZED=FALSE&amp;creator=factset&amp;display_string=Audit"}</definedName>
    <definedName name="_854__FDSAUDITLINK__" hidden="1">{"fdsup://Directions/FactSet Auditing Viewer?action=AUDIT_VALUE&amp;DB=129&amp;ID1=50216110&amp;VALUEID=02001&amp;SDATE=200903&amp;PERIODTYPE=QTR_STD&amp;SCFT=3&amp;window=popup_no_bar&amp;width=385&amp;height=120&amp;START_MAXIMIZED=FALSE&amp;creator=factset&amp;display_string=Audit"}</definedName>
    <definedName name="_855__FDSAUDITLINK__" hidden="1">{"fdsup://Directions/FactSet Auditing Viewer?action=AUDIT_VALUE&amp;DB=129&amp;ID1=51841510&amp;VALUEID=02001&amp;SDATE=200903&amp;PERIODTYPE=QTR_STD&amp;SCFT=3&amp;window=popup_no_bar&amp;width=385&amp;height=120&amp;START_MAXIMIZED=FALSE&amp;creator=factset&amp;display_string=Audit"}</definedName>
    <definedName name="_856__FDSAUDITLINK__" hidden="1">{"fdsup://Directions/FactSet Auditing Viewer?action=AUDIT_VALUE&amp;DB=129&amp;ID1=51841510&amp;VALUEID=02001&amp;SDATE=200903&amp;PERIODTYPE=QTR_STD&amp;SCFT=3&amp;window=popup_no_bar&amp;width=385&amp;height=120&amp;START_MAXIMIZED=FALSE&amp;creator=factset&amp;display_string=Audit"}</definedName>
    <definedName name="_857__FDSAUDITLINK__" hidden="1">{"fdsup://Directions/FactSet Auditing Viewer?action=AUDIT_VALUE&amp;DB=129&amp;ID1=51280710&amp;VALUEID=02001&amp;SDATE=201001&amp;PERIODTYPE=QTR_STD&amp;SCFT=3&amp;window=popup_no_bar&amp;width=385&amp;height=120&amp;START_MAXIMIZED=FALSE&amp;creator=factset&amp;display_string=Audit"}</definedName>
    <definedName name="_858__FDSAUDITLINK__" hidden="1">{"fdsup://Directions/FactSet Auditing Viewer?action=AUDIT_VALUE&amp;DB=129&amp;ID1=51280710&amp;VALUEID=02001&amp;SDATE=201001&amp;PERIODTYPE=QTR_STD&amp;SCFT=3&amp;window=popup_no_bar&amp;width=385&amp;height=120&amp;START_MAXIMIZED=FALSE&amp;creator=factset&amp;display_string=Audit"}</definedName>
    <definedName name="_859__FDSAUDITLINK__" hidden="1">{"fdsup://Directions/FactSet Auditing Viewer?action=AUDIT_VALUE&amp;DB=129&amp;ID1=53567810&amp;VALUEID=02001&amp;SDATE=201001&amp;PERIODTYPE=QTR_STD&amp;SCFT=3&amp;window=popup_no_bar&amp;width=385&amp;height=120&amp;START_MAXIMIZED=FALSE&amp;creator=factset&amp;display_string=Audit"}</definedName>
    <definedName name="_86__FDSAUDITLINK__" hidden="1">{"fdsup://directions/FAT Viewer?action=UPDATE&amp;creator=factset&amp;DYN_ARGS=TRUE&amp;DOC_NAME=FAT:FQL_AUDITING_CLIENT_TEMPLATE.FAT&amp;display_string=Audit&amp;VAR:KEY=OVSZCNMXIL&amp;VAR:QUERY=RkZfU0hTX0ZMT0FUKEFOTiw0MDY5NCk=&amp;WINDOW=FIRST_POPUP&amp;HEIGHT=450&amp;WIDTH=450&amp;START_MAXIMI","ZED=FALSE&amp;VAR:CALENDAR=US&amp;VAR:SYMBOL=WYNN&amp;VAR:INDEX=0"}</definedName>
    <definedName name="_860__FDSAUDITLINK__" hidden="1">{"fdsup://Directions/FactSet Auditing Viewer?action=AUDIT_VALUE&amp;DB=129&amp;ID1=53567810&amp;VALUEID=02001&amp;SDATE=201001&amp;PERIODTYPE=QTR_STD&amp;SCFT=3&amp;window=popup_no_bar&amp;width=385&amp;height=120&amp;START_MAXIMIZED=FALSE&amp;creator=factset&amp;display_string=Audit"}</definedName>
    <definedName name="_861__FDSAUDITLINK__" hidden="1">{"fdsup://Directions/FactSet Auditing Viewer?action=AUDIT_VALUE&amp;DB=129&amp;ID1=48248010&amp;VALUEID=02001&amp;SDATE=201001&amp;PERIODTYPE=QTR_STD&amp;SCFT=3&amp;window=popup_no_bar&amp;width=385&amp;height=120&amp;START_MAXIMIZED=FALSE&amp;creator=factset&amp;display_string=Audit"}</definedName>
    <definedName name="_862__FDSAUDITLINK__" hidden="1">{"fdsup://Directions/FactSet Auditing Viewer?action=AUDIT_VALUE&amp;DB=129&amp;ID1=48248010&amp;VALUEID=02001&amp;SDATE=201001&amp;PERIODTYPE=QTR_STD&amp;SCFT=3&amp;window=popup_no_bar&amp;width=385&amp;height=120&amp;START_MAXIMIZED=FALSE&amp;creator=factset&amp;display_string=Audit"}</definedName>
    <definedName name="_863__FDSAUDITLINK__" hidden="1">{"fdsup://Directions/FactSet Auditing Viewer?action=AUDIT_VALUE&amp;DB=129&amp;ID1=48836020&amp;VALUEID=02001&amp;SDATE=200902&amp;PERIODTYPE=QTR_STD&amp;SCFT=3&amp;window=popup_no_bar&amp;width=385&amp;height=120&amp;START_MAXIMIZED=FALSE&amp;creator=factset&amp;display_string=Audit"}</definedName>
    <definedName name="_864__FDSAUDITLINK__" hidden="1">{"fdsup://Directions/FactSet Auditing Viewer?action=AUDIT_VALUE&amp;DB=129&amp;ID1=48836020&amp;VALUEID=02001&amp;SDATE=200902&amp;PERIODTYPE=QTR_STD&amp;SCFT=3&amp;window=popup_no_bar&amp;width=385&amp;height=120&amp;START_MAXIMIZED=FALSE&amp;creator=factset&amp;display_string=Audit"}</definedName>
    <definedName name="_865__FDSAUDITLINK__" hidden="1">{"fdsup://Directions/FactSet Auditing Viewer?action=AUDIT_VALUE&amp;DB=129&amp;ID1=48203R10&amp;VALUEID=02001&amp;SDATE=200903&amp;PERIODTYPE=QTR_STD&amp;SCFT=3&amp;window=popup_no_bar&amp;width=385&amp;height=120&amp;START_MAXIMIZED=FALSE&amp;creator=factset&amp;display_string=Audit"}</definedName>
    <definedName name="_866__FDSAUDITLINK__" hidden="1">{"fdsup://Directions/FactSet Auditing Viewer?action=AUDIT_VALUE&amp;DB=129&amp;ID1=48203R10&amp;VALUEID=02001&amp;SDATE=200903&amp;PERIODTYPE=QTR_STD&amp;SCFT=3&amp;window=popup_no_bar&amp;width=385&amp;height=120&amp;START_MAXIMIZED=FALSE&amp;creator=factset&amp;display_string=Audit"}</definedName>
    <definedName name="_867__FDSAUDITLINK__" hidden="1">{"fdsup://Directions/FactSet Auditing Viewer?action=AUDIT_VALUE&amp;DB=129&amp;ID1=86681020&amp;VALUEID=02001&amp;SDATE=201001&amp;PERIODTYPE=QTR_STD&amp;SCFT=3&amp;window=popup_no_bar&amp;width=385&amp;height=120&amp;START_MAXIMIZED=FALSE&amp;creator=factset&amp;display_string=Audit"}</definedName>
    <definedName name="_868__FDSAUDITLINK__" hidden="1">{"fdsup://Directions/FactSet Auditing Viewer?action=AUDIT_VALUE&amp;DB=129&amp;ID1=86681020&amp;VALUEID=02001&amp;SDATE=201001&amp;PERIODTYPE=QTR_STD&amp;SCFT=3&amp;window=popup_no_bar&amp;width=385&amp;height=120&amp;START_MAXIMIZED=FALSE&amp;creator=factset&amp;display_string=Audit"}</definedName>
    <definedName name="_869__FDSAUDITLINK__" hidden="1">{"fdsup://Directions/FactSet Auditing Viewer?action=AUDIT_VALUE&amp;DB=129&amp;ID1=46069S10&amp;VALUEID=02001&amp;SDATE=200903&amp;PERIODTYPE=QTR_STD&amp;SCFT=3&amp;window=popup_no_bar&amp;width=385&amp;height=120&amp;START_MAXIMIZED=FALSE&amp;creator=factset&amp;display_string=Audit"}</definedName>
    <definedName name="_87__FDSAUDITLINK__" hidden="1">{"fdsup://directions/FAT Viewer?action=UPDATE&amp;creator=factset&amp;DYN_ARGS=TRUE&amp;DOC_NAME=FAT:FQL_AUDITING_CLIENT_TEMPLATE.FAT&amp;display_string=Audit&amp;VAR:KEY=YPITQHSTUV&amp;VAR:QUERY=RkZfU0hTX0ZMT0FUKEFOTiw0MDY2Myk=&amp;WINDOW=FIRST_POPUP&amp;HEIGHT=450&amp;WIDTH=450&amp;START_MAXIMI","ZED=FALSE&amp;VAR:CALENDAR=US&amp;VAR:SYMBOL=WYNN&amp;VAR:INDEX=0"}</definedName>
    <definedName name="_870__FDSAUDITLINK__" hidden="1">{"fdsup://Directions/FactSet Auditing Viewer?action=AUDIT_VALUE&amp;DB=129&amp;ID1=46069S10&amp;VALUEID=02001&amp;SDATE=200903&amp;PERIODTYPE=QTR_STD&amp;SCFT=3&amp;window=popup_no_bar&amp;width=385&amp;height=120&amp;START_MAXIMIZED=FALSE&amp;creator=factset&amp;display_string=Audit"}</definedName>
    <definedName name="_871__FDSAUDITLINK__" hidden="1">{"fdsup://Directions/FactSet Auditing Viewer?action=AUDIT_VALUE&amp;DB=129&amp;ID1=46025410&amp;VALUEID=02001&amp;SDATE=201001&amp;PERIODTYPE=QTR_STD&amp;SCFT=3&amp;window=popup_no_bar&amp;width=385&amp;height=120&amp;START_MAXIMIZED=FALSE&amp;creator=factset&amp;display_string=Audit"}</definedName>
    <definedName name="_872__FDSAUDITLINK__" hidden="1">{"fdsup://Directions/FactSet Auditing Viewer?action=AUDIT_VALUE&amp;DB=129&amp;ID1=46025410&amp;VALUEID=02001&amp;SDATE=201001&amp;PERIODTYPE=QTR_STD&amp;SCFT=3&amp;window=popup_no_bar&amp;width=385&amp;height=120&amp;START_MAXIMIZED=FALSE&amp;creator=factset&amp;display_string=Audit"}</definedName>
    <definedName name="_873__FDSAUDITLINK__" hidden="1">{"fdsup://Directions/FactSet Auditing Viewer?action=AUDIT_VALUE&amp;DB=129&amp;ID1=45814010&amp;VALUEID=02001&amp;SDATE=200903&amp;PERIODTYPE=QTR_STD&amp;SCFT=3&amp;window=popup_no_bar&amp;width=385&amp;height=120&amp;START_MAXIMIZED=FALSE&amp;creator=factset&amp;display_string=Audit"}</definedName>
    <definedName name="_874__FDSAUDITLINK__" hidden="1">{"fdsup://Directions/FactSet Auditing Viewer?action=AUDIT_VALUE&amp;DB=129&amp;ID1=45814010&amp;VALUEID=02001&amp;SDATE=200903&amp;PERIODTYPE=QTR_STD&amp;SCFT=3&amp;window=popup_no_bar&amp;width=385&amp;height=120&amp;START_MAXIMIZED=FALSE&amp;creator=factset&amp;display_string=Audit"}</definedName>
    <definedName name="_875__FDSAUDITLINK__" hidden="1">{"fdsup://Directions/FactSet Auditing Viewer?action=AUDIT_VALUE&amp;DB=129&amp;ID1=45811810&amp;VALUEID=02001&amp;SDATE=200902&amp;PERIODTYPE=QTR_STD&amp;SCFT=3&amp;window=popup_no_bar&amp;width=385&amp;height=120&amp;START_MAXIMIZED=FALSE&amp;creator=factset&amp;display_string=Audit"}</definedName>
    <definedName name="_876__FDSAUDITLINK__" hidden="1">{"fdsup://Directions/FactSet Auditing Viewer?action=AUDIT_VALUE&amp;DB=129&amp;ID1=45811810&amp;VALUEID=02001&amp;SDATE=200902&amp;PERIODTYPE=QTR_STD&amp;SCFT=3&amp;window=popup_no_bar&amp;width=385&amp;height=120&amp;START_MAXIMIZED=FALSE&amp;creator=factset&amp;display_string=Audit"}</definedName>
    <definedName name="_877__FDSAUDITLINK__" hidden="1">{"fdsup://Directions/FactSet Auditing Viewer?action=AUDIT_VALUE&amp;DB=129&amp;ID1=H2906T10&amp;VALUEID=02001&amp;SDATE=200903&amp;PERIODTYPE=QTR_STD&amp;SCFT=3&amp;window=popup_no_bar&amp;width=385&amp;height=120&amp;START_MAXIMIZED=FALSE&amp;creator=factset&amp;display_string=Audit"}</definedName>
    <definedName name="_878__FDSAUDITLINK__" hidden="1">{"fdsup://Directions/FactSet Auditing Viewer?action=AUDIT_VALUE&amp;DB=129&amp;ID1=H2906T10&amp;VALUEID=02001&amp;SDATE=200903&amp;PERIODTYPE=QTR_STD&amp;SCFT=3&amp;window=popup_no_bar&amp;width=385&amp;height=120&amp;START_MAXIMIZED=FALSE&amp;creator=factset&amp;display_string=Audit"}</definedName>
    <definedName name="_879__FDSAUDITLINK__" hidden="1">{"fdsup://Directions/FactSet Auditing Viewer?action=AUDIT_VALUE&amp;DB=129&amp;ID1=34637510&amp;VALUEID=02001&amp;SDATE=200903&amp;PERIODTYPE=QTR_STD&amp;SCFT=3&amp;window=popup_no_bar&amp;width=385&amp;height=120&amp;START_MAXIMIZED=FALSE&amp;creator=factset&amp;display_string=Audit"}</definedName>
    <definedName name="_88__FDSAUDITLINK__" hidden="1">{"fdsup://directions/FAT Viewer?action=UPDATE&amp;creator=factset&amp;DYN_ARGS=TRUE&amp;DOC_NAME=FAT:FQL_AUDITING_CLIENT_TEMPLATE.FAT&amp;display_string=Audit&amp;VAR:KEY=CXUPQLUZKV&amp;VAR:QUERY=RkZfU0hTX0ZMT0FUKEFOTiw0MDYzMyk=&amp;WINDOW=FIRST_POPUP&amp;HEIGHT=450&amp;WIDTH=450&amp;START_MAXIMI","ZED=FALSE&amp;VAR:CALENDAR=US&amp;VAR:SYMBOL=WYNN&amp;VAR:INDEX=0"}</definedName>
    <definedName name="_880__FDSAUDITLINK__" hidden="1">{"fdsup://Directions/FactSet Auditing Viewer?action=AUDIT_VALUE&amp;DB=129&amp;ID1=34637510&amp;VALUEID=02001&amp;SDATE=200903&amp;PERIODTYPE=QTR_STD&amp;SCFT=3&amp;window=popup_no_bar&amp;width=385&amp;height=120&amp;START_MAXIMIZED=FALSE&amp;creator=factset&amp;display_string=Audit"}</definedName>
    <definedName name="_881__FDSAUDITLINK__" hidden="1">{"fdsup://Directions/FactSet Auditing Viewer?action=AUDIT_VALUE&amp;DB=129&amp;ID1=29247520&amp;VALUEID=02001&amp;SDATE=201001&amp;PERIODTYPE=QTR_STD&amp;SCFT=3&amp;window=popup_no_bar&amp;width=385&amp;height=120&amp;START_MAXIMIZED=FALSE&amp;creator=factset&amp;display_string=Audit"}</definedName>
    <definedName name="_882__FDSAUDITLINK__" hidden="1">{"fdsup://Directions/FactSet Auditing Viewer?action=AUDIT_VALUE&amp;DB=129&amp;ID1=29247520&amp;VALUEID=02001&amp;SDATE=201001&amp;PERIODTYPE=QTR_STD&amp;SCFT=3&amp;window=popup_no_bar&amp;width=385&amp;height=120&amp;START_MAXIMIZED=FALSE&amp;creator=factset&amp;display_string=Audit"}</definedName>
    <definedName name="_883__FDSAUDITLINK__" hidden="1">{"fdsup://Directions/FactSet Auditing Viewer?action=AUDIT_VALUE&amp;DB=129&amp;ID1=25454310&amp;VALUEID=02001&amp;SDATE=200903&amp;PERIODTYPE=QTR_STD&amp;SCFT=3&amp;window=popup_no_bar&amp;width=385&amp;height=120&amp;START_MAXIMIZED=FALSE&amp;creator=factset&amp;display_string=Audit"}</definedName>
    <definedName name="_884__FDSAUDITLINK__" hidden="1">{"fdsup://Directions/FactSet Auditing Viewer?action=AUDIT_VALUE&amp;DB=129&amp;ID1=25454310&amp;VALUEID=02001&amp;SDATE=200903&amp;PERIODTYPE=QTR_STD&amp;SCFT=3&amp;window=popup_no_bar&amp;width=385&amp;height=120&amp;START_MAXIMIZED=FALSE&amp;creator=factset&amp;display_string=Audit"}</definedName>
    <definedName name="_885__FDSAUDITLINK__" hidden="1">{"fdsup://Directions/FactSet Auditing Viewer?action=AUDIT_VALUE&amp;DB=129&amp;ID1=24702R10&amp;VALUEID=02001&amp;SDATE=200903&amp;PERIODTYPE=QTR_STD&amp;SCFT=3&amp;window=popup_no_bar&amp;width=385&amp;height=120&amp;START_MAXIMIZED=FALSE&amp;creator=factset&amp;display_string=Audit"}</definedName>
    <definedName name="_886__FDSAUDITLINK__" hidden="1">{"fdsup://Directions/FactSet Auditing Viewer?action=AUDIT_VALUE&amp;DB=129&amp;ID1=24702R10&amp;VALUEID=02001&amp;SDATE=200903&amp;PERIODTYPE=QTR_STD&amp;SCFT=3&amp;window=popup_no_bar&amp;width=385&amp;height=120&amp;START_MAXIMIZED=FALSE&amp;creator=factset&amp;display_string=Audit"}</definedName>
    <definedName name="_887__FDSAUDITLINK__" hidden="1">{"fdsup://Directions/FactSet Auditing Viewer?action=AUDIT_VALUE&amp;DB=129&amp;ID1=23257210&amp;VALUEID=02001&amp;SDATE=200903&amp;PERIODTYPE=QTR_STD&amp;SCFT=3&amp;window=popup_no_bar&amp;width=385&amp;height=120&amp;START_MAXIMIZED=FALSE&amp;creator=factset&amp;display_string=Audit"}</definedName>
    <definedName name="_888__FDSAUDITLINK__" hidden="1">{"fdsup://Directions/FactSet Auditing Viewer?action=AUDIT_VALUE&amp;DB=129&amp;ID1=23257210&amp;VALUEID=02001&amp;SDATE=200903&amp;PERIODTYPE=QTR_STD&amp;SCFT=3&amp;window=popup_no_bar&amp;width=385&amp;height=120&amp;START_MAXIMIZED=FALSE&amp;creator=factset&amp;display_string=Audit"}</definedName>
    <definedName name="_889__FDSAUDITLINK__" hidden="1">{"fdsup://Directions/FactSet Auditing Viewer?action=AUDIT_VALUE&amp;DB=129&amp;ID1=23280610&amp;VALUEID=02001&amp;SDATE=200903&amp;PERIODTYPE=QTR_STD&amp;SCFT=3&amp;window=popup_no_bar&amp;width=385&amp;height=120&amp;START_MAXIMIZED=FALSE&amp;creator=factset&amp;display_string=Audit"}</definedName>
    <definedName name="_89__FDSAUDITLINK__" hidden="1">{"fdsup://directions/FAT Viewer?action=UPDATE&amp;creator=factset&amp;DYN_ARGS=TRUE&amp;DOC_NAME=FAT:FQL_AUDITING_CLIENT_TEMPLATE.FAT&amp;display_string=Audit&amp;VAR:KEY=ADKDKJWPMV&amp;VAR:QUERY=RkZfU0hTX0ZMT0FUKEFOTiw0MDYwMik=&amp;WINDOW=FIRST_POPUP&amp;HEIGHT=450&amp;WIDTH=450&amp;START_MAXIMI","ZED=FALSE&amp;VAR:CALENDAR=US&amp;VAR:SYMBOL=WYNN&amp;VAR:INDEX=0"}</definedName>
    <definedName name="_890__FDSAUDITLINK__" hidden="1">{"fdsup://Directions/FactSet Auditing Viewer?action=AUDIT_VALUE&amp;DB=129&amp;ID1=23280610&amp;VALUEID=02001&amp;SDATE=200903&amp;PERIODTYPE=QTR_STD&amp;SCFT=3&amp;window=popup_no_bar&amp;width=385&amp;height=120&amp;START_MAXIMIZED=FALSE&amp;creator=factset&amp;display_string=Audit"}</definedName>
    <definedName name="_891__FDSAUDITLINK__" hidden="1">{"fdsup://Directions/FactSet Auditing Viewer?action=AUDIT_VALUE&amp;DB=129&amp;ID1=17275R10&amp;VALUEID=02001&amp;SDATE=201001&amp;PERIODTYPE=QTR_STD&amp;SCFT=3&amp;window=popup_no_bar&amp;width=385&amp;height=120&amp;START_MAXIMIZED=FALSE&amp;creator=factset&amp;display_string=Audit"}</definedName>
    <definedName name="_892__FDSAUDITLINK__" hidden="1">{"fdsup://Directions/FactSet Auditing Viewer?action=AUDIT_VALUE&amp;DB=129&amp;ID1=17275R10&amp;VALUEID=02001&amp;SDATE=201001&amp;PERIODTYPE=QTR_STD&amp;SCFT=3&amp;window=popup_no_bar&amp;width=385&amp;height=120&amp;START_MAXIMIZED=FALSE&amp;creator=factset&amp;display_string=Audit"}</definedName>
    <definedName name="_893__FDSAUDITLINK__" hidden="1">{"fdsup://Directions/FactSet Auditing Viewer?action=AUDIT_VALUE&amp;DB=129&amp;ID1=22544710&amp;VALUEID=02001&amp;SDATE=201001&amp;PERIODTYPE=QTR_STD&amp;SCFT=3&amp;window=popup_no_bar&amp;width=385&amp;height=120&amp;START_MAXIMIZED=FALSE&amp;creator=factset&amp;display_string=Audit"}</definedName>
    <definedName name="_894__FDSAUDITLINK__" hidden="1">{"fdsup://Directions/FactSet Auditing Viewer?action=AUDIT_VALUE&amp;DB=129&amp;ID1=22544710&amp;VALUEID=02001&amp;SDATE=201001&amp;PERIODTYPE=QTR_STD&amp;SCFT=3&amp;window=popup_no_bar&amp;width=385&amp;height=120&amp;START_MAXIMIZED=FALSE&amp;creator=factset&amp;display_string=Audit"}</definedName>
    <definedName name="_895__FDSAUDITLINK__" hidden="1">{"fdsup://Directions/FactSet Auditing Viewer?action=AUDIT_VALUE&amp;DB=129&amp;ID1=12738710&amp;VALUEID=02001&amp;SDATE=200903&amp;PERIODTYPE=QTR_STD&amp;SCFT=3&amp;window=popup_no_bar&amp;width=385&amp;height=120&amp;START_MAXIMIZED=FALSE&amp;creator=factset&amp;display_string=Audit"}</definedName>
    <definedName name="_896__FDSAUDITLINK__" hidden="1">{"fdsup://Directions/FactSet Auditing Viewer?action=AUDIT_VALUE&amp;DB=129&amp;ID1=12738710&amp;VALUEID=02001&amp;SDATE=200903&amp;PERIODTYPE=QTR_STD&amp;SCFT=3&amp;window=popup_no_bar&amp;width=385&amp;height=120&amp;START_MAXIMIZED=FALSE&amp;creator=factset&amp;display_string=Audit"}</definedName>
    <definedName name="_897__FDSAUDITLINK__" hidden="1">{"fdsup://Directions/FactSet Auditing Viewer?action=AUDIT_VALUE&amp;DB=129&amp;ID1=14964U10&amp;VALUEID=02001&amp;SDATE=200903&amp;PERIODTYPE=QTR_STD&amp;SCFT=3&amp;window=popup_no_bar&amp;width=385&amp;height=120&amp;START_MAXIMIZED=FALSE&amp;creator=factset&amp;display_string=Audit"}</definedName>
    <definedName name="_898__FDSAUDITLINK__" hidden="1">{"fdsup://Directions/FactSet Auditing Viewer?action=AUDIT_VALUE&amp;DB=129&amp;ID1=14964U10&amp;VALUEID=02001&amp;SDATE=200903&amp;PERIODTYPE=QTR_STD&amp;SCFT=3&amp;window=popup_no_bar&amp;width=385&amp;height=120&amp;START_MAXIMIZED=FALSE&amp;creator=factset&amp;display_string=Audit"}</definedName>
    <definedName name="_899__FDSAUDITLINK__" hidden="1">{"fdsup://Directions/FactSet Auditing Viewer?action=AUDIT_VALUE&amp;DB=129&amp;ID1=04743P10&amp;VALUEID=02001&amp;SDATE=200903&amp;PERIODTYPE=QTR_STD&amp;SCFT=3&amp;window=popup_no_bar&amp;width=385&amp;height=120&amp;START_MAXIMIZED=FALSE&amp;creator=factset&amp;display_string=Audit"}</definedName>
    <definedName name="_9__123Graph_AR_M_MARGINS" hidden="1">#REF!</definedName>
    <definedName name="_9__123Graph_BR_M_MARGINS" hidden="1">#REF!</definedName>
    <definedName name="_9__123Graph_XR_M_MARGINS" hidden="1">#REF!</definedName>
    <definedName name="_9__FDSAUDITLINK__" hidden="1">{"fdsup://directions/FAT Viewer?action=UPDATE&amp;creator=factset&amp;DYN_ARGS=TRUE&amp;DOC_NAME=FAT:FQL_AUDITING_CLIENT_TEMPLATE.FAT&amp;display_string=Audit&amp;VAR:KEY=WZKBOHYPWT&amp;VAR:QUERY=RkZfU0hTX0ZMT0FUKEFOTiwp&amp;WINDOW=FIRST_POPUP&amp;HEIGHT=450&amp;WIDTH=450&amp;START_MAXIMIZED=FALS","E&amp;VAR:CALENDAR=US&amp;VAR:SYMBOL=MGM RESORTS INT'L&amp;VAR:INDEX=0"}</definedName>
    <definedName name="_90__FDSAUDITLINK__" hidden="1">{"fdsup://directions/FAT Viewer?action=UPDATE&amp;creator=factset&amp;DYN_ARGS=TRUE&amp;DOC_NAME=FAT:FQL_AUDITING_CLIENT_TEMPLATE.FAT&amp;display_string=Audit&amp;VAR:KEY=YLKHSXCRSV&amp;VAR:QUERY=RkZfU0hTX0ZMT0FUKEFOTiw0MDU3NCk=&amp;WINDOW=FIRST_POPUP&amp;HEIGHT=450&amp;WIDTH=450&amp;START_MAXIMI","ZED=FALSE&amp;VAR:CALENDAR=US&amp;VAR:SYMBOL=WYNN&amp;VAR:INDEX=0"}</definedName>
    <definedName name="_900__FDSAUDITLINK__" hidden="1">{"fdsup://Directions/FactSet Auditing Viewer?action=AUDIT_VALUE&amp;DB=129&amp;ID1=04743P10&amp;VALUEID=02001&amp;SDATE=200903&amp;PERIODTYPE=QTR_STD&amp;SCFT=3&amp;window=popup_no_bar&amp;width=385&amp;height=120&amp;START_MAXIMIZED=FALSE&amp;creator=factset&amp;display_string=Audit"}</definedName>
    <definedName name="_901__FDSAUDITLINK__" hidden="1">{"fdsup://Directions/FactSet Auditing Viewer?action=AUDIT_VALUE&amp;DB=129&amp;ID1=03251510&amp;VALUEID=02001&amp;SDATE=200903&amp;PERIODTYPE=QTR_STD&amp;SCFT=3&amp;window=popup_no_bar&amp;width=385&amp;height=120&amp;START_MAXIMIZED=FALSE&amp;creator=factset&amp;display_string=Audit"}</definedName>
    <definedName name="_902__FDSAUDITLINK__" hidden="1">{"fdsup://Directions/FactSet Auditing Viewer?action=AUDIT_VALUE&amp;DB=129&amp;ID1=03251510&amp;VALUEID=02001&amp;SDATE=200903&amp;PERIODTYPE=QTR_STD&amp;SCFT=3&amp;window=popup_no_bar&amp;width=385&amp;height=120&amp;START_MAXIMIZED=FALSE&amp;creator=factset&amp;display_string=Audit"}</definedName>
    <definedName name="_903__FDSAUDITLINK__" hidden="1">{"fdsup://Directions/FactSet Auditing Viewer?action=AUDIT_VALUE&amp;DB=129&amp;ID1=00790310&amp;VALUEID=02001&amp;SDATE=200903&amp;PERIODTYPE=QTR_STD&amp;SCFT=3&amp;window=popup_no_bar&amp;width=385&amp;height=120&amp;START_MAXIMIZED=FALSE&amp;creator=factset&amp;display_string=Audit"}</definedName>
    <definedName name="_904__FDSAUDITLINK__" hidden="1">{"fdsup://Directions/FactSet Auditing Viewer?action=AUDIT_VALUE&amp;DB=129&amp;ID1=00790310&amp;VALUEID=02001&amp;SDATE=200903&amp;PERIODTYPE=QTR_STD&amp;SCFT=3&amp;window=popup_no_bar&amp;width=385&amp;height=120&amp;START_MAXIMIZED=FALSE&amp;creator=factset&amp;display_string=Audit"}</definedName>
    <definedName name="_905__FDSAUDITLINK__" hidden="1">{"fdsup://Directions/FactSet Auditing Viewer?action=AUDIT_VALUE&amp;DB=129&amp;ID1=03822W40&amp;VALUEID=02001&amp;SDATE=200902&amp;PERIODTYPE=QTR_STD&amp;SCFT=3&amp;window=popup_no_bar&amp;width=385&amp;height=120&amp;START_MAXIMIZED=FALSE&amp;creator=factset&amp;display_string=Audit"}</definedName>
    <definedName name="_906__FDSAUDITLINK__" hidden="1">{"fdsup://Directions/FactSet Auditing Viewer?action=AUDIT_VALUE&amp;DB=129&amp;ID1=03822W40&amp;VALUEID=02001&amp;SDATE=200902&amp;PERIODTYPE=QTR_STD&amp;SCFT=3&amp;window=popup_no_bar&amp;width=385&amp;height=120&amp;START_MAXIMIZED=FALSE&amp;creator=factset&amp;display_string=Audit"}</definedName>
    <definedName name="_907__FDSAUDITLINK__" hidden="1">{"fdsup://Directions/FactSet Auditing Viewer?action=AUDIT_VALUE&amp;DB=129&amp;ID1=02144110&amp;VALUEID=02001&amp;SDATE=200903&amp;PERIODTYPE=QTR_STD&amp;SCFT=3&amp;window=popup_no_bar&amp;width=385&amp;height=120&amp;START_MAXIMIZED=FALSE&amp;creator=factset&amp;display_string=Audit"}</definedName>
    <definedName name="_908__FDSAUDITLINK__" hidden="1">{"fdsup://Directions/FactSet Auditing Viewer?action=AUDIT_VALUE&amp;DB=129&amp;ID1=02144110&amp;VALUEID=02001&amp;SDATE=200903&amp;PERIODTYPE=QTR_STD&amp;SCFT=3&amp;window=popup_no_bar&amp;width=385&amp;height=120&amp;START_MAXIMIZED=FALSE&amp;creator=factset&amp;display_string=Audit"}</definedName>
    <definedName name="_909__FDSAUDITLINK__" hidden="1">{"fdsup://Directions/FactSet Auditing Viewer?action=AUDIT_VALUE&amp;DB=129&amp;ID1=00752J10&amp;VALUEID=02001&amp;SDATE=200903&amp;PERIODTYPE=QTR_STD&amp;SCFT=3&amp;window=popup_no_bar&amp;width=385&amp;height=120&amp;START_MAXIMIZED=FALSE&amp;creator=factset&amp;display_string=Audit"}</definedName>
    <definedName name="_91__FDSAUDITLINK__" hidden="1">{"fdsup://directions/FAT Viewer?action=UPDATE&amp;creator=factset&amp;DYN_ARGS=TRUE&amp;DOC_NAME=FAT:FQL_AUDITING_CLIENT_TEMPLATE.FAT&amp;display_string=Audit&amp;VAR:KEY=ILIXYHSXSZ&amp;VAR:QUERY=RkZfU0hTX0ZMT0FUKEFOTiw0MDg2Nik=&amp;WINDOW=FIRST_POPUP&amp;HEIGHT=450&amp;WIDTH=450&amp;START_MAXIMI","ZED=FALSE&amp;VAR:CALENDAR=US&amp;VAR:SYMBOL=PENN&amp;VAR:INDEX=0"}</definedName>
    <definedName name="_910__FDSAUDITLINK__" hidden="1">{"fdsup://Directions/FactSet Auditing Viewer?action=AUDIT_VALUE&amp;DB=129&amp;ID1=00752J10&amp;VALUEID=02001&amp;SDATE=200903&amp;PERIODTYPE=QTR_STD&amp;SCFT=3&amp;window=popup_no_bar&amp;width=385&amp;height=120&amp;START_MAXIMIZED=FALSE&amp;creator=factset&amp;display_string=Audit"}</definedName>
    <definedName name="_911__FDSAUDITLINK__" hidden="1">{"fdsup://Directions/FactSet Auditing Viewer?action=AUDIT_VALUE&amp;DB=129&amp;ID1=98975F10&amp;VALUEID=02001&amp;SDATE=200902&amp;PERIODTYPE=QTR_STD&amp;SCFT=3&amp;window=popup_no_bar&amp;width=385&amp;height=120&amp;START_MAXIMIZED=FALSE&amp;creator=factset&amp;display_string=Audit"}</definedName>
    <definedName name="_912__FDSAUDITLINK__" hidden="1">{"fdsup://Directions/FactSet Auditing Viewer?action=AUDIT_VALUE&amp;DB=129&amp;ID1=98975F10&amp;VALUEID=02001&amp;SDATE=200902&amp;PERIODTYPE=QTR_STD&amp;SCFT=3&amp;window=popup_no_bar&amp;width=385&amp;height=120&amp;START_MAXIMIZED=FALSE&amp;creator=factset&amp;display_string=Audit"}</definedName>
    <definedName name="_913__FDSAUDITLINK__" hidden="1">{"fdsup://Directions/FactSet Auditing Viewer?action=AUDIT_VALUE&amp;DB=129&amp;ID1=98391910&amp;VALUEID=02001&amp;SDATE=200901&amp;PERIODTYPE=QTR_STD&amp;SCFT=3&amp;window=popup_no_bar&amp;width=385&amp;height=120&amp;START_MAXIMIZED=FALSE&amp;creator=factset&amp;display_string=Audit"}</definedName>
    <definedName name="_914__FDSAUDITLINK__" hidden="1">{"fdsup://Directions/FactSet Auditing Viewer?action=AUDIT_VALUE&amp;DB=129&amp;ID1=98391910&amp;VALUEID=02001&amp;SDATE=200901&amp;PERIODTYPE=QTR_STD&amp;SCFT=3&amp;window=popup_no_bar&amp;width=385&amp;height=120&amp;START_MAXIMIZED=FALSE&amp;creator=factset&amp;display_string=Audit"}</definedName>
    <definedName name="_915__FDSAUDITLINK__" hidden="1">{"fdsup://Directions/FactSet Auditing Viewer?action=AUDIT_VALUE&amp;DB=129&amp;ID1=92849730&amp;VALUEID=02001&amp;SDATE=200903&amp;PERIODTYPE=QTR_STD&amp;SCFT=3&amp;window=popup_no_bar&amp;width=385&amp;height=120&amp;START_MAXIMIZED=FALSE&amp;creator=factset&amp;display_string=Audit"}</definedName>
    <definedName name="_916__FDSAUDITLINK__" hidden="1">{"fdsup://Directions/FactSet Auditing Viewer?action=AUDIT_VALUE&amp;DB=129&amp;ID1=92849730&amp;VALUEID=02001&amp;SDATE=200903&amp;PERIODTYPE=QTR_STD&amp;SCFT=3&amp;window=popup_no_bar&amp;width=385&amp;height=120&amp;START_MAXIMIZED=FALSE&amp;creator=factset&amp;display_string=Audit"}</definedName>
    <definedName name="_917__FDSAUDITLINK__" hidden="1">{"fdsup://Directions/FactSet Auditing Viewer?action=AUDIT_VALUE&amp;DB=129&amp;ID1=92829810&amp;VALUEID=02001&amp;SDATE=200902&amp;PERIODTYPE=QTR_STD&amp;SCFT=3&amp;window=popup_no_bar&amp;width=385&amp;height=120&amp;START_MAXIMIZED=FALSE&amp;creator=factset&amp;display_string=Audit"}</definedName>
    <definedName name="_918__FDSAUDITLINK__" hidden="1">{"fdsup://Directions/FactSet Auditing Viewer?action=AUDIT_VALUE&amp;DB=129&amp;ID1=92829810&amp;VALUEID=02001&amp;SDATE=200902&amp;PERIODTYPE=QTR_STD&amp;SCFT=3&amp;window=popup_no_bar&amp;width=385&amp;height=120&amp;START_MAXIMIZED=FALSE&amp;creator=factset&amp;display_string=Audit"}</definedName>
    <definedName name="_919__FDSAUDITLINK__" hidden="1">{"fdsup://Directions/FactSet Auditing Viewer?action=AUDIT_VALUE&amp;DB=129&amp;ID1=88250810&amp;VALUEID=02001&amp;SDATE=200902&amp;PERIODTYPE=QTR_STD&amp;SCFT=3&amp;window=popup_no_bar&amp;width=385&amp;height=120&amp;START_MAXIMIZED=FALSE&amp;creator=factset&amp;display_string=Audit"}</definedName>
    <definedName name="_92__FDSAUDITLINK__" hidden="1">{"fdsup://directions/FAT Viewer?action=UPDATE&amp;creator=factset&amp;DYN_ARGS=TRUE&amp;DOC_NAME=FAT:FQL_AUDITING_CLIENT_TEMPLATE.FAT&amp;display_string=Audit&amp;VAR:KEY=QBWHCNQFAJ&amp;VAR:QUERY=RkZfU0hTX0ZMT0FUKEFOTiw0MDg0Nyk=&amp;WINDOW=FIRST_POPUP&amp;HEIGHT=450&amp;WIDTH=450&amp;START_MAXIMI","ZED=FALSE&amp;VAR:CALENDAR=US&amp;VAR:SYMBOL=PENN&amp;VAR:INDEX=0"}</definedName>
    <definedName name="_920__FDSAUDITLINK__" hidden="1">{"fdsup://Directions/FactSet Auditing Viewer?action=AUDIT_VALUE&amp;DB=129&amp;ID1=88250810&amp;VALUEID=02001&amp;SDATE=200902&amp;PERIODTYPE=QTR_STD&amp;SCFT=3&amp;window=popup_no_bar&amp;width=385&amp;height=120&amp;START_MAXIMIZED=FALSE&amp;creator=factset&amp;display_string=Audit"}</definedName>
    <definedName name="_921__FDSAUDITLINK__" hidden="1">{"fdsup://Directions/FactSet Auditing Viewer?action=AUDIT_VALUE&amp;DB=129&amp;ID1=89674K10&amp;VALUEID=02001&amp;SDATE=200902&amp;PERIODTYPE=QTR_STD&amp;SCFT=3&amp;window=popup_no_bar&amp;width=385&amp;height=120&amp;START_MAXIMIZED=FALSE&amp;creator=factset&amp;display_string=Audit"}</definedName>
    <definedName name="_922__FDSAUDITLINK__" hidden="1">{"fdsup://Directions/FactSet Auditing Viewer?action=AUDIT_VALUE&amp;DB=129&amp;ID1=89674K10&amp;VALUEID=02001&amp;SDATE=200902&amp;PERIODTYPE=QTR_STD&amp;SCFT=3&amp;window=popup_no_bar&amp;width=385&amp;height=120&amp;START_MAXIMIZED=FALSE&amp;creator=factset&amp;display_string=Audit"}</definedName>
    <definedName name="_923__FDSAUDITLINK__" hidden="1">{"fdsup://Directions/FactSet Auditing Viewer?action=AUDIT_VALUE&amp;DB=129&amp;ID1=83088M10&amp;VALUEID=02001&amp;SDATE=200903&amp;PERIODTYPE=QTR_STD&amp;SCFT=3&amp;window=popup_no_bar&amp;width=385&amp;height=120&amp;START_MAXIMIZED=FALSE&amp;creator=factset&amp;display_string=Audit"}</definedName>
    <definedName name="_924__FDSAUDITLINK__" hidden="1">{"fdsup://Directions/FactSet Auditing Viewer?action=AUDIT_VALUE&amp;DB=129&amp;ID1=83088M10&amp;VALUEID=02001&amp;SDATE=200903&amp;PERIODTYPE=QTR_STD&amp;SCFT=3&amp;window=popup_no_bar&amp;width=385&amp;height=120&amp;START_MAXIMIZED=FALSE&amp;creator=factset&amp;display_string=Audit"}</definedName>
    <definedName name="_925__FDSAUDITLINK__" hidden="1">{"fdsup://Directions/FactSet Auditing Viewer?action=AUDIT_VALUE&amp;DB=129&amp;ID1=78477410&amp;VALUEID=02001&amp;SDATE=200902&amp;PERIODTYPE=QTR_STD&amp;SCFT=3&amp;window=popup_no_bar&amp;width=385&amp;height=120&amp;START_MAXIMIZED=FALSE&amp;creator=factset&amp;display_string=Audit"}</definedName>
    <definedName name="_926__FDSAUDITLINK__" hidden="1">{"fdsup://Directions/FactSet Auditing Viewer?action=AUDIT_VALUE&amp;DB=129&amp;ID1=78477410&amp;VALUEID=02001&amp;SDATE=200902&amp;PERIODTYPE=QTR_STD&amp;SCFT=3&amp;window=popup_no_bar&amp;width=385&amp;height=120&amp;START_MAXIMIZED=FALSE&amp;creator=factset&amp;display_string=Audit"}</definedName>
    <definedName name="_927__FDSAUDITLINK__" hidden="1">{"fdsup://Directions/FactSet Auditing Viewer?action=AUDIT_VALUE&amp;DB=129&amp;ID1=82705710&amp;VALUEID=02001&amp;SDATE=200902&amp;PERIODTYPE=QTR_STD&amp;SCFT=3&amp;window=popup_no_bar&amp;width=385&amp;height=120&amp;START_MAXIMIZED=FALSE&amp;creator=factset&amp;display_string=Audit"}</definedName>
    <definedName name="_928__FDSAUDITLINK__" hidden="1">{"fdsup://Directions/FactSet Auditing Viewer?action=AUDIT_VALUE&amp;DB=129&amp;ID1=82705710&amp;VALUEID=02001&amp;SDATE=200902&amp;PERIODTYPE=QTR_STD&amp;SCFT=3&amp;window=popup_no_bar&amp;width=385&amp;height=120&amp;START_MAXIMIZED=FALSE&amp;creator=factset&amp;display_string=Audit"}</definedName>
    <definedName name="_929__FDSAUDITLINK__" hidden="1">{"fdsup://Directions/FactSet Auditing Viewer?action=AUDIT_VALUE&amp;DB=129&amp;ID1=83547010&amp;VALUEID=02001&amp;SDATE=200902&amp;PERIODTYPE=QTR_STD&amp;SCFT=3&amp;window=popup_no_bar&amp;width=385&amp;height=120&amp;START_MAXIMIZED=FALSE&amp;creator=factset&amp;display_string=Audit"}</definedName>
    <definedName name="_93__FDSAUDITLINK__" hidden="1">{"fdsup://directions/FAT Viewer?action=UPDATE&amp;creator=factset&amp;DYN_ARGS=TRUE&amp;DOC_NAME=FAT:FQL_AUDITING_CLIENT_TEMPLATE.FAT&amp;display_string=Audit&amp;VAR:KEY=UNWPUVCFWN&amp;VAR:QUERY=RkZfU0hTX0ZMT0FUKEFOTiw0MDgxNik=&amp;WINDOW=FIRST_POPUP&amp;HEIGHT=450&amp;WIDTH=450&amp;START_MAXIMI","ZED=FALSE&amp;VAR:CALENDAR=US&amp;VAR:SYMBOL=PENN&amp;VAR:INDEX=0"}</definedName>
    <definedName name="_930__FDSAUDITLINK__" hidden="1">{"fdsup://Directions/FactSet Auditing Viewer?action=AUDIT_VALUE&amp;DB=129&amp;ID1=83547010&amp;VALUEID=02001&amp;SDATE=200902&amp;PERIODTYPE=QTR_STD&amp;SCFT=3&amp;window=popup_no_bar&amp;width=385&amp;height=120&amp;START_MAXIMIZED=FALSE&amp;creator=factset&amp;display_string=Audit"}</definedName>
    <definedName name="_931__FDSAUDITLINK__" hidden="1">{"fdsup://Directions/FactSet Auditing Viewer?action=AUDIT_VALUE&amp;DB=129&amp;ID1=87160710&amp;VALUEID=02001&amp;SDATE=200903&amp;PERIODTYPE=QTR_STD&amp;SCFT=3&amp;window=popup_no_bar&amp;width=385&amp;height=120&amp;START_MAXIMIZED=FALSE&amp;creator=factset&amp;display_string=Audit"}</definedName>
    <definedName name="_932__FDSAUDITLINK__" hidden="1">{"fdsup://Directions/FactSet Auditing Viewer?action=AUDIT_VALUE&amp;DB=129&amp;ID1=87160710&amp;VALUEID=02001&amp;SDATE=200903&amp;PERIODTYPE=QTR_STD&amp;SCFT=3&amp;window=popup_no_bar&amp;width=385&amp;height=120&amp;START_MAXIMIZED=FALSE&amp;creator=factset&amp;display_string=Audit"}</definedName>
    <definedName name="_933__FDSAUDITLINK__" hidden="1">{"fdsup://Directions/FactSet Auditing Viewer?action=AUDIT_VALUE&amp;DB=129&amp;ID1=80004C10&amp;VALUEID=02001&amp;SDATE=200902&amp;PERIODTYPE=QTR_STD&amp;SCFT=3&amp;window=popup_no_bar&amp;width=385&amp;height=120&amp;START_MAXIMIZED=FALSE&amp;creator=factset&amp;display_string=Audit"}</definedName>
    <definedName name="_934__FDSAUDITLINK__" hidden="1">{"fdsup://Directions/FactSet Auditing Viewer?action=AUDIT_VALUE&amp;DB=129&amp;ID1=80004C10&amp;VALUEID=02001&amp;SDATE=200902&amp;PERIODTYPE=QTR_STD&amp;SCFT=3&amp;window=popup_no_bar&amp;width=385&amp;height=120&amp;START_MAXIMIZED=FALSE&amp;creator=factset&amp;display_string=Audit"}</definedName>
    <definedName name="_935__FDSAUDITLINK__" hidden="1">{"fdsup://Directions/FactSet Auditing Viewer?action=AUDIT_VALUE&amp;DB=129&amp;ID1=81685010&amp;VALUEID=02001&amp;SDATE=200902&amp;PERIODTYPE=QTR_STD&amp;SCFT=3&amp;window=popup_no_bar&amp;width=385&amp;height=120&amp;START_MAXIMIZED=FALSE&amp;creator=factset&amp;display_string=Audit"}</definedName>
    <definedName name="_936__FDSAUDITLINK__" hidden="1">{"fdsup://Directions/FactSet Auditing Viewer?action=AUDIT_VALUE&amp;DB=129&amp;ID1=81685010&amp;VALUEID=02001&amp;SDATE=200902&amp;PERIODTYPE=QTR_STD&amp;SCFT=3&amp;window=popup_no_bar&amp;width=385&amp;height=120&amp;START_MAXIMIZED=FALSE&amp;creator=factset&amp;display_string=Audit"}</definedName>
    <definedName name="_937__FDSAUDITLINK__" hidden="1">{"fdsup://Directions/FactSet Auditing Viewer?action=AUDIT_VALUE&amp;DB=129&amp;ID1=82691910&amp;VALUEID=02001&amp;SDATE=200902&amp;PERIODTYPE=QTR_STD&amp;SCFT=3&amp;window=popup_no_bar&amp;width=385&amp;height=120&amp;START_MAXIMIZED=FALSE&amp;creator=factset&amp;display_string=Audit"}</definedName>
    <definedName name="_938__FDSAUDITLINK__" hidden="1">{"fdsup://Directions/FactSet Auditing Viewer?action=AUDIT_VALUE&amp;DB=129&amp;ID1=82691910&amp;VALUEID=02001&amp;SDATE=200902&amp;PERIODTYPE=QTR_STD&amp;SCFT=3&amp;window=popup_no_bar&amp;width=385&amp;height=120&amp;START_MAXIMIZED=FALSE&amp;creator=factset&amp;display_string=Audit"}</definedName>
    <definedName name="_939__FDSAUDITLINK__" hidden="1">{"fdsup://Directions/FactSet Auditing Viewer?action=AUDIT_VALUE&amp;DB=129&amp;ID1=82705T10&amp;VALUEID=02001&amp;SDATE=200902&amp;PERIODTYPE=QTR_STD&amp;SCFT=3&amp;window=popup_no_bar&amp;width=385&amp;height=120&amp;START_MAXIMIZED=FALSE&amp;creator=factset&amp;display_string=Audit"}</definedName>
    <definedName name="_94__FDSAUDITLINK__" hidden="1">{"fdsup://directions/FAT Viewer?action=UPDATE&amp;creator=factset&amp;DYN_ARGS=TRUE&amp;DOC_NAME=FAT:FQL_AUDITING_CLIENT_TEMPLATE.FAT&amp;display_string=Audit&amp;VAR:KEY=SBAXIVUTGD&amp;VAR:QUERY=RkZfU0hTX0ZMT0FUKEFOTiw0MDc4Nik=&amp;WINDOW=FIRST_POPUP&amp;HEIGHT=450&amp;WIDTH=450&amp;START_MAXIMI","ZED=FALSE&amp;VAR:CALENDAR=US&amp;VAR:SYMBOL=PENN&amp;VAR:INDEX=0"}</definedName>
    <definedName name="_940__FDSAUDITLINK__" hidden="1">{"fdsup://Directions/FactSet Auditing Viewer?action=AUDIT_VALUE&amp;DB=129&amp;ID1=82705T10&amp;VALUEID=02001&amp;SDATE=200902&amp;PERIODTYPE=QTR_STD&amp;SCFT=3&amp;window=popup_no_bar&amp;width=385&amp;height=120&amp;START_MAXIMIZED=FALSE&amp;creator=factset&amp;display_string=Audit"}</definedName>
    <definedName name="_941__FDSAUDITLINK__" hidden="1">{"fdsup://Directions/FactSet Auditing Viewer?action=AUDIT_VALUE&amp;DB=129&amp;ID1=75091710&amp;VALUEID=02001&amp;SDATE=200902&amp;PERIODTYPE=QTR_STD&amp;SCFT=3&amp;window=popup_no_bar&amp;width=385&amp;height=120&amp;START_MAXIMIZED=FALSE&amp;creator=factset&amp;display_string=Audit"}</definedName>
    <definedName name="_942__FDSAUDITLINK__" hidden="1">{"fdsup://Directions/FactSet Auditing Viewer?action=AUDIT_VALUE&amp;DB=129&amp;ID1=75091710&amp;VALUEID=02001&amp;SDATE=200902&amp;PERIODTYPE=QTR_STD&amp;SCFT=3&amp;window=popup_no_bar&amp;width=385&amp;height=120&amp;START_MAXIMIZED=FALSE&amp;creator=factset&amp;display_string=Audit"}</definedName>
    <definedName name="_943__FDSAUDITLINK__" hidden="1">{"fdsup://Directions/FactSet Auditing Viewer?action=AUDIT_VALUE&amp;DB=129&amp;ID1=74994110&amp;VALUEID=02001&amp;SDATE=200901&amp;PERIODTYPE=QTR_STD&amp;SCFT=3&amp;window=popup_no_bar&amp;width=385&amp;height=120&amp;START_MAXIMIZED=FALSE&amp;creator=factset&amp;display_string=Audit"}</definedName>
    <definedName name="_944__FDSAUDITLINK__" hidden="1">{"fdsup://Directions/FactSet Auditing Viewer?action=AUDIT_VALUE&amp;DB=129&amp;ID1=74994110&amp;VALUEID=02001&amp;SDATE=200901&amp;PERIODTYPE=QTR_STD&amp;SCFT=3&amp;window=popup_no_bar&amp;width=385&amp;height=120&amp;START_MAXIMIZED=FALSE&amp;creator=factset&amp;display_string=Audit"}</definedName>
    <definedName name="_945__FDSAUDITLINK__" hidden="1">{"fdsup://Directions/FactSet Auditing Viewer?action=AUDIT_VALUE&amp;DB=129&amp;ID1=74727710&amp;VALUEID=02001&amp;SDATE=200901&amp;PERIODTYPE=QTR_STD&amp;SCFT=3&amp;window=popup_no_bar&amp;width=385&amp;height=120&amp;START_MAXIMIZED=FALSE&amp;creator=factset&amp;display_string=Audit"}</definedName>
    <definedName name="_946__FDSAUDITLINK__" hidden="1">{"fdsup://Directions/FactSet Auditing Viewer?action=AUDIT_VALUE&amp;DB=129&amp;ID1=74727710&amp;VALUEID=02001&amp;SDATE=200901&amp;PERIODTYPE=QTR_STD&amp;SCFT=3&amp;window=popup_no_bar&amp;width=385&amp;height=120&amp;START_MAXIMIZED=FALSE&amp;creator=factset&amp;display_string=Audit"}</definedName>
    <definedName name="_947__FDSAUDITLINK__" hidden="1">{"fdsup://Directions/FactSet Auditing Viewer?action=AUDIT_VALUE&amp;DB=129&amp;ID1=74752510&amp;VALUEID=02001&amp;SDATE=200903&amp;PERIODTYPE=QTR_STD&amp;SCFT=3&amp;window=popup_no_bar&amp;width=385&amp;height=120&amp;START_MAXIMIZED=FALSE&amp;creator=factset&amp;display_string=Audit"}</definedName>
    <definedName name="_948__FDSAUDITLINK__" hidden="1">{"fdsup://Directions/FactSet Auditing Viewer?action=AUDIT_VALUE&amp;DB=129&amp;ID1=74752510&amp;VALUEID=02001&amp;SDATE=200903&amp;PERIODTYPE=QTR_STD&amp;SCFT=3&amp;window=popup_no_bar&amp;width=385&amp;height=120&amp;START_MAXIMIZED=FALSE&amp;creator=factset&amp;display_string=Audit"}</definedName>
    <definedName name="_949__FDSAUDITLINK__" hidden="1">{"fdsup://Directions/FactSet Auditing Viewer?action=AUDIT_VALUE&amp;DB=129&amp;ID1=72581M30&amp;VALUEID=02001&amp;SDATE=200902&amp;PERIODTYPE=QTR_STD&amp;SCFT=3&amp;window=popup_no_bar&amp;width=385&amp;height=120&amp;START_MAXIMIZED=FALSE&amp;creator=factset&amp;display_string=Audit"}</definedName>
    <definedName name="_95__FDSAUDITLINK__" hidden="1">{"fdsup://directions/FAT Viewer?action=UPDATE&amp;creator=factset&amp;DYN_ARGS=TRUE&amp;DOC_NAME=FAT:FQL_AUDITING_CLIENT_TEMPLATE.FAT&amp;display_string=Audit&amp;VAR:KEY=CRYTIDGXEH&amp;VAR:QUERY=RkZfU0hTX0ZMT0FUKEFOTiw0MDc1NSk=&amp;WINDOW=FIRST_POPUP&amp;HEIGHT=450&amp;WIDTH=450&amp;START_MAXIMI","ZED=FALSE&amp;VAR:CALENDAR=US&amp;VAR:SYMBOL=PENN&amp;VAR:INDEX=0"}</definedName>
    <definedName name="_950__FDSAUDITLINK__" hidden="1">{"fdsup://Directions/FactSet Auditing Viewer?action=AUDIT_VALUE&amp;DB=129&amp;ID1=72581M30&amp;VALUEID=02001&amp;SDATE=200902&amp;PERIODTYPE=QTR_STD&amp;SCFT=3&amp;window=popup_no_bar&amp;width=385&amp;height=120&amp;START_MAXIMIZED=FALSE&amp;creator=factset&amp;display_string=Audit"}</definedName>
    <definedName name="_951__FDSAUDITLINK__" hidden="1">{"fdsup://Directions/FactSet Auditing Viewer?action=AUDIT_VALUE&amp;DB=129&amp;ID1=73927610&amp;VALUEID=02001&amp;SDATE=200902&amp;PERIODTYPE=QTR_STD&amp;SCFT=3&amp;window=popup_no_bar&amp;width=385&amp;height=120&amp;START_MAXIMIZED=FALSE&amp;creator=factset&amp;display_string=Audit"}</definedName>
    <definedName name="_952__FDSAUDITLINK__" hidden="1">{"fdsup://Directions/FactSet Auditing Viewer?action=AUDIT_VALUE&amp;DB=129&amp;ID1=73927610&amp;VALUEID=02001&amp;SDATE=200902&amp;PERIODTYPE=QTR_STD&amp;SCFT=3&amp;window=popup_no_bar&amp;width=385&amp;height=120&amp;START_MAXIMIZED=FALSE&amp;creator=factset&amp;display_string=Audit"}</definedName>
    <definedName name="_953__FDSAUDITLINK__" hidden="1">{"fdsup://Directions/FactSet Auditing Viewer?action=AUDIT_VALUE&amp;DB=129&amp;ID1=69344F10&amp;VALUEID=02001&amp;SDATE=200902&amp;PERIODTYPE=QTR_STD&amp;SCFT=3&amp;window=popup_no_bar&amp;width=385&amp;height=120&amp;START_MAXIMIZED=FALSE&amp;creator=factset&amp;display_string=Audit"}</definedName>
    <definedName name="_954__FDSAUDITLINK__" hidden="1">{"fdsup://Directions/FactSet Auditing Viewer?action=AUDIT_VALUE&amp;DB=129&amp;ID1=69344F10&amp;VALUEID=02001&amp;SDATE=200902&amp;PERIODTYPE=QTR_STD&amp;SCFT=3&amp;window=popup_no_bar&amp;width=385&amp;height=120&amp;START_MAXIMIZED=FALSE&amp;creator=factset&amp;display_string=Audit"}</definedName>
    <definedName name="_955__FDSAUDITLINK__" hidden="1">{"fdsup://Directions/FactSet Auditing Viewer?action=AUDIT_VALUE&amp;DB=129&amp;ID1=69341710&amp;VALUEID=02001&amp;SDATE=200902&amp;PERIODTYPE=QTR_STD&amp;SCFT=3&amp;window=popup_no_bar&amp;width=385&amp;height=120&amp;START_MAXIMIZED=FALSE&amp;creator=factset&amp;display_string=Audit"}</definedName>
    <definedName name="_956__FDSAUDITLINK__" hidden="1">{"fdsup://Directions/FactSet Auditing Viewer?action=AUDIT_VALUE&amp;DB=129&amp;ID1=69341710&amp;VALUEID=02001&amp;SDATE=200902&amp;PERIODTYPE=QTR_STD&amp;SCFT=3&amp;window=popup_no_bar&amp;width=385&amp;height=120&amp;START_MAXIMIZED=FALSE&amp;creator=factset&amp;display_string=Audit"}</definedName>
    <definedName name="_957__FDSAUDITLINK__" hidden="1">{"fdsup://Directions/FactSet Auditing Viewer?action=AUDIT_VALUE&amp;DB=129&amp;ID1=68218910&amp;VALUEID=02001&amp;SDATE=200902&amp;PERIODTYPE=QTR_STD&amp;SCFT=3&amp;window=popup_no_bar&amp;width=385&amp;height=120&amp;START_MAXIMIZED=FALSE&amp;creator=factset&amp;display_string=Audit"}</definedName>
    <definedName name="_958__FDSAUDITLINK__" hidden="1">{"fdsup://Directions/FactSet Auditing Viewer?action=AUDIT_VALUE&amp;DB=129&amp;ID1=68218910&amp;VALUEID=02001&amp;SDATE=200902&amp;PERIODTYPE=QTR_STD&amp;SCFT=3&amp;window=popup_no_bar&amp;width=385&amp;height=120&amp;START_MAXIMIZED=FALSE&amp;creator=factset&amp;display_string=Audit"}</definedName>
    <definedName name="_959__FDSAUDITLINK__" hidden="1">{"fdsup://Directions/FactSet Auditing Viewer?action=AUDIT_VALUE&amp;DB=129&amp;ID1=B505PN&amp;VALUEID=02001&amp;SDATE=200902&amp;PERIODTYPE=QTR_STD&amp;SCFT=3&amp;window=popup_no_bar&amp;width=385&amp;height=120&amp;START_MAXIMIZED=FALSE&amp;creator=factset&amp;display_string=Audit"}</definedName>
    <definedName name="_96__FDSAUDITLINK__" hidden="1">{"fdsup://directions/FAT Viewer?action=UPDATE&amp;creator=factset&amp;DYN_ARGS=TRUE&amp;DOC_NAME=FAT:FQL_AUDITING_CLIENT_TEMPLATE.FAT&amp;display_string=Audit&amp;VAR:KEY=SPSNEDUDKN&amp;VAR:QUERY=RkZfU0hTX0ZMT0FUKEFOTiw0MDcyNCk=&amp;WINDOW=FIRST_POPUP&amp;HEIGHT=450&amp;WIDTH=450&amp;START_MAXIMI","ZED=FALSE&amp;VAR:CALENDAR=US&amp;VAR:SYMBOL=PENN&amp;VAR:INDEX=0"}</definedName>
    <definedName name="_960__FDSAUDITLINK__" hidden="1">{"fdsup://Directions/FactSet Auditing Viewer?action=AUDIT_VALUE&amp;DB=129&amp;ID1=B505PN&amp;VALUEID=02001&amp;SDATE=200902&amp;PERIODTYPE=QTR_STD&amp;SCFT=3&amp;window=popup_no_bar&amp;width=385&amp;height=120&amp;START_MAXIMIZED=FALSE&amp;creator=factset&amp;display_string=Audit"}</definedName>
    <definedName name="_961__FDSAUDITLINK__" hidden="1">{"fdsup://Directions/FactSet Auditing Viewer?action=AUDIT_VALUE&amp;DB=129&amp;ID1=67000810&amp;VALUEID=02001&amp;SDATE=200902&amp;PERIODTYPE=QTR_STD&amp;SCFT=3&amp;window=popup_no_bar&amp;width=385&amp;height=120&amp;START_MAXIMIZED=FALSE&amp;creator=factset&amp;display_string=Audit"}</definedName>
    <definedName name="_962__FDSAUDITLINK__" hidden="1">{"fdsup://Directions/FactSet Auditing Viewer?action=AUDIT_VALUE&amp;DB=129&amp;ID1=67000810&amp;VALUEID=02001&amp;SDATE=200902&amp;PERIODTYPE=QTR_STD&amp;SCFT=3&amp;window=popup_no_bar&amp;width=385&amp;height=120&amp;START_MAXIMIZED=FALSE&amp;creator=factset&amp;display_string=Audit"}</definedName>
    <definedName name="_963__FDSAUDITLINK__" hidden="1">{"fdsup://Directions/FactSet Auditing Viewer?action=AUDIT_VALUE&amp;DB=129&amp;ID1=67066G10&amp;VALUEID=02001&amp;SDATE=200902&amp;PERIODTYPE=QTR_STD&amp;SCFT=3&amp;window=popup_no_bar&amp;width=385&amp;height=120&amp;START_MAXIMIZED=FALSE&amp;creator=factset&amp;display_string=Audit"}</definedName>
    <definedName name="_964__FDSAUDITLINK__" hidden="1">{"fdsup://Directions/FactSet Auditing Viewer?action=AUDIT_VALUE&amp;DB=129&amp;ID1=67066G10&amp;VALUEID=02001&amp;SDATE=200902&amp;PERIODTYPE=QTR_STD&amp;SCFT=3&amp;window=popup_no_bar&amp;width=385&amp;height=120&amp;START_MAXIMIZED=FALSE&amp;creator=factset&amp;display_string=Audit"}</definedName>
    <definedName name="_965__FDSAUDITLINK__" hidden="1">{"fdsup://Directions/FactSet Auditing Viewer?action=AUDIT_VALUE&amp;DB=129&amp;ID1=64118B10&amp;VALUEID=02001&amp;SDATE=200902&amp;PERIODTYPE=QTR_STD&amp;SCFT=3&amp;window=popup_no_bar&amp;width=385&amp;height=120&amp;START_MAXIMIZED=FALSE&amp;creator=factset&amp;display_string=Audit"}</definedName>
    <definedName name="_966__FDSAUDITLINK__" hidden="1">{"fdsup://Directions/FactSet Auditing Viewer?action=AUDIT_VALUE&amp;DB=129&amp;ID1=64118B10&amp;VALUEID=02001&amp;SDATE=200902&amp;PERIODTYPE=QTR_STD&amp;SCFT=3&amp;window=popup_no_bar&amp;width=385&amp;height=120&amp;START_MAXIMIZED=FALSE&amp;creator=factset&amp;display_string=Audit"}</definedName>
    <definedName name="_967__FDSAUDITLINK__" hidden="1">{"fdsup://Directions/FactSet Auditing Viewer?action=AUDIT_VALUE&amp;DB=129&amp;ID1=59511210&amp;VALUEID=02001&amp;SDATE=200903&amp;PERIODTYPE=QTR_STD&amp;SCFT=3&amp;window=popup_no_bar&amp;width=385&amp;height=120&amp;START_MAXIMIZED=FALSE&amp;creator=factset&amp;display_string=Audit"}</definedName>
    <definedName name="_968__FDSAUDITLINK__" hidden="1">{"fdsup://Directions/FactSet Auditing Viewer?action=AUDIT_VALUE&amp;DB=129&amp;ID1=59511210&amp;VALUEID=02001&amp;SDATE=200903&amp;PERIODTYPE=QTR_STD&amp;SCFT=3&amp;window=popup_no_bar&amp;width=385&amp;height=120&amp;START_MAXIMIZED=FALSE&amp;creator=factset&amp;display_string=Audit"}</definedName>
    <definedName name="_969__FDSAUDITLINK__" hidden="1">{"fdsup://Directions/FactSet Auditing Viewer?action=AUDIT_VALUE&amp;DB=129&amp;ID1=59513710&amp;VALUEID=02001&amp;SDATE=200903&amp;PERIODTYPE=QTR_STD&amp;SCFT=3&amp;window=popup_no_bar&amp;width=385&amp;height=120&amp;START_MAXIMIZED=FALSE&amp;creator=factset&amp;display_string=Audit"}</definedName>
    <definedName name="_97__FDSAUDITLINK__" hidden="1">{"fdsup://directions/FAT Viewer?action=UPDATE&amp;creator=factset&amp;DYN_ARGS=TRUE&amp;DOC_NAME=FAT:FQL_AUDITING_CLIENT_TEMPLATE.FAT&amp;display_string=Audit&amp;VAR:KEY=MJKXARSBOT&amp;VAR:QUERY=RkZfU0hTX0ZMT0FUKEFOTiw0MDY5NCk=&amp;WINDOW=FIRST_POPUP&amp;HEIGHT=450&amp;WIDTH=450&amp;START_MAXIMI","ZED=FALSE&amp;VAR:CALENDAR=US&amp;VAR:SYMBOL=PENN&amp;VAR:INDEX=0"}</definedName>
    <definedName name="_970__FDSAUDITLINK__" hidden="1">{"fdsup://Directions/FactSet Auditing Viewer?action=AUDIT_VALUE&amp;DB=129&amp;ID1=59513710&amp;VALUEID=02001&amp;SDATE=200903&amp;PERIODTYPE=QTR_STD&amp;SCFT=3&amp;window=popup_no_bar&amp;width=385&amp;height=120&amp;START_MAXIMIZED=FALSE&amp;creator=factset&amp;display_string=Audit"}</definedName>
    <definedName name="_971__FDSAUDITLINK__" hidden="1">{"fdsup://Directions/FactSet Auditing Viewer?action=AUDIT_VALUE&amp;DB=129&amp;ID1=G5876H10&amp;VALUEID=02001&amp;SDATE=200902&amp;PERIODTYPE=QTR_STD&amp;SCFT=3&amp;window=popup_no_bar&amp;width=385&amp;height=120&amp;START_MAXIMIZED=FALSE&amp;creator=factset&amp;display_string=Audit"}</definedName>
    <definedName name="_972__FDSAUDITLINK__" hidden="1">{"fdsup://Directions/FactSet Auditing Viewer?action=AUDIT_VALUE&amp;DB=129&amp;ID1=G5876H10&amp;VALUEID=02001&amp;SDATE=200902&amp;PERIODTYPE=QTR_STD&amp;SCFT=3&amp;window=popup_no_bar&amp;width=385&amp;height=120&amp;START_MAXIMIZED=FALSE&amp;creator=factset&amp;display_string=Audit"}</definedName>
    <definedName name="_973__FDSAUDITLINK__" hidden="1">{"fdsup://Directions/FactSet Auditing Viewer?action=AUDIT_VALUE&amp;DB=129&amp;ID1=62007630&amp;VALUEID=02001&amp;SDATE=200902&amp;PERIODTYPE=QTR_STD&amp;SCFT=3&amp;window=popup_no_bar&amp;width=385&amp;height=120&amp;START_MAXIMIZED=FALSE&amp;creator=factset&amp;display_string=Audit"}</definedName>
    <definedName name="_974__FDSAUDITLINK__" hidden="1">{"fdsup://Directions/FactSet Auditing Viewer?action=AUDIT_VALUE&amp;DB=129&amp;ID1=62007630&amp;VALUEID=02001&amp;SDATE=200902&amp;PERIODTYPE=QTR_STD&amp;SCFT=3&amp;window=popup_no_bar&amp;width=385&amp;height=120&amp;START_MAXIMIZED=FALSE&amp;creator=factset&amp;display_string=Audit"}</definedName>
    <definedName name="_975__FDSAUDITLINK__" hidden="1">{"fdsup://Directions/FactSet Auditing Viewer?action=AUDIT_VALUE&amp;DB=129&amp;ID1=59479310&amp;VALUEID=02001&amp;SDATE=200902&amp;PERIODTYPE=QTR_STD&amp;SCFT=3&amp;window=popup_no_bar&amp;width=385&amp;height=120&amp;START_MAXIMIZED=FALSE&amp;creator=factset&amp;display_string=Audit"}</definedName>
    <definedName name="_976__FDSAUDITLINK__" hidden="1">{"fdsup://Directions/FactSet Auditing Viewer?action=AUDIT_VALUE&amp;DB=129&amp;ID1=59479310&amp;VALUEID=02001&amp;SDATE=200902&amp;PERIODTYPE=QTR_STD&amp;SCFT=3&amp;window=popup_no_bar&amp;width=385&amp;height=120&amp;START_MAXIMIZED=FALSE&amp;creator=factset&amp;display_string=Audit"}</definedName>
    <definedName name="_977__FDSAUDITLINK__" hidden="1">{"fdsup://Directions/FactSet Auditing Viewer?action=AUDIT_VALUE&amp;DB=129&amp;ID1=59501710&amp;VALUEID=02001&amp;SDATE=200901&amp;PERIODTYPE=QTR_STD&amp;SCFT=3&amp;window=popup_no_bar&amp;width=385&amp;height=120&amp;START_MAXIMIZED=FALSE&amp;creator=factset&amp;display_string=Audit"}</definedName>
    <definedName name="_978__FDSAUDITLINK__" hidden="1">{"fdsup://Directions/FactSet Auditing Viewer?action=AUDIT_VALUE&amp;DB=129&amp;ID1=59501710&amp;VALUEID=02001&amp;SDATE=200901&amp;PERIODTYPE=QTR_STD&amp;SCFT=3&amp;window=popup_no_bar&amp;width=385&amp;height=120&amp;START_MAXIMIZED=FALSE&amp;creator=factset&amp;display_string=Audit"}</definedName>
    <definedName name="_979__FDSAUDITLINK__" hidden="1">{"fdsup://Directions/FactSet Auditing Viewer?action=AUDIT_VALUE&amp;DB=129&amp;ID1=50216110&amp;VALUEID=02001&amp;SDATE=200902&amp;PERIODTYPE=QTR_STD&amp;SCFT=3&amp;window=popup_no_bar&amp;width=385&amp;height=120&amp;START_MAXIMIZED=FALSE&amp;creator=factset&amp;display_string=Audit"}</definedName>
    <definedName name="_98__FDSAUDITLINK__" hidden="1">{"fdsup://directions/FAT Viewer?action=UPDATE&amp;creator=factset&amp;DYN_ARGS=TRUE&amp;DOC_NAME=FAT:FQL_AUDITING_CLIENT_TEMPLATE.FAT&amp;display_string=Audit&amp;VAR:KEY=KRIFMFWTGR&amp;VAR:QUERY=RkZfU0hTX0ZMT0FUKEFOTiw0MDY2Myk=&amp;WINDOW=FIRST_POPUP&amp;HEIGHT=450&amp;WIDTH=450&amp;START_MAXIMI","ZED=FALSE&amp;VAR:CALENDAR=US&amp;VAR:SYMBOL=PENN&amp;VAR:INDEX=0"}</definedName>
    <definedName name="_980__FDSAUDITLINK__" hidden="1">{"fdsup://Directions/FactSet Auditing Viewer?action=AUDIT_VALUE&amp;DB=129&amp;ID1=50216110&amp;VALUEID=02001&amp;SDATE=200902&amp;PERIODTYPE=QTR_STD&amp;SCFT=3&amp;window=popup_no_bar&amp;width=385&amp;height=120&amp;START_MAXIMIZED=FALSE&amp;creator=factset&amp;display_string=Audit"}</definedName>
    <definedName name="_981__FDSAUDITLINK__" hidden="1">{"fdsup://Directions/FactSet Auditing Viewer?action=AUDIT_VALUE&amp;DB=129&amp;ID1=51841510&amp;VALUEID=02001&amp;SDATE=200902&amp;PERIODTYPE=QTR_STD&amp;SCFT=3&amp;window=popup_no_bar&amp;width=385&amp;height=120&amp;START_MAXIMIZED=FALSE&amp;creator=factset&amp;display_string=Audit"}</definedName>
    <definedName name="_982__FDSAUDITLINK__" hidden="1">{"fdsup://Directions/FactSet Auditing Viewer?action=AUDIT_VALUE&amp;DB=129&amp;ID1=51841510&amp;VALUEID=02001&amp;SDATE=200902&amp;PERIODTYPE=QTR_STD&amp;SCFT=3&amp;window=popup_no_bar&amp;width=385&amp;height=120&amp;START_MAXIMIZED=FALSE&amp;creator=factset&amp;display_string=Audit"}</definedName>
    <definedName name="_983__FDSAUDITLINK__" hidden="1">{"fdsup://Directions/FactSet Auditing Viewer?action=AUDIT_VALUE&amp;DB=129&amp;ID1=48836020&amp;VALUEID=02001&amp;SDATE=200901&amp;PERIODTYPE=QTR_STD&amp;SCFT=3&amp;window=popup_no_bar&amp;width=385&amp;height=120&amp;START_MAXIMIZED=FALSE&amp;creator=factset&amp;display_string=Audit"}</definedName>
    <definedName name="_984__FDSAUDITLINK__" hidden="1">{"fdsup://Directions/FactSet Auditing Viewer?action=AUDIT_VALUE&amp;DB=129&amp;ID1=48836020&amp;VALUEID=02001&amp;SDATE=200901&amp;PERIODTYPE=QTR_STD&amp;SCFT=3&amp;window=popup_no_bar&amp;width=385&amp;height=120&amp;START_MAXIMIZED=FALSE&amp;creator=factset&amp;display_string=Audit"}</definedName>
    <definedName name="_985__FDSAUDITLINK__" hidden="1">{"fdsup://Directions/FactSet Auditing Viewer?action=AUDIT_VALUE&amp;DB=129&amp;ID1=48203R10&amp;VALUEID=02001&amp;SDATE=200902&amp;PERIODTYPE=QTR_STD&amp;SCFT=3&amp;window=popup_no_bar&amp;width=385&amp;height=120&amp;START_MAXIMIZED=FALSE&amp;creator=factset&amp;display_string=Audit"}</definedName>
    <definedName name="_986__FDSAUDITLINK__" hidden="1">{"fdsup://Directions/FactSet Auditing Viewer?action=AUDIT_VALUE&amp;DB=129&amp;ID1=48203R10&amp;VALUEID=02001&amp;SDATE=200902&amp;PERIODTYPE=QTR_STD&amp;SCFT=3&amp;window=popup_no_bar&amp;width=385&amp;height=120&amp;START_MAXIMIZED=FALSE&amp;creator=factset&amp;display_string=Audit"}</definedName>
    <definedName name="_987__FDSAUDITLINK__" hidden="1">{"fdsup://Directions/FactSet Auditing Viewer?action=AUDIT_VALUE&amp;DB=129&amp;ID1=46069S10&amp;VALUEID=02001&amp;SDATE=200902&amp;PERIODTYPE=QTR_STD&amp;SCFT=3&amp;window=popup_no_bar&amp;width=385&amp;height=120&amp;START_MAXIMIZED=FALSE&amp;creator=factset&amp;display_string=Audit"}</definedName>
    <definedName name="_988__FDSAUDITLINK__" hidden="1">{"fdsup://Directions/FactSet Auditing Viewer?action=AUDIT_VALUE&amp;DB=129&amp;ID1=46069S10&amp;VALUEID=02001&amp;SDATE=200902&amp;PERIODTYPE=QTR_STD&amp;SCFT=3&amp;window=popup_no_bar&amp;width=385&amp;height=120&amp;START_MAXIMIZED=FALSE&amp;creator=factset&amp;display_string=Audit"}</definedName>
    <definedName name="_989__FDSAUDITLINK__" hidden="1">{"fdsup://Directions/FactSet Auditing Viewer?action=AUDIT_VALUE&amp;DB=129&amp;ID1=45814010&amp;VALUEID=02001&amp;SDATE=200902&amp;PERIODTYPE=QTR_STD&amp;SCFT=3&amp;window=popup_no_bar&amp;width=385&amp;height=120&amp;START_MAXIMIZED=FALSE&amp;creator=factset&amp;display_string=Audit"}</definedName>
    <definedName name="_99__FDSAUDITLINK__" hidden="1">{"fdsup://directions/FAT Viewer?action=UPDATE&amp;creator=factset&amp;DYN_ARGS=TRUE&amp;DOC_NAME=FAT:FQL_AUDITING_CLIENT_TEMPLATE.FAT&amp;display_string=Audit&amp;VAR:KEY=CHANYJWTYV&amp;VAR:QUERY=RkZfU0hTX0ZMT0FUKEFOTiw0MDYzMyk=&amp;WINDOW=FIRST_POPUP&amp;HEIGHT=450&amp;WIDTH=450&amp;START_MAXIMI","ZED=FALSE&amp;VAR:CALENDAR=US&amp;VAR:SYMBOL=PENN&amp;VAR:INDEX=0"}</definedName>
    <definedName name="_990__FDSAUDITLINK__" hidden="1">{"fdsup://Directions/FactSet Auditing Viewer?action=AUDIT_VALUE&amp;DB=129&amp;ID1=45814010&amp;VALUEID=02001&amp;SDATE=200902&amp;PERIODTYPE=QTR_STD&amp;SCFT=3&amp;window=popup_no_bar&amp;width=385&amp;height=120&amp;START_MAXIMIZED=FALSE&amp;creator=factset&amp;display_string=Audit"}</definedName>
    <definedName name="_991__FDSAUDITLINK__" hidden="1">{"fdsup://Directions/FactSet Auditing Viewer?action=AUDIT_VALUE&amp;DB=129&amp;ID1=45811810&amp;VALUEID=02001&amp;SDATE=200901&amp;PERIODTYPE=QTR_STD&amp;SCFT=3&amp;window=popup_no_bar&amp;width=385&amp;height=120&amp;START_MAXIMIZED=FALSE&amp;creator=factset&amp;display_string=Audit"}</definedName>
    <definedName name="_992__FDSAUDITLINK__" hidden="1">{"fdsup://Directions/FactSet Auditing Viewer?action=AUDIT_VALUE&amp;DB=129&amp;ID1=45811810&amp;VALUEID=02001&amp;SDATE=200901&amp;PERIODTYPE=QTR_STD&amp;SCFT=3&amp;window=popup_no_bar&amp;width=385&amp;height=120&amp;START_MAXIMIZED=FALSE&amp;creator=factset&amp;display_string=Audit"}</definedName>
    <definedName name="_993__FDSAUDITLINK__" hidden="1">{"fdsup://Directions/FactSet Auditing Viewer?action=AUDIT_VALUE&amp;DB=129&amp;ID1=42823610&amp;VALUEID=02001&amp;SDATE=200903&amp;PERIODTYPE=QTR_STD&amp;SCFT=3&amp;window=popup_no_bar&amp;width=385&amp;height=120&amp;START_MAXIMIZED=FALSE&amp;creator=factset&amp;display_string=Audit"}</definedName>
    <definedName name="_994__FDSAUDITLINK__" hidden="1">{"fdsup://Directions/FactSet Auditing Viewer?action=AUDIT_VALUE&amp;DB=129&amp;ID1=42823610&amp;VALUEID=02001&amp;SDATE=200903&amp;PERIODTYPE=QTR_STD&amp;SCFT=3&amp;window=popup_no_bar&amp;width=385&amp;height=120&amp;START_MAXIMIZED=FALSE&amp;creator=factset&amp;display_string=Audit"}</definedName>
    <definedName name="_995__FDSAUDITLINK__" hidden="1">{"fdsup://Directions/FactSet Auditing Viewer?action=AUDIT_VALUE&amp;DB=129&amp;ID1=34637510&amp;VALUEID=02001&amp;SDATE=200902&amp;PERIODTYPE=QTR_STD&amp;SCFT=3&amp;window=popup_no_bar&amp;width=385&amp;height=120&amp;START_MAXIMIZED=FALSE&amp;creator=factset&amp;display_string=Audit"}</definedName>
    <definedName name="_996__FDSAUDITLINK__" hidden="1">{"fdsup://Directions/FactSet Auditing Viewer?action=AUDIT_VALUE&amp;DB=129&amp;ID1=34637510&amp;VALUEID=02001&amp;SDATE=200902&amp;PERIODTYPE=QTR_STD&amp;SCFT=3&amp;window=popup_no_bar&amp;width=385&amp;height=120&amp;START_MAXIMIZED=FALSE&amp;creator=factset&amp;display_string=Audit"}</definedName>
    <definedName name="_997__FDSAUDITLINK__" hidden="1">{"fdsup://Directions/FactSet Auditing Viewer?action=AUDIT_VALUE&amp;DB=129&amp;ID1=31561610&amp;VALUEID=02001&amp;SDATE=200903&amp;PERIODTYPE=QTR_STD&amp;SCFT=3&amp;window=popup_no_bar&amp;width=385&amp;height=120&amp;START_MAXIMIZED=FALSE&amp;creator=factset&amp;display_string=Audit"}</definedName>
    <definedName name="_998__FDSAUDITLINK__" hidden="1">{"fdsup://Directions/FactSet Auditing Viewer?action=AUDIT_VALUE&amp;DB=129&amp;ID1=31561610&amp;VALUEID=02001&amp;SDATE=200903&amp;PERIODTYPE=QTR_STD&amp;SCFT=3&amp;window=popup_no_bar&amp;width=385&amp;height=120&amp;START_MAXIMIZED=FALSE&amp;creator=factset&amp;display_string=Audit"}</definedName>
    <definedName name="_999__FDSAUDITLINK__" hidden="1">{"fdsup://Directions/FactSet Auditing Viewer?action=AUDIT_VALUE&amp;DB=129&amp;ID1=25454310&amp;VALUEID=02001&amp;SDATE=200902&amp;PERIODTYPE=QTR_STD&amp;SCFT=3&amp;window=popup_no_bar&amp;width=385&amp;height=120&amp;START_MAXIMIZED=FALSE&amp;creator=factset&amp;display_string=Audit"}</definedName>
    <definedName name="_abc1" hidden="1">{"cover a","2q",FALSE,"Cover";"Op Earn Mgd Q2",#N/A,FALSE,"Op-Earn (Mng)";"Op Earn Rpt Q2",#N/A,FALSE,"Op-Earn (Rpt)";"Loans",#N/A,FALSE,"Loans";"Credit Costs",#N/A,FALSE,"CCosts";"Net Interest Margin",#N/A,FALSE,"Margin";"Nonint Income",#N/A,FALSE,"NonII";"Nonint Exp",#N/A,FALSE,"NonIE";"Valuation",#N/A,FALSE,"Valuation"}</definedName>
    <definedName name="_bdm.013FAF938BE1464785F243CA93220C44.edm" hidden="1">#REF!</definedName>
    <definedName name="_bdm.02E29E7B1053433EA3CCCBE4E5141596.edm" hidden="1">#REF!</definedName>
    <definedName name="_bdm.03C1EC57E9AA48D5A1E7E0E8A5B54B34.edm" hidden="1">#REF!</definedName>
    <definedName name="_bdm.05014202F2F74FEBA82C7ECB9BD89D08.edm" hidden="1">#REF!</definedName>
    <definedName name="_bdm.0725E85095974B62BC29B635EFB97053.edm" hidden="1">#REF!</definedName>
    <definedName name="_bdm.076413EA4CB748719FE25972A7866E23.edm" hidden="1">#REF!</definedName>
    <definedName name="_bdm.07B5818A383F4DC2A6BFA30C130CBB78.edm" hidden="1">#REF!</definedName>
    <definedName name="_bdm.089D2335A6C24EF0BD19CBDF61CC9249.edm" hidden="1">#REF!</definedName>
    <definedName name="_bdm.0ACFD591D5604E308A647E15A78DDE52.edm" hidden="1">#REF!</definedName>
    <definedName name="_bdm.0DADCF411A3B49A08F00C32825A17E61.edm" hidden="1">#REF!</definedName>
    <definedName name="_bdm.0F52B8AF75994C5D97F197C7C127D6F5.edm" hidden="1">#REF!</definedName>
    <definedName name="_bdm.0FE7B09270974ED8A21E6511144FB242.edm" hidden="1">#REF!</definedName>
    <definedName name="_bdm.11EB72ACE3374B1CB252FDD683429D59.edm" hidden="1">#REF!</definedName>
    <definedName name="_bdm.14CBCFDF31A84E54B897A393552E93AF.edm" hidden="1">#REF!</definedName>
    <definedName name="_bdm.14D1A22932234486A69AAF8B879B86C4.edm" hidden="1">#REF!</definedName>
    <definedName name="_bdm.16A04B8146574A2C90E70832BAAB3A39.edm" hidden="1">#REF!</definedName>
    <definedName name="_bdm.184F4957DF2A4DCE9F97234F2F5D4EA0.edm" hidden="1">#REF!</definedName>
    <definedName name="_bdm.1C69AE1164144D92A4E654A96E71C0F1.edm" hidden="1">#REF!</definedName>
    <definedName name="_bdm.1C800E659C104D76923BED451A2F84AE.edm" hidden="1">#REF!</definedName>
    <definedName name="_bdm.1DF4B3E45DCE4C2A9D635C38C907064B.edm" hidden="1">#REF!</definedName>
    <definedName name="_bdm.1E5296F67A804C70A577AF95CC01E635.edm" hidden="1">#REF!</definedName>
    <definedName name="_bdm.1E67AB7E95644E239120BC2C460B4880.edm" hidden="1">#REF!</definedName>
    <definedName name="_bdm.229CF33A533B44B6AC029014559B7845.edm" hidden="1">#REF!</definedName>
    <definedName name="_bdm.261112BAE8204F8280374C78A1E02552.edm" hidden="1">#REF!</definedName>
    <definedName name="_bdm.2986362848F544F7B5EBEB5315428B1A.edm" hidden="1">#REF!</definedName>
    <definedName name="_bdm.29F649D34E7E45CC8FC961A322874D4A.edm" hidden="1">#REF!</definedName>
    <definedName name="_bdm.2B16CB736A384ABEA465FBDA39F17DD7.edm" hidden="1">#REF!</definedName>
    <definedName name="_bdm.2B4356985CAC416BA00FAF9C695741C8.edm" hidden="1">#REF!</definedName>
    <definedName name="_bdm.2D243DAA813E4D0C8DED33AC299D1B74.edm" hidden="1">#REF!</definedName>
    <definedName name="_bdm.2D7BE55D8ADF4AF0BAFE37C70B7F13A0.edm" hidden="1">#REF!</definedName>
    <definedName name="_bdm.2EBEEC06C17247FB936CC7E49990B507.edm" hidden="1">#REF!</definedName>
    <definedName name="_bdm.3A0259EE128D494193AC8D41E3B51F1A.edm" hidden="1">#REF!</definedName>
    <definedName name="_bdm.3A23B6373BA6496B87BA846829043602.edm" hidden="1">#REF!</definedName>
    <definedName name="_bdm.3AEC35B8747743738BF7D130B422C7C8.edm" hidden="1">#REF!</definedName>
    <definedName name="_bdm.3E4E0BE869AB4C25BF98D1072DBEEEC3.edm" hidden="1">#REF!</definedName>
    <definedName name="_bdm.40EB4DC6CBD34DC2B217FBCD0465F526.edm" hidden="1">#REF!</definedName>
    <definedName name="_bdm.423F3B348F384B44A49E223B6642E2C0.edm" hidden="1">#REF!</definedName>
    <definedName name="_bdm.45C88C4126C04FC1A356BEA892554FAB.edm" hidden="1">#REF!</definedName>
    <definedName name="_bdm.461742A8977E45C18C260DB3B9AE9213.edm" hidden="1">#REF!</definedName>
    <definedName name="_bdm.462F44945ACE428CA0F078C2A5F01BCE.edm" hidden="1">#REF!</definedName>
    <definedName name="_bdm.4697C465F28E464D93DF95BCFC290AC9.edm" hidden="1">#REF!</definedName>
    <definedName name="_bdm.47C3E4065907447490D1FF0CFFD4D78E.edm" hidden="1">#REF!</definedName>
    <definedName name="_bdm.4B7D4E46B66B4E14B6CA484C5CB3850F.edm" hidden="1">#REF!</definedName>
    <definedName name="_bdm.4B9D4F2C3B5C4E6FA54E8EA5AD9A430B.edm" hidden="1">#REF!</definedName>
    <definedName name="_bdm.4C0F54E9AF7344ABA9A0347E5BDEA6A7.edm" hidden="1">#REF!</definedName>
    <definedName name="_bdm.4E10E6FC4078414191B6C733795FF1B3.edm" hidden="1">#REF!</definedName>
    <definedName name="_bdm.513152FE1264402DAE9231B28AB15007.edm" hidden="1">#REF!</definedName>
    <definedName name="_bdm.561FDE45E70748749288836447E5F558.edm" hidden="1">#REF!</definedName>
    <definedName name="_bdm.59DAE95C438A45BCAAC5BE8FD0F1D4C4.edm" hidden="1">#REF!</definedName>
    <definedName name="_bdm.5AB814E2AF944F57A7C2147C0715ECC7.edm" hidden="1">#REF!</definedName>
    <definedName name="_bdm.5BAD7240CADB4B2CBD3C815ADED90755.edm" hidden="1">#REF!</definedName>
    <definedName name="_bdm.5BD4166C532C4E90986958A08691F39F.edm" hidden="1">#REF!</definedName>
    <definedName name="_bdm.5E835AD404794FAF9CACA2CE3C98F3F5.edm" hidden="1">#REF!</definedName>
    <definedName name="_bdm.60EBCFE07EF44FBAB7D7603F7ADA67C9.edm" hidden="1">#REF!</definedName>
    <definedName name="_bdm.61B2725D1C6247878761FCBB04362A00.edm" hidden="1">#REF!</definedName>
    <definedName name="_bdm.6288C2271B3A4589A2BBF17A864E45B3.edm" hidden="1">#REF!</definedName>
    <definedName name="_bdm.6447DB271B684FD0BD2CEB33DADD6032.edm" hidden="1">#REF!</definedName>
    <definedName name="_bdm.64AB42C65B824A7A8F1D3F172F91FE4D.edm" hidden="1">#REF!</definedName>
    <definedName name="_bdm.66A5C099FC344DBF936EBDBA3DEB09EC.edm" hidden="1">#REF!</definedName>
    <definedName name="_bdm.6897851CD643447A9A6FD8FB53E3C6F1.edm" hidden="1">#REF!</definedName>
    <definedName name="_bdm.6947D51ABF0A4DA386A3D793E9AEC36D.edm" hidden="1">#REF!</definedName>
    <definedName name="_bdm.6B24CA915AA349FAB1DDF9D669E1C71F.edm" hidden="1">#REF!</definedName>
    <definedName name="_bdm.6BD7156D92594D6FB80A075D2336D52F.edm" hidden="1">#REF!</definedName>
    <definedName name="_bdm.6D09222DCB264D9BBB0E8442F80235BC.edm" hidden="1">#REF!</definedName>
    <definedName name="_bdm.6DCD5FD3FF6A4DAE9CEE3C6E54A6B7C6.edm" hidden="1">#REF!</definedName>
    <definedName name="_bdm.6DD15C8021DD41E7B33858957126E414.edm" hidden="1">#REF!</definedName>
    <definedName name="_bdm.6EEB31C9C0B44BABAB02C3243F91E949.edm" hidden="1">#REF!</definedName>
    <definedName name="_bdm.735329EBEAF94000B037901191340139.edm" hidden="1">#REF!</definedName>
    <definedName name="_bdm.737135B66E7B4A1896157F93CBB5F4FA.edm" hidden="1">#REF!</definedName>
    <definedName name="_bdm.74F77D460BBF4F2F87FD1C9D34BE3540.edm" hidden="1">#REF!</definedName>
    <definedName name="_bdm.75E79B6E3C99434EA8F8AD56569401C6.edm" hidden="1">#REF!</definedName>
    <definedName name="_bdm.773C776CEF5D45F78080EF42C0F825EA.edm" hidden="1">#REF!</definedName>
    <definedName name="_bdm.78F511D399164701BCEA4B9627C5827A.edm" hidden="1">#REF!</definedName>
    <definedName name="_bdm.7C9FB319376D49B190B67CD308F25F6C.edm" hidden="1">#REF!</definedName>
    <definedName name="_bdm.7D6587AE9BB2446084FDB2C20F2844BB.edm" hidden="1">#REF!</definedName>
    <definedName name="_bdm.7DE5F6959FEB4C1DAF4F2939508224DB.edm" hidden="1">#REF!</definedName>
    <definedName name="_bdm.841CC6972567480B99997F0D9A162107.edm" hidden="1">#REF!</definedName>
    <definedName name="_bdm.86896162E48C4E79A1B0D30F19EFF3C2.edm" hidden="1">#REF!</definedName>
    <definedName name="_bdm.86F5336342834ADFAC015BEDB6A360BE.edm" hidden="1">#REF!</definedName>
    <definedName name="_bdm.873EBDFBBF4048F4ABCF093CF4F77FF1.edm" hidden="1">#REF!</definedName>
    <definedName name="_bdm.8779B0E1BD3D46A491BEAA58F6180DDE.edm" hidden="1">#REF!</definedName>
    <definedName name="_bdm.879B950EBBAB4597B88189350706EC93.edm" hidden="1">#REF!</definedName>
    <definedName name="_bdm.88B2D1F478A94684A43E1D23D92F7728.edm" hidden="1">#REF!</definedName>
    <definedName name="_bdm.8ADE5738527A42178A3BD482391CAA14.edm" hidden="1">#REF!</definedName>
    <definedName name="_bdm.8F3C4C358E7F4AA0B27CCFBAD57697CF.edm" hidden="1">#REF!</definedName>
    <definedName name="_bdm.90B57FCF26E04B2D81BD088F77E3B245.edm" hidden="1">#REF!</definedName>
    <definedName name="_bdm.91BE971860FB4BF397E92BD21DF69F89.edm" hidden="1">#REF!</definedName>
    <definedName name="_bdm.95D97703F0B44275930D649261210A38.edm" hidden="1">#REF!</definedName>
    <definedName name="_bdm.964711411660420E94A62CA33D36E15D.edm" hidden="1">#REF!</definedName>
    <definedName name="_bdm.96D5649FDD124661A785180CA65B45BB.edm" hidden="1">#REF!</definedName>
    <definedName name="_bdm.99F5132F27BF4847BDAC2DFE61567276.edm" hidden="1">#REF!</definedName>
    <definedName name="_bdm.9A09EB952C0340BE98B045B6D7F32ECD.edm" hidden="1">#REF!</definedName>
    <definedName name="_bdm.9B259D8596504807B7F64C88744F9251.edm" hidden="1">#REF!</definedName>
    <definedName name="_bdm.9B79B536B5D748DB9CC557DF5A1AB136.edm" hidden="1">#REF!</definedName>
    <definedName name="_bdm.9CF1EC782CA246C5B743B60E78EFF75A.edm" hidden="1">#REF!</definedName>
    <definedName name="_bdm.9E492F9C2D7048B5AF260D0E9AA4EF9C.edm" hidden="1">#REF!</definedName>
    <definedName name="_bdm.A02D80F893DD4C7DA6D997E701C867FB.edm" hidden="1">#REF!</definedName>
    <definedName name="_bdm.A0DC2E73A33540C88C7AF3BE12B55E4A.edm" hidden="1">#REF!</definedName>
    <definedName name="_bdm.A46237E21F4C446E9EA2B6BB235AC4B5.edm" hidden="1">#REF!</definedName>
    <definedName name="_bdm.A72A3B46E5634756BE126D5E14B12CC0.edm" hidden="1">#REF!</definedName>
    <definedName name="_bdm.A7D6A53F6F7A4D8683ED3E895545E68D.edm" hidden="1">#REF!</definedName>
    <definedName name="_bdm.A904965ABFC8449CB56BBC456F8C04E4.edm" hidden="1">#REF!</definedName>
    <definedName name="_bdm.ABA47D9F1118495FABC925C2FC9A997F.edm" hidden="1">#REF!</definedName>
    <definedName name="_bdm.AE783003696A443A90099EAE0CD6E4B8.edm" hidden="1">#REF!</definedName>
    <definedName name="_bdm.AEB8237B709D4B4A86692E58B1D233A8.edm" hidden="1">#REF!</definedName>
    <definedName name="_bdm.AEDB0CD089F84AABA0B25D9D0EC67BA3.edm" hidden="1">#REF!</definedName>
    <definedName name="_bdm.AFB8D8341CDC49FB9E8802EDC8E706EA.edm" hidden="1">#REF!</definedName>
    <definedName name="_bdm.B0FAA96908D84E7890521AD55012F18A.edm" hidden="1">#REF!</definedName>
    <definedName name="_bdm.B27504E0C2EA4C3A9E9861E6F396BD93.edm" hidden="1">#REF!</definedName>
    <definedName name="_bdm.B31CF2F3716B444A89D0154DD16FE90B.edm" hidden="1">#REF!</definedName>
    <definedName name="_bdm.B7CC83D9B1D34661812434787CF5F95D.edm" hidden="1">#REF!</definedName>
    <definedName name="_bdm.B9579335EC904B86AE4AB7CFACF045D9.edm" hidden="1">#REF!</definedName>
    <definedName name="_bdm.BB07DDACC0434320947584FCD403930E.edm" hidden="1">#REF!</definedName>
    <definedName name="_bdm.BC443DA56C3B47F4A13D7C27EAA8D865.edm" hidden="1">#REF!</definedName>
    <definedName name="_bdm.BC5EFA2FE3714334B6355DFF84ED9523.edm" hidden="1">#REF!</definedName>
    <definedName name="_bdm.BD75CEA09BE24E5AB3B1A5F39690EA5E.edm" hidden="1">#REF!</definedName>
    <definedName name="_bdm.BE2B82FBA2DB40AEA2057653359E68FB.edm" hidden="1">#REF!</definedName>
    <definedName name="_bdm.C197DE7E120E4A799AE1A7A1EE4347D7.edm" hidden="1">#REF!</definedName>
    <definedName name="_bdm.C2333239550F45E0B93652C6CD6DA6CB.edm" hidden="1">#REF!</definedName>
    <definedName name="_bdm.C4570F5A7A284FD3BCD52F9D4F577759.edm" hidden="1">#REF!</definedName>
    <definedName name="_bdm.CB5987630C4348EDB8797AECA5FA0C83.edm" hidden="1">#REF!</definedName>
    <definedName name="_bdm.CBA83CBC806F484EADE7DB3E2E7CF082.edm" hidden="1">#REF!</definedName>
    <definedName name="_bdm.CDEC808A70524D0799C59184F709726A.edm" hidden="1">#REF!</definedName>
    <definedName name="_bdm.CE214F35EF7746668D095CA3EE31F63E.edm" hidden="1">#REF!</definedName>
    <definedName name="_bdm.CFC3CEDB55CA4DC2873A4084E990A0B0.edm" hidden="1">#REF!</definedName>
    <definedName name="_bdm.CFCA99A1EE294BD2BEDA4A781DEA3503.edm" hidden="1">#REF!</definedName>
    <definedName name="_bdm.D05F3253A2E849009A3ADB0D81162E94.edm" hidden="1">#REF!</definedName>
    <definedName name="_bdm.D2307A1777AB45258ADEF349970D168E.edm" hidden="1">#REF!</definedName>
    <definedName name="_bdm.D4F03ABD9EF148F69DE58609A5932E1E.edm" hidden="1">#REF!</definedName>
    <definedName name="_bdm.D514077202B542C6957C2FE139FD88AD.edm" hidden="1">#REF!</definedName>
    <definedName name="_bdm.D51EC1C505AE43D8B0675425199C75CA.edm" hidden="1">#REF!</definedName>
    <definedName name="_bdm.D8226746037A4B218F06698B6B570FD4.edm" hidden="1">#REF!</definedName>
    <definedName name="_bdm.D91B5069CC1F4E16BE2257506B3DF1EB.edm" hidden="1">#REF!</definedName>
    <definedName name="_bdm.DAB98F34C4A7467FA16D16571034D9C2.edm" hidden="1">#REF!</definedName>
    <definedName name="_bdm.DC7858CC9E754D0F8448B973AEF850DD.edm" hidden="1">#REF!</definedName>
    <definedName name="_bdm.DD8CF19960B84372BC6C44D1E352ADA6.edm" hidden="1">#REF!</definedName>
    <definedName name="_bdm.DEEA320BF27946FA9FB8C80E7DD03D7A.edm" hidden="1">#REF!</definedName>
    <definedName name="_bdm.DF072D290BD64D1CBF6D11CC1E099FE7.edm" hidden="1">#REF!</definedName>
    <definedName name="_bdm.DF6734618A3C41EAA54818590D43BC2A.edm" hidden="1">#REF!</definedName>
    <definedName name="_bdm.E08B6A5952F24D669C7E502B05C7A07A.edm" hidden="1">#REF!</definedName>
    <definedName name="_bdm.E0A7113A7EB84E42B8F20FD0B1D44AF1.edm" hidden="1">#REF!</definedName>
    <definedName name="_bdm.E5582B08C7F1450A817DF1EC102CA3DE.edm" hidden="1">#REF!</definedName>
    <definedName name="_bdm.E9720D83F1134D8BB79B334ADD03FEB9.edm" hidden="1">#REF!</definedName>
    <definedName name="_bdm.EE046CE051794D06B26E29964DF4F18A.edm" hidden="1">#REF!</definedName>
    <definedName name="_bdm.EF2DF8E1B7EC4E18A1C222A9ED241BAC.edm" hidden="1">#REF!</definedName>
    <definedName name="_bdm.F039ADF1A44D40BA8DFA4D3C2445B26E.edm" hidden="1">#REF!</definedName>
    <definedName name="_bdm.F27741E033F9448A9A87BACEE082E697.edm" hidden="1">#REF!</definedName>
    <definedName name="_bdm.F2D66D43E32141D29D451EBD3B18FEBA.edm" hidden="1">#REF!</definedName>
    <definedName name="_bdm.F795D9B4172B49A8B6BAD960510E291C.edm" hidden="1">#REF!</definedName>
    <definedName name="_bdm.FA6FFF2B9AFE47629CE8203354F4EAFE.edm" hidden="1">#REF!</definedName>
    <definedName name="_bdm.FAAA76FBBACB4AA2A7F8F1D2C30FF5A1.edm" hidden="1">#REF!</definedName>
    <definedName name="_bdm.FD65E21F80304077B363B54F74FC759F.edm" hidden="1">#REF!</definedName>
    <definedName name="_Fill" hidden="1">#REF!</definedName>
    <definedName name="_Key1" hidden="1">#REF!</definedName>
    <definedName name="_Key2" hidden="1">#REF!</definedName>
    <definedName name="_MatInverse_Out" hidden="1">#REF!</definedName>
    <definedName name="_MatMult_B" hidden="1">#REF!</definedName>
    <definedName name="_Order1" hidden="1">0</definedName>
    <definedName name="_Order2" hidden="1">255</definedName>
    <definedName name="_Sort" hidden="1">#REF!</definedName>
    <definedName name="a" hidden="1">#REF!</definedName>
    <definedName name="aaa" hidden="1">{"AVSHAR","BSHAR"}</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bc"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ctual" hidden="1">{#N/A,#N/A,TRUE,"Historicals";#N/A,#N/A,TRUE,"Charts";#N/A,#N/A,TRUE,"Forecasts"}</definedName>
    <definedName name="africaCountries">#REF!</definedName>
    <definedName name="Amort">#REF!</definedName>
    <definedName name="anscount" hidden="1">1</definedName>
    <definedName name="Arial">#REF!</definedName>
    <definedName name="AS2DocOpenMode" hidden="1">"AS2DocumentEdit"</definedName>
    <definedName name="asiaPacificExJapanCountries">#REF!</definedName>
    <definedName name="asiaPacificStates">#REF!</definedName>
    <definedName name="Asset_turns">#REF!</definedName>
    <definedName name="Assets">#REF!</definedName>
    <definedName name="b">#REF!</definedName>
    <definedName name="bb_OTZERjFBMEUxMEExNDI5Qk" hidden="1">#REF!</definedName>
    <definedName name="bcd"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BS추정" hidden="1">{"'보고양식'!$A$58:$K$111"}</definedName>
    <definedName name="c_">#REF!</definedName>
    <definedName name="Case">#REF!</definedName>
    <definedName name="CaseCount">#REF!</definedName>
    <definedName name="CASH">#REF!</definedName>
    <definedName name="cd">#REF!</definedName>
    <definedName name="centralEasternEuropeCountries">#REF!</definedName>
    <definedName name="CF_OP_GR">"'=BackSheet!$D$239:$AG$239"</definedName>
    <definedName name="CF_PR_DV">"'=BackSheet!$D$241:$AG$241"</definedName>
    <definedName name="Choices_Wrapper">#REF!</definedName>
    <definedName name="CIQWBGuid" hidden="1">"c2a90f91-ebac-457e-9c40-c9506c055475"</definedName>
    <definedName name="CompanyList">#REF!</definedName>
    <definedName name="CompanyName">#REF!</definedName>
    <definedName name="CompanyPicked">#REF!</definedName>
    <definedName name="CompList11">#REF!</definedName>
    <definedName name="consumerDemandExposure">#REF!</definedName>
    <definedName name="consumersExposure">#REF!</definedName>
    <definedName name="CONT">#REF!</definedName>
    <definedName name="Conv_mark">1</definedName>
    <definedName name="_xlnm.Criteria">#REF!</definedName>
    <definedName name="cu119.CopyLastPeriodRows" hidden="1">{"AVSHAR","BSHAR"}</definedName>
    <definedName name="CurrentYear">#REF!</definedName>
    <definedName name="dasdasd" hidden="1">{"Bell",#N/A,TRUE,"Earnings Model";"Cessna",#N/A,TRUE,"Earnings Model"}</definedName>
    <definedName name="_xlnm.Database">#REF!</definedName>
    <definedName name="datalength">COUNTA(#REF!)</definedName>
    <definedName name="dataseries_minus_space_2">OFFSET(#REF!,0,0,COUNTIF(#REF!,"&gt;""")+1,1)</definedName>
    <definedName name="dataseries1">OFFSET(#REF!,0,0,COUNTA(#REF!),1)</definedName>
    <definedName name="DCYear">#REF!</definedName>
    <definedName name="Debt">#REF!</definedName>
    <definedName name="Debt_95">#REF!</definedName>
    <definedName name="Debt_96">#REF!</definedName>
    <definedName name="Debt_97">#REF!</definedName>
    <definedName name="Debt_Cap">#REF!</definedName>
    <definedName name="Def">#REF!</definedName>
    <definedName name="Definitions">#REF!</definedName>
    <definedName name="Dep">#REF!</definedName>
    <definedName name="developedEuropeExUKCountries">#REF!</definedName>
    <definedName name="DEVELOPMENT">5</definedName>
    <definedName name="DevTotCon">#REF!</definedName>
    <definedName name="domesticAndForeignExposure">#REF!</definedName>
    <definedName name="domesticCostExposure">#REF!</definedName>
    <definedName name="DPYear">#REF!</definedName>
    <definedName name="Dropdown_lookup">#REF!</definedName>
    <definedName name="Dropdown_values">#REF!</definedName>
    <definedName name="DropdownSelection">#REF!</definedName>
    <definedName name="EBITDA_96">#REF!</definedName>
    <definedName name="EBITDA_97">#REF!</definedName>
    <definedName name="EBITDA94">#REF!</definedName>
    <definedName name="EBITDA95">#REF!</definedName>
    <definedName name="EBITDA96">#REF!</definedName>
    <definedName name="ed" hidden="1">{"'보고양식'!$A$58:$K$111"}</definedName>
    <definedName name="endDemandExposure">#REF!</definedName>
    <definedName name="EndYear">#REF!</definedName>
    <definedName name="EPS_94">#REF!</definedName>
    <definedName name="EPS_95">#REF!</definedName>
    <definedName name="EPS_96">#REF!</definedName>
    <definedName name="EPS_97">#REF!</definedName>
    <definedName name="Equity_95">#REF!</definedName>
    <definedName name="Equity_96">#REF!</definedName>
    <definedName name="Equity_97">#REF!</definedName>
    <definedName name="ev.Calculation" hidden="1">2</definedName>
    <definedName name="ev.Initialized" hidden="1">FALSE</definedName>
    <definedName name="F">{"cover a","1q",FALSE,"Cover";"Op Earn Mgd Q1",#N/A,FALSE,"Op-Earn (Mng)";"Op Earn Rpt Q1",#N/A,FALSE,"Op-Earn (Rpt)";"Loans",#N/A,FALSE,"Loans";"Credit Costs",#N/A,FALSE,"CCosts";"Net Interest Margin",#N/A,FALSE,"Margin";"Nonint Income",#N/A,FALSE,"NonII";"Nonint Exp",#N/A,FALSE,"NonIE";"Valuation",#N/A,FALSE,"Valuation"}</definedName>
    <definedName name="ｆ" hidden="1">"iQShowAnnual"</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f"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orecast1" hidden="1">{"cover a","1q",FALSE,"Cover";"Op Earn Mgd Q1",#N/A,FALSE,"Op-Earn (Mng)";"Op Earn Rpt Q1",#N/A,FALSE,"Op-Earn (Rpt)";"Loans",#N/A,FALSE,"Loans";"Credit Costs",#N/A,FALSE,"CCosts";"Net Interest Margin",#N/A,FALSE,"Margin";"Nonint Income",#N/A,FALSE,"NonII";"Nonint Exp",#N/A,FALSE,"NonIE";"Valuation",#N/A,FALSE,"Valuation"}</definedName>
    <definedName name="hn.ExtDb" hidden="1">FALSE</definedName>
    <definedName name="hn.ModelType" hidden="1">"DEAL"</definedName>
    <definedName name="hn.ModelVersion" hidden="1">1</definedName>
    <definedName name="hn.NoUpload" hidden="1">0</definedName>
    <definedName name="HTML_CodePage" hidden="1">949</definedName>
    <definedName name="HTML_Control" hidden="1">{"'보고양식'!$A$58:$K$111"}</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"C:\My Documents\98년\영업현황\2월 수주현황(2월 마감분).htm"</definedName>
    <definedName name="HTML_Title" hidden="1">""</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i" hidden="1">#REF!</definedName>
    <definedName name="INC">#REF!</definedName>
    <definedName name="Input_Auto1">#REF!</definedName>
    <definedName name="Input_Auto2">#REF!</definedName>
    <definedName name="Input_Auto3">#REF!</definedName>
    <definedName name="Input_BasisRange">#REF!</definedName>
    <definedName name="Input_CC10">#REF!</definedName>
    <definedName name="Input_CC2">#REF!</definedName>
    <definedName name="Input_CC3">#REF!</definedName>
    <definedName name="Input_CC4">#REF!</definedName>
    <definedName name="Input_CC5">#REF!</definedName>
    <definedName name="Input_CC7">#REF!</definedName>
    <definedName name="Input_CurrentDate">#REF!</definedName>
    <definedName name="Input_Equip1">#REF!</definedName>
    <definedName name="Input_Equip2">#REF!</definedName>
    <definedName name="Input_Equip3">#REF!</definedName>
    <definedName name="Input_Equip4">#REF!</definedName>
    <definedName name="Input_FltAt1">#REF!</definedName>
    <definedName name="Input_FltAt2">#REF!</definedName>
    <definedName name="Input_FltAt3">#REF!</definedName>
    <definedName name="Input_FLTCC10">#REF!</definedName>
    <definedName name="Input_FLTCC2">#REF!</definedName>
    <definedName name="Input_FLTCC3">#REF!</definedName>
    <definedName name="Input_FLTCC4">#REF!</definedName>
    <definedName name="Input_FLTCC5">#REF!</definedName>
    <definedName name="Input_FLTCC7">#REF!</definedName>
    <definedName name="Input_FLTHEL2">#REF!</definedName>
    <definedName name="Input_FLTHEL3">#REF!</definedName>
    <definedName name="Input_FN02YA1">#REF!</definedName>
    <definedName name="Input_FN05YA1">#REF!</definedName>
    <definedName name="Input_FN10YA1">#REF!</definedName>
    <definedName name="Input_GB3">#REF!</definedName>
    <definedName name="Input_GB6">#REF!</definedName>
    <definedName name="Input_GT10">#REF!</definedName>
    <definedName name="Input_GT2">#REF!</definedName>
    <definedName name="Input_GT30">#REF!</definedName>
    <definedName name="Input_GT5">#REF!</definedName>
    <definedName name="Input_HEL1">#REF!</definedName>
    <definedName name="Input_HEL2">#REF!</definedName>
    <definedName name="Input_HEL3">#REF!</definedName>
    <definedName name="Input_HEL4">#REF!</definedName>
    <definedName name="Input_HEL5">#REF!</definedName>
    <definedName name="Input_HEL7">#REF!</definedName>
    <definedName name="Input_HELNAS">#REF!</definedName>
    <definedName name="Input_IN02YA2">#REF!</definedName>
    <definedName name="Input_IN05YA2">#REF!</definedName>
    <definedName name="Input_IN10YA2">#REF!</definedName>
    <definedName name="Input_Libor1">#REF!</definedName>
    <definedName name="Input_Libor12">#REF!</definedName>
    <definedName name="Input_Libor3">#REF!</definedName>
    <definedName name="Input_Libor6">#REF!</definedName>
    <definedName name="Input_LiborRange">#REF!</definedName>
    <definedName name="Input_MH1">#REF!</definedName>
    <definedName name="Input_MH2">#REF!</definedName>
    <definedName name="Input_MH3">#REF!</definedName>
    <definedName name="Input_MH4">#REF!</definedName>
    <definedName name="Input_MH5">#REF!</definedName>
    <definedName name="Input_MH7">#REF!</definedName>
    <definedName name="Input_NewDate">#REF!</definedName>
    <definedName name="Input_RRB1">#REF!</definedName>
    <definedName name="Input_RRB10">#REF!</definedName>
    <definedName name="Input_RRB2">#REF!</definedName>
    <definedName name="Input_RRB3">#REF!</definedName>
    <definedName name="Input_RRB4">#REF!</definedName>
    <definedName name="Input_RRB5">#REF!</definedName>
    <definedName name="Input_RRB7">#REF!</definedName>
    <definedName name="Input_SLMA_L2">#REF!</definedName>
    <definedName name="Input_SLMA_L7">#REF!</definedName>
    <definedName name="Input_SLMA_T2">#REF!</definedName>
    <definedName name="Input_Swap10">#REF!</definedName>
    <definedName name="Input_Swap2">#REF!</definedName>
    <definedName name="Input_Swap3">#REF!</definedName>
    <definedName name="Input_Swap4">#REF!</definedName>
    <definedName name="Input_Swap5">#REF!</definedName>
    <definedName name="Input_Swap7">#REF!</definedName>
    <definedName name="Input_TreasuryRange">#REF!</definedName>
    <definedName name="Input_USBE2_Bid">#REF!</definedName>
    <definedName name="Inv_turns">#REF!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W_ACT_OR_EST" hidden="1">"c4306"</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BC_ACT_OR_EST" hidden="1">"c4316"</definedName>
    <definedName name="IQ_EBIT_SBC_GW_ACT_OR_EST" hidden="1">"c4320"</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REUT" hidden="1">"c5453"</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NUM_EST_REUT" hidden="1">"c5451"</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REUT" hidden="1">"c3633"</definedName>
    <definedName name="IQ_EST_EPS_GROWTH_5YR_STDDEV" hidden="1">"c1660"</definedName>
    <definedName name="IQ_EST_EPS_GROWTH_Q_1YR" hidden="1">"c1641"</definedName>
    <definedName name="IQ_EST_EPS_GROWTH_Q_1YR_REUT" hidden="1">"c5410"</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"PL 12094, Javed Khan"</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ADJ_ACT_OR_EST" hidden="1">"c4435"</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HARE_ACT_OR_EST" hidden="1">"c4446"</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41185.3755208333</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GW_ACT_OR_EST" hidden="1">"c4478"</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39244.4711574074</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ColHidden" hidden="1">FALSE</definedName>
    <definedName name="IsLTMColHidden" hidden="1">FALSE</definedName>
    <definedName name="j" hidden="1">#REF!</definedName>
    <definedName name="KHN" hidden="1">{"'보고양식'!$A$58:$K$111"}</definedName>
    <definedName name="l" hidden="1">#REF!</definedName>
    <definedName name="latinAmericaCountries">#REF!</definedName>
    <definedName name="LEAD">#REF!</definedName>
    <definedName name="Linking_1">#REF!</definedName>
    <definedName name="Linking_10">#REF!</definedName>
    <definedName name="Linking_11">#REF!</definedName>
    <definedName name="Linking_12">#REF!</definedName>
    <definedName name="Linking_13">Summary!$B$6:$U$41</definedName>
    <definedName name="Linking_14">Summary!$B$82:$U$124</definedName>
    <definedName name="Linking_15">Summary!$B$170:$U$222</definedName>
    <definedName name="Linking_16">#REF!</definedName>
    <definedName name="Linking_17">#REF!</definedName>
    <definedName name="Linking_18">Summary!$B$6:$U$30</definedName>
    <definedName name="Linking_19">#REF!</definedName>
    <definedName name="Linking_2">Summary!$B$44:$U$79</definedName>
    <definedName name="Linking_20">#REF!</definedName>
    <definedName name="Linking_21">#REF!</definedName>
    <definedName name="Linking_22">Summary!$B$127:$U$167</definedName>
    <definedName name="Linking_23">#REF!</definedName>
    <definedName name="Linking_24">#REF!</definedName>
    <definedName name="Linking_25">#REF!</definedName>
    <definedName name="Linking_26">#REF!</definedName>
    <definedName name="Linking_27">#REF!</definedName>
    <definedName name="Linking_28">#REF!</definedName>
    <definedName name="Linking_3">Summary!$B$6:$T$41</definedName>
    <definedName name="Linking_36">#REF!</definedName>
    <definedName name="Linking_4">Summary!$B$82:$T$124</definedName>
    <definedName name="Linking_5">Summary!$B$170:$T$222</definedName>
    <definedName name="Linking_6">#REF!</definedName>
    <definedName name="Linking_7">#REF!</definedName>
    <definedName name="Linking_8">#REF!</definedName>
    <definedName name="Linking_9">#REF!</definedName>
    <definedName name="Linking_Range_106">#REF!</definedName>
    <definedName name="Linking_Range_25">#REF!</definedName>
    <definedName name="Linking_Range_26">#REF!</definedName>
    <definedName name="Linking_Range_3">#REF!</definedName>
    <definedName name="Linking_Range_36">#REF!</definedName>
    <definedName name="Linking_Range_38">#REF!</definedName>
    <definedName name="Linking_Range_39">#REF!</definedName>
    <definedName name="Linking_Range_4">#REF!</definedName>
    <definedName name="Linking_Range_40">#REF!</definedName>
    <definedName name="Linking_Range_41">#REF!</definedName>
    <definedName name="Linking_Range_42">#REF!</definedName>
    <definedName name="Linking_Range_43">#REF!</definedName>
    <definedName name="Linking_Range_44">#REF!</definedName>
    <definedName name="Linking_Range_45">#REF!</definedName>
    <definedName name="Linking_Range_46">#REF!</definedName>
    <definedName name="Linking_Range_47">#REF!</definedName>
    <definedName name="Linking_Range_48">#REF!</definedName>
    <definedName name="Linking_Range_49">#REF!</definedName>
    <definedName name="Linking_Range_50">#REF!</definedName>
    <definedName name="Linking_Range_51">#REF!</definedName>
    <definedName name="Linking_Range_52">#REF!</definedName>
    <definedName name="Linking_Range_53">#REF!</definedName>
    <definedName name="Linking_Range_54">#REF!</definedName>
    <definedName name="Linking_Range_55">#REF!</definedName>
    <definedName name="Linking_Range_56">#REF!</definedName>
    <definedName name="Linking_Range_58">#REF!</definedName>
    <definedName name="Linking_Range_59">#REF!</definedName>
    <definedName name="Linking_Range_60">#REF!</definedName>
    <definedName name="Linking_Range_61">#REF!</definedName>
    <definedName name="Linking_Range_62">#REF!</definedName>
    <definedName name="Linking_Range_63">#REF!</definedName>
    <definedName name="Linking_Range_64">#REF!</definedName>
    <definedName name="Linking_Range_65">#REF!</definedName>
    <definedName name="Linking_Range_66">#REF!</definedName>
    <definedName name="Linking_Range_67">#REF!</definedName>
    <definedName name="Linking_Range_9">#REF!</definedName>
    <definedName name="list1">#REF!</definedName>
    <definedName name="LookupGartnerXrates">#REF!</definedName>
    <definedName name="M_PlaceofPath" hidden="1">"F:\CMOTZ\excel\ati\ATI_VDF.XLS"</definedName>
    <definedName name="metrics">#REF!</definedName>
    <definedName name="middleEastAfricaStates">#REF!</definedName>
    <definedName name="mwLastYE">#REF!</definedName>
    <definedName name="mwTaxrate1">#REF!</definedName>
    <definedName name="mwTaxrate2">#REF!</definedName>
    <definedName name="nEW" hidden="1">{#N/A,#N/A,TRUE,"Historicals";#N/A,#N/A,TRUE,"Charts";#N/A,#N/A,TRUE,"Forecasts"}</definedName>
    <definedName name="northAmericaCountries">#REF!</definedName>
    <definedName name="o" hidden="1">{"Pulp Production",#N/A,FALSE,"Pulp";"Pulp Earnings",#N/A,FALSE,"Pulp"}</definedName>
    <definedName name="page11">#REF!</definedName>
    <definedName name="PreviousYear">#REF!</definedName>
    <definedName name="price">#REF!</definedName>
    <definedName name="_xlnm.Print_Area">"Formula removed, name can be deleted."</definedName>
    <definedName name="Print_Area_MI">#REF!</definedName>
    <definedName name="ProjectName">{"Client Name or Project Name"}</definedName>
    <definedName name="ptHelp">#REF!</definedName>
    <definedName name="ptHide">#REF!</definedName>
    <definedName name="ptModel">#REF!</definedName>
    <definedName name="ptVali">#REF!</definedName>
    <definedName name="PUB_UserID" hidden="1">"MAYERX"</definedName>
    <definedName name="q" hidden="1">{"Qtr Op Mgd Q2",#N/A,FALSE,"Qtr-Op (Mng)";"Qtr Op Rpt Q2",#N/A,FALSE,"Qtr-Op (Rpt)";"Operating Vs Reported",#N/A,FALSE,"Rpt-Op Inc"}</definedName>
    <definedName name="Q1_95">#REF!</definedName>
    <definedName name="Q1_96">#REF!</definedName>
    <definedName name="Q2_95">#REF!</definedName>
    <definedName name="Q2_96">#REF!</definedName>
    <definedName name="Q3_95">#REF!</definedName>
    <definedName name="Q3_96">#REF!</definedName>
    <definedName name="Q4_95">#REF!</definedName>
    <definedName name="Q4_96">#REF!</definedName>
    <definedName name="Quarter">#REF!</definedName>
    <definedName name="Quarterly">#REF!</definedName>
    <definedName name="RankChoice">#REF!</definedName>
    <definedName name="regionalCostExposure">#REF!</definedName>
    <definedName name="rep" hidden="1">{#N/A,#N/A,FALSE,"COVER";#N/A,#N/A,FALSE,"VALUATION";#N/A,#N/A,FALSE,"FORECAST";#N/A,#N/A,FALSE,"FY ANALYSIS ";#N/A,#N/A,FALSE," HY ANALYSIS"}</definedName>
    <definedName name="RepairedName0484" hidden="1">"iQShowAnnual"</definedName>
    <definedName name="RepairedName1170" hidden="1">"iQShowAnnual"</definedName>
    <definedName name="RepairedName18759" hidden="1">"iQShowAnnual"</definedName>
    <definedName name="rngBRICS">#REF!,#REF!,#REF!,#REF!</definedName>
    <definedName name="rngDates">#REF!</definedName>
    <definedName name="rngEEMEA">#REF!,#REF!,#REF!,#REF!</definedName>
    <definedName name="rngPriceTarget">#REF!</definedName>
    <definedName name="rngTotalRegionExposure">#REF!</definedName>
    <definedName name="ROAA">#REF!</definedName>
    <definedName name="ROAE">#REF!</definedName>
    <definedName name="ROS">#REF!</definedName>
    <definedName name="rrr">{"Client Name or Project Name"}</definedName>
    <definedName name="Sales_96">#REF!</definedName>
    <definedName name="Sales94">#REF!</definedName>
    <definedName name="Sales95">#REF!</definedName>
    <definedName name="Sales96">#REF!</definedName>
    <definedName name="SAPBEXhrIndnt" hidden="1">1</definedName>
    <definedName name="SAPBEXrevision" hidden="1">1</definedName>
    <definedName name="SAPBEXsysID" hidden="1">"DP2"</definedName>
    <definedName name="SAPBEXwbID" hidden="1">"2PQ3FIKNNFNPZ70XJ0L661080"</definedName>
    <definedName name="scenarios">#REF!</definedName>
    <definedName name="sds" hidden="1">{"'보고양식'!$A$58:$K$111"}</definedName>
    <definedName name="sencount" hidden="1">1</definedName>
    <definedName name="SGA">#REF!</definedName>
    <definedName name="shareprice">#REF!</definedName>
    <definedName name="Shares">#REF!</definedName>
    <definedName name="Shares_96">#REF!</definedName>
    <definedName name="sh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ocioEconomicRegions">#REF!</definedName>
    <definedName name="source">#REF!</definedName>
    <definedName name="start">#REF!</definedName>
    <definedName name="StartYear">#REF!</definedName>
    <definedName name="Table_1">#REF!</definedName>
    <definedName name="Table_1_1">#REF!</definedName>
    <definedName name="Table_1_2">#REF!</definedName>
    <definedName name="Table_1_3">#REF!</definedName>
    <definedName name="Table_1_4">#REF!</definedName>
    <definedName name="Table_1_5">#REF!</definedName>
    <definedName name="Table_1_6">#REF!</definedName>
    <definedName name="Table_1_7">#REF!</definedName>
    <definedName name="Table_2">#REF!</definedName>
    <definedName name="Table_2_1">#REF!</definedName>
    <definedName name="Table_2_2">#REF!</definedName>
    <definedName name="Table_2_3">#REF!</definedName>
    <definedName name="Table_2_4">#REF!</definedName>
    <definedName name="Table_2_5">#REF!</definedName>
    <definedName name="Table_2_6">#REF!</definedName>
    <definedName name="Table_3">#REF!</definedName>
    <definedName name="Table_3_2">#REF!</definedName>
    <definedName name="Table_3_3">#REF!</definedName>
    <definedName name="Table_4_7">#REF!</definedName>
    <definedName name="Table_5_4">#REF!</definedName>
    <definedName name="Table_5_5">#REF!</definedName>
    <definedName name="Table_5_6">#REF!</definedName>
    <definedName name="Table_6_1">#REF!</definedName>
    <definedName name="Table_7_1">#REF!</definedName>
    <definedName name="Table_7_4">#REF!</definedName>
    <definedName name="Table_7_5">#REF!</definedName>
    <definedName name="Table_7_6">#REF!</definedName>
    <definedName name="Table_7_7">#REF!</definedName>
    <definedName name="Table_7_8">#REF!</definedName>
    <definedName name="Table_7_9">#REF!</definedName>
    <definedName name="Table_8_4">#REF!</definedName>
    <definedName name="Table_8_5">#REF!</definedName>
    <definedName name="Table_8_6">#REF!</definedName>
    <definedName name="Table_8_7">#REF!</definedName>
    <definedName name="Table_9_1">#REF!</definedName>
    <definedName name="tabletscenarios">#REF!</definedName>
    <definedName name="TextRefCopyRangeCount" hidden="1">4</definedName>
    <definedName name="Title1">#REF!</definedName>
    <definedName name="Total_Bus_ROIC">OFFSET(#REF!,12,0)</definedName>
    <definedName name="TotalMarketCon">#REF!</definedName>
    <definedName name="Touch_Controllers">#REF!</definedName>
    <definedName name="trEdate">#REF!</definedName>
    <definedName name="trSdate">#REF!</definedName>
    <definedName name="TRW"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tso">#REF!</definedName>
    <definedName name="uk">#REF!</definedName>
    <definedName name="UpdateDDM">#REF!</definedName>
    <definedName name="UpdatePeriod">#REF!</definedName>
    <definedName name="Val">#REF!</definedName>
    <definedName name="ValidDateTable">#REF!</definedName>
    <definedName name="Vintage">#REF!</definedName>
    <definedName name="Web_BSCLO">#REF!</definedName>
    <definedName name="Web_CDOs">#REF!</definedName>
    <definedName name="Web_Corps">#REF!</definedName>
    <definedName name="Web_CorpsSwapped">#REF!</definedName>
    <definedName name="Web_Date_Autos">#REF!</definedName>
    <definedName name="Web_Date_Cards">#REF!</definedName>
    <definedName name="Web_Date_CDO">#REF!</definedName>
    <definedName name="Web_Date_Corporates">#REF!</definedName>
    <definedName name="Web_Date_Equip">#REF!</definedName>
    <definedName name="Web_Date_General">#REF!</definedName>
    <definedName name="Web_Date_HEL">#REF!</definedName>
    <definedName name="Web_Date_MH">#REF!</definedName>
    <definedName name="Web_Date_RRB">#REF!</definedName>
    <definedName name="Web_Date_Student">#REF!</definedName>
    <definedName name="Web_FltAAAAutos">#REF!</definedName>
    <definedName name="Web_FltAAACards">#REF!</definedName>
    <definedName name="Web_FxdAAAAutos">#REF!</definedName>
    <definedName name="Web_FxdAAAAutosSwapped">#REF!</definedName>
    <definedName name="Web_FxdAAACards">#REF!</definedName>
    <definedName name="Web_FxdAAACardsSwapped">#REF!</definedName>
    <definedName name="Web_FxdHEL">#REF!</definedName>
    <definedName name="Web_FxdHELSubs">#REF!</definedName>
    <definedName name="Web_FxdHELSubsSwapped">#REF!</definedName>
    <definedName name="Web_HELARMs">#REF!</definedName>
    <definedName name="Web_HELNAS">#REF!</definedName>
    <definedName name="Web_HELNASSwapped">#REF!</definedName>
    <definedName name="Web_RRB">#REF!</definedName>
    <definedName name="Web_RRBSwapped">#REF!</definedName>
    <definedName name="Web_StudentLIBOR">#REF!</definedName>
    <definedName name="Web_StudentTBill">#REF!</definedName>
    <definedName name="Web_StudentTBillSwapped">#REF!</definedName>
    <definedName name="Web_Swaps">#REF!</definedName>
    <definedName name="wrn.2._.pagers." hidden="1">{"Cover",#N/A,FALSE,"Cover";"Summary",#N/A,FALSE,"Summarpage"}</definedName>
    <definedName name="wrn.96_model." hidden="1">{"qtr_is_94_95",#N/A,FALSE,"MA";"ann_is_96",#N/A,FALSE,"MA";"seg_sales_96",#N/A,FALSE,"MA";"seg_inc_96",#N/A,FALSE,"MA";"divisional_91_95",#N/A,FALSE,"MA";"ann_bs_96",#N/A,FALSE,"MA";"ann_cf_96",#N/A,FALSE,"MA"}</definedName>
    <definedName name="wrn.Aging._.and._.Trend._.Analysis." hidden="1">{#N/A,#N/A,FALSE,"Aging Summary";#N/A,#N/A,FALSE,"Ratio Analysis";#N/A,#N/A,FALSE,"Test 120 Day Accts";#N/A,#N/A,FALSE,"Tickmarks"}</definedName>
    <definedName name="wrn.Aircraft._.Breakdown." hidden="1">{"Bell",#N/A,TRUE,"Earnings Model";"Cessna",#N/A,TRUE,"Earnings Model"}</definedName>
    <definedName name="wrn.allpages." hidden="1">{#N/A,#N/A,TRUE,"Historicals";#N/A,#N/A,TRUE,"Charts";#N/A,#N/A,TRUE,"Forecasts"}</definedName>
    <definedName name="wrn.Annual._.Operating._.Earnings."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solidated._.Statements." hidden="1">{"view1",#N/A,FALSE,"EARN (US$)";"view1",#N/A,FALSE,"DASTBS (US$)";"view1",#N/A,FALSE,"DASTCF (US$)"}</definedName>
    <definedName name="wrn.Covers." hidden="1">{"view1",#N/A,FALSE,"MOTEARN";"view1",#N/A,FALSE,"Bal Sht";"view1",#N/A,FALSE,"Cash Flows"}</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ull._.Report." hidden="1">{#N/A,#N/A,FALSE,"COVER";#N/A,#N/A,FALSE,"VALUATION";#N/A,#N/A,FALSE,"FORECAST";#N/A,#N/A,FALSE,"FY ANALYSIS ";#N/A,#N/A,FALSE," HY ANALYSIS"}</definedName>
    <definedName name="wrn.FUZ_REP." hidden="1">{"FUZ_INC_A",#N/A,FALSE,"NOBE";"FUZ_INC_Q",#N/A,FALSE,"NOBE";"FUZ_BAL_A",#N/A,FALSE,"NOBE";"FUZ_CASH_A",#N/A,FALSE,"NOBE";"FUZ_PROD_A",#N/A,FALSE,"NOBE"}</definedName>
    <definedName name="wrn.Industry.xls." hidden="1">{#N/A,#N/A,FALSE,"Earnings";#N/A,#N/A,FALSE,"Overview";#N/A,#N/A,FALSE,"Summary";#N/A,#N/A,FALSE,"Summary II";#N/A,#N/A,FALSE,"R&amp;D";#N/A,#N/A,FALSE,"R&amp;D Forecast";#N/A,#N/A,FALSE,"Tax Adj";#N/A,#N/A,FALSE,"Goodwill";#N/A,#N/A,FALSE,"FX ";#N/A,#N/A,FALSE,"Consolidation";#N/A,#N/A,FALSE,"Provisions"}</definedName>
    <definedName name="wrn.JCI._.Earnings." hidden="1">{"Income Statement -- Quarterly",#N/A,FALSE,"Model";"Balance Sheet",#N/A,FALSE,"Model";"Income Statement Annual",#N/A,FALSE,"Model"}</definedName>
    <definedName name="wrn.MOBIL." hidden="1">{"quarter",#N/A,FALSE,"MOB"}</definedName>
    <definedName name="wrn.public1j." hidden="1">{#N/A,#N/A,FALSE,"update"}</definedName>
    <definedName name="wrn.Pulp." hidden="1">{"Pulp Production",#N/A,FALSE,"Pulp";"Pulp Earnings",#N/A,FALSE,"Pulp"}</definedName>
    <definedName name="wrn.Qtr._.Op._.Q1." hidden="1">{"Qtr Op Mgd Q1",#N/A,FALSE,"Qtr-Op (Mng)";"Qtr Op Rpt Q1",#N/A,FALSE,"Qtr-Op (Rpt)";"Operating Vs Reported",#N/A,FALSE,"Rpt-Op Inc"}</definedName>
    <definedName name="wrn.Qtr._.Op._.Q2." hidden="1">{"Qtr Op Mgd Q2",#N/A,FALSE,"Qtr-Op (Mng)";"Qtr Op Rpt Q2",#N/A,FALSE,"Qtr-Op (Rpt)";"Operating Vs Reported",#N/A,FALSE,"Rpt-Op Inc"}</definedName>
    <definedName name="wrn.Qtr._.Op._.Q3." hidden="1">{"Qtr Op Mgd Q3",#N/A,FALSE,"Qtr-Op (Mng)";"Qtr Op Rpt Q3",#N/A,FALSE,"Qtr-Op (Rpt)";"Operating Vs Reported",#N/A,FALSE,"Rpt-Op Inc"}</definedName>
    <definedName name="wrn.Qtr._.Op._.Q4." hidden="1">{"Qtr Op Mgd Q3",#N/A,FALSE,"Qtr-Op (Mng)";"Qtr Op Rpt Q4",#N/A,FALSE,"Qtr-Op (Rpt)";"Operating Vs Reported",#N/A,FALSE,"Rpt-Op Inc"}</definedName>
    <definedName name="wrn.Qtr._.Op._Q2a." hidden="1">{"Qtr Op Mgd Q2",#N/A,FALSE,"Qtr-Op (Mng)";"Qtr Op Rpt Q2",#N/A,FALSE,"Qtr-Op (Rpt)";"Operating Vs Reported",#N/A,FALSE,"Rpt-Op Inc"}</definedName>
    <definedName name="wrn.Qtr_.Op._.Q4." hidden="1">{"Qtr Op Mgd Q3",#N/A,FALSE,"Qtr-Op (Mng)";"Qtr Op Rpt Q4",#N/A,FALSE,"Qtr-Op (Rpt)";"Operating Vs Reported",#N/A,FALSE,"Rpt-Op Inc"}</definedName>
    <definedName name="wrn.Report." hidden="1">{#N/A,#N/A,FALSE,"COVER";#N/A,#N/A,FALSE,"FORECAST";#N/A,#N/A,FALSE,"VALUATION";#N/A,#N/A,FALSE,"FY ANALYSIS ";#N/A,#N/A,FALSE," HY ANALYSIS"}</definedName>
    <definedName name="wrn.Segments." hidden="1">{"view1",#N/A,FALSE,"Consolidated";"view2",#N/A,FALSE,"Consolidated (sum)";"view1",#N/A,FALSE,"Gen Sys";"view1",#N/A,FALSE,"Semicon";"view1",#N/A,FALSE,"Mess|Med";"view1",#N/A,FALSE,"Land Mob";"view1",#N/A,FALSE,"Other Prod";"view1",#N/A,FALSE,"Adj|Elim"}</definedName>
    <definedName name="wrn.Tables." hidden="1">{"view1",#N/A,FALSE,"Tables";"view2",#N/A,FALSE,"Tables";"view3",#N/A,FALSE,"Tables"}</definedName>
    <definedName name="wrn.Variance._.3." hidden="1">{"Variance Q3",#N/A,FALSE,"Var"}</definedName>
    <definedName name="wrn.Variance._.Q1." hidden="1">{"Variance Q1",#N/A,FALSE,"Var"}</definedName>
    <definedName name="wrn.Variance._.Q2." hidden="1">{"Variance Q2",#N/A,FALSE,"Var"}</definedName>
    <definedName name="wrn.Variance._.Q3." hidden="1">{"Variance Q3",#N/A,FALSE,"Var"}</definedName>
    <definedName name="wrn.Variance._.Q4" hidden="1">{"Variance Q4",#N/A,FALSE,"Var"}</definedName>
    <definedName name="wrn.Variance._.Q4." hidden="1">{"Variance Q4",#N/A,FALSE,"Var"}</definedName>
    <definedName name="wrn.WSTS._.Trade._.Statistics." hidden="1">{#N/A,#N/A,FALSE,"Table of Contents";#N/A,#N/A,FALSE,"Overview";#N/A,#N/A,FALSE,"Data"}</definedName>
    <definedName name="ws" hidden="1">{"'보고양식'!$A$58:$K$111"}</definedName>
    <definedName name="ww" hidden="1">{#N/A,#N/A,FALSE,"Table of Contents";#N/A,#N/A,FALSE,"Overview";#N/A,#N/A,FALSE,"Data"}</definedName>
    <definedName name="x" hidden="1">{"cover a","1q",FALSE,"Cover";"Op Earn Mgd Q1",#N/A,FALSE,"Op-Earn (Mng)";"Op Earn Rpt Q1",#N/A,FALSE,"Op-Earn (Rpt)";"Loans",#N/A,FALSE,"Loans";"Credit Costs",#N/A,FALSE,"CCosts";"Net Interest Margin",#N/A,FALSE,"Margin";"Nonint Income",#N/A,FALSE,"NonII";"Nonint Exp",#N/A,FALSE,"NonIE";"Valuation",#N/A,FALSE,"Valuation"}</definedName>
    <definedName name="xaxislabels">OFFSET(#REF!,0,0,COUNTA(#REF!)+1,1)</definedName>
    <definedName name="XRefColumnsCount" hidden="1">1</definedName>
    <definedName name="XRefCopyRangeCount" hidden="1">2</definedName>
    <definedName name="XRefPasteRangeCount" hidden="1">1</definedName>
    <definedName name="xxx" hidden="1">{"cover a","1q",FALSE,"Cover";"Op Earn Mgd Q1",#N/A,FALSE,"Op-Earn (Mng)";"Op Earn Rpt Q1",#N/A,FALSE,"Op-Earn (Rpt)";"Loans",#N/A,FALSE,"Loans";"Credit Costs",#N/A,FALSE,"CCosts";"Net Interest Margin",#N/A,FALSE,"Margin";"Nonint Income",#N/A,FALSE,"NonII";"Nonint Exp",#N/A,FALSE,"NonIE";"Valuation",#N/A,FALSE,"Valuation"}</definedName>
    <definedName name="YearCopRgt">#REF!</definedName>
    <definedName name="YR">#REF!</definedName>
    <definedName name="z" hidden="1">{#N/A,#N/A,FALSE,"Aging Summary";#N/A,#N/A,FALSE,"Ratio Analysis";#N/A,#N/A,FALSE,"Test 120 Day Accts";#N/A,#N/A,FALSE,"Tickmarks"}</definedName>
    <definedName name="ㄴㄴ" hidden="1">{#N/A,#N/A,FALSE,"Aging Summary";#N/A,#N/A,FALSE,"Ratio Analysis";#N/A,#N/A,FALSE,"Test 120 Day Accts";#N/A,#N/A,FALSE,"Tickmarks"}</definedName>
    <definedName name="매출원가" hidden="1">{#N/A,#N/A,FALSE,"Aging Summary";#N/A,#N/A,FALSE,"Ratio Analysis";#N/A,#N/A,FALSE,"Test 120 Day Accts";#N/A,#N/A,FALSE,"Tickmarks"}</definedName>
    <definedName name="매출원가1" hidden="1">{#N/A,#N/A,FALSE,"Aging Summary";#N/A,#N/A,FALSE,"Ratio Analysis";#N/A,#N/A,FALSE,"Test 120 Day Accts";#N/A,#N/A,FALSE,"Tickmarks"}</definedName>
    <definedName name="제조" hidden="1">#REF!</definedName>
    <definedName name="ㅏㅏ" hidden="1">{#N/A,#N/A,FALSE,"Aging Summary";#N/A,#N/A,FALSE,"Ratio Analysis";#N/A,#N/A,FALSE,"Test 120 Day Accts";#N/A,#N/A,FALSE,"Tickmarks"}</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K279" i="9" l="1"/>
  <c r="EK278" i="9"/>
  <c r="EK277" i="9"/>
  <c r="EK276" i="9"/>
  <c r="EK274" i="9"/>
  <c r="EK273" i="9"/>
  <c r="EK272" i="9"/>
  <c r="EK165" i="9" l="1"/>
  <c r="EJ163" i="9"/>
  <c r="EK162" i="9"/>
  <c r="EH163" i="9"/>
  <c r="EI163" i="9"/>
  <c r="EG163" i="9"/>
  <c r="EG168" i="9" s="1"/>
  <c r="EK161" i="9"/>
  <c r="DL143" i="9"/>
  <c r="DL142" i="9"/>
  <c r="DL141" i="9"/>
  <c r="DO143" i="9"/>
  <c r="DO142" i="9"/>
  <c r="DP143" i="9"/>
  <c r="DP142" i="9"/>
  <c r="DQ143" i="9"/>
  <c r="DQ142" i="9"/>
  <c r="DR143" i="9"/>
  <c r="DR142" i="9"/>
  <c r="EG377" i="4"/>
  <c r="EG374" i="4"/>
  <c r="EG371" i="4"/>
  <c r="EG368" i="4"/>
  <c r="EG369" i="4" s="1"/>
  <c r="EG365" i="4"/>
  <c r="EG362" i="4"/>
  <c r="EG11" i="4"/>
  <c r="EG87" i="9"/>
  <c r="V197" i="5" l="1"/>
  <c r="V170" i="5"/>
  <c r="V154" i="5"/>
  <c r="V146" i="5"/>
  <c r="V140" i="5"/>
  <c r="V127" i="5"/>
  <c r="V82" i="5"/>
  <c r="V32" i="5"/>
  <c r="FW87" i="4"/>
  <c r="FX87" i="4"/>
  <c r="V6" i="5"/>
  <c r="EI323" i="9" l="1"/>
  <c r="EI324" i="9"/>
  <c r="EI326" i="9"/>
  <c r="EI327" i="9"/>
  <c r="EI328" i="9"/>
  <c r="EI322" i="9"/>
  <c r="EI325" i="9" l="1"/>
  <c r="EI321" i="9" s="1"/>
  <c r="EE335" i="9" l="1"/>
  <c r="EE334" i="9" s="1"/>
  <c r="E26" i="1" a="1"/>
  <c r="E26" i="1" l="1"/>
  <c r="V172" i="5" s="1"/>
  <c r="ED362" i="4" l="1"/>
  <c r="ED365" i="4"/>
  <c r="ED368" i="4"/>
  <c r="EE332" i="9"/>
  <c r="EE374" i="9"/>
  <c r="EC116" i="9"/>
  <c r="ED152" i="9"/>
  <c r="ED116" i="9"/>
  <c r="EE161" i="9"/>
  <c r="ED80" i="9" l="1"/>
  <c r="ED316" i="4"/>
  <c r="EL160" i="9"/>
  <c r="EC162" i="9"/>
  <c r="EB162" i="9"/>
  <c r="EA162" i="9"/>
  <c r="EE162" i="9" l="1"/>
  <c r="EK163" i="9"/>
  <c r="U308" i="5" l="1"/>
  <c r="U302" i="5"/>
  <c r="U297" i="5"/>
  <c r="U288" i="5"/>
  <c r="M70" i="5"/>
  <c r="EC377" i="4"/>
  <c r="EC374" i="4"/>
  <c r="EC362" i="4"/>
  <c r="EC365" i="4"/>
  <c r="EC368" i="4"/>
  <c r="EC208" i="4"/>
  <c r="EE163" i="9"/>
  <c r="C285" i="5" a="1"/>
  <c r="C286" i="5" a="1"/>
  <c r="ED163" i="9" l="1"/>
  <c r="EC371" i="4"/>
  <c r="C286" i="5"/>
  <c r="C285" i="5"/>
  <c r="EC233" i="4"/>
  <c r="EC11" i="4"/>
  <c r="EC80" i="9"/>
  <c r="EC334" i="4"/>
  <c r="EC316" i="4"/>
  <c r="EC344" i="4"/>
  <c r="EC118" i="9"/>
  <c r="EL275" i="9"/>
  <c r="EL280" i="9" s="1"/>
  <c r="EG275" i="9"/>
  <c r="EH275" i="9"/>
  <c r="EH280" i="9" s="1"/>
  <c r="EI275" i="9"/>
  <c r="EI280" i="9" s="1"/>
  <c r="EJ275" i="9"/>
  <c r="EJ280" i="9" s="1"/>
  <c r="FO161" i="9"/>
  <c r="FN161" i="9"/>
  <c r="FM161" i="9"/>
  <c r="FO162" i="9"/>
  <c r="FN162" i="9"/>
  <c r="FM162" i="9"/>
  <c r="EE423" i="9"/>
  <c r="EK275" i="9" l="1"/>
  <c r="EG280" i="9"/>
  <c r="EC319" i="9"/>
  <c r="EK423" i="9"/>
  <c r="EE427" i="9"/>
  <c r="AX82" i="9"/>
  <c r="AC82" i="9"/>
  <c r="AD82" i="9"/>
  <c r="FP209" i="9"/>
  <c r="FP259" i="9"/>
  <c r="FP317" i="9"/>
  <c r="FO347" i="9"/>
  <c r="FN347" i="9"/>
  <c r="FM347" i="9"/>
  <c r="FO346" i="9"/>
  <c r="FN346" i="9"/>
  <c r="FM346" i="9"/>
  <c r="FO343" i="9"/>
  <c r="FN343" i="9"/>
  <c r="FM343" i="9"/>
  <c r="FO342" i="9"/>
  <c r="FN342" i="9"/>
  <c r="FM342" i="9"/>
  <c r="FO341" i="9"/>
  <c r="FN341" i="9"/>
  <c r="FM341" i="9"/>
  <c r="FR337" i="9"/>
  <c r="FQ337" i="9"/>
  <c r="FP337" i="9"/>
  <c r="FO326" i="9"/>
  <c r="FN326" i="9"/>
  <c r="FM326" i="9"/>
  <c r="FR324" i="9"/>
  <c r="FQ324" i="9"/>
  <c r="FR323" i="9"/>
  <c r="FQ323" i="9"/>
  <c r="FM323" i="9"/>
  <c r="FP106" i="9"/>
  <c r="FQ106" i="9"/>
  <c r="FR106" i="9"/>
  <c r="FP148" i="9"/>
  <c r="FP157" i="9"/>
  <c r="EL423" i="9" l="1"/>
  <c r="EK427" i="9"/>
  <c r="FQ325" i="9"/>
  <c r="FR325" i="9"/>
  <c r="FO355" i="9"/>
  <c r="FN355" i="9"/>
  <c r="FP355" i="9"/>
  <c r="FG95" i="9"/>
  <c r="EL427" i="9" l="1"/>
  <c r="EG34" i="9"/>
  <c r="EH34" i="9"/>
  <c r="EI34" i="9"/>
  <c r="EJ34" i="9"/>
  <c r="F41" i="5" l="1"/>
  <c r="FM286" i="9" l="1"/>
  <c r="FL286" i="9"/>
  <c r="FK286" i="9"/>
  <c r="FJ286" i="9"/>
  <c r="FI286" i="9"/>
  <c r="FM285" i="9"/>
  <c r="FL285" i="9"/>
  <c r="FK285" i="9"/>
  <c r="FJ285" i="9"/>
  <c r="FI285" i="9"/>
  <c r="FL405" i="9"/>
  <c r="FL396" i="9"/>
  <c r="FL392" i="9"/>
  <c r="FL387" i="9"/>
  <c r="FO54" i="9"/>
  <c r="FO337" i="9" s="1"/>
  <c r="DB205" i="9" l="1"/>
  <c r="DC205" i="9"/>
  <c r="DD205" i="9"/>
  <c r="DE205" i="9"/>
  <c r="DF205" i="9"/>
  <c r="DG205" i="9"/>
  <c r="DH205" i="9"/>
  <c r="DN205" i="9"/>
  <c r="DT205" i="9"/>
  <c r="DB206" i="9"/>
  <c r="DC206" i="9"/>
  <c r="DD206" i="9"/>
  <c r="DE206" i="9"/>
  <c r="DF206" i="9"/>
  <c r="DG206" i="9"/>
  <c r="DH206" i="9"/>
  <c r="DI206" i="9"/>
  <c r="DJ206" i="9"/>
  <c r="DK206" i="9"/>
  <c r="DL206" i="9"/>
  <c r="DM206" i="9"/>
  <c r="DN206" i="9"/>
  <c r="DO206" i="9"/>
  <c r="DP206" i="9"/>
  <c r="DQ206" i="9"/>
  <c r="DR206" i="9"/>
  <c r="DS206" i="9"/>
  <c r="DT206" i="9"/>
  <c r="FN76" i="9"/>
  <c r="FN77" i="9"/>
  <c r="FN78" i="9"/>
  <c r="FN79" i="9"/>
  <c r="FN80" i="9"/>
  <c r="FN86" i="9"/>
  <c r="FN87" i="9"/>
  <c r="FN89" i="9"/>
  <c r="FN90" i="9"/>
  <c r="FN91" i="9"/>
  <c r="FN92" i="9"/>
  <c r="FN106" i="9"/>
  <c r="FN148" i="9"/>
  <c r="FN160" i="9"/>
  <c r="FN164" i="9"/>
  <c r="FN165" i="9"/>
  <c r="FN166" i="9"/>
  <c r="FN202" i="9"/>
  <c r="FN209" i="9"/>
  <c r="FN259" i="9"/>
  <c r="FN317" i="9"/>
  <c r="FN434" i="9"/>
  <c r="FO77" i="9"/>
  <c r="FO78" i="9"/>
  <c r="FO79" i="9"/>
  <c r="FO87" i="9"/>
  <c r="FE36" i="9"/>
  <c r="FE35" i="9"/>
  <c r="FM34" i="9"/>
  <c r="FL34" i="9"/>
  <c r="FK34" i="9"/>
  <c r="FJ34" i="9"/>
  <c r="FI34" i="9"/>
  <c r="FH34" i="9"/>
  <c r="FG34" i="9"/>
  <c r="FF34" i="9"/>
  <c r="FE34" i="9"/>
  <c r="FO29" i="9"/>
  <c r="FM29" i="9"/>
  <c r="FL29" i="9"/>
  <c r="FK29" i="9"/>
  <c r="FJ29" i="9"/>
  <c r="FI29" i="9"/>
  <c r="FH29" i="9"/>
  <c r="FG29" i="9"/>
  <c r="FF29" i="9"/>
  <c r="FE29" i="9"/>
  <c r="FO30" i="9"/>
  <c r="FE30" i="9"/>
  <c r="FE31" i="9"/>
  <c r="FE80" i="9"/>
  <c r="FF80" i="9"/>
  <c r="FG80" i="9"/>
  <c r="FH80" i="9"/>
  <c r="FI80" i="9"/>
  <c r="FJ80" i="9"/>
  <c r="FK80" i="9"/>
  <c r="FP434" i="9"/>
  <c r="FP301" i="9"/>
  <c r="FP311" i="9" s="1"/>
  <c r="FP300" i="9"/>
  <c r="FP441" i="9" s="1"/>
  <c r="FP299" i="9"/>
  <c r="FP309" i="9" s="1"/>
  <c r="FP298" i="9"/>
  <c r="FP308" i="9" s="1"/>
  <c r="FP296" i="9"/>
  <c r="FP306" i="9" s="1"/>
  <c r="FP291" i="9"/>
  <c r="FP290" i="9"/>
  <c r="FP289" i="9"/>
  <c r="FP288" i="9"/>
  <c r="FP286" i="9"/>
  <c r="FP285" i="9"/>
  <c r="FP284" i="9"/>
  <c r="FP275" i="9"/>
  <c r="FP287" i="9" s="1"/>
  <c r="FP268" i="9"/>
  <c r="FP253" i="9"/>
  <c r="FP252" i="9"/>
  <c r="FP251" i="9"/>
  <c r="FP250" i="9"/>
  <c r="FP249" i="9"/>
  <c r="FP248" i="9"/>
  <c r="FP245" i="9"/>
  <c r="FP218" i="9"/>
  <c r="FP187" i="9"/>
  <c r="FP196" i="9" s="1"/>
  <c r="FP186" i="9"/>
  <c r="FP185" i="9"/>
  <c r="FP194" i="9" s="1"/>
  <c r="FP184" i="9"/>
  <c r="FP193" i="9" s="1"/>
  <c r="FP182" i="9"/>
  <c r="FP191" i="9" s="1"/>
  <c r="FP178" i="9"/>
  <c r="FP177" i="9"/>
  <c r="FP176" i="9"/>
  <c r="FP175" i="9"/>
  <c r="FP173" i="9"/>
  <c r="FP172" i="9"/>
  <c r="FP171" i="9"/>
  <c r="FP163" i="9"/>
  <c r="FP168" i="9" s="1"/>
  <c r="FP144" i="9"/>
  <c r="EH367" i="9"/>
  <c r="EI367" i="9"/>
  <c r="EG80" i="9"/>
  <c r="FO80" i="9" s="1"/>
  <c r="FQ24" i="9"/>
  <c r="FR34" i="9" s="1"/>
  <c r="FR24" i="9"/>
  <c r="FQ25" i="9"/>
  <c r="FR25" i="9"/>
  <c r="FQ26" i="9"/>
  <c r="FR36" i="9" s="1"/>
  <c r="FR26" i="9"/>
  <c r="FE53" i="9"/>
  <c r="FF53" i="9"/>
  <c r="FO434" i="9"/>
  <c r="FO317" i="9"/>
  <c r="FO279" i="9"/>
  <c r="FO278" i="9"/>
  <c r="FO277" i="9"/>
  <c r="FO276" i="9"/>
  <c r="FO272" i="9"/>
  <c r="FO267" i="9"/>
  <c r="FO266" i="9"/>
  <c r="FO265" i="9"/>
  <c r="FO264" i="9"/>
  <c r="FO263" i="9"/>
  <c r="FO262" i="9"/>
  <c r="FO259" i="9"/>
  <c r="FO244" i="9"/>
  <c r="FP226" i="9" s="1"/>
  <c r="FP235" i="9" s="1"/>
  <c r="FO243" i="9"/>
  <c r="FP225" i="9" s="1"/>
  <c r="FP234" i="9" s="1"/>
  <c r="FO242" i="9"/>
  <c r="FP224" i="9" s="1"/>
  <c r="FP233" i="9" s="1"/>
  <c r="FO241" i="9"/>
  <c r="FP223" i="9" s="1"/>
  <c r="FP232" i="9" s="1"/>
  <c r="FO240" i="9"/>
  <c r="FP222" i="9" s="1"/>
  <c r="FP231" i="9" s="1"/>
  <c r="FO239" i="9"/>
  <c r="FO209" i="9"/>
  <c r="FO202" i="9"/>
  <c r="FO167" i="9"/>
  <c r="FO166" i="9"/>
  <c r="FO165" i="9"/>
  <c r="FO164" i="9"/>
  <c r="FO160" i="9"/>
  <c r="FO156" i="9"/>
  <c r="FO155" i="9"/>
  <c r="FO154" i="9"/>
  <c r="FO153" i="9"/>
  <c r="FO152" i="9"/>
  <c r="FO151" i="9"/>
  <c r="FO148" i="9"/>
  <c r="FO106" i="9"/>
  <c r="FW113" i="4"/>
  <c r="FX113" i="4"/>
  <c r="EL144" i="9"/>
  <c r="EJ144" i="9"/>
  <c r="EI144" i="9"/>
  <c r="EH144" i="9"/>
  <c r="EJ337" i="9"/>
  <c r="EL355" i="9"/>
  <c r="EL337" i="9"/>
  <c r="EG286" i="9"/>
  <c r="EH286" i="9"/>
  <c r="EI286" i="9"/>
  <c r="EJ286" i="9"/>
  <c r="EL286" i="9"/>
  <c r="EG285" i="9"/>
  <c r="EH285" i="9"/>
  <c r="EI285" i="9"/>
  <c r="EJ285" i="9"/>
  <c r="EI337" i="9"/>
  <c r="EI338" i="9" s="1"/>
  <c r="EI53" i="9" s="1"/>
  <c r="EI87" i="4" s="1"/>
  <c r="EI113" i="4" s="1"/>
  <c r="EH337" i="9"/>
  <c r="EH338" i="9" s="1"/>
  <c r="EH53" i="9" s="1"/>
  <c r="EH87" i="4" s="1"/>
  <c r="EH113" i="4" s="1"/>
  <c r="DX292" i="9"/>
  <c r="DW292" i="9"/>
  <c r="DV292" i="9"/>
  <c r="DV142" i="9" s="1"/>
  <c r="DU292" i="9"/>
  <c r="DU142" i="9" s="1"/>
  <c r="EL285" i="9"/>
  <c r="FO285" i="9" s="1"/>
  <c r="EK355" i="9"/>
  <c r="FN169" i="9" l="1"/>
  <c r="FP329" i="9"/>
  <c r="FO169" i="9"/>
  <c r="FP324" i="9"/>
  <c r="DE207" i="9"/>
  <c r="DF207" i="9"/>
  <c r="DT207" i="9"/>
  <c r="FP322" i="9"/>
  <c r="FP74" i="9"/>
  <c r="FP25" i="9" s="1"/>
  <c r="FQ35" i="9" s="1"/>
  <c r="FP323" i="9"/>
  <c r="FP390" i="9" s="1"/>
  <c r="FP327" i="9"/>
  <c r="FP328" i="9"/>
  <c r="DH207" i="9"/>
  <c r="FO286" i="9"/>
  <c r="DG207" i="9"/>
  <c r="DB207" i="9"/>
  <c r="DN207" i="9"/>
  <c r="DD207" i="9"/>
  <c r="DC207" i="9"/>
  <c r="FP391" i="9"/>
  <c r="FO157" i="9"/>
  <c r="FP174" i="9"/>
  <c r="FP179" i="9" s="1"/>
  <c r="FP47" i="9" s="1"/>
  <c r="FP448" i="9"/>
  <c r="FP467" i="9" s="1"/>
  <c r="FQ27" i="9"/>
  <c r="FP310" i="9"/>
  <c r="FP449" i="9" s="1"/>
  <c r="FR27" i="9"/>
  <c r="FP392" i="9"/>
  <c r="FO268" i="9"/>
  <c r="FP183" i="9"/>
  <c r="FP192" i="9" s="1"/>
  <c r="FO245" i="9"/>
  <c r="FR35" i="9"/>
  <c r="FR37" i="9" s="1"/>
  <c r="FP221" i="9"/>
  <c r="FP230" i="9" s="1"/>
  <c r="FP292" i="9"/>
  <c r="FP447" i="9"/>
  <c r="FP466" i="9" s="1"/>
  <c r="FP450" i="9"/>
  <c r="FP469" i="9" s="1"/>
  <c r="FP445" i="9"/>
  <c r="FP437" i="9"/>
  <c r="FP456" i="9" s="1"/>
  <c r="FP297" i="9"/>
  <c r="FP302" i="9" s="1"/>
  <c r="FP443" i="9" s="1"/>
  <c r="FP254" i="9"/>
  <c r="FP440" i="9"/>
  <c r="FP459" i="9" s="1"/>
  <c r="FP439" i="9"/>
  <c r="FP458" i="9" s="1"/>
  <c r="FP460" i="9"/>
  <c r="FP442" i="9"/>
  <c r="FP461" i="9" s="1"/>
  <c r="FP280" i="9"/>
  <c r="FP195" i="9"/>
  <c r="EI143" i="9"/>
  <c r="EG118" i="9" s="1"/>
  <c r="EH143" i="9"/>
  <c r="EK285" i="9"/>
  <c r="FN285" i="9" s="1"/>
  <c r="EK286" i="9"/>
  <c r="FP325" i="9" l="1"/>
  <c r="FP330" i="9" s="1"/>
  <c r="FR32" i="9"/>
  <c r="FN286" i="9"/>
  <c r="FP381" i="9"/>
  <c r="FP389" i="9"/>
  <c r="FP382" i="9"/>
  <c r="FP468" i="9"/>
  <c r="FP197" i="9"/>
  <c r="FP383" i="9"/>
  <c r="FP141" i="9"/>
  <c r="FP188" i="9"/>
  <c r="FP236" i="9"/>
  <c r="FP142" i="9" s="1"/>
  <c r="FP227" i="9"/>
  <c r="FP205" i="9" s="1"/>
  <c r="FP73" i="9" s="1"/>
  <c r="FP86" i="9" s="1"/>
  <c r="FP307" i="9"/>
  <c r="FP438" i="9"/>
  <c r="FP457" i="9" s="1"/>
  <c r="FP462" i="9" s="1"/>
  <c r="FP464" i="9"/>
  <c r="FP206" i="9" l="1"/>
  <c r="FP207" i="9" s="1"/>
  <c r="FP446" i="9"/>
  <c r="FP312" i="9"/>
  <c r="FP46" i="9" l="1"/>
  <c r="FP48" i="9" s="1"/>
  <c r="FP465" i="9"/>
  <c r="FP470" i="9" s="1"/>
  <c r="FP451" i="9"/>
  <c r="EI168" i="9" l="1"/>
  <c r="EH168" i="9"/>
  <c r="EB168" i="9"/>
  <c r="EC168" i="9"/>
  <c r="ED168" i="9"/>
  <c r="EH80" i="9"/>
  <c r="EH76" i="9" s="1"/>
  <c r="EI80" i="9"/>
  <c r="EI76" i="9" s="1"/>
  <c r="EE333" i="9"/>
  <c r="EL173" i="9"/>
  <c r="EL324" i="9" s="1"/>
  <c r="FO324" i="9" s="1"/>
  <c r="EL172" i="9"/>
  <c r="EL171" i="9"/>
  <c r="FO171" i="9" s="1"/>
  <c r="EI171" i="9"/>
  <c r="EH171" i="9"/>
  <c r="EG171" i="9"/>
  <c r="DY393" i="9"/>
  <c r="FL393" i="9" s="1"/>
  <c r="DY334" i="9"/>
  <c r="EE363" i="9" s="1"/>
  <c r="DY385" i="9"/>
  <c r="DY384" i="9"/>
  <c r="DY163" i="9"/>
  <c r="DR437" i="9"/>
  <c r="DR438" i="9"/>
  <c r="DR439" i="9"/>
  <c r="DR440" i="9"/>
  <c r="DR441" i="9"/>
  <c r="DR442" i="9"/>
  <c r="EL163" i="9"/>
  <c r="DR46" i="9"/>
  <c r="DV206" i="9"/>
  <c r="DV46" i="9" s="1"/>
  <c r="DU206" i="9"/>
  <c r="DU46" i="9" s="1"/>
  <c r="EL178" i="9"/>
  <c r="FO178" i="9" s="1"/>
  <c r="EL175" i="9"/>
  <c r="EG175" i="9"/>
  <c r="EH175" i="9"/>
  <c r="EI175" i="9"/>
  <c r="EG176" i="9"/>
  <c r="EH176" i="9"/>
  <c r="EI176" i="9"/>
  <c r="EG177" i="9"/>
  <c r="EH177" i="9"/>
  <c r="EI177" i="9"/>
  <c r="EG178" i="9"/>
  <c r="EH178" i="9"/>
  <c r="EI178" i="9"/>
  <c r="EJ178" i="9"/>
  <c r="EH174" i="9"/>
  <c r="EI174" i="9"/>
  <c r="EG174" i="9"/>
  <c r="EH86" i="9"/>
  <c r="EI86" i="9"/>
  <c r="EJ86" i="9"/>
  <c r="EG86" i="9"/>
  <c r="FO86" i="9" s="1"/>
  <c r="FR317" i="9"/>
  <c r="FQ317" i="9"/>
  <c r="FM317" i="9"/>
  <c r="FL317" i="9"/>
  <c r="FK317" i="9"/>
  <c r="FJ317" i="9"/>
  <c r="FI317" i="9"/>
  <c r="FH317" i="9"/>
  <c r="FG317" i="9"/>
  <c r="FF317" i="9"/>
  <c r="FE317" i="9"/>
  <c r="FD317" i="9"/>
  <c r="FC317" i="9"/>
  <c r="FB317" i="9"/>
  <c r="FA317" i="9"/>
  <c r="EL218" i="9"/>
  <c r="EJ218" i="9"/>
  <c r="EI218" i="9"/>
  <c r="EH218" i="9"/>
  <c r="EG218" i="9"/>
  <c r="EK217" i="9"/>
  <c r="EK216" i="9"/>
  <c r="EK215" i="9"/>
  <c r="EK214" i="9"/>
  <c r="EK213" i="9"/>
  <c r="EK212" i="9"/>
  <c r="EL253" i="9"/>
  <c r="FO253" i="9" s="1"/>
  <c r="EL252" i="9"/>
  <c r="FO252" i="9" s="1"/>
  <c r="EL251" i="9"/>
  <c r="FO251" i="9" s="1"/>
  <c r="EL250" i="9"/>
  <c r="FO250" i="9" s="1"/>
  <c r="EL249" i="9"/>
  <c r="FO249" i="9" s="1"/>
  <c r="EL248" i="9"/>
  <c r="FO248" i="9" s="1"/>
  <c r="EL245" i="9"/>
  <c r="U70" i="5"/>
  <c r="T70" i="5"/>
  <c r="S70" i="5"/>
  <c r="R70" i="5"/>
  <c r="Q70" i="5"/>
  <c r="O70" i="5"/>
  <c r="N70" i="5"/>
  <c r="L70" i="5"/>
  <c r="K70" i="5"/>
  <c r="F70" i="5"/>
  <c r="G70" i="5"/>
  <c r="H70" i="5"/>
  <c r="I70" i="5"/>
  <c r="E70" i="5"/>
  <c r="ED74" i="9" l="1"/>
  <c r="ED169" i="9" s="1"/>
  <c r="EC74" i="9"/>
  <c r="EC169" i="9" s="1"/>
  <c r="FN163" i="9"/>
  <c r="EE384" i="9"/>
  <c r="FM384" i="9" s="1"/>
  <c r="FM335" i="9"/>
  <c r="EE385" i="9"/>
  <c r="FM385" i="9" s="1"/>
  <c r="FM333" i="9"/>
  <c r="FP353" i="9"/>
  <c r="EE393" i="9"/>
  <c r="FM393" i="9" s="1"/>
  <c r="FM332" i="9"/>
  <c r="FO76" i="9"/>
  <c r="FL384" i="9"/>
  <c r="DY400" i="9"/>
  <c r="FL385" i="9"/>
  <c r="DY399" i="9"/>
  <c r="DY394" i="9"/>
  <c r="DY374" i="9"/>
  <c r="EL381" i="9"/>
  <c r="FO175" i="9"/>
  <c r="FO254" i="9"/>
  <c r="EL168" i="9"/>
  <c r="FO163" i="9"/>
  <c r="FO168" i="9" s="1"/>
  <c r="FO275" i="9"/>
  <c r="FO280" i="9" s="1"/>
  <c r="EL323" i="9"/>
  <c r="EK332" i="9"/>
  <c r="EK335" i="9"/>
  <c r="EK333" i="9"/>
  <c r="DP10" i="9"/>
  <c r="DQ10" i="9"/>
  <c r="DO10" i="9"/>
  <c r="DQ46" i="9"/>
  <c r="EI179" i="9"/>
  <c r="DR10" i="9"/>
  <c r="EH179" i="9"/>
  <c r="DP46" i="9"/>
  <c r="DO46" i="9"/>
  <c r="EK218" i="9"/>
  <c r="EL254" i="9"/>
  <c r="ED221" i="9"/>
  <c r="N9" i="9"/>
  <c r="N37" i="9" s="1"/>
  <c r="EB377" i="4"/>
  <c r="EB374" i="4"/>
  <c r="EB368" i="4"/>
  <c r="EB365" i="4"/>
  <c r="EB362" i="4"/>
  <c r="EB50" i="4"/>
  <c r="EB52" i="4"/>
  <c r="EB18" i="4"/>
  <c r="EB168" i="4"/>
  <c r="EB41" i="4"/>
  <c r="EB67" i="4"/>
  <c r="EB37" i="9"/>
  <c r="EB55" i="9" l="1"/>
  <c r="EB54" i="9" s="1"/>
  <c r="EB422" i="9"/>
  <c r="FM334" i="9"/>
  <c r="FN332" i="9"/>
  <c r="EN331" i="9"/>
  <c r="EB371" i="4"/>
  <c r="EB49" i="9"/>
  <c r="FL394" i="9"/>
  <c r="DY422" i="9"/>
  <c r="EE399" i="9"/>
  <c r="EE400" i="9"/>
  <c r="EL325" i="9"/>
  <c r="FO325" i="9" s="1"/>
  <c r="FO323" i="9"/>
  <c r="EK384" i="9"/>
  <c r="FN384" i="9" s="1"/>
  <c r="FN335" i="9"/>
  <c r="EK385" i="9"/>
  <c r="FN385" i="9" s="1"/>
  <c r="FN333" i="9"/>
  <c r="FO381" i="9"/>
  <c r="EE394" i="9"/>
  <c r="EI47" i="9"/>
  <c r="EI141" i="9"/>
  <c r="EH47" i="9"/>
  <c r="EH141" i="9"/>
  <c r="EL333" i="9"/>
  <c r="EL335" i="9"/>
  <c r="EK393" i="9"/>
  <c r="FN393" i="9" s="1"/>
  <c r="EL332" i="9"/>
  <c r="DS46" i="9"/>
  <c r="EB80" i="9"/>
  <c r="EB375" i="4"/>
  <c r="EB120" i="9"/>
  <c r="EB334" i="4"/>
  <c r="EB344" i="4"/>
  <c r="EB316" i="4"/>
  <c r="EB51" i="4"/>
  <c r="EB11" i="4"/>
  <c r="EB10" i="9"/>
  <c r="EB9" i="4" s="1"/>
  <c r="EE422" i="9" l="1"/>
  <c r="EB372" i="4"/>
  <c r="DY424" i="9"/>
  <c r="EK399" i="9"/>
  <c r="EK400" i="9"/>
  <c r="FM394" i="9"/>
  <c r="EL385" i="9"/>
  <c r="FO385" i="9" s="1"/>
  <c r="FO333" i="9"/>
  <c r="FP333" i="9" s="1"/>
  <c r="EL384" i="9"/>
  <c r="EL400" i="9" s="1"/>
  <c r="FO335" i="9"/>
  <c r="FP335" i="9" s="1"/>
  <c r="EL393" i="9"/>
  <c r="FO393" i="9" s="1"/>
  <c r="FO332" i="9"/>
  <c r="FP332" i="9" s="1"/>
  <c r="FP352" i="9"/>
  <c r="FP354" i="9"/>
  <c r="EB13" i="4"/>
  <c r="EB116" i="4" s="1"/>
  <c r="EB363" i="4"/>
  <c r="EB170" i="4"/>
  <c r="EB163" i="4"/>
  <c r="EE426" i="9" l="1"/>
  <c r="FO384" i="9"/>
  <c r="EL399" i="9"/>
  <c r="FQ333" i="9"/>
  <c r="FR333" i="9" s="1"/>
  <c r="FP385" i="9"/>
  <c r="FQ332" i="9"/>
  <c r="FR332" i="9" s="1"/>
  <c r="FP393" i="9"/>
  <c r="FQ335" i="9"/>
  <c r="FR335" i="9" s="1"/>
  <c r="FP384" i="9"/>
  <c r="EB14" i="4"/>
  <c r="EE428" i="9" l="1"/>
  <c r="FP386" i="9"/>
  <c r="FP401" i="9" s="1"/>
  <c r="EB323" i="4" l="1"/>
  <c r="EB357" i="4" l="1"/>
  <c r="EB347" i="4"/>
  <c r="EL174" i="9" l="1"/>
  <c r="FO174" i="9" s="1"/>
  <c r="FQ163" i="9"/>
  <c r="FQ168" i="9" s="1"/>
  <c r="FR163" i="9"/>
  <c r="ED377" i="4" l="1"/>
  <c r="FR217" i="4"/>
  <c r="FQ217" i="4"/>
  <c r="FP217" i="4"/>
  <c r="FO217" i="4"/>
  <c r="GK57" i="4"/>
  <c r="GK58" i="4" s="1"/>
  <c r="GH6" i="4"/>
  <c r="GL26" i="4" l="1"/>
  <c r="EA165" i="9" l="1"/>
  <c r="U170" i="5" l="1"/>
  <c r="U172" i="5"/>
  <c r="U197" i="5"/>
  <c r="U127" i="5"/>
  <c r="U140" i="5"/>
  <c r="U146" i="5"/>
  <c r="U154" i="5"/>
  <c r="U82" i="5"/>
  <c r="U6" i="5"/>
  <c r="U32" i="5"/>
  <c r="ED226" i="9" l="1"/>
  <c r="EA166" i="9"/>
  <c r="EA377" i="4"/>
  <c r="EA368" i="4"/>
  <c r="EA362" i="4"/>
  <c r="EA283" i="4"/>
  <c r="EA284" i="4"/>
  <c r="EA52" i="4"/>
  <c r="EA41" i="4"/>
  <c r="EA20" i="4"/>
  <c r="EA168" i="4"/>
  <c r="EA11" i="4"/>
  <c r="EA67" i="4"/>
  <c r="EA6" i="4"/>
  <c r="EA371" i="4" l="1"/>
  <c r="EA168" i="9"/>
  <c r="EA369" i="4"/>
  <c r="EB164" i="4"/>
  <c r="EA50" i="4"/>
  <c r="EA61" i="4" s="1"/>
  <c r="EA19" i="4"/>
  <c r="EA288" i="4"/>
  <c r="EA374" i="4"/>
  <c r="EA260" i="4"/>
  <c r="EA316" i="4"/>
  <c r="EA365" i="4"/>
  <c r="EA344" i="4"/>
  <c r="EA334" i="4"/>
  <c r="EA244" i="4"/>
  <c r="EA18" i="4"/>
  <c r="EA21" i="4" l="1"/>
  <c r="EA51" i="4"/>
  <c r="EA375" i="4"/>
  <c r="EA55" i="9" l="1"/>
  <c r="EA422" i="9"/>
  <c r="EA80" i="9"/>
  <c r="EA233" i="4"/>
  <c r="EA246" i="4" s="1"/>
  <c r="EA268" i="4" s="1"/>
  <c r="EA120" i="9"/>
  <c r="EA37" i="9"/>
  <c r="EA89" i="4"/>
  <c r="EA10" i="9"/>
  <c r="EA9" i="4" l="1"/>
  <c r="EA294" i="4"/>
  <c r="EA363" i="4" l="1"/>
  <c r="EA372" i="4"/>
  <c r="EA289" i="4"/>
  <c r="EA293" i="4"/>
  <c r="EA13" i="4"/>
  <c r="EA170" i="4"/>
  <c r="EA179" i="4"/>
  <c r="EA163" i="4"/>
  <c r="EA116" i="4" l="1"/>
  <c r="EA24" i="4"/>
  <c r="EA14" i="4"/>
  <c r="EA202" i="4" l="1"/>
  <c r="EA25" i="4"/>
  <c r="EA323" i="4"/>
  <c r="DY72" i="4"/>
  <c r="DX360" i="4"/>
  <c r="DX368" i="4"/>
  <c r="DX365" i="4"/>
  <c r="DX303" i="4"/>
  <c r="DX279" i="4"/>
  <c r="EA319" i="4"/>
  <c r="EA320" i="4"/>
  <c r="DX223" i="4"/>
  <c r="DX52" i="4"/>
  <c r="DX50" i="4"/>
  <c r="DX41" i="4"/>
  <c r="DX38" i="4"/>
  <c r="DX30" i="4"/>
  <c r="DX20" i="4"/>
  <c r="DX18" i="4"/>
  <c r="DX168" i="4"/>
  <c r="DX67" i="4"/>
  <c r="DX6" i="4"/>
  <c r="FR216" i="4" l="1"/>
  <c r="EA347" i="4"/>
  <c r="EA357" i="4"/>
  <c r="DX11" i="4"/>
  <c r="DX260" i="4"/>
  <c r="DX334" i="4"/>
  <c r="DX316" i="4"/>
  <c r="DX244" i="4"/>
  <c r="DX369" i="4"/>
  <c r="DX371" i="4"/>
  <c r="DX283" i="4"/>
  <c r="DX51" i="4"/>
  <c r="DX284" i="4"/>
  <c r="DX61" i="4"/>
  <c r="DX208" i="4"/>
  <c r="EA208" i="4" s="1"/>
  <c r="ED208" i="4" s="1"/>
  <c r="DX374" i="4"/>
  <c r="DX375" i="4" s="1"/>
  <c r="DX362" i="4"/>
  <c r="DX19" i="4"/>
  <c r="DX21" i="4" l="1"/>
  <c r="EA164" i="4"/>
  <c r="DX288" i="4"/>
  <c r="DX434" i="9" l="1"/>
  <c r="DX280" i="9"/>
  <c r="DX268" i="9"/>
  <c r="DX110" i="9" s="1"/>
  <c r="DX253" i="9"/>
  <c r="DX252" i="9"/>
  <c r="DX251" i="9"/>
  <c r="DX250" i="9"/>
  <c r="DX249" i="9"/>
  <c r="DX248" i="9"/>
  <c r="DX245" i="9"/>
  <c r="DX232" i="9"/>
  <c r="DX226" i="9"/>
  <c r="DX235" i="9" s="1"/>
  <c r="DX225" i="9"/>
  <c r="DX224" i="9"/>
  <c r="DX233" i="9" s="1"/>
  <c r="DX222" i="9"/>
  <c r="DX231" i="9" s="1"/>
  <c r="DX221" i="9"/>
  <c r="DX230" i="9" s="1"/>
  <c r="DX218" i="9"/>
  <c r="DX168" i="9"/>
  <c r="DX157" i="9"/>
  <c r="DX473" i="9"/>
  <c r="EA14" i="9"/>
  <c r="DX55" i="9"/>
  <c r="DX109" i="9" l="1"/>
  <c r="DX133" i="9"/>
  <c r="EA13" i="9"/>
  <c r="DX227" i="9"/>
  <c r="DX205" i="9" s="1"/>
  <c r="DX37" i="9"/>
  <c r="DX89" i="4"/>
  <c r="DX115" i="4" s="1"/>
  <c r="DX233" i="4"/>
  <c r="DX246" i="4" s="1"/>
  <c r="DX120" i="9"/>
  <c r="DX254" i="9"/>
  <c r="DX234" i="9"/>
  <c r="DX236" i="9" s="1"/>
  <c r="DX118" i="9"/>
  <c r="DX134" i="9"/>
  <c r="DX10" i="9"/>
  <c r="DX206" i="9" l="1"/>
  <c r="DX142" i="9"/>
  <c r="DX319" i="9"/>
  <c r="DX158" i="9"/>
  <c r="EA15" i="9"/>
  <c r="DX46" i="9"/>
  <c r="DX59" i="9" s="1"/>
  <c r="DX207" i="9"/>
  <c r="DX86" i="9" s="1"/>
  <c r="DX73" i="9"/>
  <c r="DX268" i="4"/>
  <c r="DX270" i="4" s="1"/>
  <c r="DX9" i="4"/>
  <c r="DX294" i="4"/>
  <c r="DW377" i="4"/>
  <c r="DW365" i="4"/>
  <c r="DW362" i="4"/>
  <c r="DX187" i="4"/>
  <c r="DW52" i="4"/>
  <c r="DW30" i="4"/>
  <c r="DW20" i="4"/>
  <c r="DW11" i="4"/>
  <c r="DX135" i="9"/>
  <c r="DW103" i="9"/>
  <c r="DX14" i="9"/>
  <c r="DW55" i="9"/>
  <c r="DW157" i="9"/>
  <c r="DW168" i="9"/>
  <c r="DW218" i="9"/>
  <c r="DW221" i="9"/>
  <c r="DW230" i="9" s="1"/>
  <c r="DW222" i="9"/>
  <c r="DW231" i="9" s="1"/>
  <c r="DW223" i="9"/>
  <c r="DW232" i="9" s="1"/>
  <c r="DW224" i="9"/>
  <c r="DW225" i="9"/>
  <c r="DW234" i="9" s="1"/>
  <c r="DW226" i="9"/>
  <c r="DW235" i="9" s="1"/>
  <c r="DW245" i="9"/>
  <c r="DW248" i="9"/>
  <c r="DW249" i="9"/>
  <c r="DW250" i="9"/>
  <c r="DW251" i="9"/>
  <c r="DW252" i="9"/>
  <c r="DW253" i="9"/>
  <c r="DW268" i="9"/>
  <c r="DW116" i="9" s="1"/>
  <c r="DW280" i="9"/>
  <c r="DW434" i="9"/>
  <c r="DX47" i="9" l="1"/>
  <c r="DX82" i="4" s="1"/>
  <c r="DX141" i="9"/>
  <c r="DW371" i="4"/>
  <c r="DW109" i="9"/>
  <c r="EJ174" i="9"/>
  <c r="DX102" i="9"/>
  <c r="DX13" i="9"/>
  <c r="DW118" i="9"/>
  <c r="DX13" i="4"/>
  <c r="DX179" i="4"/>
  <c r="DX170" i="4"/>
  <c r="DX293" i="4"/>
  <c r="DX163" i="4"/>
  <c r="DX289" i="4"/>
  <c r="DX363" i="4"/>
  <c r="DX372" i="4"/>
  <c r="DW284" i="4"/>
  <c r="DX320" i="4"/>
  <c r="DW283" i="4"/>
  <c r="DX319" i="4"/>
  <c r="DW133" i="9"/>
  <c r="DW227" i="9"/>
  <c r="DW205" i="9" s="1"/>
  <c r="DW134" i="9"/>
  <c r="DW233" i="4"/>
  <c r="DW169" i="9"/>
  <c r="DW102" i="9"/>
  <c r="DW334" i="4"/>
  <c r="DW254" i="9"/>
  <c r="DW82" i="9"/>
  <c r="DW89" i="4"/>
  <c r="DW115" i="4" s="1"/>
  <c r="DW344" i="4"/>
  <c r="DW316" i="4"/>
  <c r="DW323" i="4" s="1"/>
  <c r="DW357" i="4" s="1"/>
  <c r="DW368" i="4"/>
  <c r="DW369" i="4" s="1"/>
  <c r="DW374" i="4"/>
  <c r="DW260" i="4"/>
  <c r="DW208" i="4"/>
  <c r="DW244" i="4"/>
  <c r="DW41" i="4"/>
  <c r="DW50" i="4"/>
  <c r="DW51" i="4" s="1"/>
  <c r="DW37" i="9"/>
  <c r="DW10" i="9"/>
  <c r="DW233" i="9"/>
  <c r="DW236" i="9" s="1"/>
  <c r="DW206" i="9" l="1"/>
  <c r="DW142" i="9"/>
  <c r="DW319" i="9"/>
  <c r="DW158" i="9"/>
  <c r="DW46" i="9"/>
  <c r="DW59" i="9" s="1"/>
  <c r="DW207" i="9"/>
  <c r="DW86" i="9" s="1"/>
  <c r="DX82" i="9"/>
  <c r="DX169" i="9"/>
  <c r="DX103" i="9"/>
  <c r="DW288" i="4"/>
  <c r="DW9" i="4"/>
  <c r="DX15" i="9"/>
  <c r="DX14" i="4"/>
  <c r="DX116" i="4"/>
  <c r="DX24" i="4"/>
  <c r="DW347" i="4"/>
  <c r="DW294" i="4"/>
  <c r="DW375" i="4"/>
  <c r="DW246" i="4"/>
  <c r="DW120" i="9"/>
  <c r="DW473" i="9"/>
  <c r="DW47" i="9" l="1"/>
  <c r="DW141" i="9"/>
  <c r="DW293" i="4"/>
  <c r="DW81" i="4"/>
  <c r="DX81" i="4"/>
  <c r="DW179" i="4"/>
  <c r="DW170" i="4"/>
  <c r="DW13" i="4"/>
  <c r="DW116" i="4" s="1"/>
  <c r="DW372" i="4"/>
  <c r="DW289" i="4"/>
  <c r="DW363" i="4"/>
  <c r="DX323" i="4"/>
  <c r="DX357" i="4" s="1"/>
  <c r="DX32" i="4"/>
  <c r="DX25" i="4"/>
  <c r="DX202" i="4"/>
  <c r="DX107" i="4" l="1"/>
  <c r="DW14" i="4"/>
  <c r="DX43" i="4"/>
  <c r="DX33" i="4"/>
  <c r="DX199" i="4"/>
  <c r="DX39" i="4"/>
  <c r="DX44" i="4" l="1"/>
  <c r="DX366" i="4"/>
  <c r="DX57" i="4"/>
  <c r="DX58" i="4"/>
  <c r="DX1" i="4" l="1"/>
  <c r="EE151" i="9"/>
  <c r="EE160" i="9"/>
  <c r="CO132" i="9" l="1"/>
  <c r="DA132" i="9"/>
  <c r="CU132" i="9"/>
  <c r="CI132" i="9"/>
  <c r="CC132" i="9"/>
  <c r="FR434" i="9" l="1"/>
  <c r="FQ434" i="9"/>
  <c r="EL434" i="9"/>
  <c r="FM434" i="9"/>
  <c r="FL434" i="9"/>
  <c r="FK434" i="9"/>
  <c r="FJ434" i="9"/>
  <c r="FI434" i="9"/>
  <c r="FH434" i="9"/>
  <c r="FG434" i="9"/>
  <c r="FF434" i="9"/>
  <c r="FE434" i="9"/>
  <c r="FD434" i="9"/>
  <c r="FC434" i="9"/>
  <c r="FB434" i="9"/>
  <c r="FA434" i="9"/>
  <c r="EK434" i="9"/>
  <c r="EJ434" i="9"/>
  <c r="EI434" i="9"/>
  <c r="EH434" i="9"/>
  <c r="EG434" i="9"/>
  <c r="EE434" i="9"/>
  <c r="ED434" i="9"/>
  <c r="EC434" i="9"/>
  <c r="EB434" i="9"/>
  <c r="EA434" i="9"/>
  <c r="DY434" i="9"/>
  <c r="DV434" i="9"/>
  <c r="DU434" i="9"/>
  <c r="DS434" i="9"/>
  <c r="DR434" i="9"/>
  <c r="DQ434" i="9"/>
  <c r="DP434" i="9"/>
  <c r="DO434" i="9"/>
  <c r="FR259" i="9"/>
  <c r="FQ259" i="9"/>
  <c r="FM259" i="9"/>
  <c r="FL259" i="9"/>
  <c r="FK259" i="9"/>
  <c r="FJ259" i="9"/>
  <c r="FI259" i="9"/>
  <c r="FH259" i="9"/>
  <c r="FG259" i="9"/>
  <c r="FF259" i="9"/>
  <c r="FE259" i="9"/>
  <c r="FD259" i="9"/>
  <c r="FC259" i="9"/>
  <c r="FB259" i="9"/>
  <c r="FA259" i="9"/>
  <c r="FR209" i="9"/>
  <c r="FQ209" i="9"/>
  <c r="FM209" i="9"/>
  <c r="FL209" i="9"/>
  <c r="FK209" i="9"/>
  <c r="FJ209" i="9"/>
  <c r="FI209" i="9"/>
  <c r="FH209" i="9"/>
  <c r="FG209" i="9"/>
  <c r="FF209" i="9"/>
  <c r="FE209" i="9"/>
  <c r="FD209" i="9"/>
  <c r="FC209" i="9"/>
  <c r="FB209" i="9"/>
  <c r="FA209" i="9"/>
  <c r="FD42" i="9"/>
  <c r="FC42" i="9"/>
  <c r="FB42" i="9"/>
  <c r="FA42" i="9"/>
  <c r="CO22" i="9"/>
  <c r="CN22" i="9"/>
  <c r="CM22" i="9"/>
  <c r="CL22" i="9"/>
  <c r="CK22" i="9"/>
  <c r="CI22" i="9"/>
  <c r="CH22" i="9"/>
  <c r="CG22" i="9"/>
  <c r="CF22" i="9"/>
  <c r="CE22" i="9"/>
  <c r="CC22" i="9"/>
  <c r="CB22" i="9"/>
  <c r="CA22" i="9"/>
  <c r="BZ22" i="9"/>
  <c r="BY22" i="9"/>
  <c r="BW22" i="9"/>
  <c r="BV22" i="9"/>
  <c r="BU22" i="9"/>
  <c r="BT22" i="9"/>
  <c r="BS22" i="9"/>
  <c r="BQ22" i="9"/>
  <c r="BP22" i="9"/>
  <c r="BO22" i="9"/>
  <c r="BN22" i="9"/>
  <c r="BM22" i="9"/>
  <c r="BK22" i="9"/>
  <c r="BJ22" i="9"/>
  <c r="BI22" i="9"/>
  <c r="BH22" i="9"/>
  <c r="BG22" i="9"/>
  <c r="BE22" i="9"/>
  <c r="BD22" i="9"/>
  <c r="BC22" i="9"/>
  <c r="BB22" i="9"/>
  <c r="BA22" i="9"/>
  <c r="AY22" i="9"/>
  <c r="AX22" i="9"/>
  <c r="AW22" i="9"/>
  <c r="AV22" i="9"/>
  <c r="AU22" i="9"/>
  <c r="AS22" i="9"/>
  <c r="AR22" i="9"/>
  <c r="AQ22" i="9"/>
  <c r="AP22" i="9"/>
  <c r="AO22" i="9"/>
  <c r="AM22" i="9"/>
  <c r="AL22" i="9"/>
  <c r="AK22" i="9"/>
  <c r="AJ22" i="9"/>
  <c r="AI22" i="9"/>
  <c r="AG22" i="9"/>
  <c r="AF22" i="9"/>
  <c r="AE22" i="9"/>
  <c r="AD22" i="9"/>
  <c r="AC22" i="9"/>
  <c r="AA22" i="9"/>
  <c r="Z22" i="9"/>
  <c r="Y22" i="9"/>
  <c r="X22" i="9"/>
  <c r="W22" i="9"/>
  <c r="U22" i="9"/>
  <c r="T22" i="9"/>
  <c r="S22" i="9"/>
  <c r="R22" i="9"/>
  <c r="Q22" i="9"/>
  <c r="F22" i="9"/>
  <c r="G22" i="9"/>
  <c r="H22" i="9"/>
  <c r="I22" i="9"/>
  <c r="K22" i="9"/>
  <c r="L22" i="9"/>
  <c r="M22" i="9"/>
  <c r="N22" i="9"/>
  <c r="O22" i="9"/>
  <c r="E22" i="9"/>
  <c r="EJ226" i="9" l="1"/>
  <c r="EJ235" i="9" s="1"/>
  <c r="EJ225" i="9"/>
  <c r="EJ234" i="9" s="1"/>
  <c r="EJ224" i="9"/>
  <c r="EJ233" i="9" s="1"/>
  <c r="EJ223" i="9"/>
  <c r="EJ232" i="9" s="1"/>
  <c r="EJ222" i="9"/>
  <c r="EJ231" i="9" s="1"/>
  <c r="EJ221" i="9"/>
  <c r="EI226" i="9"/>
  <c r="EI235" i="9" s="1"/>
  <c r="EI225" i="9"/>
  <c r="EI234" i="9" s="1"/>
  <c r="EI224" i="9"/>
  <c r="EI233" i="9" s="1"/>
  <c r="EI223" i="9"/>
  <c r="EI232" i="9" s="1"/>
  <c r="EI222" i="9"/>
  <c r="EI231" i="9" s="1"/>
  <c r="EI221" i="9"/>
  <c r="EJ253" i="9"/>
  <c r="EI253" i="9"/>
  <c r="EH253" i="9"/>
  <c r="EG253" i="9"/>
  <c r="EJ252" i="9"/>
  <c r="EI252" i="9"/>
  <c r="EH252" i="9"/>
  <c r="EG252" i="9"/>
  <c r="EJ251" i="9"/>
  <c r="EI251" i="9"/>
  <c r="EH251" i="9"/>
  <c r="EG251" i="9"/>
  <c r="EJ250" i="9"/>
  <c r="EI250" i="9"/>
  <c r="EH250" i="9"/>
  <c r="EG250" i="9"/>
  <c r="EJ249" i="9"/>
  <c r="EI249" i="9"/>
  <c r="EH249" i="9"/>
  <c r="EG249" i="9"/>
  <c r="EJ248" i="9"/>
  <c r="EI248" i="9"/>
  <c r="EH248" i="9"/>
  <c r="EG248" i="9"/>
  <c r="EJ245" i="9"/>
  <c r="EI245" i="9"/>
  <c r="EH245" i="9"/>
  <c r="EG245" i="9"/>
  <c r="EK244" i="9"/>
  <c r="FN244" i="9" s="1"/>
  <c r="EK243" i="9"/>
  <c r="FN243" i="9" s="1"/>
  <c r="EK242" i="9"/>
  <c r="FN242" i="9" s="1"/>
  <c r="EK241" i="9"/>
  <c r="FN241" i="9" s="1"/>
  <c r="EK240" i="9"/>
  <c r="FN240" i="9" s="1"/>
  <c r="EK239" i="9"/>
  <c r="FN239" i="9" s="1"/>
  <c r="EH226" i="9"/>
  <c r="EH235" i="9" s="1"/>
  <c r="EH225" i="9"/>
  <c r="EH234" i="9" s="1"/>
  <c r="EH224" i="9"/>
  <c r="EH233" i="9" s="1"/>
  <c r="EH223" i="9"/>
  <c r="EH232" i="9" s="1"/>
  <c r="EH222" i="9"/>
  <c r="EH231" i="9" s="1"/>
  <c r="EH221" i="9"/>
  <c r="EH230" i="9" s="1"/>
  <c r="FT360" i="4"/>
  <c r="FT166" i="4"/>
  <c r="EK377" i="4"/>
  <c r="FT377" i="4" s="1"/>
  <c r="EK365" i="4"/>
  <c r="FT365" i="4" s="1"/>
  <c r="EK360" i="4"/>
  <c r="EJ360" i="4"/>
  <c r="EI360" i="4"/>
  <c r="EH360" i="4"/>
  <c r="EG360" i="4"/>
  <c r="EK303" i="4"/>
  <c r="EJ303" i="4"/>
  <c r="EI303" i="4"/>
  <c r="EH303" i="4"/>
  <c r="EG303" i="4"/>
  <c r="EK279" i="4"/>
  <c r="EJ279" i="4"/>
  <c r="EI279" i="4"/>
  <c r="EH279" i="4"/>
  <c r="EG279" i="4"/>
  <c r="EJ41" i="4"/>
  <c r="T61" i="5" s="1"/>
  <c r="EI41" i="4"/>
  <c r="S61" i="5" s="1"/>
  <c r="EH41" i="4"/>
  <c r="R61" i="5" s="1"/>
  <c r="EG41" i="4"/>
  <c r="Q61" i="5" s="1"/>
  <c r="EK223" i="4"/>
  <c r="EJ223" i="4"/>
  <c r="EI223" i="4"/>
  <c r="EH223" i="4"/>
  <c r="EG223" i="4"/>
  <c r="EG208" i="4"/>
  <c r="EH208" i="4" s="1"/>
  <c r="EI208" i="4" s="1"/>
  <c r="EJ208" i="4" s="1"/>
  <c r="EK201" i="4"/>
  <c r="FT201" i="4" s="1"/>
  <c r="EJ20" i="4"/>
  <c r="T52" i="5" s="1"/>
  <c r="EI20" i="4"/>
  <c r="S52" i="5" s="1"/>
  <c r="EH20" i="4"/>
  <c r="R52" i="5" s="1"/>
  <c r="EG20" i="4"/>
  <c r="EK177" i="4"/>
  <c r="FT177" i="4" s="1"/>
  <c r="EJ168" i="4"/>
  <c r="EI168" i="4"/>
  <c r="EH168" i="4"/>
  <c r="EG168" i="4"/>
  <c r="EK167" i="4"/>
  <c r="FT167" i="4" s="1"/>
  <c r="EK67" i="4"/>
  <c r="EJ67" i="4"/>
  <c r="EI67" i="4"/>
  <c r="EH67" i="4"/>
  <c r="EG67" i="4"/>
  <c r="EK6" i="4"/>
  <c r="EJ6" i="4"/>
  <c r="EI6" i="4"/>
  <c r="EH6" i="4"/>
  <c r="EG6" i="4"/>
  <c r="FR45" i="9"/>
  <c r="FR291" i="9"/>
  <c r="FR290" i="9"/>
  <c r="FR289" i="9"/>
  <c r="FR288" i="9"/>
  <c r="FR287" i="9"/>
  <c r="FR284" i="9"/>
  <c r="FQ291" i="9"/>
  <c r="FQ290" i="9"/>
  <c r="FQ289" i="9"/>
  <c r="FQ288" i="9"/>
  <c r="FQ287" i="9"/>
  <c r="FQ284" i="9"/>
  <c r="FQ280" i="9"/>
  <c r="FQ73" i="9" s="1"/>
  <c r="FQ46" i="9" s="1"/>
  <c r="FW81" i="4" s="1"/>
  <c r="FW107" i="4" s="1"/>
  <c r="FR280" i="9"/>
  <c r="FR73" i="9" s="1"/>
  <c r="FR46" i="9" s="1"/>
  <c r="EL268" i="9"/>
  <c r="EL110" i="9" s="1"/>
  <c r="FQ268" i="9"/>
  <c r="FR268" i="9"/>
  <c r="FJ312" i="9"/>
  <c r="FI312" i="9"/>
  <c r="FJ311" i="9"/>
  <c r="FI311" i="9"/>
  <c r="FJ310" i="9"/>
  <c r="FI310" i="9"/>
  <c r="FJ309" i="9"/>
  <c r="FI309" i="9"/>
  <c r="FJ308" i="9"/>
  <c r="FI308" i="9"/>
  <c r="FJ307" i="9"/>
  <c r="FI307" i="9"/>
  <c r="FJ306" i="9"/>
  <c r="FI306" i="9"/>
  <c r="FJ302" i="9"/>
  <c r="FI302" i="9"/>
  <c r="FJ301" i="9"/>
  <c r="FI301" i="9"/>
  <c r="FJ300" i="9"/>
  <c r="FI300" i="9"/>
  <c r="FJ299" i="9"/>
  <c r="FI299" i="9"/>
  <c r="FJ298" i="9"/>
  <c r="FI298" i="9"/>
  <c r="FJ297" i="9"/>
  <c r="FI297" i="9"/>
  <c r="FJ296" i="9"/>
  <c r="FI296" i="9"/>
  <c r="FJ292" i="9"/>
  <c r="FI292" i="9"/>
  <c r="FK291" i="9"/>
  <c r="FJ291" i="9"/>
  <c r="FI291" i="9"/>
  <c r="FK290" i="9"/>
  <c r="FJ290" i="9"/>
  <c r="FI290" i="9"/>
  <c r="FK289" i="9"/>
  <c r="FJ289" i="9"/>
  <c r="FI289" i="9"/>
  <c r="FK288" i="9"/>
  <c r="FJ288" i="9"/>
  <c r="FI288" i="9"/>
  <c r="FK287" i="9"/>
  <c r="FJ287" i="9"/>
  <c r="FI287" i="9"/>
  <c r="FK284" i="9"/>
  <c r="FJ284" i="9"/>
  <c r="FI284" i="9"/>
  <c r="FI280" i="9"/>
  <c r="FI279" i="9"/>
  <c r="FI278" i="9"/>
  <c r="FI277" i="9"/>
  <c r="FI276" i="9"/>
  <c r="FI275" i="9"/>
  <c r="FI272" i="9"/>
  <c r="FI268" i="9"/>
  <c r="FI267" i="9"/>
  <c r="FI266" i="9"/>
  <c r="FI265" i="9"/>
  <c r="FI264" i="9"/>
  <c r="FI263" i="9"/>
  <c r="FI262" i="9"/>
  <c r="FK235" i="9"/>
  <c r="FK234" i="9"/>
  <c r="FK233" i="9"/>
  <c r="FK232" i="9"/>
  <c r="FK231" i="9"/>
  <c r="FK230" i="9"/>
  <c r="FK226" i="9"/>
  <c r="FK225" i="9"/>
  <c r="FK224" i="9"/>
  <c r="FK223" i="9"/>
  <c r="FK222" i="9"/>
  <c r="FK221" i="9"/>
  <c r="FR170" i="9"/>
  <c r="FR178" i="9" s="1"/>
  <c r="FQ170" i="9"/>
  <c r="FQ178" i="9" s="1"/>
  <c r="EL157" i="9"/>
  <c r="FQ157" i="9"/>
  <c r="FR157" i="9"/>
  <c r="DL280" i="9"/>
  <c r="DL205" i="9" s="1"/>
  <c r="DL207" i="9" s="1"/>
  <c r="DK280" i="9"/>
  <c r="DK205" i="9" s="1"/>
  <c r="DK207" i="9" s="1"/>
  <c r="DJ280" i="9"/>
  <c r="DJ205" i="9" s="1"/>
  <c r="DJ207" i="9" s="1"/>
  <c r="DI280" i="9"/>
  <c r="DI205" i="9" s="1"/>
  <c r="DI207" i="9" s="1"/>
  <c r="DM279" i="9"/>
  <c r="FJ279" i="9" s="1"/>
  <c r="DM278" i="9"/>
  <c r="FJ278" i="9" s="1"/>
  <c r="DM277" i="9"/>
  <c r="FJ277" i="9" s="1"/>
  <c r="DM276" i="9"/>
  <c r="FJ276" i="9" s="1"/>
  <c r="DM275" i="9"/>
  <c r="FJ275" i="9" s="1"/>
  <c r="DM272" i="9"/>
  <c r="FJ272" i="9" s="1"/>
  <c r="DL268" i="9"/>
  <c r="DK268" i="9"/>
  <c r="DJ268" i="9"/>
  <c r="DI268" i="9"/>
  <c r="DM267" i="9"/>
  <c r="FJ267" i="9" s="1"/>
  <c r="DM266" i="9"/>
  <c r="FJ266" i="9" s="1"/>
  <c r="DM265" i="9"/>
  <c r="FJ265" i="9" s="1"/>
  <c r="DM264" i="9"/>
  <c r="FJ264" i="9" s="1"/>
  <c r="DM263" i="9"/>
  <c r="FJ263" i="9" s="1"/>
  <c r="DM262" i="9"/>
  <c r="FJ262" i="9" s="1"/>
  <c r="DM217" i="9"/>
  <c r="FJ217" i="9" s="1"/>
  <c r="DM216" i="9"/>
  <c r="FJ216" i="9" s="1"/>
  <c r="DM215" i="9"/>
  <c r="FJ215" i="9" s="1"/>
  <c r="DM214" i="9"/>
  <c r="FJ214" i="9" s="1"/>
  <c r="DM213" i="9"/>
  <c r="FJ213" i="9" s="1"/>
  <c r="DM212" i="9"/>
  <c r="FJ212" i="9" s="1"/>
  <c r="DG217" i="9"/>
  <c r="FI217" i="9" s="1"/>
  <c r="DG216" i="9"/>
  <c r="FI216" i="9" s="1"/>
  <c r="DG215" i="9"/>
  <c r="FI215" i="9" s="1"/>
  <c r="DG214" i="9"/>
  <c r="FI214" i="9" s="1"/>
  <c r="DG213" i="9"/>
  <c r="FI213" i="9" s="1"/>
  <c r="DG212" i="9"/>
  <c r="FI212" i="9" s="1"/>
  <c r="EJ86" i="4"/>
  <c r="EI86" i="4"/>
  <c r="EH86" i="4"/>
  <c r="EI284" i="9"/>
  <c r="EJ284" i="9"/>
  <c r="EI287" i="9"/>
  <c r="EJ287" i="9"/>
  <c r="EI288" i="9"/>
  <c r="EJ288" i="9"/>
  <c r="EI289" i="9"/>
  <c r="EJ289" i="9"/>
  <c r="EI290" i="9"/>
  <c r="EJ290" i="9"/>
  <c r="EI291" i="9"/>
  <c r="EJ291" i="9"/>
  <c r="FN278" i="9"/>
  <c r="FN279" i="9"/>
  <c r="FN275" i="9"/>
  <c r="FN277" i="9"/>
  <c r="EK267" i="9"/>
  <c r="FN267" i="9" s="1"/>
  <c r="EK266" i="9"/>
  <c r="FN266" i="9" s="1"/>
  <c r="EK265" i="9"/>
  <c r="FN265" i="9" s="1"/>
  <c r="EK264" i="9"/>
  <c r="FN264" i="9" s="1"/>
  <c r="EK263" i="9"/>
  <c r="FN263" i="9" s="1"/>
  <c r="EK262" i="9"/>
  <c r="FN262" i="9" s="1"/>
  <c r="FN272" i="9"/>
  <c r="EI268" i="9"/>
  <c r="EJ268" i="9"/>
  <c r="EJ110" i="9" s="1"/>
  <c r="FN276" i="9"/>
  <c r="EK156" i="9"/>
  <c r="EK155" i="9"/>
  <c r="EK154" i="9"/>
  <c r="EK153" i="9"/>
  <c r="EK152" i="9"/>
  <c r="EI157" i="9"/>
  <c r="EJ157" i="9"/>
  <c r="EK151" i="9"/>
  <c r="EA222" i="9"/>
  <c r="EA224" i="9"/>
  <c r="EA225" i="9"/>
  <c r="EA226" i="9"/>
  <c r="EA221" i="9"/>
  <c r="ED223" i="9"/>
  <c r="EC226" i="9"/>
  <c r="EC225" i="9"/>
  <c r="EC224" i="9"/>
  <c r="EC223" i="9"/>
  <c r="EC222" i="9"/>
  <c r="EC221" i="9"/>
  <c r="EB226" i="9"/>
  <c r="EB225" i="9"/>
  <c r="EB224" i="9"/>
  <c r="EB223" i="9"/>
  <c r="EB222" i="9"/>
  <c r="EB221" i="9"/>
  <c r="EL176" i="9"/>
  <c r="FO176" i="9" s="1"/>
  <c r="EL177" i="9"/>
  <c r="FO177" i="9" s="1"/>
  <c r="EK167" i="9"/>
  <c r="EJ166" i="9"/>
  <c r="EJ165" i="9"/>
  <c r="EJ164" i="9"/>
  <c r="DY167" i="9"/>
  <c r="DS167" i="9"/>
  <c r="FK167" i="9" s="1"/>
  <c r="DY166" i="9"/>
  <c r="DS166" i="9"/>
  <c r="FK166" i="9" s="1"/>
  <c r="DY165" i="9"/>
  <c r="DS165" i="9"/>
  <c r="FK165" i="9" s="1"/>
  <c r="DY164" i="9"/>
  <c r="DS164" i="9"/>
  <c r="FK164" i="9" s="1"/>
  <c r="FL163" i="9"/>
  <c r="DS163" i="9"/>
  <c r="FK163" i="9" s="1"/>
  <c r="FM160" i="9"/>
  <c r="DY160" i="9"/>
  <c r="DS160" i="9"/>
  <c r="FK160" i="9" s="1"/>
  <c r="DL168" i="9"/>
  <c r="DK168" i="9"/>
  <c r="DJ168" i="9"/>
  <c r="DI168" i="9"/>
  <c r="DM167" i="9"/>
  <c r="FJ167" i="9" s="1"/>
  <c r="DM166" i="9"/>
  <c r="FJ166" i="9" s="1"/>
  <c r="DM165" i="9"/>
  <c r="FJ165" i="9" s="1"/>
  <c r="DM164" i="9"/>
  <c r="FJ164" i="9" s="1"/>
  <c r="DM163" i="9"/>
  <c r="FJ163" i="9" s="1"/>
  <c r="DM160" i="9"/>
  <c r="FJ160" i="9" s="1"/>
  <c r="EH291" i="9"/>
  <c r="EG291" i="9"/>
  <c r="EH290" i="9"/>
  <c r="EG290" i="9"/>
  <c r="EH289" i="9"/>
  <c r="EG289" i="9"/>
  <c r="EH288" i="9"/>
  <c r="EG288" i="9"/>
  <c r="EH287" i="9"/>
  <c r="EG287" i="9"/>
  <c r="EH284" i="9"/>
  <c r="EG284" i="9"/>
  <c r="EH268" i="9"/>
  <c r="EG268" i="9"/>
  <c r="EH157" i="9"/>
  <c r="EG157" i="9"/>
  <c r="EL109" i="9" l="1"/>
  <c r="FQ329" i="9"/>
  <c r="EJ177" i="9"/>
  <c r="FL165" i="9"/>
  <c r="FN167" i="9"/>
  <c r="FN168" i="9" s="1"/>
  <c r="FL166" i="9"/>
  <c r="EJ176" i="9"/>
  <c r="FL167" i="9"/>
  <c r="FL164" i="9"/>
  <c r="FK168" i="9"/>
  <c r="EI109" i="9"/>
  <c r="EI116" i="9" s="1"/>
  <c r="FJ168" i="9"/>
  <c r="FN152" i="9"/>
  <c r="FN153" i="9"/>
  <c r="FN151" i="9"/>
  <c r="FN154" i="9"/>
  <c r="EG109" i="9"/>
  <c r="EG116" i="9" s="1"/>
  <c r="FN155" i="9"/>
  <c r="EH109" i="9"/>
  <c r="EH116" i="9" s="1"/>
  <c r="EJ175" i="9"/>
  <c r="FN156" i="9"/>
  <c r="FR329" i="9"/>
  <c r="FN245" i="9"/>
  <c r="FO179" i="9"/>
  <c r="FX80" i="4"/>
  <c r="FX106" i="4" s="1"/>
  <c r="FN280" i="9"/>
  <c r="FN268" i="9"/>
  <c r="EK280" i="9"/>
  <c r="EJ292" i="9"/>
  <c r="EI292" i="9"/>
  <c r="EG292" i="9"/>
  <c r="EH292" i="9"/>
  <c r="EK168" i="9"/>
  <c r="EL179" i="9"/>
  <c r="FL160" i="9"/>
  <c r="DY168" i="9"/>
  <c r="EL222" i="9"/>
  <c r="EK249" i="9"/>
  <c r="FN249" i="9" s="1"/>
  <c r="EK253" i="9"/>
  <c r="FN253" i="9" s="1"/>
  <c r="EK250" i="9"/>
  <c r="FN250" i="9" s="1"/>
  <c r="EK251" i="9"/>
  <c r="FN251" i="9" s="1"/>
  <c r="EK252" i="9"/>
  <c r="FN252" i="9" s="1"/>
  <c r="GH20" i="4"/>
  <c r="Q52" i="5"/>
  <c r="EL221" i="9"/>
  <c r="FO221" i="9" s="1"/>
  <c r="EL223" i="9"/>
  <c r="EL224" i="9"/>
  <c r="EL225" i="9"/>
  <c r="EL226" i="9"/>
  <c r="FK236" i="9"/>
  <c r="EH236" i="9"/>
  <c r="EK315" i="4"/>
  <c r="FT315" i="4" s="1"/>
  <c r="EK330" i="4"/>
  <c r="FT330" i="4" s="1"/>
  <c r="EK332" i="4"/>
  <c r="FT332" i="4" s="1"/>
  <c r="EK168" i="4"/>
  <c r="FT168" i="4" s="1"/>
  <c r="EK312" i="4"/>
  <c r="FT312" i="4" s="1"/>
  <c r="EK331" i="4"/>
  <c r="FT331" i="4" s="1"/>
  <c r="EK333" i="4"/>
  <c r="FT333" i="4" s="1"/>
  <c r="EK339" i="4"/>
  <c r="FT339" i="4" s="1"/>
  <c r="EK343" i="4"/>
  <c r="FT343" i="4" s="1"/>
  <c r="EK20" i="4"/>
  <c r="EK309" i="4"/>
  <c r="FT309" i="4" s="1"/>
  <c r="EK181" i="4"/>
  <c r="FT181" i="4" s="1"/>
  <c r="EK311" i="4"/>
  <c r="FT311" i="4" s="1"/>
  <c r="EK337" i="4"/>
  <c r="FT337" i="4" s="1"/>
  <c r="EK341" i="4"/>
  <c r="FT341" i="4" s="1"/>
  <c r="EK41" i="4"/>
  <c r="EK329" i="4"/>
  <c r="FT329" i="4" s="1"/>
  <c r="EK340" i="4"/>
  <c r="FT340" i="4" s="1"/>
  <c r="EK346" i="4"/>
  <c r="FT346" i="4" s="1"/>
  <c r="EH254" i="9"/>
  <c r="EI254" i="9"/>
  <c r="EJ254" i="9"/>
  <c r="EK245" i="9"/>
  <c r="EJ227" i="9"/>
  <c r="EJ205" i="9" s="1"/>
  <c r="EI227" i="9"/>
  <c r="EG254" i="9"/>
  <c r="EH227" i="9"/>
  <c r="EI230" i="9"/>
  <c r="EI236" i="9" s="1"/>
  <c r="EK248" i="9"/>
  <c r="FN248" i="9" s="1"/>
  <c r="EJ230" i="9"/>
  <c r="EJ236" i="9" s="1"/>
  <c r="FK227" i="9"/>
  <c r="FT112" i="4"/>
  <c r="FQ292" i="9"/>
  <c r="FK292" i="9"/>
  <c r="FR292" i="9"/>
  <c r="EK342" i="4"/>
  <c r="FT342" i="4" s="1"/>
  <c r="FR171" i="9"/>
  <c r="FR322" i="9" s="1"/>
  <c r="FR174" i="9"/>
  <c r="FR175" i="9"/>
  <c r="FR177" i="9"/>
  <c r="FR328" i="9" s="1"/>
  <c r="FQ171" i="9"/>
  <c r="FQ322" i="9" s="1"/>
  <c r="FQ174" i="9"/>
  <c r="FQ175" i="9"/>
  <c r="FQ177" i="9"/>
  <c r="FQ328" i="9" s="1"/>
  <c r="DG218" i="9"/>
  <c r="FI218" i="9" s="1"/>
  <c r="DM218" i="9"/>
  <c r="FJ218" i="9" s="1"/>
  <c r="DM280" i="9"/>
  <c r="DM268" i="9"/>
  <c r="FJ268" i="9" s="1"/>
  <c r="EJ109" i="9"/>
  <c r="EJ116" i="9" s="1"/>
  <c r="EJ160" i="9"/>
  <c r="EG110" i="9"/>
  <c r="EG117" i="9" s="1"/>
  <c r="EH110" i="9"/>
  <c r="EH117" i="9" s="1"/>
  <c r="EI110" i="9"/>
  <c r="EI117" i="9" s="1"/>
  <c r="EJ117" i="9"/>
  <c r="EI74" i="9"/>
  <c r="EK287" i="9"/>
  <c r="FN287" i="9" s="1"/>
  <c r="EK291" i="9"/>
  <c r="FN291" i="9" s="1"/>
  <c r="EK268" i="9"/>
  <c r="EK290" i="9"/>
  <c r="FN290" i="9" s="1"/>
  <c r="EK289" i="9"/>
  <c r="EK288" i="9"/>
  <c r="EK284" i="9"/>
  <c r="FN284" i="9" s="1"/>
  <c r="EK157" i="9"/>
  <c r="DM168" i="9"/>
  <c r="EH74" i="9"/>
  <c r="FN157" i="9" l="1"/>
  <c r="FL168" i="9"/>
  <c r="EG119" i="9"/>
  <c r="EJ168" i="9"/>
  <c r="FN288" i="9"/>
  <c r="FN289" i="9"/>
  <c r="EH206" i="9"/>
  <c r="EH46" i="9" s="1"/>
  <c r="EH48" i="9" s="1"/>
  <c r="EH55" i="9" s="1"/>
  <c r="FJ280" i="9"/>
  <c r="DM205" i="9"/>
  <c r="DM207" i="9" s="1"/>
  <c r="EI205" i="9"/>
  <c r="EI73" i="9" s="1"/>
  <c r="EI75" i="9" s="1"/>
  <c r="EJ206" i="9"/>
  <c r="EJ207" i="9" s="1"/>
  <c r="EI206" i="9"/>
  <c r="EH205" i="9"/>
  <c r="EH73" i="9" s="1"/>
  <c r="EH75" i="9" s="1"/>
  <c r="EH142" i="9"/>
  <c r="EH145" i="9" s="1"/>
  <c r="EL234" i="9"/>
  <c r="FO234" i="9" s="1"/>
  <c r="FO225" i="9"/>
  <c r="EL233" i="9"/>
  <c r="FO233" i="9" s="1"/>
  <c r="FO224" i="9"/>
  <c r="EL232" i="9"/>
  <c r="FO223" i="9"/>
  <c r="EL235" i="9"/>
  <c r="FO235" i="9" s="1"/>
  <c r="FO226" i="9"/>
  <c r="EJ142" i="9"/>
  <c r="FN254" i="9"/>
  <c r="EI142" i="9"/>
  <c r="EI145" i="9" s="1"/>
  <c r="EL231" i="9"/>
  <c r="FO222" i="9"/>
  <c r="FT41" i="4"/>
  <c r="U61" i="5"/>
  <c r="EL47" i="9"/>
  <c r="EL141" i="9"/>
  <c r="EK292" i="9"/>
  <c r="EJ171" i="9"/>
  <c r="EJ179" i="9" s="1"/>
  <c r="EJ73" i="9"/>
  <c r="FT20" i="4"/>
  <c r="U52" i="5"/>
  <c r="EL230" i="9"/>
  <c r="FO230" i="9" s="1"/>
  <c r="EL227" i="9"/>
  <c r="EL205" i="9" s="1"/>
  <c r="EK254" i="9"/>
  <c r="EL74" i="9"/>
  <c r="EK175" i="9"/>
  <c r="FN175" i="9" s="1"/>
  <c r="EK176" i="9"/>
  <c r="FN176" i="9" s="1"/>
  <c r="EK177" i="9"/>
  <c r="FN177" i="9" s="1"/>
  <c r="EK178" i="9"/>
  <c r="FN178" i="9" s="1"/>
  <c r="EK174" i="9"/>
  <c r="FN174" i="9" s="1"/>
  <c r="FO47" i="9" l="1"/>
  <c r="EL44" i="9"/>
  <c r="EI207" i="9"/>
  <c r="FN292" i="9"/>
  <c r="FO74" i="9"/>
  <c r="EJ74" i="9"/>
  <c r="EJ75" i="9" s="1"/>
  <c r="EJ46" i="9"/>
  <c r="EJ81" i="4" s="1"/>
  <c r="EI46" i="9"/>
  <c r="EI48" i="9" s="1"/>
  <c r="EI55" i="9" s="1"/>
  <c r="EH207" i="9"/>
  <c r="FO232" i="9"/>
  <c r="FO227" i="9"/>
  <c r="EL390" i="9"/>
  <c r="FO390" i="9" s="1"/>
  <c r="FO231" i="9"/>
  <c r="EJ47" i="9"/>
  <c r="EJ141" i="9"/>
  <c r="EL236" i="9"/>
  <c r="EK327" i="9"/>
  <c r="FN327" i="9" s="1"/>
  <c r="EK329" i="9"/>
  <c r="FN329" i="9" s="1"/>
  <c r="EK328" i="9"/>
  <c r="FN328" i="9" s="1"/>
  <c r="EJ85" i="4"/>
  <c r="EH85" i="4"/>
  <c r="EI85" i="4"/>
  <c r="FQ176" i="9"/>
  <c r="EH84" i="4"/>
  <c r="EI84" i="4"/>
  <c r="EK171" i="9"/>
  <c r="EK322" i="9" s="1"/>
  <c r="FR165" i="9"/>
  <c r="FR168" i="9" s="1"/>
  <c r="FN171" i="9" l="1"/>
  <c r="FN179" i="9" s="1"/>
  <c r="FN322" i="9"/>
  <c r="FO236" i="9"/>
  <c r="FQ179" i="9"/>
  <c r="FQ327" i="9"/>
  <c r="FQ330" i="9" s="1"/>
  <c r="EJ107" i="4"/>
  <c r="EJ48" i="9"/>
  <c r="EK179" i="9"/>
  <c r="EK141" i="9" s="1"/>
  <c r="EH83" i="4"/>
  <c r="EI83" i="4"/>
  <c r="EI81" i="4"/>
  <c r="EI82" i="9"/>
  <c r="EH82" i="9"/>
  <c r="EI82" i="4"/>
  <c r="FR176" i="9"/>
  <c r="EH82" i="4"/>
  <c r="EH108" i="4" s="1"/>
  <c r="EH81" i="4"/>
  <c r="EJ82" i="4"/>
  <c r="FQ74" i="9"/>
  <c r="Q308" i="5"/>
  <c r="Q302" i="5"/>
  <c r="Q297" i="5"/>
  <c r="Q288" i="5"/>
  <c r="FR179" i="9" l="1"/>
  <c r="FR327" i="9"/>
  <c r="FR330" i="9" s="1"/>
  <c r="EI107" i="4"/>
  <c r="EJ83" i="4"/>
  <c r="FR74" i="9"/>
  <c r="EJ108" i="4"/>
  <c r="EI108" i="4"/>
  <c r="EH107" i="4"/>
  <c r="DV377" i="4"/>
  <c r="DV374" i="4"/>
  <c r="DV368" i="4"/>
  <c r="DV365" i="4"/>
  <c r="DV20" i="4"/>
  <c r="DW187" i="4"/>
  <c r="DW320" i="4"/>
  <c r="DW135" i="9"/>
  <c r="DV55" i="9"/>
  <c r="DV59" i="9" s="1"/>
  <c r="EB19" i="9"/>
  <c r="DV141" i="9"/>
  <c r="EI67" i="9" l="1"/>
  <c r="EI66" i="9"/>
  <c r="EI60" i="9"/>
  <c r="EI59" i="9"/>
  <c r="EI61" i="9"/>
  <c r="EB18" i="9"/>
  <c r="EI146" i="9"/>
  <c r="EJ84" i="4"/>
  <c r="DW13" i="9"/>
  <c r="DV283" i="4"/>
  <c r="DW319" i="4"/>
  <c r="DV89" i="4"/>
  <c r="DV115" i="4" s="1"/>
  <c r="DW14" i="9"/>
  <c r="EH88" i="4"/>
  <c r="DV134" i="9"/>
  <c r="EI88" i="4"/>
  <c r="EJ88" i="4"/>
  <c r="DV369" i="4"/>
  <c r="DV102" i="9"/>
  <c r="DV334" i="4"/>
  <c r="DV82" i="9"/>
  <c r="DV11" i="4"/>
  <c r="DV133" i="9"/>
  <c r="DV371" i="4"/>
  <c r="DV316" i="4"/>
  <c r="DV362" i="4"/>
  <c r="DV344" i="4"/>
  <c r="DV260" i="4"/>
  <c r="DV233" i="4"/>
  <c r="DV244" i="4"/>
  <c r="DV284" i="4"/>
  <c r="DV37" i="9"/>
  <c r="DV103" i="9"/>
  <c r="DV120" i="9"/>
  <c r="DV10" i="9"/>
  <c r="DF123" i="4"/>
  <c r="DE123" i="4"/>
  <c r="DD123" i="4"/>
  <c r="DC123" i="4"/>
  <c r="CZ123" i="4"/>
  <c r="CY123" i="4"/>
  <c r="CX123" i="4"/>
  <c r="CW123" i="4"/>
  <c r="CT123" i="4"/>
  <c r="CS123" i="4"/>
  <c r="CR123" i="4"/>
  <c r="CQ123" i="4"/>
  <c r="CN123" i="4"/>
  <c r="CM123" i="4"/>
  <c r="CL123" i="4"/>
  <c r="CK123" i="4"/>
  <c r="CF123" i="4"/>
  <c r="CG123" i="4"/>
  <c r="CH123" i="4"/>
  <c r="CE123" i="4"/>
  <c r="EI114" i="4" l="1"/>
  <c r="EH114" i="4"/>
  <c r="EI134" i="9"/>
  <c r="EI56" i="9"/>
  <c r="EH67" i="9"/>
  <c r="EH66" i="9"/>
  <c r="EH59" i="9"/>
  <c r="EH61" i="9"/>
  <c r="EH60" i="9"/>
  <c r="EI68" i="9"/>
  <c r="EB38" i="9"/>
  <c r="EB20" i="9"/>
  <c r="FT109" i="4"/>
  <c r="DV9" i="4"/>
  <c r="DW15" i="9"/>
  <c r="EJ114" i="4"/>
  <c r="DV246" i="4"/>
  <c r="DV268" i="4" s="1"/>
  <c r="CI123" i="4"/>
  <c r="CO123" i="4"/>
  <c r="DA123" i="4"/>
  <c r="CU123" i="4"/>
  <c r="DG123" i="4"/>
  <c r="EB10" i="4" l="1"/>
  <c r="EH56" i="9"/>
  <c r="EH146" i="9"/>
  <c r="EH68" i="9"/>
  <c r="DV372" i="4"/>
  <c r="DV13" i="4"/>
  <c r="DV116" i="4" s="1"/>
  <c r="DV363" i="4"/>
  <c r="FT110" i="4"/>
  <c r="DV179" i="4"/>
  <c r="EH134" i="9"/>
  <c r="EI13" i="9"/>
  <c r="DV270" i="4"/>
  <c r="DV14" i="4" l="1"/>
  <c r="ED291" i="9"/>
  <c r="ED290" i="9"/>
  <c r="ED289" i="9"/>
  <c r="ED288" i="9"/>
  <c r="ED287" i="9"/>
  <c r="ED284" i="9"/>
  <c r="EC291" i="9"/>
  <c r="EC290" i="9"/>
  <c r="EC289" i="9"/>
  <c r="EC288" i="9"/>
  <c r="EC287" i="9"/>
  <c r="EC284" i="9"/>
  <c r="EB291" i="9"/>
  <c r="EB290" i="9"/>
  <c r="EB289" i="9"/>
  <c r="EB288" i="9"/>
  <c r="EB287" i="9"/>
  <c r="EB284" i="9"/>
  <c r="EA291" i="9"/>
  <c r="EA290" i="9"/>
  <c r="EA289" i="9"/>
  <c r="EA288" i="9"/>
  <c r="EE267" i="9" s="1"/>
  <c r="FM267" i="9" s="1"/>
  <c r="EA287" i="9"/>
  <c r="EE266" i="9" s="1"/>
  <c r="FM266" i="9" s="1"/>
  <c r="EA284" i="9"/>
  <c r="DY287" i="9"/>
  <c r="FL287" i="9" s="1"/>
  <c r="DY288" i="9"/>
  <c r="FL288" i="9" s="1"/>
  <c r="DY289" i="9"/>
  <c r="FL289" i="9" s="1"/>
  <c r="DY290" i="9"/>
  <c r="FL290" i="9" s="1"/>
  <c r="DY291" i="9"/>
  <c r="FL291" i="9" s="1"/>
  <c r="DY284" i="9"/>
  <c r="ED235" i="9"/>
  <c r="ED234" i="9"/>
  <c r="ED233" i="9"/>
  <c r="ED232" i="9"/>
  <c r="ED231" i="9"/>
  <c r="ED230" i="9"/>
  <c r="EC235" i="9"/>
  <c r="EC234" i="9"/>
  <c r="EC233" i="9"/>
  <c r="EC232" i="9"/>
  <c r="EC231" i="9"/>
  <c r="EC230" i="9"/>
  <c r="EB235" i="9"/>
  <c r="EB234" i="9"/>
  <c r="EE217" i="9" s="1"/>
  <c r="EB233" i="9"/>
  <c r="EB232" i="9"/>
  <c r="EB231" i="9"/>
  <c r="EB230" i="9"/>
  <c r="EA235" i="9"/>
  <c r="EA234" i="9"/>
  <c r="EA233" i="9"/>
  <c r="EA231" i="9"/>
  <c r="EE214" i="9" s="1"/>
  <c r="EA230" i="9"/>
  <c r="EE213" i="9" s="1"/>
  <c r="DY230" i="9"/>
  <c r="DY235" i="9"/>
  <c r="FL235" i="9" s="1"/>
  <c r="DY234" i="9"/>
  <c r="FL234" i="9" s="1"/>
  <c r="DY233" i="9"/>
  <c r="FL233" i="9" s="1"/>
  <c r="DY232" i="9"/>
  <c r="FL232" i="9" s="1"/>
  <c r="DY231" i="9"/>
  <c r="FL231" i="9" s="1"/>
  <c r="ED227" i="9"/>
  <c r="EC227" i="9"/>
  <c r="EB227" i="9"/>
  <c r="EE226" i="9"/>
  <c r="FM226" i="9" s="1"/>
  <c r="DY226" i="9"/>
  <c r="FL226" i="9" s="1"/>
  <c r="EE225" i="9"/>
  <c r="FM225" i="9" s="1"/>
  <c r="DY225" i="9"/>
  <c r="FL225" i="9" s="1"/>
  <c r="EE224" i="9"/>
  <c r="FM224" i="9" s="1"/>
  <c r="DY224" i="9"/>
  <c r="FL224" i="9" s="1"/>
  <c r="DY223" i="9"/>
  <c r="FL223" i="9" s="1"/>
  <c r="EE222" i="9"/>
  <c r="FM222" i="9" s="1"/>
  <c r="DY222" i="9"/>
  <c r="FL222" i="9" s="1"/>
  <c r="EE221" i="9"/>
  <c r="FM221" i="9" s="1"/>
  <c r="DY221" i="9"/>
  <c r="FL221" i="9" s="1"/>
  <c r="ED218" i="9"/>
  <c r="EC218" i="9"/>
  <c r="EB218" i="9"/>
  <c r="EA218" i="9"/>
  <c r="EE216" i="9"/>
  <c r="EE212" i="9"/>
  <c r="DV218" i="9"/>
  <c r="DU218" i="9"/>
  <c r="DY217" i="9"/>
  <c r="DY216" i="9"/>
  <c r="DY215" i="9"/>
  <c r="DY214" i="9"/>
  <c r="DY213" i="9"/>
  <c r="DY212" i="9"/>
  <c r="DR218" i="9"/>
  <c r="DQ218" i="9"/>
  <c r="DP218" i="9"/>
  <c r="DO218" i="9"/>
  <c r="DS217" i="9"/>
  <c r="FK217" i="9" s="1"/>
  <c r="DS216" i="9"/>
  <c r="FK216" i="9" s="1"/>
  <c r="DS215" i="9"/>
  <c r="FK215" i="9" s="1"/>
  <c r="DS214" i="9"/>
  <c r="FK214" i="9" s="1"/>
  <c r="DS213" i="9"/>
  <c r="FK213" i="9" s="1"/>
  <c r="DS212" i="9"/>
  <c r="FK212" i="9" s="1"/>
  <c r="EE264" i="9"/>
  <c r="FM264" i="9" s="1"/>
  <c r="EE263" i="9"/>
  <c r="FM263" i="9" s="1"/>
  <c r="EE262" i="9"/>
  <c r="FM262" i="9" s="1"/>
  <c r="EC268" i="9"/>
  <c r="EC110" i="9" s="1"/>
  <c r="EB268" i="9"/>
  <c r="EB110" i="9" s="1"/>
  <c r="EA268" i="9"/>
  <c r="EA110" i="9" s="1"/>
  <c r="DU301" i="9"/>
  <c r="DU300" i="9"/>
  <c r="DU299" i="9"/>
  <c r="DU298" i="9"/>
  <c r="DU297" i="9"/>
  <c r="DU296" i="9"/>
  <c r="ED268" i="9"/>
  <c r="ED110" i="9" s="1"/>
  <c r="ED280" i="9"/>
  <c r="EC280" i="9"/>
  <c r="EB280" i="9"/>
  <c r="EA280" i="9"/>
  <c r="EE276" i="9"/>
  <c r="FM276" i="9" s="1"/>
  <c r="EE275" i="9"/>
  <c r="FM275" i="9" s="1"/>
  <c r="EE272" i="9"/>
  <c r="DV280" i="9"/>
  <c r="DV205" i="9" s="1"/>
  <c r="DV207" i="9" s="1"/>
  <c r="DV86" i="9" s="1"/>
  <c r="DU280" i="9"/>
  <c r="DU205" i="9" s="1"/>
  <c r="DU207" i="9" s="1"/>
  <c r="DU86" i="9" s="1"/>
  <c r="DY279" i="9"/>
  <c r="FL279" i="9" s="1"/>
  <c r="DY278" i="9"/>
  <c r="FL278" i="9" s="1"/>
  <c r="DY277" i="9"/>
  <c r="FL277" i="9" s="1"/>
  <c r="DY276" i="9"/>
  <c r="FL276" i="9" s="1"/>
  <c r="DY275" i="9"/>
  <c r="FL275" i="9" s="1"/>
  <c r="DY272" i="9"/>
  <c r="FL272" i="9" s="1"/>
  <c r="DS279" i="9"/>
  <c r="FK279" i="9" s="1"/>
  <c r="DS278" i="9"/>
  <c r="FK278" i="9" s="1"/>
  <c r="DS277" i="9"/>
  <c r="FK277" i="9" s="1"/>
  <c r="DS276" i="9"/>
  <c r="FK276" i="9" s="1"/>
  <c r="DS275" i="9"/>
  <c r="FK275" i="9" s="1"/>
  <c r="DS272" i="9"/>
  <c r="FK272" i="9" s="1"/>
  <c r="DR280" i="9"/>
  <c r="DR205" i="9" s="1"/>
  <c r="DR207" i="9" s="1"/>
  <c r="DQ280" i="9"/>
  <c r="DQ205" i="9" s="1"/>
  <c r="DQ207" i="9" s="1"/>
  <c r="DP280" i="9"/>
  <c r="DP205" i="9" s="1"/>
  <c r="DP207" i="9" s="1"/>
  <c r="DO280" i="9"/>
  <c r="DO205" i="9" s="1"/>
  <c r="DO207" i="9" s="1"/>
  <c r="DY267" i="9"/>
  <c r="FL267" i="9" s="1"/>
  <c r="DY266" i="9"/>
  <c r="FL266" i="9" s="1"/>
  <c r="DY265" i="9"/>
  <c r="FL265" i="9" s="1"/>
  <c r="DY264" i="9"/>
  <c r="FL264" i="9" s="1"/>
  <c r="DY263" i="9"/>
  <c r="FL263" i="9" s="1"/>
  <c r="DY262" i="9"/>
  <c r="FL262" i="9" s="1"/>
  <c r="DV268" i="9"/>
  <c r="DV110" i="9" s="1"/>
  <c r="DU268" i="9"/>
  <c r="DU110" i="9" s="1"/>
  <c r="DO268" i="9"/>
  <c r="DO110" i="9" s="1"/>
  <c r="DP268" i="9"/>
  <c r="DP110" i="9" s="1"/>
  <c r="DQ268" i="9"/>
  <c r="DQ110" i="9" s="1"/>
  <c r="DR268" i="9"/>
  <c r="DR110" i="9" s="1"/>
  <c r="DS263" i="9"/>
  <c r="FK263" i="9" s="1"/>
  <c r="DS264" i="9"/>
  <c r="FK264" i="9" s="1"/>
  <c r="DS265" i="9"/>
  <c r="FK265" i="9" s="1"/>
  <c r="DS266" i="9"/>
  <c r="FK266" i="9" s="1"/>
  <c r="DS267" i="9"/>
  <c r="FK267" i="9" s="1"/>
  <c r="DS262" i="9"/>
  <c r="FK262" i="9" s="1"/>
  <c r="FB202" i="9"/>
  <c r="FC202" i="9"/>
  <c r="FD202" i="9"/>
  <c r="FE202" i="9"/>
  <c r="FF202" i="9"/>
  <c r="FG202" i="9"/>
  <c r="FH202" i="9"/>
  <c r="FI202" i="9"/>
  <c r="FJ202" i="9"/>
  <c r="FK202" i="9"/>
  <c r="FL202" i="9"/>
  <c r="FM202" i="9"/>
  <c r="FQ202" i="9"/>
  <c r="FR202" i="9"/>
  <c r="FA202" i="9"/>
  <c r="FB148" i="9"/>
  <c r="FC148" i="9"/>
  <c r="FD148" i="9"/>
  <c r="FE148" i="9"/>
  <c r="FF148" i="9"/>
  <c r="FG148" i="9"/>
  <c r="FH148" i="9"/>
  <c r="FI148" i="9"/>
  <c r="FJ148" i="9"/>
  <c r="FK148" i="9"/>
  <c r="FL148" i="9"/>
  <c r="FM148" i="9"/>
  <c r="FQ148" i="9"/>
  <c r="FR148" i="9"/>
  <c r="FA148" i="9"/>
  <c r="FB106" i="9"/>
  <c r="FC106" i="9"/>
  <c r="FD106" i="9"/>
  <c r="FE106" i="9"/>
  <c r="FF106" i="9"/>
  <c r="FG106" i="9"/>
  <c r="FH106" i="9"/>
  <c r="FI106" i="9"/>
  <c r="FJ106" i="9"/>
  <c r="FK106" i="9"/>
  <c r="FL106" i="9"/>
  <c r="FM106" i="9"/>
  <c r="FA106" i="9"/>
  <c r="DU186" i="9"/>
  <c r="DU183" i="9"/>
  <c r="DR117" i="9" l="1"/>
  <c r="DV117" i="9"/>
  <c r="EB117" i="9"/>
  <c r="DV186" i="9"/>
  <c r="DV183" i="9"/>
  <c r="EB205" i="9"/>
  <c r="EB73" i="9" s="1"/>
  <c r="EC205" i="9"/>
  <c r="EC73" i="9" s="1"/>
  <c r="EC75" i="9" s="1"/>
  <c r="ED205" i="9"/>
  <c r="ED73" i="9" s="1"/>
  <c r="ED75" i="9" s="1"/>
  <c r="ED82" i="9" s="1"/>
  <c r="FM272" i="9"/>
  <c r="EC292" i="9"/>
  <c r="FL284" i="9"/>
  <c r="FL292" i="9" s="1"/>
  <c r="DY292" i="9"/>
  <c r="EE265" i="9"/>
  <c r="FM265" i="9" s="1"/>
  <c r="FM268" i="9" s="1"/>
  <c r="EA292" i="9"/>
  <c r="ED292" i="9"/>
  <c r="EB292" i="9"/>
  <c r="DV81" i="4"/>
  <c r="DV297" i="9"/>
  <c r="DV438" i="9" s="1"/>
  <c r="DU438" i="9"/>
  <c r="DV298" i="9"/>
  <c r="DV439" i="9" s="1"/>
  <c r="DU439" i="9"/>
  <c r="DV299" i="9"/>
  <c r="DV440" i="9" s="1"/>
  <c r="DU440" i="9"/>
  <c r="DV296" i="9"/>
  <c r="DV437" i="9" s="1"/>
  <c r="DU437" i="9"/>
  <c r="DV301" i="9"/>
  <c r="DV442" i="9" s="1"/>
  <c r="DU442" i="9"/>
  <c r="DV300" i="9"/>
  <c r="DV441" i="9" s="1"/>
  <c r="DU441" i="9"/>
  <c r="EC236" i="9"/>
  <c r="FL230" i="9"/>
  <c r="FL236" i="9" s="1"/>
  <c r="DY236" i="9"/>
  <c r="ED236" i="9"/>
  <c r="EB236" i="9"/>
  <c r="FK218" i="9"/>
  <c r="FK280" i="9"/>
  <c r="FL268" i="9"/>
  <c r="FL280" i="9"/>
  <c r="FK268" i="9"/>
  <c r="FL227" i="9"/>
  <c r="DV323" i="4"/>
  <c r="EE284" i="9"/>
  <c r="EE230" i="9"/>
  <c r="EE287" i="9"/>
  <c r="FM287" i="9" s="1"/>
  <c r="EE288" i="9"/>
  <c r="DY218" i="9"/>
  <c r="DY227" i="9"/>
  <c r="DS218" i="9"/>
  <c r="DY280" i="9"/>
  <c r="DS280" i="9"/>
  <c r="DS205" i="9" s="1"/>
  <c r="DS207" i="9" s="1"/>
  <c r="DY268" i="9"/>
  <c r="DS268" i="9"/>
  <c r="DR168" i="9"/>
  <c r="DV168" i="9"/>
  <c r="DO168" i="9"/>
  <c r="DU182" i="9"/>
  <c r="DP168" i="9"/>
  <c r="DU187" i="9"/>
  <c r="DQ168" i="9"/>
  <c r="DU185" i="9"/>
  <c r="DU184" i="9"/>
  <c r="DU168" i="9"/>
  <c r="DV118" i="9" l="1"/>
  <c r="ED206" i="9"/>
  <c r="EC206" i="9"/>
  <c r="EE268" i="9"/>
  <c r="EB206" i="9"/>
  <c r="EB207" i="9" s="1"/>
  <c r="EB86" i="9" s="1"/>
  <c r="DW183" i="9"/>
  <c r="DY206" i="9"/>
  <c r="DW186" i="9"/>
  <c r="FM288" i="9"/>
  <c r="ED142" i="9"/>
  <c r="EC142" i="9"/>
  <c r="DY205" i="9"/>
  <c r="EB142" i="9"/>
  <c r="DW299" i="9"/>
  <c r="DW309" i="9" s="1"/>
  <c r="DW448" i="9" s="1"/>
  <c r="DW298" i="9"/>
  <c r="DW308" i="9" s="1"/>
  <c r="DW447" i="9" s="1"/>
  <c r="FM284" i="9"/>
  <c r="DW301" i="9"/>
  <c r="DW311" i="9" s="1"/>
  <c r="DW450" i="9" s="1"/>
  <c r="DW297" i="9"/>
  <c r="DW438" i="9" s="1"/>
  <c r="DW296" i="9"/>
  <c r="DW437" i="9" s="1"/>
  <c r="DW300" i="9"/>
  <c r="DW310" i="9" s="1"/>
  <c r="DW449" i="9" s="1"/>
  <c r="EB100" i="9"/>
  <c r="EB74" i="9"/>
  <c r="EA100" i="9"/>
  <c r="EA74" i="9"/>
  <c r="EA169" i="9" s="1"/>
  <c r="EE167" i="9"/>
  <c r="FM230" i="9"/>
  <c r="DV169" i="9"/>
  <c r="DV184" i="9"/>
  <c r="DV187" i="9"/>
  <c r="DV357" i="4"/>
  <c r="DV347" i="4"/>
  <c r="DV185" i="9"/>
  <c r="DV182" i="9"/>
  <c r="DS168" i="9"/>
  <c r="EB75" i="9" l="1"/>
  <c r="EB82" i="9" s="1"/>
  <c r="EB169" i="9"/>
  <c r="ED207" i="9"/>
  <c r="ED86" i="9" s="1"/>
  <c r="DV319" i="9"/>
  <c r="EC207" i="9"/>
  <c r="EC86" i="9" s="1"/>
  <c r="EC199" i="9"/>
  <c r="EC87" i="9" s="1"/>
  <c r="EC47" i="9"/>
  <c r="EC141" i="9"/>
  <c r="DW457" i="9"/>
  <c r="DY207" i="9"/>
  <c r="DX186" i="9"/>
  <c r="DX183" i="9"/>
  <c r="FM167" i="9"/>
  <c r="DW182" i="9"/>
  <c r="DW456" i="9" s="1"/>
  <c r="DX299" i="9"/>
  <c r="DX440" i="9" s="1"/>
  <c r="EC46" i="9"/>
  <c r="DX300" i="9"/>
  <c r="DX441" i="9" s="1"/>
  <c r="DX298" i="9"/>
  <c r="DX439" i="9" s="1"/>
  <c r="DX296" i="9"/>
  <c r="DX437" i="9" s="1"/>
  <c r="DW442" i="9"/>
  <c r="DX301" i="9"/>
  <c r="DX442" i="9" s="1"/>
  <c r="DW441" i="9"/>
  <c r="DW460" i="9" s="1"/>
  <c r="DW440" i="9"/>
  <c r="DW439" i="9"/>
  <c r="DW306" i="9"/>
  <c r="DW445" i="9" s="1"/>
  <c r="EB46" i="9"/>
  <c r="EB59" i="9" s="1"/>
  <c r="ED46" i="9"/>
  <c r="DW302" i="9"/>
  <c r="DW443" i="9" s="1"/>
  <c r="DW126" i="9" s="1"/>
  <c r="DX297" i="9"/>
  <c r="DW307" i="9"/>
  <c r="DW446" i="9" s="1"/>
  <c r="EA103" i="9"/>
  <c r="EA102" i="9"/>
  <c r="EE74" i="9"/>
  <c r="EE279" i="9"/>
  <c r="FM279" i="9" s="1"/>
  <c r="EE278" i="9"/>
  <c r="FM278" i="9" s="1"/>
  <c r="EE164" i="9"/>
  <c r="EB103" i="9"/>
  <c r="EB102" i="9"/>
  <c r="DW187" i="9"/>
  <c r="DW184" i="9"/>
  <c r="DW185" i="9"/>
  <c r="DY24" i="9"/>
  <c r="DV188" i="9"/>
  <c r="ED199" i="9" l="1"/>
  <c r="ED47" i="9"/>
  <c r="ED48" i="9" s="1"/>
  <c r="ED141" i="9"/>
  <c r="DX460" i="9"/>
  <c r="EC175" i="9"/>
  <c r="EC177" i="9"/>
  <c r="EC176" i="9"/>
  <c r="EC171" i="9"/>
  <c r="EC174" i="9"/>
  <c r="EC178" i="9"/>
  <c r="DX309" i="9"/>
  <c r="DX448" i="9" s="1"/>
  <c r="EA299" i="9"/>
  <c r="EA440" i="9" s="1"/>
  <c r="EA298" i="9"/>
  <c r="EA439" i="9" s="1"/>
  <c r="DX187" i="9"/>
  <c r="EA301" i="9"/>
  <c r="EB301" i="9" s="1"/>
  <c r="EB442" i="9" s="1"/>
  <c r="FM164" i="9"/>
  <c r="EA300" i="9"/>
  <c r="EA441" i="9" s="1"/>
  <c r="EA183" i="9"/>
  <c r="DX182" i="9"/>
  <c r="DX311" i="9"/>
  <c r="DX450" i="9" s="1"/>
  <c r="DX308" i="9"/>
  <c r="DX447" i="9" s="1"/>
  <c r="EA186" i="9"/>
  <c r="DX306" i="9"/>
  <c r="DX445" i="9" s="1"/>
  <c r="EA296" i="9"/>
  <c r="EA437" i="9" s="1"/>
  <c r="DX310" i="9"/>
  <c r="DX449" i="9" s="1"/>
  <c r="DX302" i="9"/>
  <c r="DX443" i="9" s="1"/>
  <c r="DX126" i="9" s="1"/>
  <c r="EB47" i="9"/>
  <c r="EB141" i="9"/>
  <c r="DW451" i="9"/>
  <c r="DW312" i="9"/>
  <c r="EC48" i="9"/>
  <c r="DX438" i="9"/>
  <c r="DX457" i="9" s="1"/>
  <c r="DX307" i="9"/>
  <c r="DX446" i="9" s="1"/>
  <c r="EA297" i="9"/>
  <c r="EA438" i="9" s="1"/>
  <c r="EE277" i="9"/>
  <c r="EE280" i="9" s="1"/>
  <c r="EC82" i="9"/>
  <c r="DX185" i="9"/>
  <c r="DX184" i="9"/>
  <c r="DW458" i="9"/>
  <c r="DW461" i="9"/>
  <c r="DW459" i="9"/>
  <c r="DW188" i="9"/>
  <c r="DV125" i="9"/>
  <c r="DS244" i="9"/>
  <c r="DS243" i="9"/>
  <c r="DS242" i="9"/>
  <c r="DS241" i="9"/>
  <c r="DS240" i="9"/>
  <c r="DS239" i="9"/>
  <c r="DS301" i="9"/>
  <c r="FK301" i="9" s="1"/>
  <c r="DS300" i="9"/>
  <c r="FK300" i="9" s="1"/>
  <c r="DS299" i="9"/>
  <c r="FK299" i="9" s="1"/>
  <c r="DS298" i="9"/>
  <c r="FK298" i="9" s="1"/>
  <c r="DS297" i="9"/>
  <c r="FK297" i="9" s="1"/>
  <c r="DS296" i="9"/>
  <c r="FK296" i="9" s="1"/>
  <c r="ED253" i="9"/>
  <c r="ED252" i="9"/>
  <c r="ED251" i="9"/>
  <c r="ED250" i="9"/>
  <c r="ED249" i="9"/>
  <c r="ED248" i="9"/>
  <c r="EC253" i="9"/>
  <c r="EC252" i="9"/>
  <c r="EC251" i="9"/>
  <c r="EC250" i="9"/>
  <c r="EC249" i="9"/>
  <c r="EC248" i="9"/>
  <c r="EB253" i="9"/>
  <c r="EB252" i="9"/>
  <c r="EB251" i="9"/>
  <c r="EB250" i="9"/>
  <c r="EB249" i="9"/>
  <c r="EB248" i="9"/>
  <c r="EA253" i="9"/>
  <c r="EA252" i="9"/>
  <c r="EA251" i="9"/>
  <c r="EA250" i="9"/>
  <c r="EA249" i="9"/>
  <c r="EA248" i="9"/>
  <c r="DY253" i="9"/>
  <c r="DY252" i="9"/>
  <c r="DY251" i="9"/>
  <c r="DY250" i="9"/>
  <c r="DY249" i="9"/>
  <c r="DV253" i="9"/>
  <c r="DV252" i="9"/>
  <c r="DV251" i="9"/>
  <c r="DV250" i="9"/>
  <c r="DV249" i="9"/>
  <c r="DV248" i="9"/>
  <c r="DU253" i="9"/>
  <c r="DU252" i="9"/>
  <c r="DU251" i="9"/>
  <c r="DU250" i="9"/>
  <c r="DU249" i="9"/>
  <c r="DU248" i="9"/>
  <c r="DR249" i="9"/>
  <c r="DR250" i="9"/>
  <c r="DR251" i="9"/>
  <c r="DR252" i="9"/>
  <c r="DR253" i="9"/>
  <c r="DR248" i="9"/>
  <c r="DY242" i="9"/>
  <c r="ED245" i="9"/>
  <c r="EC245" i="9"/>
  <c r="EB245" i="9"/>
  <c r="EA245" i="9"/>
  <c r="EE244" i="9"/>
  <c r="EE243" i="9"/>
  <c r="EE242" i="9"/>
  <c r="EE241" i="9"/>
  <c r="EE240" i="9"/>
  <c r="EE239" i="9"/>
  <c r="DY240" i="9"/>
  <c r="DY241" i="9"/>
  <c r="DY243" i="9"/>
  <c r="DY244" i="9"/>
  <c r="DY239" i="9"/>
  <c r="DV245" i="9"/>
  <c r="DU245" i="9"/>
  <c r="DS183" i="9"/>
  <c r="FK183" i="9" s="1"/>
  <c r="DS184" i="9"/>
  <c r="FK184" i="9" s="1"/>
  <c r="DS185" i="9"/>
  <c r="FK185" i="9" s="1"/>
  <c r="DS186" i="9"/>
  <c r="FK186" i="9" s="1"/>
  <c r="DS187" i="9"/>
  <c r="FK187" i="9" s="1"/>
  <c r="DS182" i="9"/>
  <c r="FK182" i="9" s="1"/>
  <c r="ED157" i="9"/>
  <c r="ED158" i="9" s="1"/>
  <c r="EC157" i="9"/>
  <c r="EB157" i="9"/>
  <c r="EA157" i="9"/>
  <c r="FM151" i="9"/>
  <c r="EC158" i="9" l="1"/>
  <c r="ED175" i="9"/>
  <c r="ED177" i="9"/>
  <c r="ED87" i="9"/>
  <c r="ED174" i="9"/>
  <c r="ED171" i="9"/>
  <c r="ED176" i="9"/>
  <c r="ED178" i="9"/>
  <c r="EB300" i="9"/>
  <c r="EC300" i="9" s="1"/>
  <c r="EA442" i="9"/>
  <c r="EC301" i="9"/>
  <c r="ED301" i="9" s="1"/>
  <c r="EA187" i="9"/>
  <c r="EB299" i="9"/>
  <c r="EB440" i="9" s="1"/>
  <c r="EB298" i="9"/>
  <c r="EC298" i="9" s="1"/>
  <c r="EC439" i="9" s="1"/>
  <c r="DX461" i="9"/>
  <c r="EB296" i="9"/>
  <c r="EB437" i="9" s="1"/>
  <c r="EA182" i="9"/>
  <c r="EB183" i="9"/>
  <c r="DX451" i="9"/>
  <c r="EA185" i="9"/>
  <c r="EA184" i="9"/>
  <c r="EB186" i="9"/>
  <c r="DW125" i="9"/>
  <c r="DX456" i="9"/>
  <c r="EB109" i="9"/>
  <c r="EA302" i="9"/>
  <c r="EA443" i="9" s="1"/>
  <c r="EB297" i="9"/>
  <c r="DX312" i="9"/>
  <c r="EE234" i="9"/>
  <c r="FM234" i="9" s="1"/>
  <c r="EE249" i="9"/>
  <c r="FK244" i="9"/>
  <c r="DS442" i="9"/>
  <c r="FK442" i="9" s="1"/>
  <c r="EE253" i="9"/>
  <c r="FK243" i="9"/>
  <c r="DS441" i="9"/>
  <c r="FK441" i="9" s="1"/>
  <c r="EE235" i="9"/>
  <c r="FM235" i="9" s="1"/>
  <c r="EA126" i="9"/>
  <c r="FL244" i="9"/>
  <c r="DS253" i="9"/>
  <c r="EE250" i="9"/>
  <c r="DS248" i="9"/>
  <c r="FL249" i="9"/>
  <c r="DS251" i="9"/>
  <c r="FL250" i="9"/>
  <c r="EE251" i="9"/>
  <c r="FL242" i="9"/>
  <c r="FL239" i="9"/>
  <c r="DS252" i="9"/>
  <c r="FL240" i="9"/>
  <c r="DS250" i="9"/>
  <c r="FL251" i="9"/>
  <c r="EE252" i="9"/>
  <c r="DS249" i="9"/>
  <c r="FK239" i="9"/>
  <c r="DS437" i="9"/>
  <c r="FK437" i="9" s="1"/>
  <c r="FL252" i="9"/>
  <c r="FL253" i="9"/>
  <c r="FK240" i="9"/>
  <c r="DS438" i="9"/>
  <c r="FK438" i="9" s="1"/>
  <c r="FL243" i="9"/>
  <c r="FK241" i="9"/>
  <c r="DS439" i="9"/>
  <c r="FK439" i="9" s="1"/>
  <c r="EE248" i="9"/>
  <c r="FK242" i="9"/>
  <c r="DS440" i="9"/>
  <c r="FK440" i="9" s="1"/>
  <c r="EE231" i="9"/>
  <c r="FM231" i="9" s="1"/>
  <c r="FM277" i="9"/>
  <c r="FM280" i="9" s="1"/>
  <c r="EE233" i="9"/>
  <c r="FM233" i="9" s="1"/>
  <c r="EA109" i="9"/>
  <c r="DW462" i="9"/>
  <c r="DX458" i="9"/>
  <c r="DX188" i="9"/>
  <c r="DX459" i="9"/>
  <c r="FM240" i="9"/>
  <c r="EG222" i="9"/>
  <c r="FM243" i="9"/>
  <c r="EG225" i="9"/>
  <c r="FM241" i="9"/>
  <c r="EG223" i="9"/>
  <c r="FM242" i="9"/>
  <c r="EG224" i="9"/>
  <c r="FM239" i="9"/>
  <c r="EG221" i="9"/>
  <c r="FM244" i="9"/>
  <c r="EG226" i="9"/>
  <c r="FK302" i="9"/>
  <c r="EA223" i="9"/>
  <c r="EE223" i="9" s="1"/>
  <c r="FL241" i="9"/>
  <c r="FK188" i="9"/>
  <c r="DU254" i="9"/>
  <c r="EE245" i="9"/>
  <c r="EA254" i="9"/>
  <c r="EA287" i="4" s="1"/>
  <c r="DV459" i="9"/>
  <c r="DS302" i="9"/>
  <c r="DY185" i="9"/>
  <c r="DU461" i="9"/>
  <c r="DU311" i="9"/>
  <c r="DU450" i="9" s="1"/>
  <c r="DY184" i="9"/>
  <c r="DU458" i="9"/>
  <c r="DV254" i="9"/>
  <c r="EC254" i="9"/>
  <c r="DR254" i="9"/>
  <c r="EB254" i="9"/>
  <c r="ED254" i="9"/>
  <c r="DY248" i="9"/>
  <c r="DS245" i="9"/>
  <c r="DY245" i="9"/>
  <c r="DU188" i="9"/>
  <c r="DS188" i="9"/>
  <c r="DU20" i="4"/>
  <c r="DU19" i="4"/>
  <c r="DS156" i="9"/>
  <c r="FK156" i="9" s="1"/>
  <c r="DS155" i="9"/>
  <c r="FK155" i="9" s="1"/>
  <c r="DS154" i="9"/>
  <c r="FK154" i="9" s="1"/>
  <c r="DS153" i="9"/>
  <c r="FK153" i="9" s="1"/>
  <c r="DS152" i="9"/>
  <c r="FK152" i="9" s="1"/>
  <c r="DS151" i="9"/>
  <c r="FK151" i="9" s="1"/>
  <c r="DO157" i="9"/>
  <c r="DO109" i="9" s="1"/>
  <c r="DP157" i="9"/>
  <c r="DP109" i="9" s="1"/>
  <c r="DY151" i="9"/>
  <c r="DY152" i="9"/>
  <c r="DY153" i="9"/>
  <c r="DY154" i="9"/>
  <c r="DY155" i="9"/>
  <c r="DY156" i="9"/>
  <c r="DV157" i="9"/>
  <c r="DQ157" i="9"/>
  <c r="DQ109" i="9" s="1"/>
  <c r="DR157" i="9"/>
  <c r="DU157" i="9"/>
  <c r="DR310" i="9"/>
  <c r="DS310" i="9" s="1"/>
  <c r="DR309" i="9"/>
  <c r="DS309" i="9" s="1"/>
  <c r="DR308" i="9"/>
  <c r="DS308" i="9" s="1"/>
  <c r="DR307" i="9"/>
  <c r="DS307" i="9" s="1"/>
  <c r="FK307" i="9" s="1"/>
  <c r="DR306" i="9"/>
  <c r="DS306" i="9" s="1"/>
  <c r="DR311" i="9"/>
  <c r="DS311" i="9" s="1"/>
  <c r="DR302" i="9"/>
  <c r="DR245" i="9"/>
  <c r="DR461" i="9"/>
  <c r="DR460" i="9"/>
  <c r="DR459" i="9"/>
  <c r="DR458" i="9"/>
  <c r="DR457" i="9"/>
  <c r="DR188" i="9"/>
  <c r="DR456" i="9"/>
  <c r="R82" i="5"/>
  <c r="DY73" i="4"/>
  <c r="EB158" i="9" l="1"/>
  <c r="ED118" i="9"/>
  <c r="EB187" i="9"/>
  <c r="EB441" i="9"/>
  <c r="EC442" i="9"/>
  <c r="ED298" i="9"/>
  <c r="EE298" i="9" s="1"/>
  <c r="EB302" i="9"/>
  <c r="EB443" i="9" s="1"/>
  <c r="EA188" i="9"/>
  <c r="EB439" i="9"/>
  <c r="EC299" i="9"/>
  <c r="EC440" i="9" s="1"/>
  <c r="EB184" i="9"/>
  <c r="EC184" i="9" s="1"/>
  <c r="EC296" i="9"/>
  <c r="ED296" i="9" s="1"/>
  <c r="EB185" i="9"/>
  <c r="EC185" i="9" s="1"/>
  <c r="DR443" i="9"/>
  <c r="FL155" i="9"/>
  <c r="EC186" i="9"/>
  <c r="FL185" i="9"/>
  <c r="DV109" i="9"/>
  <c r="FL156" i="9"/>
  <c r="FL152" i="9"/>
  <c r="FL184" i="9"/>
  <c r="DX125" i="9"/>
  <c r="FL154" i="9"/>
  <c r="FL153" i="9"/>
  <c r="FL151" i="9"/>
  <c r="EC183" i="9"/>
  <c r="EB182" i="9"/>
  <c r="EA158" i="9"/>
  <c r="EB438" i="9"/>
  <c r="EC297" i="9"/>
  <c r="DR449" i="9"/>
  <c r="EE254" i="9"/>
  <c r="FK245" i="9"/>
  <c r="FK443" i="9" s="1"/>
  <c r="DR445" i="9"/>
  <c r="DR450" i="9"/>
  <c r="FK252" i="9"/>
  <c r="DS449" i="9"/>
  <c r="FK449" i="9" s="1"/>
  <c r="FK253" i="9"/>
  <c r="DS450" i="9"/>
  <c r="FK450" i="9" s="1"/>
  <c r="FL245" i="9"/>
  <c r="ED442" i="9"/>
  <c r="EG301" i="9"/>
  <c r="EE301" i="9"/>
  <c r="FK248" i="9"/>
  <c r="DS445" i="9"/>
  <c r="DR446" i="9"/>
  <c r="FK249" i="9"/>
  <c r="DS446" i="9"/>
  <c r="FK446" i="9" s="1"/>
  <c r="DS254" i="9"/>
  <c r="FM248" i="9"/>
  <c r="FM250" i="9"/>
  <c r="FM252" i="9"/>
  <c r="FM251" i="9"/>
  <c r="ED300" i="9"/>
  <c r="EC441" i="9"/>
  <c r="FM249" i="9"/>
  <c r="DR447" i="9"/>
  <c r="DS443" i="9"/>
  <c r="FK250" i="9"/>
  <c r="DS447" i="9"/>
  <c r="FK447" i="9" s="1"/>
  <c r="DR448" i="9"/>
  <c r="FL248" i="9"/>
  <c r="FL254" i="9" s="1"/>
  <c r="FK251" i="9"/>
  <c r="DS448" i="9"/>
  <c r="FK448" i="9" s="1"/>
  <c r="FM253" i="9"/>
  <c r="EE165" i="9"/>
  <c r="EE166" i="9"/>
  <c r="DU109" i="9"/>
  <c r="DR109" i="9"/>
  <c r="DU18" i="4"/>
  <c r="DU21" i="4" s="1"/>
  <c r="DX462" i="9"/>
  <c r="FK157" i="9"/>
  <c r="FM245" i="9"/>
  <c r="EG230" i="9"/>
  <c r="EK221" i="9"/>
  <c r="FN221" i="9" s="1"/>
  <c r="EK224" i="9"/>
  <c r="FN224" i="9" s="1"/>
  <c r="EG233" i="9"/>
  <c r="EK233" i="9" s="1"/>
  <c r="EG232" i="9"/>
  <c r="EK232" i="9" s="1"/>
  <c r="EK223" i="9"/>
  <c r="FN223" i="9" s="1"/>
  <c r="EG234" i="9"/>
  <c r="EK234" i="9" s="1"/>
  <c r="EK225" i="9"/>
  <c r="FN225" i="9" s="1"/>
  <c r="EG231" i="9"/>
  <c r="EK231" i="9" s="1"/>
  <c r="FN231" i="9" s="1"/>
  <c r="EK222" i="9"/>
  <c r="FN222" i="9" s="1"/>
  <c r="EK226" i="9"/>
  <c r="FN226" i="9" s="1"/>
  <c r="EG235" i="9"/>
  <c r="EG227" i="9"/>
  <c r="EA227" i="9"/>
  <c r="EA232" i="9"/>
  <c r="EE227" i="9"/>
  <c r="EE205" i="9" s="1"/>
  <c r="FM223" i="9"/>
  <c r="EL287" i="9"/>
  <c r="FO287" i="9" s="1"/>
  <c r="FK311" i="9"/>
  <c r="DS456" i="9"/>
  <c r="FK456" i="9" s="1"/>
  <c r="FK306" i="9"/>
  <c r="EL291" i="9"/>
  <c r="FO291" i="9" s="1"/>
  <c r="FK309" i="9"/>
  <c r="DS460" i="9"/>
  <c r="FK460" i="9" s="1"/>
  <c r="FK310" i="9"/>
  <c r="DS459" i="9"/>
  <c r="FK459" i="9" s="1"/>
  <c r="DS458" i="9"/>
  <c r="FK458" i="9" s="1"/>
  <c r="FK308" i="9"/>
  <c r="DS461" i="9"/>
  <c r="FK461" i="9" s="1"/>
  <c r="DS457" i="9"/>
  <c r="FK457" i="9" s="1"/>
  <c r="DU118" i="9"/>
  <c r="DR125" i="9"/>
  <c r="DU125" i="9"/>
  <c r="DU169" i="9"/>
  <c r="DY70" i="4"/>
  <c r="DU11" i="4"/>
  <c r="DU473" i="9"/>
  <c r="DU309" i="9"/>
  <c r="DU448" i="9" s="1"/>
  <c r="DV309" i="9"/>
  <c r="DV448" i="9" s="1"/>
  <c r="DV311" i="9"/>
  <c r="DV450" i="9" s="1"/>
  <c r="DU460" i="9"/>
  <c r="DU310" i="9"/>
  <c r="DU449" i="9" s="1"/>
  <c r="DS312" i="9"/>
  <c r="DU459" i="9"/>
  <c r="DV461" i="9"/>
  <c r="DU306" i="9"/>
  <c r="DU445" i="9" s="1"/>
  <c r="DU456" i="9"/>
  <c r="DU307" i="9"/>
  <c r="DU446" i="9" s="1"/>
  <c r="DU457" i="9"/>
  <c r="DV458" i="9"/>
  <c r="DY254" i="9"/>
  <c r="DU308" i="9"/>
  <c r="DU447" i="9" s="1"/>
  <c r="DU302" i="9"/>
  <c r="DU443" i="9" s="1"/>
  <c r="DU126" i="9" s="1"/>
  <c r="DQ158" i="9"/>
  <c r="DS157" i="9"/>
  <c r="DY157" i="9"/>
  <c r="DR312" i="9"/>
  <c r="ED319" i="9" l="1"/>
  <c r="EC187" i="9"/>
  <c r="ED187" i="9" s="1"/>
  <c r="ED196" i="9" s="1"/>
  <c r="DU319" i="9"/>
  <c r="ED439" i="9"/>
  <c r="EG298" i="9"/>
  <c r="EG439" i="9" s="1"/>
  <c r="EA125" i="9"/>
  <c r="EA127" i="9" s="1"/>
  <c r="EC437" i="9"/>
  <c r="ED299" i="9"/>
  <c r="ED440" i="9" s="1"/>
  <c r="EC302" i="9"/>
  <c r="EC443" i="9" s="1"/>
  <c r="FL157" i="9"/>
  <c r="EE168" i="9"/>
  <c r="EC182" i="9"/>
  <c r="ED183" i="9"/>
  <c r="ED192" i="9" s="1"/>
  <c r="EB188" i="9"/>
  <c r="FM166" i="9"/>
  <c r="ED186" i="9"/>
  <c r="ED195" i="9" s="1"/>
  <c r="ED185" i="9"/>
  <c r="ED194" i="9" s="1"/>
  <c r="ED184" i="9"/>
  <c r="ED193" i="9" s="1"/>
  <c r="EA205" i="9"/>
  <c r="EA73" i="9" s="1"/>
  <c r="EG205" i="9"/>
  <c r="EG73" i="9" s="1"/>
  <c r="EG74" i="9" s="1"/>
  <c r="EK382" i="9"/>
  <c r="FN382" i="9" s="1"/>
  <c r="FN233" i="9"/>
  <c r="EK391" i="9"/>
  <c r="FN391" i="9" s="1"/>
  <c r="FN232" i="9"/>
  <c r="FN227" i="9"/>
  <c r="EK383" i="9"/>
  <c r="FN383" i="9" s="1"/>
  <c r="FN234" i="9"/>
  <c r="EL329" i="9"/>
  <c r="FO329" i="9" s="1"/>
  <c r="EL392" i="9"/>
  <c r="FO392" i="9" s="1"/>
  <c r="ED297" i="9"/>
  <c r="EC438" i="9"/>
  <c r="FK254" i="9"/>
  <c r="FK445" i="9"/>
  <c r="FK451" i="9" s="1"/>
  <c r="DS451" i="9"/>
  <c r="FM301" i="9"/>
  <c r="EE442" i="9"/>
  <c r="FM442" i="9" s="1"/>
  <c r="FM298" i="9"/>
  <c r="EE439" i="9"/>
  <c r="FM439" i="9" s="1"/>
  <c r="EG442" i="9"/>
  <c r="EH301" i="9"/>
  <c r="EG311" i="9"/>
  <c r="EG450" i="9" s="1"/>
  <c r="ED437" i="9"/>
  <c r="DU451" i="9"/>
  <c r="DR451" i="9"/>
  <c r="FM254" i="9"/>
  <c r="EG296" i="9"/>
  <c r="EG437" i="9" s="1"/>
  <c r="EE296" i="9"/>
  <c r="ED441" i="9"/>
  <c r="EE300" i="9"/>
  <c r="EG300" i="9"/>
  <c r="EA236" i="9"/>
  <c r="EA206" i="9" s="1"/>
  <c r="EE215" i="9"/>
  <c r="EE218" i="9" s="1"/>
  <c r="FM165" i="9"/>
  <c r="DY118" i="9"/>
  <c r="EK230" i="9"/>
  <c r="EG236" i="9"/>
  <c r="EG206" i="9" s="1"/>
  <c r="DS462" i="9"/>
  <c r="FM227" i="9"/>
  <c r="EE232" i="9"/>
  <c r="EK235" i="9"/>
  <c r="EK227" i="9"/>
  <c r="EK205" i="9" s="1"/>
  <c r="FK312" i="9"/>
  <c r="EL290" i="9"/>
  <c r="FO290" i="9" s="1"/>
  <c r="FQ186" i="9"/>
  <c r="FQ183" i="9"/>
  <c r="FK462" i="9"/>
  <c r="EL289" i="9"/>
  <c r="EL284" i="9"/>
  <c r="FO284" i="9" s="1"/>
  <c r="DV158" i="9"/>
  <c r="DV308" i="9"/>
  <c r="DV447" i="9" s="1"/>
  <c r="DV310" i="9"/>
  <c r="DV449" i="9" s="1"/>
  <c r="DV460" i="9"/>
  <c r="DU462" i="9"/>
  <c r="DR126" i="9"/>
  <c r="DV457" i="9"/>
  <c r="DV307" i="9"/>
  <c r="DV446" i="9" s="1"/>
  <c r="DV456" i="9"/>
  <c r="DV302" i="9"/>
  <c r="DV443" i="9" s="1"/>
  <c r="DV126" i="9" s="1"/>
  <c r="DV306" i="9"/>
  <c r="DV445" i="9" s="1"/>
  <c r="DU312" i="9"/>
  <c r="DY299" i="9"/>
  <c r="DR462" i="9"/>
  <c r="DU141" i="9"/>
  <c r="EG169" i="9" l="1"/>
  <c r="EK74" i="9"/>
  <c r="FN74" i="9" s="1"/>
  <c r="EG141" i="9"/>
  <c r="EG47" i="9"/>
  <c r="EG308" i="9"/>
  <c r="EG447" i="9" s="1"/>
  <c r="EH298" i="9"/>
  <c r="EH308" i="9" s="1"/>
  <c r="EH447" i="9" s="1"/>
  <c r="ED302" i="9"/>
  <c r="ED443" i="9" s="1"/>
  <c r="ED126" i="9" s="1"/>
  <c r="EG299" i="9"/>
  <c r="EH299" i="9" s="1"/>
  <c r="EH440" i="9" s="1"/>
  <c r="EE299" i="9"/>
  <c r="FM299" i="9" s="1"/>
  <c r="FM169" i="9"/>
  <c r="EA207" i="9"/>
  <c r="EG207" i="9"/>
  <c r="EG187" i="9"/>
  <c r="EG461" i="9" s="1"/>
  <c r="EE187" i="9"/>
  <c r="EG185" i="9"/>
  <c r="EE185" i="9"/>
  <c r="EG186" i="9"/>
  <c r="EE186" i="9"/>
  <c r="EB125" i="9"/>
  <c r="EE183" i="9"/>
  <c r="EG183" i="9"/>
  <c r="ED182" i="9"/>
  <c r="EC188" i="9"/>
  <c r="EG184" i="9"/>
  <c r="EG458" i="9" s="1"/>
  <c r="EE184" i="9"/>
  <c r="FM163" i="9"/>
  <c r="FM168" i="9" s="1"/>
  <c r="FO73" i="9"/>
  <c r="FO82" i="9" s="1"/>
  <c r="FO289" i="9"/>
  <c r="EA75" i="9"/>
  <c r="EE73" i="9"/>
  <c r="FN73" i="9" s="1"/>
  <c r="EK389" i="9"/>
  <c r="FN389" i="9" s="1"/>
  <c r="FW390" i="9" s="1"/>
  <c r="FN230" i="9"/>
  <c r="EK392" i="9"/>
  <c r="FN392" i="9" s="1"/>
  <c r="FN235" i="9"/>
  <c r="EL328" i="9"/>
  <c r="EL322" i="9"/>
  <c r="FO322" i="9" s="1"/>
  <c r="EL327" i="9"/>
  <c r="EG46" i="9"/>
  <c r="EG142" i="9"/>
  <c r="EA46" i="9"/>
  <c r="EA142" i="9"/>
  <c r="ED438" i="9"/>
  <c r="EG297" i="9"/>
  <c r="EE297" i="9"/>
  <c r="EE437" i="9"/>
  <c r="FM437" i="9" s="1"/>
  <c r="FM296" i="9"/>
  <c r="EH442" i="9"/>
  <c r="EH311" i="9"/>
  <c r="EH450" i="9" s="1"/>
  <c r="EI301" i="9"/>
  <c r="FL299" i="9"/>
  <c r="DY440" i="9"/>
  <c r="FL440" i="9" s="1"/>
  <c r="EG306" i="9"/>
  <c r="EG445" i="9" s="1"/>
  <c r="DV451" i="9"/>
  <c r="EH296" i="9"/>
  <c r="EH306" i="9" s="1"/>
  <c r="EH445" i="9" s="1"/>
  <c r="EG441" i="9"/>
  <c r="EG310" i="9"/>
  <c r="EG449" i="9" s="1"/>
  <c r="EH300" i="9"/>
  <c r="FM300" i="9"/>
  <c r="EE441" i="9"/>
  <c r="FM441" i="9" s="1"/>
  <c r="FM232" i="9"/>
  <c r="FM236" i="9" s="1"/>
  <c r="EE236" i="9"/>
  <c r="EK236" i="9"/>
  <c r="DV127" i="9"/>
  <c r="EC24" i="9"/>
  <c r="EK73" i="9"/>
  <c r="FR186" i="9"/>
  <c r="FQ195" i="9"/>
  <c r="FR183" i="9"/>
  <c r="FQ192" i="9"/>
  <c r="EL288" i="9"/>
  <c r="EL73" i="9"/>
  <c r="EL75" i="9" s="1"/>
  <c r="DY301" i="9"/>
  <c r="DY442" i="9" s="1"/>
  <c r="FL442" i="9" s="1"/>
  <c r="DV312" i="9"/>
  <c r="DV462" i="9"/>
  <c r="DY187" i="9"/>
  <c r="DY311" i="9"/>
  <c r="DY450" i="9" s="1"/>
  <c r="FL450" i="9" s="1"/>
  <c r="DY182" i="9"/>
  <c r="DY186" i="9"/>
  <c r="DY183" i="9"/>
  <c r="DY309" i="9"/>
  <c r="DY448" i="9" s="1"/>
  <c r="FL448" i="9" s="1"/>
  <c r="DY298" i="9"/>
  <c r="EK75" i="9" l="1"/>
  <c r="EK47" i="9"/>
  <c r="EG82" i="4"/>
  <c r="EG182" i="9"/>
  <c r="ED191" i="9"/>
  <c r="EH439" i="9"/>
  <c r="EI298" i="9"/>
  <c r="EI439" i="9" s="1"/>
  <c r="EH309" i="9"/>
  <c r="EH448" i="9" s="1"/>
  <c r="EI299" i="9"/>
  <c r="EI309" i="9" s="1"/>
  <c r="EI448" i="9" s="1"/>
  <c r="EG302" i="9"/>
  <c r="EG443" i="9" s="1"/>
  <c r="EG126" i="9" s="1"/>
  <c r="EG309" i="9"/>
  <c r="EG448" i="9" s="1"/>
  <c r="EG440" i="9"/>
  <c r="EG459" i="9" s="1"/>
  <c r="EE302" i="9"/>
  <c r="EE443" i="9" s="1"/>
  <c r="EE440" i="9"/>
  <c r="FM440" i="9" s="1"/>
  <c r="EG460" i="9"/>
  <c r="EH183" i="9"/>
  <c r="FM183" i="9"/>
  <c r="FL182" i="9"/>
  <c r="FM186" i="9"/>
  <c r="FL183" i="9"/>
  <c r="EH186" i="9"/>
  <c r="EH184" i="9"/>
  <c r="FM185" i="9"/>
  <c r="FL186" i="9"/>
  <c r="FL187" i="9"/>
  <c r="ED188" i="9"/>
  <c r="EE182" i="9"/>
  <c r="EH185" i="9"/>
  <c r="FM187" i="9"/>
  <c r="FO71" i="9"/>
  <c r="EH187" i="9"/>
  <c r="EH461" i="9" s="1"/>
  <c r="FM184" i="9"/>
  <c r="EL383" i="9"/>
  <c r="FO383" i="9" s="1"/>
  <c r="FO328" i="9"/>
  <c r="EL372" i="9"/>
  <c r="FO327" i="9"/>
  <c r="FN71" i="9"/>
  <c r="FN82" i="9"/>
  <c r="FO351" i="9"/>
  <c r="FP351" i="9"/>
  <c r="EL389" i="9"/>
  <c r="FO389" i="9" s="1"/>
  <c r="FX390" i="9" s="1"/>
  <c r="EL370" i="9"/>
  <c r="EL382" i="9"/>
  <c r="EL357" i="9"/>
  <c r="EK46" i="9"/>
  <c r="EG48" i="9"/>
  <c r="EE75" i="9"/>
  <c r="EA82" i="9"/>
  <c r="EK142" i="9"/>
  <c r="EK206" i="9"/>
  <c r="EK207" i="9" s="1"/>
  <c r="FO288" i="9"/>
  <c r="FO292" i="9" s="1"/>
  <c r="EL391" i="9"/>
  <c r="FN236" i="9"/>
  <c r="ED24" i="9"/>
  <c r="EE24" i="9" s="1"/>
  <c r="EL34" i="9" s="1"/>
  <c r="EL351" i="9"/>
  <c r="EL330" i="9"/>
  <c r="EL356" i="9"/>
  <c r="EA86" i="9"/>
  <c r="EA47" i="9"/>
  <c r="EL292" i="9"/>
  <c r="EE438" i="9"/>
  <c r="FM438" i="9" s="1"/>
  <c r="FM297" i="9"/>
  <c r="FM302" i="9" s="1"/>
  <c r="FM443" i="9" s="1"/>
  <c r="EH297" i="9"/>
  <c r="EH302" i="9" s="1"/>
  <c r="EH443" i="9" s="1"/>
  <c r="EG438" i="9"/>
  <c r="EG457" i="9" s="1"/>
  <c r="EG307" i="9"/>
  <c r="EG446" i="9" s="1"/>
  <c r="EI296" i="9"/>
  <c r="EI306" i="9" s="1"/>
  <c r="EI445" i="9" s="1"/>
  <c r="EE46" i="9"/>
  <c r="EA59" i="9"/>
  <c r="EI442" i="9"/>
  <c r="EJ301" i="9"/>
  <c r="EI311" i="9"/>
  <c r="EI450" i="9" s="1"/>
  <c r="EH441" i="9"/>
  <c r="EI300" i="9"/>
  <c r="EH310" i="9"/>
  <c r="EH449" i="9" s="1"/>
  <c r="EH437" i="9"/>
  <c r="FL298" i="9"/>
  <c r="DY439" i="9"/>
  <c r="FL439" i="9" s="1"/>
  <c r="DW127" i="9"/>
  <c r="DX127" i="9"/>
  <c r="EG82" i="9"/>
  <c r="FR192" i="9"/>
  <c r="FL311" i="9"/>
  <c r="FL301" i="9"/>
  <c r="FL309" i="9"/>
  <c r="DY459" i="9"/>
  <c r="FL459" i="9" s="1"/>
  <c r="FR195" i="9"/>
  <c r="DY300" i="9"/>
  <c r="EA309" i="9"/>
  <c r="EA448" i="9" s="1"/>
  <c r="EA459" i="9"/>
  <c r="EA311" i="9"/>
  <c r="EA450" i="9" s="1"/>
  <c r="EA461" i="9"/>
  <c r="EC193" i="9"/>
  <c r="EC194" i="9"/>
  <c r="DY296" i="9"/>
  <c r="DY188" i="9"/>
  <c r="DY297" i="9"/>
  <c r="DY308" i="9"/>
  <c r="DY447" i="9" s="1"/>
  <c r="FL447" i="9" s="1"/>
  <c r="EI308" i="9" l="1"/>
  <c r="EI447" i="9" s="1"/>
  <c r="EK48" i="9"/>
  <c r="EJ298" i="9"/>
  <c r="EJ439" i="9" s="1"/>
  <c r="EG108" i="4"/>
  <c r="EK108" i="4" s="1"/>
  <c r="EK82" i="4"/>
  <c r="FT82" i="4" s="1"/>
  <c r="FN47" i="9"/>
  <c r="EK87" i="9"/>
  <c r="ED125" i="9"/>
  <c r="ED127" i="9" s="1"/>
  <c r="EJ299" i="9"/>
  <c r="EJ309" i="9" s="1"/>
  <c r="EI440" i="9"/>
  <c r="EG451" i="9"/>
  <c r="FO330" i="9"/>
  <c r="FP359" i="9" s="1"/>
  <c r="EH460" i="9"/>
  <c r="FL188" i="9"/>
  <c r="EI184" i="9"/>
  <c r="EI458" i="9" s="1"/>
  <c r="EI186" i="9"/>
  <c r="EI185" i="9"/>
  <c r="FM182" i="9"/>
  <c r="FM188" i="9" s="1"/>
  <c r="EE188" i="9"/>
  <c r="EG188" i="9"/>
  <c r="EH182" i="9"/>
  <c r="EH456" i="9" s="1"/>
  <c r="EG456" i="9"/>
  <c r="EG462" i="9" s="1"/>
  <c r="EH458" i="9"/>
  <c r="EH459" i="9"/>
  <c r="EI187" i="9"/>
  <c r="EI461" i="9" s="1"/>
  <c r="EL386" i="9"/>
  <c r="FO386" i="9" s="1"/>
  <c r="FP387" i="9" s="1"/>
  <c r="EI183" i="9"/>
  <c r="FN46" i="9"/>
  <c r="FO356" i="9"/>
  <c r="FP356" i="9"/>
  <c r="FP357" i="9"/>
  <c r="FO357" i="9"/>
  <c r="FO382" i="9"/>
  <c r="EL398" i="9"/>
  <c r="FO391" i="9"/>
  <c r="EL142" i="9"/>
  <c r="EL206" i="9"/>
  <c r="EL207" i="9" s="1"/>
  <c r="EG24" i="9"/>
  <c r="EH24" i="9" s="1"/>
  <c r="EI24" i="9" s="1"/>
  <c r="EJ24" i="9" s="1"/>
  <c r="EK24" i="9" s="1"/>
  <c r="FN24" i="9" s="1"/>
  <c r="EK34" i="9"/>
  <c r="FN34" i="9" s="1"/>
  <c r="EA141" i="9"/>
  <c r="EG312" i="9"/>
  <c r="EI437" i="9"/>
  <c r="EI297" i="9"/>
  <c r="EI302" i="9" s="1"/>
  <c r="EI443" i="9" s="1"/>
  <c r="EH438" i="9"/>
  <c r="EH457" i="9" s="1"/>
  <c r="EH307" i="9"/>
  <c r="EH446" i="9" s="1"/>
  <c r="EH451" i="9" s="1"/>
  <c r="EJ296" i="9"/>
  <c r="EK296" i="9" s="1"/>
  <c r="FN296" i="9" s="1"/>
  <c r="EH126" i="9"/>
  <c r="EI441" i="9"/>
  <c r="EI310" i="9"/>
  <c r="EJ300" i="9"/>
  <c r="EJ442" i="9"/>
  <c r="EK301" i="9"/>
  <c r="FN301" i="9" s="1"/>
  <c r="EJ311" i="9"/>
  <c r="FL297" i="9"/>
  <c r="DY438" i="9"/>
  <c r="FL438" i="9" s="1"/>
  <c r="FL296" i="9"/>
  <c r="DY437" i="9"/>
  <c r="FL437" i="9" s="1"/>
  <c r="FL300" i="9"/>
  <c r="DY441" i="9"/>
  <c r="FL441" i="9" s="1"/>
  <c r="EG81" i="4"/>
  <c r="DY458" i="9"/>
  <c r="FL458" i="9" s="1"/>
  <c r="DY461" i="9"/>
  <c r="FL461" i="9" s="1"/>
  <c r="FL308" i="9"/>
  <c r="EG196" i="9"/>
  <c r="EG469" i="9" s="1"/>
  <c r="DY310" i="9"/>
  <c r="DY449" i="9" s="1"/>
  <c r="FL449" i="9" s="1"/>
  <c r="DY306" i="9"/>
  <c r="DY302" i="9"/>
  <c r="DY443" i="9" s="1"/>
  <c r="DY307" i="9"/>
  <c r="DY446" i="9" s="1"/>
  <c r="FL446" i="9" s="1"/>
  <c r="EA308" i="9"/>
  <c r="EA447" i="9" s="1"/>
  <c r="EA458" i="9"/>
  <c r="EB461" i="9"/>
  <c r="EB311" i="9"/>
  <c r="EB450" i="9" s="1"/>
  <c r="EB459" i="9"/>
  <c r="EB309" i="9"/>
  <c r="EJ308" i="9" l="1"/>
  <c r="EK298" i="9"/>
  <c r="FN298" i="9" s="1"/>
  <c r="EK96" i="4"/>
  <c r="FT108" i="4"/>
  <c r="FT96" i="4" s="1"/>
  <c r="EG55" i="9"/>
  <c r="EI459" i="9"/>
  <c r="EK299" i="9"/>
  <c r="FN299" i="9" s="1"/>
  <c r="EL299" i="9" s="1"/>
  <c r="FO299" i="9" s="1"/>
  <c r="EJ440" i="9"/>
  <c r="EI460" i="9"/>
  <c r="EL401" i="9"/>
  <c r="FO401" i="9" s="1"/>
  <c r="FN48" i="9"/>
  <c r="EH462" i="9"/>
  <c r="EG125" i="9"/>
  <c r="EG127" i="9" s="1"/>
  <c r="EJ183" i="9"/>
  <c r="EJ185" i="9"/>
  <c r="EJ187" i="9"/>
  <c r="EJ186" i="9"/>
  <c r="EI182" i="9"/>
  <c r="EH188" i="9"/>
  <c r="EJ184" i="9"/>
  <c r="EL46" i="9"/>
  <c r="EL48" i="9" s="1"/>
  <c r="FX391" i="9"/>
  <c r="FX393" i="9" s="1"/>
  <c r="FO34" i="9"/>
  <c r="EL24" i="9"/>
  <c r="FO24" i="9" s="1"/>
  <c r="FL302" i="9"/>
  <c r="FL443" i="9" s="1"/>
  <c r="EJ306" i="9"/>
  <c r="EJ445" i="9" s="1"/>
  <c r="EH312" i="9"/>
  <c r="EJ437" i="9"/>
  <c r="EI126" i="9"/>
  <c r="EJ297" i="9"/>
  <c r="EI438" i="9"/>
  <c r="EI457" i="9" s="1"/>
  <c r="EI307" i="9"/>
  <c r="EI446" i="9" s="1"/>
  <c r="EI449" i="9"/>
  <c r="EJ448" i="9"/>
  <c r="EK309" i="9"/>
  <c r="FN309" i="9" s="1"/>
  <c r="EJ447" i="9"/>
  <c r="EK308" i="9"/>
  <c r="FN308" i="9" s="1"/>
  <c r="EB448" i="9"/>
  <c r="EJ450" i="9"/>
  <c r="EK311" i="9"/>
  <c r="FN311" i="9" s="1"/>
  <c r="EJ441" i="9"/>
  <c r="EK300" i="9"/>
  <c r="FN300" i="9" s="1"/>
  <c r="EJ310" i="9"/>
  <c r="EK442" i="9"/>
  <c r="FN442" i="9" s="1"/>
  <c r="EL301" i="9"/>
  <c r="FO301" i="9" s="1"/>
  <c r="FL306" i="9"/>
  <c r="DY445" i="9"/>
  <c r="EK439" i="9"/>
  <c r="FN439" i="9" s="1"/>
  <c r="EL298" i="9"/>
  <c r="FO298" i="9" s="1"/>
  <c r="EL296" i="9"/>
  <c r="EK437" i="9"/>
  <c r="FN437" i="9" s="1"/>
  <c r="EG107" i="4"/>
  <c r="EK107" i="4" s="1"/>
  <c r="EK81" i="4"/>
  <c r="DY460" i="9"/>
  <c r="FL460" i="9" s="1"/>
  <c r="FL310" i="9"/>
  <c r="FL307" i="9"/>
  <c r="DY456" i="9"/>
  <c r="FL456" i="9" s="1"/>
  <c r="DY457" i="9"/>
  <c r="FL457" i="9" s="1"/>
  <c r="EG194" i="9"/>
  <c r="EG467" i="9" s="1"/>
  <c r="EG192" i="9"/>
  <c r="EG465" i="9" s="1"/>
  <c r="EG195" i="9"/>
  <c r="EG468" i="9" s="1"/>
  <c r="EH196" i="9"/>
  <c r="EH469" i="9" s="1"/>
  <c r="EG191" i="9"/>
  <c r="EG193" i="9"/>
  <c r="EG466" i="9" s="1"/>
  <c r="EA460" i="9"/>
  <c r="EA310" i="9"/>
  <c r="EA449" i="9" s="1"/>
  <c r="EC461" i="9"/>
  <c r="EC311" i="9"/>
  <c r="EC450" i="9" s="1"/>
  <c r="EC125" i="9"/>
  <c r="EC191" i="9"/>
  <c r="EC196" i="9"/>
  <c r="EC195" i="9"/>
  <c r="EB308" i="9"/>
  <c r="EB447" i="9" s="1"/>
  <c r="EB458" i="9"/>
  <c r="EA456" i="9"/>
  <c r="EA306" i="9"/>
  <c r="EA445" i="9" s="1"/>
  <c r="EE193" i="9"/>
  <c r="FM193" i="9" s="1"/>
  <c r="EE194" i="9"/>
  <c r="FM194" i="9" s="1"/>
  <c r="EC459" i="9"/>
  <c r="EC309" i="9"/>
  <c r="EC192" i="9"/>
  <c r="EA307" i="9"/>
  <c r="EA446" i="9" s="1"/>
  <c r="EA457" i="9"/>
  <c r="DY312" i="9"/>
  <c r="EK440" i="9" l="1"/>
  <c r="FN440" i="9" s="1"/>
  <c r="EJ460" i="9"/>
  <c r="EK186" i="9"/>
  <c r="EK187" i="9"/>
  <c r="EK461" i="9" s="1"/>
  <c r="FN461" i="9" s="1"/>
  <c r="EK185" i="9"/>
  <c r="EH125" i="9"/>
  <c r="EH127" i="9" s="1"/>
  <c r="EK184" i="9"/>
  <c r="EK183" i="9"/>
  <c r="EI188" i="9"/>
  <c r="EJ182" i="9"/>
  <c r="EJ456" i="9" s="1"/>
  <c r="EI456" i="9"/>
  <c r="EI462" i="9" s="1"/>
  <c r="EJ459" i="9"/>
  <c r="EJ461" i="9"/>
  <c r="EJ458" i="9"/>
  <c r="FO46" i="9"/>
  <c r="EI312" i="9"/>
  <c r="FP34" i="9"/>
  <c r="FP24" i="9"/>
  <c r="FQ34" i="9" s="1"/>
  <c r="EL437" i="9"/>
  <c r="FO437" i="9" s="1"/>
  <c r="FO296" i="9"/>
  <c r="EK306" i="9"/>
  <c r="FT81" i="4"/>
  <c r="EI451" i="9"/>
  <c r="EK297" i="9"/>
  <c r="EJ307" i="9"/>
  <c r="EJ312" i="9" s="1"/>
  <c r="EJ438" i="9"/>
  <c r="EJ457" i="9" s="1"/>
  <c r="EJ302" i="9"/>
  <c r="EJ443" i="9" s="1"/>
  <c r="EL439" i="9"/>
  <c r="EL308" i="9"/>
  <c r="EL442" i="9"/>
  <c r="EL311" i="9"/>
  <c r="EK447" i="9"/>
  <c r="FN447" i="9" s="1"/>
  <c r="EC448" i="9"/>
  <c r="EC467" i="9" s="1"/>
  <c r="EJ449" i="9"/>
  <c r="EK310" i="9"/>
  <c r="FN310" i="9" s="1"/>
  <c r="EK448" i="9"/>
  <c r="FN448" i="9" s="1"/>
  <c r="EK441" i="9"/>
  <c r="FN441" i="9" s="1"/>
  <c r="EL300" i="9"/>
  <c r="FO300" i="9" s="1"/>
  <c r="DY451" i="9"/>
  <c r="FL445" i="9"/>
  <c r="FL451" i="9" s="1"/>
  <c r="EK450" i="9"/>
  <c r="FN450" i="9" s="1"/>
  <c r="EL440" i="9"/>
  <c r="EL309" i="9"/>
  <c r="EA451" i="9"/>
  <c r="EE291" i="9"/>
  <c r="FM291" i="9" s="1"/>
  <c r="EB126" i="9"/>
  <c r="EB127" i="9" s="1"/>
  <c r="EL306" i="9"/>
  <c r="FQ187" i="9"/>
  <c r="FQ184" i="9"/>
  <c r="FQ185" i="9"/>
  <c r="FT107" i="4"/>
  <c r="EK95" i="4"/>
  <c r="FT111" i="4"/>
  <c r="FL312" i="9"/>
  <c r="FQ182" i="9"/>
  <c r="FL462" i="9"/>
  <c r="DY462" i="9"/>
  <c r="EH194" i="9"/>
  <c r="EH467" i="9" s="1"/>
  <c r="EH191" i="9"/>
  <c r="EH464" i="9" s="1"/>
  <c r="EH193" i="9"/>
  <c r="EH466" i="9" s="1"/>
  <c r="EG197" i="9"/>
  <c r="EH195" i="9"/>
  <c r="EH468" i="9" s="1"/>
  <c r="EG464" i="9"/>
  <c r="EG470" i="9" s="1"/>
  <c r="EH192" i="9"/>
  <c r="EH465" i="9" s="1"/>
  <c r="EC469" i="9"/>
  <c r="EB460" i="9"/>
  <c r="EB310" i="9"/>
  <c r="EA462" i="9"/>
  <c r="EB307" i="9"/>
  <c r="EB457" i="9"/>
  <c r="EB456" i="9"/>
  <c r="EB306" i="9"/>
  <c r="ED461" i="9"/>
  <c r="ED311" i="9"/>
  <c r="ED450" i="9" s="1"/>
  <c r="EC197" i="9"/>
  <c r="EA312" i="9"/>
  <c r="EC458" i="9"/>
  <c r="EC308" i="9"/>
  <c r="EC447" i="9" s="1"/>
  <c r="ED459" i="9"/>
  <c r="ED309" i="9"/>
  <c r="ED448" i="9" s="1"/>
  <c r="EK459" i="9" l="1"/>
  <c r="FN459" i="9" s="1"/>
  <c r="EJ462" i="9"/>
  <c r="FN183" i="9"/>
  <c r="EL183" i="9" s="1"/>
  <c r="FN184" i="9"/>
  <c r="EL184" i="9" s="1"/>
  <c r="EL458" i="9" s="1"/>
  <c r="FO458" i="9" s="1"/>
  <c r="FN185" i="9"/>
  <c r="EL185" i="9" s="1"/>
  <c r="EL459" i="9" s="1"/>
  <c r="FO459" i="9" s="1"/>
  <c r="FN187" i="9"/>
  <c r="EL187" i="9" s="1"/>
  <c r="EL461" i="9" s="1"/>
  <c r="FO461" i="9" s="1"/>
  <c r="EK458" i="9"/>
  <c r="FN458" i="9" s="1"/>
  <c r="EK182" i="9"/>
  <c r="EJ188" i="9"/>
  <c r="FN186" i="9"/>
  <c r="EL186" i="9" s="1"/>
  <c r="EI125" i="9"/>
  <c r="EI127" i="9" s="1"/>
  <c r="FO48" i="9"/>
  <c r="EK445" i="9"/>
  <c r="FN445" i="9" s="1"/>
  <c r="FN306" i="9"/>
  <c r="EK302" i="9"/>
  <c r="EK443" i="9" s="1"/>
  <c r="FN297" i="9"/>
  <c r="FN302" i="9" s="1"/>
  <c r="FN443" i="9" s="1"/>
  <c r="FO442" i="9"/>
  <c r="EL448" i="9"/>
  <c r="FO309" i="9"/>
  <c r="EL445" i="9"/>
  <c r="FO445" i="9" s="1"/>
  <c r="FO306" i="9"/>
  <c r="FO440" i="9"/>
  <c r="EL450" i="9"/>
  <c r="FO311" i="9"/>
  <c r="EL447" i="9"/>
  <c r="FO308" i="9"/>
  <c r="FO439" i="9"/>
  <c r="EJ446" i="9"/>
  <c r="EJ451" i="9" s="1"/>
  <c r="EK307" i="9"/>
  <c r="FN307" i="9" s="1"/>
  <c r="EJ126" i="9"/>
  <c r="EK438" i="9"/>
  <c r="FN438" i="9" s="1"/>
  <c r="EK460" i="9"/>
  <c r="FN460" i="9" s="1"/>
  <c r="EK449" i="9"/>
  <c r="FN449" i="9" s="1"/>
  <c r="FQ298" i="9"/>
  <c r="EB449" i="9"/>
  <c r="EE289" i="9"/>
  <c r="EB445" i="9"/>
  <c r="EB446" i="9"/>
  <c r="FQ299" i="9"/>
  <c r="EL310" i="9"/>
  <c r="FO310" i="9" s="1"/>
  <c r="EL441" i="9"/>
  <c r="EE290" i="9"/>
  <c r="EG133" i="9"/>
  <c r="FQ296" i="9"/>
  <c r="FQ437" i="9" s="1"/>
  <c r="FR187" i="9"/>
  <c r="FR196" i="9" s="1"/>
  <c r="FQ196" i="9"/>
  <c r="FQ194" i="9"/>
  <c r="FR185" i="9"/>
  <c r="FR184" i="9"/>
  <c r="FR193" i="9" s="1"/>
  <c r="FQ193" i="9"/>
  <c r="FT95" i="4"/>
  <c r="EE461" i="9"/>
  <c r="FM461" i="9" s="1"/>
  <c r="EE459" i="9"/>
  <c r="FM459" i="9" s="1"/>
  <c r="FQ191" i="9"/>
  <c r="FQ188" i="9"/>
  <c r="FR182" i="9"/>
  <c r="EH197" i="9"/>
  <c r="EH470" i="9"/>
  <c r="EI193" i="9"/>
  <c r="EI466" i="9" s="1"/>
  <c r="EI194" i="9"/>
  <c r="EI467" i="9" s="1"/>
  <c r="EI192" i="9"/>
  <c r="EI465" i="9" s="1"/>
  <c r="EI191" i="9"/>
  <c r="EI195" i="9"/>
  <c r="EI468" i="9" s="1"/>
  <c r="EI196" i="9"/>
  <c r="EI469" i="9" s="1"/>
  <c r="EC460" i="9"/>
  <c r="EC310" i="9"/>
  <c r="EC456" i="9"/>
  <c r="EC306" i="9"/>
  <c r="EC445" i="9" s="1"/>
  <c r="EB312" i="9"/>
  <c r="EC457" i="9"/>
  <c r="EC307" i="9"/>
  <c r="EE192" i="9"/>
  <c r="FM192" i="9" s="1"/>
  <c r="EE196" i="9"/>
  <c r="FM196" i="9" s="1"/>
  <c r="EE195" i="9"/>
  <c r="FM195" i="9" s="1"/>
  <c r="EB462" i="9"/>
  <c r="EE191" i="9"/>
  <c r="FM191" i="9" s="1"/>
  <c r="ED197" i="9"/>
  <c r="EE309" i="9"/>
  <c r="EE448" i="9" s="1"/>
  <c r="FM448" i="9" s="1"/>
  <c r="ED467" i="9"/>
  <c r="EE311" i="9"/>
  <c r="EE450" i="9" s="1"/>
  <c r="FM450" i="9" s="1"/>
  <c r="ED469" i="9"/>
  <c r="EC466" i="9"/>
  <c r="ED458" i="9"/>
  <c r="ED308" i="9"/>
  <c r="ED447" i="9" s="1"/>
  <c r="T288" i="5"/>
  <c r="T297" i="5"/>
  <c r="T302" i="5"/>
  <c r="T308" i="5"/>
  <c r="T282" i="5"/>
  <c r="T172" i="5"/>
  <c r="T170" i="5"/>
  <c r="T197" i="5"/>
  <c r="T154" i="5"/>
  <c r="T146" i="5"/>
  <c r="T140" i="5"/>
  <c r="T127" i="5"/>
  <c r="T82" i="5"/>
  <c r="T32" i="5"/>
  <c r="T6" i="5"/>
  <c r="F127" i="5"/>
  <c r="F82" i="5"/>
  <c r="F6" i="5"/>
  <c r="FM290" i="9" l="1"/>
  <c r="FO186" i="9"/>
  <c r="EL195" i="9"/>
  <c r="FO195" i="9" s="1"/>
  <c r="EJ125" i="9"/>
  <c r="EJ127" i="9" s="1"/>
  <c r="FN182" i="9"/>
  <c r="EK188" i="9"/>
  <c r="EK456" i="9"/>
  <c r="FN456" i="9" s="1"/>
  <c r="FO187" i="9"/>
  <c r="EL196" i="9"/>
  <c r="FO196" i="9" s="1"/>
  <c r="FO185" i="9"/>
  <c r="EL194" i="9"/>
  <c r="FO194" i="9" s="1"/>
  <c r="FO184" i="9"/>
  <c r="EL193" i="9"/>
  <c r="FO193" i="9" s="1"/>
  <c r="FO183" i="9"/>
  <c r="EL192" i="9"/>
  <c r="FO192" i="9" s="1"/>
  <c r="EL297" i="9"/>
  <c r="EL438" i="9" s="1"/>
  <c r="FN312" i="9"/>
  <c r="FO447" i="9"/>
  <c r="FO448" i="9"/>
  <c r="FO450" i="9"/>
  <c r="EL460" i="9"/>
  <c r="FO460" i="9" s="1"/>
  <c r="FO441" i="9"/>
  <c r="FM289" i="9"/>
  <c r="FM292" i="9" s="1"/>
  <c r="EE292" i="9"/>
  <c r="EK312" i="9"/>
  <c r="EK446" i="9"/>
  <c r="FN446" i="9" s="1"/>
  <c r="FN451" i="9" s="1"/>
  <c r="EK457" i="9"/>
  <c r="FN457" i="9" s="1"/>
  <c r="FQ300" i="9"/>
  <c r="FQ439" i="9"/>
  <c r="FQ458" i="9" s="1"/>
  <c r="FQ308" i="9"/>
  <c r="FQ447" i="9" s="1"/>
  <c r="FQ466" i="9" s="1"/>
  <c r="FR298" i="9"/>
  <c r="EL449" i="9"/>
  <c r="FO449" i="9" s="1"/>
  <c r="FQ440" i="9"/>
  <c r="FQ459" i="9" s="1"/>
  <c r="FQ309" i="9"/>
  <c r="FQ448" i="9" s="1"/>
  <c r="FQ467" i="9" s="1"/>
  <c r="FR299" i="9"/>
  <c r="EC449" i="9"/>
  <c r="EC468" i="9" s="1"/>
  <c r="EB451" i="9"/>
  <c r="EC446" i="9"/>
  <c r="EC465" i="9" s="1"/>
  <c r="FQ456" i="9"/>
  <c r="FQ306" i="9"/>
  <c r="FR296" i="9"/>
  <c r="FR437" i="9" s="1"/>
  <c r="FR194" i="9"/>
  <c r="EG120" i="9"/>
  <c r="EH13" i="9"/>
  <c r="EG134" i="9"/>
  <c r="FQ197" i="9"/>
  <c r="FM197" i="9"/>
  <c r="FR188" i="9"/>
  <c r="FR191" i="9"/>
  <c r="EE458" i="9"/>
  <c r="FM458" i="9" s="1"/>
  <c r="FM311" i="9"/>
  <c r="FM309" i="9"/>
  <c r="EI464" i="9"/>
  <c r="EI470" i="9" s="1"/>
  <c r="EI197" i="9"/>
  <c r="EJ192" i="9"/>
  <c r="EJ191" i="9"/>
  <c r="EJ195" i="9"/>
  <c r="EJ194" i="9"/>
  <c r="EJ196" i="9"/>
  <c r="EJ193" i="9"/>
  <c r="EC126" i="9"/>
  <c r="ED460" i="9"/>
  <c r="ED310" i="9"/>
  <c r="ED449" i="9" s="1"/>
  <c r="ED457" i="9"/>
  <c r="ED307" i="9"/>
  <c r="ED446" i="9" s="1"/>
  <c r="EC312" i="9"/>
  <c r="EE197" i="9"/>
  <c r="EE308" i="9"/>
  <c r="EE447" i="9" s="1"/>
  <c r="FM447" i="9" s="1"/>
  <c r="ED466" i="9"/>
  <c r="ED456" i="9"/>
  <c r="ED306" i="9"/>
  <c r="ED445" i="9" s="1"/>
  <c r="EC462" i="9"/>
  <c r="FQ360" i="4"/>
  <c r="FK24" i="9"/>
  <c r="FQ166" i="4"/>
  <c r="DY95" i="9"/>
  <c r="DU365" i="4"/>
  <c r="DS101" i="9"/>
  <c r="DS360" i="4"/>
  <c r="DS351" i="4"/>
  <c r="FQ351" i="4" s="1"/>
  <c r="DS303" i="4"/>
  <c r="DS279" i="4"/>
  <c r="DS223" i="4"/>
  <c r="DS167" i="4"/>
  <c r="FQ167" i="4" s="1"/>
  <c r="DS107" i="4"/>
  <c r="FQ107" i="4" s="1"/>
  <c r="DS72" i="4"/>
  <c r="DS67" i="4"/>
  <c r="DS6" i="4"/>
  <c r="DS110" i="9"/>
  <c r="EL469" i="9" l="1"/>
  <c r="FO469" i="9" s="1"/>
  <c r="EL302" i="9"/>
  <c r="EL443" i="9" s="1"/>
  <c r="EL467" i="9"/>
  <c r="FO467" i="9" s="1"/>
  <c r="EL466" i="9"/>
  <c r="FO466" i="9" s="1"/>
  <c r="FN462" i="9"/>
  <c r="EL182" i="9"/>
  <c r="FN188" i="9"/>
  <c r="EL307" i="9"/>
  <c r="EL312" i="9" s="1"/>
  <c r="FO297" i="9"/>
  <c r="FO302" i="9" s="1"/>
  <c r="FO443" i="9" s="1"/>
  <c r="EE142" i="9"/>
  <c r="EE206" i="9"/>
  <c r="EE207" i="9" s="1"/>
  <c r="EK451" i="9"/>
  <c r="EL457" i="9"/>
  <c r="FO438" i="9"/>
  <c r="FQ297" i="9"/>
  <c r="EK462" i="9"/>
  <c r="EC451" i="9"/>
  <c r="EL468" i="9"/>
  <c r="FO468" i="9" s="1"/>
  <c r="FR439" i="9"/>
  <c r="FR458" i="9" s="1"/>
  <c r="FR308" i="9"/>
  <c r="FR447" i="9" s="1"/>
  <c r="FR466" i="9" s="1"/>
  <c r="FR300" i="9"/>
  <c r="FQ441" i="9"/>
  <c r="FQ460" i="9" s="1"/>
  <c r="FQ310" i="9"/>
  <c r="FQ445" i="9"/>
  <c r="ED451" i="9"/>
  <c r="FR309" i="9"/>
  <c r="FR448" i="9" s="1"/>
  <c r="FR467" i="9" s="1"/>
  <c r="FR440" i="9"/>
  <c r="FR459" i="9" s="1"/>
  <c r="FR456" i="9"/>
  <c r="FR306" i="9"/>
  <c r="EE469" i="9"/>
  <c r="FM469" i="9" s="1"/>
  <c r="EE460" i="9"/>
  <c r="FM460" i="9" s="1"/>
  <c r="FM308" i="9"/>
  <c r="EE467" i="9"/>
  <c r="FM467" i="9" s="1"/>
  <c r="FR197" i="9"/>
  <c r="EE457" i="9"/>
  <c r="FM457" i="9" s="1"/>
  <c r="EJ469" i="9"/>
  <c r="EK196" i="9"/>
  <c r="FN196" i="9" s="1"/>
  <c r="EK194" i="9"/>
  <c r="FN194" i="9" s="1"/>
  <c r="EJ467" i="9"/>
  <c r="EK195" i="9"/>
  <c r="FN195" i="9" s="1"/>
  <c r="EJ468" i="9"/>
  <c r="EJ464" i="9"/>
  <c r="EJ197" i="9"/>
  <c r="EK191" i="9"/>
  <c r="FN191" i="9" s="1"/>
  <c r="EJ465" i="9"/>
  <c r="EK192" i="9"/>
  <c r="FN192" i="9" s="1"/>
  <c r="EK193" i="9"/>
  <c r="FN193" i="9" s="1"/>
  <c r="EJ466" i="9"/>
  <c r="ED462" i="9"/>
  <c r="EE310" i="9"/>
  <c r="EE449" i="9" s="1"/>
  <c r="FM449" i="9" s="1"/>
  <c r="ED468" i="9"/>
  <c r="EC464" i="9"/>
  <c r="EC470" i="9" s="1"/>
  <c r="EE307" i="9"/>
  <c r="EE446" i="9" s="1"/>
  <c r="FM446" i="9" s="1"/>
  <c r="ED465" i="9"/>
  <c r="EE306" i="9"/>
  <c r="ED312" i="9"/>
  <c r="FK73" i="9"/>
  <c r="FO307" i="9" l="1"/>
  <c r="FO312" i="9" s="1"/>
  <c r="EL446" i="9"/>
  <c r="EL451" i="9" s="1"/>
  <c r="FO182" i="9"/>
  <c r="FO188" i="9" s="1"/>
  <c r="EL188" i="9"/>
  <c r="EL191" i="9"/>
  <c r="EL456" i="9"/>
  <c r="FO456" i="9" s="1"/>
  <c r="FN197" i="9"/>
  <c r="FO457" i="9"/>
  <c r="FQ438" i="9"/>
  <c r="FQ457" i="9" s="1"/>
  <c r="FQ307" i="9"/>
  <c r="FQ446" i="9" s="1"/>
  <c r="FQ465" i="9" s="1"/>
  <c r="FR297" i="9"/>
  <c r="FR441" i="9"/>
  <c r="FR460" i="9" s="1"/>
  <c r="FR310" i="9"/>
  <c r="FM306" i="9"/>
  <c r="EE445" i="9"/>
  <c r="FQ449" i="9"/>
  <c r="FQ468" i="9" s="1"/>
  <c r="FR445" i="9"/>
  <c r="FQ464" i="9"/>
  <c r="EE466" i="9"/>
  <c r="FM466" i="9" s="1"/>
  <c r="EK466" i="9"/>
  <c r="FN466" i="9" s="1"/>
  <c r="EK465" i="9"/>
  <c r="FN465" i="9" s="1"/>
  <c r="EK469" i="9"/>
  <c r="FN469" i="9" s="1"/>
  <c r="EE456" i="9"/>
  <c r="EK468" i="9"/>
  <c r="FN468" i="9" s="1"/>
  <c r="FM310" i="9"/>
  <c r="FM307" i="9"/>
  <c r="EK467" i="9"/>
  <c r="FN467" i="9" s="1"/>
  <c r="EJ470" i="9"/>
  <c r="EK464" i="9"/>
  <c r="FN464" i="9" s="1"/>
  <c r="EK197" i="9"/>
  <c r="ED464" i="9"/>
  <c r="ED470" i="9" s="1"/>
  <c r="EE312" i="9"/>
  <c r="DR158" i="9"/>
  <c r="FO462" i="9" l="1"/>
  <c r="FN470" i="9"/>
  <c r="FO446" i="9"/>
  <c r="FO451" i="9" s="1"/>
  <c r="EL465" i="9"/>
  <c r="FO465" i="9" s="1"/>
  <c r="FO191" i="9"/>
  <c r="FO197" i="9" s="1"/>
  <c r="EL197" i="9"/>
  <c r="EL464" i="9"/>
  <c r="FO464" i="9" s="1"/>
  <c r="EL462" i="9"/>
  <c r="FR307" i="9"/>
  <c r="FR446" i="9" s="1"/>
  <c r="FR465" i="9" s="1"/>
  <c r="FR438" i="9"/>
  <c r="FR457" i="9" s="1"/>
  <c r="FR464" i="9"/>
  <c r="FR449" i="9"/>
  <c r="EE451" i="9"/>
  <c r="FM445" i="9"/>
  <c r="FM451" i="9" s="1"/>
  <c r="FM312" i="9"/>
  <c r="EE462" i="9"/>
  <c r="FM456" i="9"/>
  <c r="FM462" i="9" s="1"/>
  <c r="EE468" i="9"/>
  <c r="FM468" i="9" s="1"/>
  <c r="EK470" i="9"/>
  <c r="EE465" i="9"/>
  <c r="FM465" i="9" s="1"/>
  <c r="EE464" i="9"/>
  <c r="FO470" i="9" l="1"/>
  <c r="EL470" i="9"/>
  <c r="FR468" i="9"/>
  <c r="EE470" i="9"/>
  <c r="FM464" i="9"/>
  <c r="FM470" i="9" s="1"/>
  <c r="DR81" i="4" l="1"/>
  <c r="DR55" i="9"/>
  <c r="DR59" i="9" s="1"/>
  <c r="DR360" i="4"/>
  <c r="DR374" i="4"/>
  <c r="DR368" i="4"/>
  <c r="DR365" i="4"/>
  <c r="DR303" i="4"/>
  <c r="DR279" i="4"/>
  <c r="DS238" i="4"/>
  <c r="FQ238" i="4" s="1"/>
  <c r="DR223" i="4"/>
  <c r="DR52" i="4"/>
  <c r="DR41" i="4"/>
  <c r="DR38" i="4"/>
  <c r="DR20" i="4"/>
  <c r="DR18" i="4"/>
  <c r="DR168" i="4"/>
  <c r="DR67" i="4"/>
  <c r="DR6" i="4"/>
  <c r="FQ216" i="4" l="1"/>
  <c r="DR371" i="4"/>
  <c r="DR30" i="4"/>
  <c r="DR37" i="9"/>
  <c r="DX18" i="9"/>
  <c r="DX19" i="9"/>
  <c r="DR118" i="9"/>
  <c r="DR169" i="9"/>
  <c r="DS132" i="9"/>
  <c r="DR473" i="9"/>
  <c r="DR133" i="9"/>
  <c r="DS259" i="4"/>
  <c r="FQ259" i="4" s="1"/>
  <c r="DS258" i="4"/>
  <c r="FQ258" i="4" s="1"/>
  <c r="DS242" i="4"/>
  <c r="FQ242" i="4" s="1"/>
  <c r="DS228" i="4"/>
  <c r="FQ228" i="4" s="1"/>
  <c r="DS243" i="4"/>
  <c r="FQ243" i="4" s="1"/>
  <c r="DS240" i="4"/>
  <c r="FQ240" i="4" s="1"/>
  <c r="DS226" i="4"/>
  <c r="FQ226" i="4" s="1"/>
  <c r="DS227" i="4"/>
  <c r="FQ227" i="4" s="1"/>
  <c r="DS230" i="4"/>
  <c r="FQ230" i="4" s="1"/>
  <c r="DS239" i="4"/>
  <c r="FQ239" i="4" s="1"/>
  <c r="DS229" i="4"/>
  <c r="FQ229" i="4" s="1"/>
  <c r="DS231" i="4"/>
  <c r="FQ231" i="4" s="1"/>
  <c r="DS232" i="4"/>
  <c r="FQ232" i="4" s="1"/>
  <c r="DR50" i="4"/>
  <c r="DS236" i="4"/>
  <c r="DU187" i="4"/>
  <c r="DS237" i="4"/>
  <c r="FQ237" i="4" s="1"/>
  <c r="DS256" i="4"/>
  <c r="FQ256" i="4" s="1"/>
  <c r="DS257" i="4"/>
  <c r="FQ257" i="4" s="1"/>
  <c r="DR283" i="4"/>
  <c r="DS241" i="4"/>
  <c r="FQ241" i="4" s="1"/>
  <c r="DR19" i="4"/>
  <c r="DR208" i="4"/>
  <c r="DU208" i="4" s="1"/>
  <c r="DR260" i="4"/>
  <c r="DR316" i="4"/>
  <c r="DR11" i="4"/>
  <c r="DR369" i="4"/>
  <c r="DR233" i="4"/>
  <c r="DX165" i="4"/>
  <c r="DR120" i="9"/>
  <c r="DR134" i="9"/>
  <c r="DR103" i="9"/>
  <c r="DR82" i="9"/>
  <c r="DR89" i="4"/>
  <c r="DR115" i="4" s="1"/>
  <c r="DR244" i="4"/>
  <c r="DR284" i="4"/>
  <c r="DS284" i="4" s="1"/>
  <c r="FQ284" i="4" s="1"/>
  <c r="DR362" i="4"/>
  <c r="DR334" i="4"/>
  <c r="DR319" i="9" l="1"/>
  <c r="DX38" i="9"/>
  <c r="DS283" i="4"/>
  <c r="FQ283" i="4" s="1"/>
  <c r="DR9" i="4"/>
  <c r="DX20" i="9"/>
  <c r="DS473" i="9"/>
  <c r="DV135" i="9"/>
  <c r="FQ260" i="4"/>
  <c r="DU351" i="4"/>
  <c r="FQ236" i="4"/>
  <c r="FQ233" i="4"/>
  <c r="DR375" i="4"/>
  <c r="DS233" i="4"/>
  <c r="DS244" i="4"/>
  <c r="DR51" i="4"/>
  <c r="DR61" i="4"/>
  <c r="DR288" i="4"/>
  <c r="DS260" i="4"/>
  <c r="DR246" i="4"/>
  <c r="DR21" i="4"/>
  <c r="DR294" i="4"/>
  <c r="DR363" i="4" l="1"/>
  <c r="DX10" i="4"/>
  <c r="DS246" i="4"/>
  <c r="FQ244" i="4"/>
  <c r="FQ246" i="4" s="1"/>
  <c r="DR289" i="4"/>
  <c r="DR179" i="4"/>
  <c r="DR13" i="4"/>
  <c r="DR14" i="4" s="1"/>
  <c r="DR372" i="4"/>
  <c r="DR170" i="4"/>
  <c r="DR293" i="4"/>
  <c r="DR163" i="4"/>
  <c r="DR116" i="4" l="1"/>
  <c r="DR24" i="4"/>
  <c r="DR323" i="4" l="1"/>
  <c r="DR357" i="4" s="1"/>
  <c r="DR32" i="4"/>
  <c r="DR202" i="4"/>
  <c r="DR25" i="4"/>
  <c r="DR33" i="4" l="1"/>
  <c r="DR199" i="4"/>
  <c r="DR39" i="4"/>
  <c r="DR43" i="4"/>
  <c r="DR58" i="4" l="1"/>
  <c r="DR1" i="4" s="1"/>
  <c r="DR57" i="4"/>
  <c r="DR44" i="4"/>
  <c r="DR366" i="4"/>
  <c r="EE110" i="9" l="1"/>
  <c r="EE109" i="9"/>
  <c r="EA133" i="9"/>
  <c r="EC133" i="9" l="1"/>
  <c r="ED133" i="9"/>
  <c r="FS166" i="4" l="1"/>
  <c r="FM24" i="9"/>
  <c r="GF6" i="4" l="1"/>
  <c r="GF13" i="4"/>
  <c r="GF11" i="4" s="1"/>
  <c r="EE377" i="4"/>
  <c r="FS377" i="4" s="1"/>
  <c r="EE365" i="4"/>
  <c r="FS365" i="4" s="1"/>
  <c r="EE360" i="4"/>
  <c r="ED360" i="4"/>
  <c r="EC360" i="4"/>
  <c r="EB360" i="4"/>
  <c r="EA360" i="4"/>
  <c r="EE303" i="4"/>
  <c r="ED303" i="4"/>
  <c r="EC303" i="4"/>
  <c r="EB303" i="4"/>
  <c r="EA303" i="4"/>
  <c r="EE279" i="4"/>
  <c r="ED279" i="4"/>
  <c r="EC279" i="4"/>
  <c r="EB279" i="4"/>
  <c r="EA279" i="4"/>
  <c r="EE223" i="4"/>
  <c r="ED223" i="4"/>
  <c r="EC223" i="4"/>
  <c r="EB223" i="4"/>
  <c r="EA223" i="4"/>
  <c r="EE201" i="4"/>
  <c r="FS201" i="4" s="1"/>
  <c r="ED20" i="4"/>
  <c r="N52" i="5" s="1"/>
  <c r="EC20" i="4"/>
  <c r="M52" i="5" s="1"/>
  <c r="ED168" i="4"/>
  <c r="EC168" i="4"/>
  <c r="EE167" i="4"/>
  <c r="FS167" i="4" s="1"/>
  <c r="EE67" i="4"/>
  <c r="ED67" i="4"/>
  <c r="EC67" i="4"/>
  <c r="ED41" i="4"/>
  <c r="N61" i="5" s="1"/>
  <c r="EC41" i="4"/>
  <c r="M61" i="5" s="1"/>
  <c r="L61" i="5"/>
  <c r="FM73" i="9"/>
  <c r="EE6" i="4"/>
  <c r="ED6" i="4"/>
  <c r="EC6" i="4"/>
  <c r="EB6" i="4"/>
  <c r="EB20" i="4" l="1"/>
  <c r="L52" i="5" s="1"/>
  <c r="ED81" i="4"/>
  <c r="EB81" i="4"/>
  <c r="EC81" i="4"/>
  <c r="EE309" i="4"/>
  <c r="FS309" i="4" s="1"/>
  <c r="EE330" i="4"/>
  <c r="FS330" i="4" s="1"/>
  <c r="EE343" i="4"/>
  <c r="FS343" i="4" s="1"/>
  <c r="EE346" i="4"/>
  <c r="FS346" i="4" s="1"/>
  <c r="EE181" i="4"/>
  <c r="FS181" i="4" s="1"/>
  <c r="EE331" i="4"/>
  <c r="FS331" i="4" s="1"/>
  <c r="EE332" i="4"/>
  <c r="FS332" i="4" s="1"/>
  <c r="EE337" i="4"/>
  <c r="FS337" i="4" s="1"/>
  <c r="EE41" i="4"/>
  <c r="K61" i="5"/>
  <c r="EE168" i="4"/>
  <c r="FS168" i="4" s="1"/>
  <c r="EE311" i="4"/>
  <c r="FS311" i="4" s="1"/>
  <c r="EE312" i="4"/>
  <c r="FS312" i="4" s="1"/>
  <c r="EE315" i="4"/>
  <c r="FS315" i="4" s="1"/>
  <c r="EE333" i="4"/>
  <c r="FS333" i="4" s="1"/>
  <c r="EE339" i="4"/>
  <c r="FS339" i="4" s="1"/>
  <c r="EE340" i="4"/>
  <c r="FS340" i="4" s="1"/>
  <c r="EE342" i="4"/>
  <c r="FS342" i="4" s="1"/>
  <c r="EE329" i="4"/>
  <c r="FS329" i="4" s="1"/>
  <c r="EE341" i="4"/>
  <c r="FS341" i="4" s="1"/>
  <c r="FM79" i="9"/>
  <c r="FM77" i="9"/>
  <c r="DQ168" i="4"/>
  <c r="DQ141" i="9"/>
  <c r="DQ118" i="9" l="1"/>
  <c r="EC164" i="4"/>
  <c r="EC18" i="4"/>
  <c r="EB107" i="4"/>
  <c r="EC107" i="4"/>
  <c r="ED107" i="4"/>
  <c r="DQ169" i="9"/>
  <c r="DR135" i="9"/>
  <c r="DQ133" i="9"/>
  <c r="DQ11" i="4"/>
  <c r="EE20" i="4"/>
  <c r="K52" i="5"/>
  <c r="O61" i="5"/>
  <c r="FS41" i="4"/>
  <c r="GF41" i="4"/>
  <c r="DQ82" i="9"/>
  <c r="DM116" i="9"/>
  <c r="DY110" i="9"/>
  <c r="DK109" i="9"/>
  <c r="DL109" i="9"/>
  <c r="DJ109" i="9"/>
  <c r="DI109" i="9"/>
  <c r="DF109" i="9"/>
  <c r="DE109" i="9"/>
  <c r="DD109" i="9"/>
  <c r="DM110" i="9"/>
  <c r="DE126" i="9"/>
  <c r="DG110" i="9"/>
  <c r="DD125" i="9"/>
  <c r="AX90" i="9"/>
  <c r="DP283" i="4"/>
  <c r="DP116" i="9"/>
  <c r="DP102" i="9"/>
  <c r="DP55" i="9"/>
  <c r="DP168" i="4"/>
  <c r="DP141" i="9"/>
  <c r="DQ319" i="9" l="1"/>
  <c r="DE125" i="9"/>
  <c r="DP59" i="9"/>
  <c r="DV19" i="9"/>
  <c r="DP37" i="9"/>
  <c r="DV38" i="9" s="1"/>
  <c r="EC422" i="9"/>
  <c r="ED422" i="9" s="1"/>
  <c r="DP118" i="9"/>
  <c r="EK86" i="9"/>
  <c r="FM74" i="9"/>
  <c r="DP169" i="9"/>
  <c r="EC82" i="4"/>
  <c r="ED82" i="4"/>
  <c r="DV18" i="9"/>
  <c r="DO158" i="9"/>
  <c r="DP233" i="4"/>
  <c r="DD127" i="9"/>
  <c r="DR164" i="4"/>
  <c r="DP11" i="4"/>
  <c r="DP288" i="4" s="1"/>
  <c r="DS117" i="9"/>
  <c r="O52" i="5"/>
  <c r="FS20" i="4"/>
  <c r="GF20" i="4"/>
  <c r="GF21" i="4" s="1"/>
  <c r="GF24" i="4" s="1"/>
  <c r="GF25" i="4" s="1"/>
  <c r="DP260" i="4"/>
  <c r="DF126" i="9"/>
  <c r="DP82" i="9"/>
  <c r="DP133" i="9"/>
  <c r="DP134" i="9"/>
  <c r="DP208" i="4"/>
  <c r="DP244" i="4"/>
  <c r="DV20" i="9"/>
  <c r="DP319" i="9" l="1"/>
  <c r="EC55" i="9"/>
  <c r="DF125" i="9"/>
  <c r="FM78" i="9"/>
  <c r="DS109" i="9"/>
  <c r="DS158" i="9" s="1"/>
  <c r="DP158" i="9"/>
  <c r="DQ164" i="4"/>
  <c r="ED108" i="4"/>
  <c r="DP246" i="4"/>
  <c r="EC54" i="9" l="1"/>
  <c r="EC52" i="9"/>
  <c r="EC92" i="9" s="1"/>
  <c r="EC51" i="9"/>
  <c r="EC85" i="4" s="1"/>
  <c r="EC50" i="9"/>
  <c r="EC84" i="4" s="1"/>
  <c r="EC49" i="9"/>
  <c r="EC89" i="9" s="1"/>
  <c r="ED164" i="4"/>
  <c r="ED165" i="4"/>
  <c r="EC59" i="9"/>
  <c r="EC56" i="9"/>
  <c r="EC61" i="9"/>
  <c r="EC337" i="9"/>
  <c r="EC144" i="9"/>
  <c r="EC88" i="4"/>
  <c r="EC114" i="4" s="1"/>
  <c r="EI18" i="9"/>
  <c r="EC120" i="9"/>
  <c r="EC134" i="9"/>
  <c r="EC159" i="9" s="1"/>
  <c r="EC86" i="4" l="1"/>
  <c r="EG164" i="4"/>
  <c r="EC91" i="9"/>
  <c r="EC53" i="9"/>
  <c r="EC336" i="9" s="1"/>
  <c r="EC90" i="9"/>
  <c r="EC83" i="4"/>
  <c r="EG18" i="9"/>
  <c r="EA134" i="9"/>
  <c r="EC339" i="9" l="1"/>
  <c r="EC340" i="9" s="1"/>
  <c r="EC368" i="9"/>
  <c r="EH165" i="4"/>
  <c r="EG165" i="4"/>
  <c r="EC66" i="9"/>
  <c r="EC68" i="9" s="1"/>
  <c r="EC87" i="4"/>
  <c r="EC113" i="4" s="1"/>
  <c r="EC93" i="9"/>
  <c r="EC338" i="9"/>
  <c r="EC143" i="9" s="1"/>
  <c r="EC145" i="9" s="1"/>
  <c r="EC146" i="9" s="1"/>
  <c r="EH18" i="9"/>
  <c r="EB134" i="9"/>
  <c r="EC13" i="9"/>
  <c r="EI165" i="4" l="1"/>
  <c r="EE117" i="9"/>
  <c r="DM101" i="9"/>
  <c r="DM100" i="9"/>
  <c r="EJ165" i="4" l="1"/>
  <c r="DP377" i="4"/>
  <c r="DG126" i="9"/>
  <c r="DI126" i="9" l="1"/>
  <c r="DJ126" i="9" l="1"/>
  <c r="DJ125" i="9" s="1"/>
  <c r="DK126" i="9" l="1"/>
  <c r="DJ72" i="4"/>
  <c r="DK72" i="4"/>
  <c r="DL72" i="4"/>
  <c r="FR279" i="4"/>
  <c r="FR166" i="4"/>
  <c r="FL24" i="9"/>
  <c r="DY360" i="4"/>
  <c r="DW360" i="4"/>
  <c r="DV360" i="4"/>
  <c r="DU360" i="4"/>
  <c r="DY303" i="4"/>
  <c r="DW303" i="4"/>
  <c r="DV303" i="4"/>
  <c r="DU303" i="4"/>
  <c r="DY279" i="4"/>
  <c r="DW279" i="4"/>
  <c r="DV279" i="4"/>
  <c r="DU279" i="4"/>
  <c r="DY223" i="4"/>
  <c r="DW223" i="4"/>
  <c r="DV223" i="4"/>
  <c r="DU223" i="4"/>
  <c r="DS73" i="4" l="1"/>
  <c r="DL126" i="9"/>
  <c r="DL125" i="9" s="1"/>
  <c r="DY329" i="4"/>
  <c r="FR329" i="4" s="1"/>
  <c r="DY333" i="4"/>
  <c r="FR333" i="4" s="1"/>
  <c r="DY331" i="4"/>
  <c r="FR331" i="4" s="1"/>
  <c r="DY332" i="4"/>
  <c r="FR332" i="4" s="1"/>
  <c r="DY339" i="4"/>
  <c r="FR339" i="4" s="1"/>
  <c r="DY341" i="4"/>
  <c r="FR341" i="4" s="1"/>
  <c r="DY342" i="4"/>
  <c r="FR342" i="4" s="1"/>
  <c r="DY346" i="4"/>
  <c r="FR346" i="4" s="1"/>
  <c r="DY309" i="4"/>
  <c r="FR309" i="4" s="1"/>
  <c r="DY340" i="4"/>
  <c r="FR340" i="4" s="1"/>
  <c r="DY312" i="4"/>
  <c r="FR312" i="4" s="1"/>
  <c r="DY315" i="4"/>
  <c r="FR315" i="4" s="1"/>
  <c r="DY330" i="4"/>
  <c r="FR330" i="4" s="1"/>
  <c r="DM72" i="4"/>
  <c r="DD129" i="9"/>
  <c r="DM73" i="4"/>
  <c r="DM109" i="9"/>
  <c r="DM70" i="4" l="1"/>
  <c r="DD130" i="9"/>
  <c r="DM126" i="9"/>
  <c r="DO126" i="9" s="1"/>
  <c r="DP135" i="9"/>
  <c r="G61" i="5"/>
  <c r="DV41" i="4"/>
  <c r="F61" i="5" s="1"/>
  <c r="DU41" i="4"/>
  <c r="E61" i="5" s="1"/>
  <c r="DY167" i="4"/>
  <c r="FR167" i="4" s="1"/>
  <c r="DY201" i="4"/>
  <c r="FR201" i="4" s="1"/>
  <c r="DV208" i="4"/>
  <c r="H52" i="5"/>
  <c r="G52" i="5"/>
  <c r="F52" i="5"/>
  <c r="DW168" i="4"/>
  <c r="DV168" i="4"/>
  <c r="E52" i="5"/>
  <c r="DU168" i="4"/>
  <c r="DY67" i="4"/>
  <c r="DW67" i="4"/>
  <c r="DV67" i="4"/>
  <c r="DU67" i="4"/>
  <c r="DY6" i="4"/>
  <c r="DW6" i="4"/>
  <c r="DV6" i="4"/>
  <c r="DU6" i="4"/>
  <c r="DY79" i="9"/>
  <c r="FL79" i="9" s="1"/>
  <c r="DY73" i="9"/>
  <c r="DS201" i="4"/>
  <c r="FQ201" i="4" s="1"/>
  <c r="DO168" i="4"/>
  <c r="EA165" i="4" l="1"/>
  <c r="DS168" i="4"/>
  <c r="FQ168" i="4" s="1"/>
  <c r="DY168" i="4"/>
  <c r="FR168" i="4" s="1"/>
  <c r="DY41" i="4"/>
  <c r="H61" i="5"/>
  <c r="DY20" i="4"/>
  <c r="DY181" i="4"/>
  <c r="FR181" i="4" s="1"/>
  <c r="DM132" i="9"/>
  <c r="FL73" i="9"/>
  <c r="DU81" i="4"/>
  <c r="DO208" i="4"/>
  <c r="DU165" i="4"/>
  <c r="DO102" i="9"/>
  <c r="DO169" i="9"/>
  <c r="DO141" i="9" l="1"/>
  <c r="DO118" i="9"/>
  <c r="DP164" i="4"/>
  <c r="DS162" i="4"/>
  <c r="DS77" i="9"/>
  <c r="FK77" i="9" s="1"/>
  <c r="DS78" i="9"/>
  <c r="FK78" i="9" s="1"/>
  <c r="DS79" i="9"/>
  <c r="FK79" i="9" s="1"/>
  <c r="DS74" i="9"/>
  <c r="DS76" i="9"/>
  <c r="FK76" i="9" s="1"/>
  <c r="FR41" i="4"/>
  <c r="I61" i="5"/>
  <c r="DU102" i="9"/>
  <c r="DU103" i="9"/>
  <c r="DY74" i="9"/>
  <c r="DY100" i="9"/>
  <c r="FR20" i="4"/>
  <c r="I52" i="5"/>
  <c r="DP126" i="9"/>
  <c r="DP125" i="9" s="1"/>
  <c r="DY76" i="9"/>
  <c r="DO133" i="9"/>
  <c r="DS133" i="9" s="1"/>
  <c r="DO82" i="9"/>
  <c r="FL76" i="9" l="1"/>
  <c r="DS118" i="9"/>
  <c r="DO319" i="9"/>
  <c r="DU101" i="9"/>
  <c r="DV101" i="9" s="1"/>
  <c r="DW101" i="9" s="1"/>
  <c r="DX101" i="9" s="1"/>
  <c r="DS169" i="9"/>
  <c r="FK74" i="9"/>
  <c r="DS169" i="4"/>
  <c r="FQ162" i="4"/>
  <c r="DQ126" i="9"/>
  <c r="DT79" i="9"/>
  <c r="DT76" i="9" s="1"/>
  <c r="DS82" i="9"/>
  <c r="FL74" i="9"/>
  <c r="DU82" i="9"/>
  <c r="DY78" i="9"/>
  <c r="FL78" i="9" s="1"/>
  <c r="DY77" i="9"/>
  <c r="FL77" i="9" s="1"/>
  <c r="DR47" i="9" l="1"/>
  <c r="DR141" i="9"/>
  <c r="DY80" i="9"/>
  <c r="FL80" i="9" s="1"/>
  <c r="FQ169" i="4"/>
  <c r="FK82" i="9"/>
  <c r="FK71" i="9"/>
  <c r="DY82" i="9"/>
  <c r="T51" i="4"/>
  <c r="BE318" i="4"/>
  <c r="BE308" i="4"/>
  <c r="AY308" i="4"/>
  <c r="AS308" i="4"/>
  <c r="FK417" i="9" l="1"/>
  <c r="DS126" i="9"/>
  <c r="DY126" i="9" l="1"/>
  <c r="L282" i="5" l="1"/>
  <c r="M282" i="5"/>
  <c r="N282" i="5"/>
  <c r="O282" i="5"/>
  <c r="P282" i="5"/>
  <c r="Q282" i="5"/>
  <c r="R282" i="5"/>
  <c r="S282" i="5"/>
  <c r="K282" i="5"/>
  <c r="P308" i="5"/>
  <c r="P302" i="5"/>
  <c r="P297" i="5"/>
  <c r="S308" i="5"/>
  <c r="S302" i="5"/>
  <c r="S297" i="5"/>
  <c r="S288" i="5"/>
  <c r="DQ103" i="9" l="1"/>
  <c r="DQ102" i="9"/>
  <c r="DP103" i="9"/>
  <c r="DQ101" i="9" l="1"/>
  <c r="DR102" i="9" s="1"/>
  <c r="EE126" i="9"/>
  <c r="DL368" i="4"/>
  <c r="DL365" i="4"/>
  <c r="DL362" i="4"/>
  <c r="DL81" i="4"/>
  <c r="DL111" i="9"/>
  <c r="DL118" i="9"/>
  <c r="DL319" i="9" s="1"/>
  <c r="FT279" i="4"/>
  <c r="FU279" i="4"/>
  <c r="FV279" i="4"/>
  <c r="FW279" i="4"/>
  <c r="FX279" i="4"/>
  <c r="FU315" i="4"/>
  <c r="FV315" i="4"/>
  <c r="FW315" i="4"/>
  <c r="FX315" i="4"/>
  <c r="FU360" i="4"/>
  <c r="FV360" i="4"/>
  <c r="FW360" i="4"/>
  <c r="FX360" i="4"/>
  <c r="FT303" i="4"/>
  <c r="FU303" i="4"/>
  <c r="FV303" i="4"/>
  <c r="FW303" i="4"/>
  <c r="FX303" i="4"/>
  <c r="FT223" i="4"/>
  <c r="FU223" i="4"/>
  <c r="FV223" i="4"/>
  <c r="FW223" i="4"/>
  <c r="FX223" i="4"/>
  <c r="FT67" i="4"/>
  <c r="FU67" i="4"/>
  <c r="FV67" i="4"/>
  <c r="FW67" i="4"/>
  <c r="FX67" i="4"/>
  <c r="T14" i="5"/>
  <c r="FU20" i="4"/>
  <c r="U14" i="5" s="1"/>
  <c r="FV20" i="4"/>
  <c r="V14" i="5" s="1"/>
  <c r="FW20" i="4"/>
  <c r="FX20" i="4"/>
  <c r="FT6" i="4"/>
  <c r="FU6" i="4"/>
  <c r="FV6" i="4"/>
  <c r="FW6" i="4"/>
  <c r="FX6" i="4"/>
  <c r="FR47" i="9"/>
  <c r="FR48" i="9" s="1"/>
  <c r="FQ45" i="9"/>
  <c r="FQ47" i="9"/>
  <c r="FU81" i="4"/>
  <c r="FQ48" i="9" l="1"/>
  <c r="DL169" i="9"/>
  <c r="FV82" i="4"/>
  <c r="FV108" i="4" s="1"/>
  <c r="FW82" i="4"/>
  <c r="FW108" i="4" s="1"/>
  <c r="FW116" i="4" s="1"/>
  <c r="FW13" i="4" s="1"/>
  <c r="FX82" i="4"/>
  <c r="FX108" i="4" s="1"/>
  <c r="FU82" i="4"/>
  <c r="DL133" i="9"/>
  <c r="DL233" i="4"/>
  <c r="DL82" i="9"/>
  <c r="DL260" i="4"/>
  <c r="DL316" i="4"/>
  <c r="DL369" i="4"/>
  <c r="DL283" i="4"/>
  <c r="DL284" i="4"/>
  <c r="DL334" i="4"/>
  <c r="DL208" i="4"/>
  <c r="FX81" i="4"/>
  <c r="FX107" i="4" s="1"/>
  <c r="DL371" i="4"/>
  <c r="DL244" i="4"/>
  <c r="R308" i="5"/>
  <c r="O308" i="5"/>
  <c r="N308" i="5"/>
  <c r="M308" i="5"/>
  <c r="L308" i="5"/>
  <c r="K308" i="5"/>
  <c r="R302" i="5"/>
  <c r="O302" i="5"/>
  <c r="N302" i="5"/>
  <c r="M302" i="5"/>
  <c r="L302" i="5"/>
  <c r="K302" i="5"/>
  <c r="R297" i="5"/>
  <c r="O297" i="5"/>
  <c r="N297" i="5"/>
  <c r="M297" i="5"/>
  <c r="L297" i="5"/>
  <c r="K297" i="5"/>
  <c r="R288" i="5"/>
  <c r="P288" i="5"/>
  <c r="O288" i="5"/>
  <c r="N288" i="5"/>
  <c r="M288" i="5"/>
  <c r="L288" i="5"/>
  <c r="K288" i="5"/>
  <c r="FU108" i="4" l="1"/>
  <c r="DL246" i="4"/>
  <c r="DU55" i="9" l="1"/>
  <c r="DU59" i="9" s="1"/>
  <c r="DY8" i="9"/>
  <c r="EA18" i="9"/>
  <c r="DU134" i="9"/>
  <c r="DU13" i="9"/>
  <c r="DY101" i="9"/>
  <c r="EA101" i="9" s="1"/>
  <c r="EB101" i="9" s="1"/>
  <c r="FJ24" i="9"/>
  <c r="FI24" i="9"/>
  <c r="FH24" i="9"/>
  <c r="FG24" i="9"/>
  <c r="FF24" i="9"/>
  <c r="FE24" i="9"/>
  <c r="DY55" i="9" l="1"/>
  <c r="DY56" i="9" s="1"/>
  <c r="DY376" i="9"/>
  <c r="EB13" i="9"/>
  <c r="FU83" i="4"/>
  <c r="FU85" i="4" l="1"/>
  <c r="FU111" i="4" s="1"/>
  <c r="FU84" i="4"/>
  <c r="FU110" i="4" s="1"/>
  <c r="DL323" i="4"/>
  <c r="FU109" i="4"/>
  <c r="FU86" i="4" l="1"/>
  <c r="FU112" i="4" s="1"/>
  <c r="DK111" i="9"/>
  <c r="DJ111" i="9"/>
  <c r="DI111" i="9"/>
  <c r="DK118" i="9"/>
  <c r="DK319" i="9" s="1"/>
  <c r="DJ118" i="9"/>
  <c r="DJ319" i="9" s="1"/>
  <c r="DJ37" i="9"/>
  <c r="DK37" i="9"/>
  <c r="DI37" i="9"/>
  <c r="DK55" i="9"/>
  <c r="DK59" i="9" s="1"/>
  <c r="DJ55" i="9"/>
  <c r="DJ59" i="9" s="1"/>
  <c r="DI55" i="9"/>
  <c r="DI59" i="9" s="1"/>
  <c r="DK52" i="4"/>
  <c r="DK81" i="4"/>
  <c r="DJ81" i="4"/>
  <c r="DI81" i="4"/>
  <c r="DL20" i="4"/>
  <c r="DK20" i="4"/>
  <c r="DK19" i="4"/>
  <c r="DK18" i="4"/>
  <c r="DK362" i="4"/>
  <c r="DK365" i="4"/>
  <c r="DK374" i="4"/>
  <c r="DK377" i="4"/>
  <c r="DL319" i="4"/>
  <c r="DL320" i="4"/>
  <c r="DL168" i="4"/>
  <c r="DK168" i="4"/>
  <c r="DJ168" i="4"/>
  <c r="DI168" i="4"/>
  <c r="DM167" i="4"/>
  <c r="DM107" i="4"/>
  <c r="FP107" i="4" s="1"/>
  <c r="DG107" i="4"/>
  <c r="FO107" i="4" s="1"/>
  <c r="DK371" i="4" l="1"/>
  <c r="DP19" i="9"/>
  <c r="FU88" i="4"/>
  <c r="DI118" i="9"/>
  <c r="DJ169" i="9"/>
  <c r="DK169" i="9"/>
  <c r="DI169" i="9"/>
  <c r="DS181" i="4"/>
  <c r="FQ181" i="4" s="1"/>
  <c r="DM111" i="9"/>
  <c r="DI134" i="9"/>
  <c r="DK134" i="9"/>
  <c r="DJ134" i="9"/>
  <c r="DP18" i="9"/>
  <c r="DK133" i="9"/>
  <c r="DJ133" i="9"/>
  <c r="DK284" i="4"/>
  <c r="DI120" i="9"/>
  <c r="DI133" i="9"/>
  <c r="DJ120" i="9"/>
  <c r="DK120" i="9"/>
  <c r="DI208" i="4"/>
  <c r="DJ208" i="4"/>
  <c r="DK316" i="4"/>
  <c r="DM168" i="4"/>
  <c r="DK21" i="4"/>
  <c r="DK283" i="4"/>
  <c r="DM181" i="4"/>
  <c r="DK244" i="4"/>
  <c r="DK260" i="4"/>
  <c r="DK50" i="4"/>
  <c r="DK89" i="4"/>
  <c r="DK115" i="4" s="1"/>
  <c r="DI89" i="4"/>
  <c r="DI115" i="4" s="1"/>
  <c r="DI82" i="9"/>
  <c r="DM81" i="4"/>
  <c r="DJ82" i="9"/>
  <c r="DK82" i="9"/>
  <c r="DJ89" i="4"/>
  <c r="DJ115" i="4" s="1"/>
  <c r="DK368" i="4"/>
  <c r="DK369" i="4" s="1"/>
  <c r="DK344" i="4"/>
  <c r="DK334" i="4"/>
  <c r="DK208" i="4"/>
  <c r="DK41" i="4"/>
  <c r="DM95" i="9"/>
  <c r="DM79" i="9"/>
  <c r="DM77" i="9"/>
  <c r="DM76" i="9"/>
  <c r="DM74" i="9"/>
  <c r="DK47" i="9"/>
  <c r="DK48" i="9" s="1"/>
  <c r="DK61" i="9" s="1"/>
  <c r="DI47" i="9"/>
  <c r="DI48" i="9" s="1"/>
  <c r="DI61" i="9" s="1"/>
  <c r="DP81" i="4"/>
  <c r="DI10" i="9"/>
  <c r="DP38" i="9"/>
  <c r="DK13" i="9"/>
  <c r="DJ13" i="9"/>
  <c r="S197" i="5"/>
  <c r="S172" i="5"/>
  <c r="S170" i="5"/>
  <c r="S154" i="5"/>
  <c r="S146" i="5"/>
  <c r="S140" i="5"/>
  <c r="S127" i="5"/>
  <c r="S82" i="5"/>
  <c r="S32" i="5"/>
  <c r="S6" i="5"/>
  <c r="A224" i="4"/>
  <c r="S14" i="5"/>
  <c r="FK127" i="4"/>
  <c r="FP71" i="4"/>
  <c r="FO71" i="4"/>
  <c r="FN71" i="4"/>
  <c r="FM71" i="4"/>
  <c r="DM118" i="9" l="1"/>
  <c r="DI319" i="9"/>
  <c r="FP81" i="4"/>
  <c r="FU114" i="4"/>
  <c r="FW88" i="4"/>
  <c r="DM133" i="9"/>
  <c r="DM169" i="9"/>
  <c r="DI87" i="9"/>
  <c r="DK87" i="9"/>
  <c r="DS342" i="4"/>
  <c r="FQ342" i="4" s="1"/>
  <c r="DS95" i="9"/>
  <c r="FK46" i="9"/>
  <c r="DQ81" i="4"/>
  <c r="DJ135" i="9"/>
  <c r="DK135" i="9"/>
  <c r="DI56" i="9"/>
  <c r="DK51" i="4"/>
  <c r="DK233" i="4"/>
  <c r="DK246" i="4" s="1"/>
  <c r="DO81" i="4"/>
  <c r="FX88" i="4"/>
  <c r="DK375" i="4"/>
  <c r="DI49" i="9"/>
  <c r="DK401" i="9"/>
  <c r="DK402" i="9"/>
  <c r="DI50" i="9"/>
  <c r="DI84" i="4" s="1"/>
  <c r="DI110" i="4" s="1"/>
  <c r="DK50" i="9"/>
  <c r="DK90" i="9" s="1"/>
  <c r="DK51" i="9"/>
  <c r="DI401" i="9"/>
  <c r="DK164" i="4"/>
  <c r="DJ164" i="4"/>
  <c r="DK39" i="9"/>
  <c r="DK49" i="9"/>
  <c r="DK56" i="9"/>
  <c r="DJ47" i="9"/>
  <c r="DJ48" i="9" s="1"/>
  <c r="DJ61" i="9" s="1"/>
  <c r="DM78" i="9"/>
  <c r="DM82" i="9" s="1"/>
  <c r="DJ10" i="9"/>
  <c r="DP20" i="9" s="1"/>
  <c r="DJ14" i="9"/>
  <c r="DI52" i="9"/>
  <c r="DI86" i="4" s="1"/>
  <c r="DK10" i="9"/>
  <c r="DK14" i="9"/>
  <c r="DI51" i="9"/>
  <c r="DI85" i="4" s="1"/>
  <c r="DK52" i="9"/>
  <c r="DI83" i="4" l="1"/>
  <c r="DI109" i="4" s="1"/>
  <c r="DI53" i="9"/>
  <c r="DK83" i="4"/>
  <c r="DK109" i="4" s="1"/>
  <c r="DK53" i="9"/>
  <c r="DJ87" i="9"/>
  <c r="DS81" i="4"/>
  <c r="DJ51" i="9"/>
  <c r="DJ85" i="4" s="1"/>
  <c r="DJ111" i="4" s="1"/>
  <c r="DK82" i="4"/>
  <c r="DL18" i="4"/>
  <c r="DO164" i="4"/>
  <c r="DI82" i="4"/>
  <c r="DK84" i="4"/>
  <c r="DK110" i="4" s="1"/>
  <c r="DK404" i="9"/>
  <c r="DI89" i="9"/>
  <c r="DI90" i="9"/>
  <c r="DI112" i="4"/>
  <c r="DJ49" i="9"/>
  <c r="DK91" i="9"/>
  <c r="DK85" i="4"/>
  <c r="DK111" i="4" s="1"/>
  <c r="DK9" i="4"/>
  <c r="DK294" i="4"/>
  <c r="DK92" i="9"/>
  <c r="DK86" i="4"/>
  <c r="DK112" i="4" s="1"/>
  <c r="DI111" i="4"/>
  <c r="DJ401" i="9"/>
  <c r="DI91" i="9"/>
  <c r="DJ52" i="9"/>
  <c r="DJ56" i="9"/>
  <c r="DK15" i="9"/>
  <c r="DK89" i="9"/>
  <c r="DI39" i="9"/>
  <c r="DI92" i="9"/>
  <c r="DJ39" i="9"/>
  <c r="DQ55" i="9"/>
  <c r="DQ59" i="9" s="1"/>
  <c r="DJ15" i="9"/>
  <c r="DJ50" i="9"/>
  <c r="DJ84" i="4" s="1"/>
  <c r="DK66" i="9" l="1"/>
  <c r="DK68" i="9" s="1"/>
  <c r="DK87" i="4"/>
  <c r="FQ81" i="4"/>
  <c r="DI66" i="9"/>
  <c r="DI68" i="9" s="1"/>
  <c r="DI87" i="4"/>
  <c r="DI113" i="4"/>
  <c r="DK113" i="4"/>
  <c r="DJ89" i="9"/>
  <c r="DJ53" i="9"/>
  <c r="DW18" i="9"/>
  <c r="DR13" i="9"/>
  <c r="DQ134" i="9"/>
  <c r="DQ135" i="9" s="1"/>
  <c r="DJ91" i="9"/>
  <c r="DQ120" i="9"/>
  <c r="DL164" i="4"/>
  <c r="DM162" i="4"/>
  <c r="DM169" i="4" s="1"/>
  <c r="DJ83" i="4"/>
  <c r="DJ82" i="4"/>
  <c r="DJ92" i="9"/>
  <c r="DJ86" i="4"/>
  <c r="DJ110" i="4"/>
  <c r="DK289" i="4"/>
  <c r="DK363" i="4"/>
  <c r="DK170" i="4"/>
  <c r="DK179" i="4"/>
  <c r="DK372" i="4"/>
  <c r="DK293" i="4"/>
  <c r="DK163" i="4"/>
  <c r="DJ90" i="9"/>
  <c r="DK101" i="4" l="1"/>
  <c r="DI101" i="4"/>
  <c r="DJ66" i="9"/>
  <c r="DJ68" i="9" s="1"/>
  <c r="DJ87" i="4"/>
  <c r="FI417" i="9"/>
  <c r="FJ417" i="9"/>
  <c r="DP120" i="9"/>
  <c r="DJ112" i="4"/>
  <c r="DJ109" i="4"/>
  <c r="DL55" i="9"/>
  <c r="DL59" i="9" s="1"/>
  <c r="DQ18" i="9"/>
  <c r="DQ13" i="9"/>
  <c r="FS360" i="4"/>
  <c r="FS303" i="4"/>
  <c r="FS279" i="4"/>
  <c r="FS223" i="4"/>
  <c r="FS67" i="4"/>
  <c r="FS6" i="4"/>
  <c r="FJ201" i="4"/>
  <c r="FI201" i="4"/>
  <c r="FH201" i="4"/>
  <c r="FG201" i="4"/>
  <c r="FI176" i="4"/>
  <c r="FH176" i="4"/>
  <c r="FG176" i="4"/>
  <c r="FH190" i="4"/>
  <c r="FG190" i="4"/>
  <c r="FH187" i="4"/>
  <c r="FG187" i="4"/>
  <c r="R172" i="5"/>
  <c r="R197" i="5"/>
  <c r="Q197" i="5"/>
  <c r="P197" i="5"/>
  <c r="O197" i="5"/>
  <c r="N197" i="5"/>
  <c r="M197" i="5"/>
  <c r="L197" i="5"/>
  <c r="K197" i="5"/>
  <c r="J197" i="5"/>
  <c r="I197" i="5"/>
  <c r="H197" i="5"/>
  <c r="G197" i="5"/>
  <c r="R170" i="5"/>
  <c r="Q170" i="5"/>
  <c r="P170" i="5"/>
  <c r="O170" i="5"/>
  <c r="N170" i="5"/>
  <c r="M170" i="5"/>
  <c r="L170" i="5"/>
  <c r="K170" i="5"/>
  <c r="J170" i="5"/>
  <c r="I170" i="5"/>
  <c r="H170" i="5"/>
  <c r="G170" i="5"/>
  <c r="R154" i="5"/>
  <c r="R146" i="5"/>
  <c r="R140" i="5"/>
  <c r="R127" i="5"/>
  <c r="Q127" i="5"/>
  <c r="P127" i="5"/>
  <c r="O127" i="5"/>
  <c r="N127" i="5"/>
  <c r="M127" i="5"/>
  <c r="L127" i="5"/>
  <c r="K127" i="5"/>
  <c r="J127" i="5"/>
  <c r="I127" i="5"/>
  <c r="H127" i="5"/>
  <c r="G127" i="5"/>
  <c r="FJ252" i="4"/>
  <c r="FI252" i="4"/>
  <c r="FH252" i="4"/>
  <c r="FG252" i="4"/>
  <c r="CI252" i="4"/>
  <c r="FK252" i="4" s="1"/>
  <c r="K104" i="5" s="1"/>
  <c r="CO252" i="4"/>
  <c r="FL252" i="4" s="1"/>
  <c r="L104" i="5" s="1"/>
  <c r="CU252" i="4"/>
  <c r="FM252" i="4" s="1"/>
  <c r="M104" i="5" s="1"/>
  <c r="DA252" i="4"/>
  <c r="FN252" i="4" s="1"/>
  <c r="N104" i="5" s="1"/>
  <c r="DG252" i="4"/>
  <c r="FO252" i="4" s="1"/>
  <c r="O104" i="5" s="1"/>
  <c r="H94" i="5"/>
  <c r="I94" i="5"/>
  <c r="J94" i="5"/>
  <c r="G94" i="5"/>
  <c r="Q82" i="5"/>
  <c r="P82" i="5"/>
  <c r="O82" i="5"/>
  <c r="N82" i="5"/>
  <c r="M82" i="5"/>
  <c r="L82" i="5"/>
  <c r="K82" i="5"/>
  <c r="J82" i="5"/>
  <c r="I82" i="5"/>
  <c r="H82" i="5"/>
  <c r="G82" i="5"/>
  <c r="DJ113" i="4" l="1"/>
  <c r="DJ101" i="4" s="1"/>
  <c r="DR18" i="9"/>
  <c r="DK323" i="4"/>
  <c r="DK347" i="4" s="1"/>
  <c r="DL120" i="9"/>
  <c r="DL134" i="9"/>
  <c r="DL13" i="9"/>
  <c r="FH193" i="4"/>
  <c r="DO55" i="9"/>
  <c r="DM8" i="9"/>
  <c r="FG193" i="4"/>
  <c r="DO59" i="9" l="1"/>
  <c r="DM120" i="9"/>
  <c r="DM55" i="9"/>
  <c r="DM59" i="9" s="1"/>
  <c r="DU18" i="9"/>
  <c r="DL135" i="9"/>
  <c r="DM134" i="9"/>
  <c r="DL47" i="9"/>
  <c r="DL48" i="9" s="1"/>
  <c r="DL61" i="9" s="1"/>
  <c r="DS8" i="9"/>
  <c r="DP13" i="9"/>
  <c r="DO134" i="9"/>
  <c r="DO120" i="9"/>
  <c r="DL401" i="9"/>
  <c r="DL402" i="9"/>
  <c r="DL56" i="9"/>
  <c r="DO18" i="9"/>
  <c r="DO13" i="9"/>
  <c r="DS426" i="9" l="1"/>
  <c r="DY426" i="9"/>
  <c r="DV13" i="9"/>
  <c r="DS55" i="9"/>
  <c r="DS59" i="9" s="1"/>
  <c r="DO135" i="9"/>
  <c r="DS134" i="9"/>
  <c r="DM47" i="9"/>
  <c r="DM48" i="9" s="1"/>
  <c r="DM61" i="9" s="1"/>
  <c r="DL87" i="9"/>
  <c r="DM87" i="9" s="1"/>
  <c r="DS18" i="9"/>
  <c r="FK8" i="9"/>
  <c r="FK422" i="9" s="1"/>
  <c r="DS120" i="9"/>
  <c r="DL404" i="9"/>
  <c r="DM401" i="9"/>
  <c r="H23" i="5"/>
  <c r="I23" i="5"/>
  <c r="J23" i="5"/>
  <c r="G23" i="5"/>
  <c r="R14" i="5"/>
  <c r="FP166" i="4"/>
  <c r="FO166" i="4"/>
  <c r="FN166" i="4"/>
  <c r="FL166" i="4"/>
  <c r="FI166" i="4"/>
  <c r="FH166" i="4"/>
  <c r="FG166" i="4"/>
  <c r="BK228" i="4"/>
  <c r="BQ228" i="4"/>
  <c r="FH228" i="4" s="1"/>
  <c r="BW228" i="4"/>
  <c r="FI228" i="4" s="1"/>
  <c r="CC228" i="4"/>
  <c r="FJ228" i="4" s="1"/>
  <c r="CI228" i="4"/>
  <c r="FK228" i="4" s="1"/>
  <c r="CO228" i="4"/>
  <c r="FL228" i="4" s="1"/>
  <c r="CU228" i="4"/>
  <c r="FM228" i="4" s="1"/>
  <c r="DA228" i="4"/>
  <c r="FN228" i="4" s="1"/>
  <c r="DG228" i="4"/>
  <c r="FO228" i="4" s="1"/>
  <c r="BK226" i="4"/>
  <c r="FG226" i="4" s="1"/>
  <c r="G92" i="5" s="1"/>
  <c r="G239" i="5" s="1"/>
  <c r="BQ226" i="4"/>
  <c r="FH226" i="4" s="1"/>
  <c r="H92" i="5" s="1"/>
  <c r="H239" i="5" s="1"/>
  <c r="BW226" i="4"/>
  <c r="FI226" i="4" s="1"/>
  <c r="I92" i="5" s="1"/>
  <c r="I239" i="5" s="1"/>
  <c r="CC226" i="4"/>
  <c r="FJ226" i="4" s="1"/>
  <c r="J92" i="5" s="1"/>
  <c r="CI226" i="4"/>
  <c r="FK226" i="4" s="1"/>
  <c r="K92" i="5" s="1"/>
  <c r="K239" i="5" s="1"/>
  <c r="CO226" i="4"/>
  <c r="CU226" i="4"/>
  <c r="DA226" i="4"/>
  <c r="DG226" i="4"/>
  <c r="FO226" i="4" s="1"/>
  <c r="O92" i="5" s="1"/>
  <c r="O239" i="5" s="1"/>
  <c r="DI52" i="4"/>
  <c r="DI50" i="4"/>
  <c r="DD52" i="4"/>
  <c r="DC52" i="4"/>
  <c r="DF50" i="4"/>
  <c r="DE50" i="4"/>
  <c r="DD50" i="4"/>
  <c r="DC50" i="4"/>
  <c r="CZ52" i="4"/>
  <c r="CY52" i="4"/>
  <c r="CX52" i="4"/>
  <c r="CW52" i="4"/>
  <c r="CZ50" i="4"/>
  <c r="CY50" i="4"/>
  <c r="CX50" i="4"/>
  <c r="CW50" i="4"/>
  <c r="CS52" i="4"/>
  <c r="CR52" i="4"/>
  <c r="CQ52" i="4"/>
  <c r="CT50" i="4"/>
  <c r="CS50" i="4"/>
  <c r="CR50" i="4"/>
  <c r="CQ50" i="4"/>
  <c r="CN52" i="4"/>
  <c r="CM52" i="4"/>
  <c r="CL52" i="4"/>
  <c r="CK52" i="4"/>
  <c r="CN50" i="4"/>
  <c r="CM50" i="4"/>
  <c r="CL50" i="4"/>
  <c r="CK50" i="4"/>
  <c r="CF52" i="4"/>
  <c r="CE52" i="4"/>
  <c r="CH50" i="4"/>
  <c r="CG50" i="4"/>
  <c r="CF50" i="4"/>
  <c r="CE50" i="4"/>
  <c r="CB52" i="4"/>
  <c r="CA52" i="4"/>
  <c r="BZ52" i="4"/>
  <c r="CB50" i="4"/>
  <c r="CA50" i="4"/>
  <c r="BZ50" i="4"/>
  <c r="BY50" i="4"/>
  <c r="BV52" i="4"/>
  <c r="BU52" i="4"/>
  <c r="BT52" i="4"/>
  <c r="BS52" i="4"/>
  <c r="BU50" i="4"/>
  <c r="BT50" i="4"/>
  <c r="BS50" i="4"/>
  <c r="BM50" i="4"/>
  <c r="BN50" i="4"/>
  <c r="BO50" i="4"/>
  <c r="BP50" i="4"/>
  <c r="BK191" i="4"/>
  <c r="R32" i="5"/>
  <c r="Q32" i="5"/>
  <c r="P32" i="5"/>
  <c r="O32" i="5"/>
  <c r="N32" i="5"/>
  <c r="M32" i="5"/>
  <c r="L32" i="5"/>
  <c r="K32" i="5"/>
  <c r="J32" i="5"/>
  <c r="I32" i="5"/>
  <c r="H32" i="5"/>
  <c r="G32" i="5"/>
  <c r="R6" i="5"/>
  <c r="Q6" i="5"/>
  <c r="P6" i="5"/>
  <c r="O6" i="5"/>
  <c r="N6" i="5"/>
  <c r="M6" i="5"/>
  <c r="L6" i="5"/>
  <c r="K6" i="5"/>
  <c r="J6" i="5"/>
  <c r="I6" i="5"/>
  <c r="H6" i="5"/>
  <c r="G6" i="5"/>
  <c r="FD6" i="9"/>
  <c r="FC6" i="9"/>
  <c r="FB6" i="9"/>
  <c r="FA6" i="9"/>
  <c r="EZ6" i="9"/>
  <c r="EY6" i="9"/>
  <c r="EX6" i="9"/>
  <c r="EW6" i="9"/>
  <c r="EV6" i="9"/>
  <c r="EU6" i="9"/>
  <c r="ET6" i="9"/>
  <c r="ES6" i="9"/>
  <c r="ER6" i="9"/>
  <c r="DF111" i="9"/>
  <c r="DE111" i="9"/>
  <c r="DD111" i="9"/>
  <c r="DF118" i="9"/>
  <c r="DF319" i="9" s="1"/>
  <c r="DE118" i="9"/>
  <c r="DE319" i="9" s="1"/>
  <c r="DD118" i="9"/>
  <c r="DD319" i="9" s="1"/>
  <c r="CB133" i="9"/>
  <c r="CA133" i="9"/>
  <c r="BZ133" i="9"/>
  <c r="BY133" i="9"/>
  <c r="FF95" i="9"/>
  <c r="FE95" i="9"/>
  <c r="FC95" i="9"/>
  <c r="BP82" i="9"/>
  <c r="BO82" i="9"/>
  <c r="BN82" i="9"/>
  <c r="BM82" i="9"/>
  <c r="BJ82" i="9"/>
  <c r="BI82" i="9"/>
  <c r="BH82" i="9"/>
  <c r="BG82" i="9"/>
  <c r="BD82" i="9"/>
  <c r="BC82" i="9"/>
  <c r="BB82" i="9"/>
  <c r="BA82" i="9"/>
  <c r="AW82" i="9"/>
  <c r="AV82" i="9"/>
  <c r="AU82" i="9"/>
  <c r="AR82" i="9"/>
  <c r="AQ82" i="9"/>
  <c r="AP82" i="9"/>
  <c r="AO82" i="9"/>
  <c r="AK82" i="9"/>
  <c r="AJ82" i="9"/>
  <c r="AI82" i="9"/>
  <c r="AF82" i="9"/>
  <c r="AE82" i="9"/>
  <c r="Z82" i="9"/>
  <c r="X82" i="9"/>
  <c r="W82" i="9"/>
  <c r="T82" i="9"/>
  <c r="S82" i="9"/>
  <c r="R82" i="9"/>
  <c r="Q82" i="9"/>
  <c r="N82" i="9"/>
  <c r="M82" i="9"/>
  <c r="L82" i="9"/>
  <c r="K82" i="9"/>
  <c r="BQ79" i="9"/>
  <c r="FB79" i="9" s="1"/>
  <c r="BK79" i="9"/>
  <c r="FA79" i="9" s="1"/>
  <c r="BE79" i="9"/>
  <c r="AY79" i="9"/>
  <c r="AS79" i="9"/>
  <c r="AM79" i="9"/>
  <c r="AG79" i="9"/>
  <c r="AA79" i="9"/>
  <c r="BQ78" i="9"/>
  <c r="FB78" i="9" s="1"/>
  <c r="BK78" i="9"/>
  <c r="FA78" i="9" s="1"/>
  <c r="BE78" i="9"/>
  <c r="AY78" i="9"/>
  <c r="AS78" i="9"/>
  <c r="AM78" i="9"/>
  <c r="AG78" i="9"/>
  <c r="AA78" i="9"/>
  <c r="BQ77" i="9"/>
  <c r="FB77" i="9" s="1"/>
  <c r="BK77" i="9"/>
  <c r="FA77" i="9" s="1"/>
  <c r="BE77" i="9"/>
  <c r="AY77" i="9"/>
  <c r="AS77" i="9"/>
  <c r="AM77" i="9"/>
  <c r="AG77" i="9"/>
  <c r="Y77" i="9"/>
  <c r="Y82" i="9" s="1"/>
  <c r="BQ76" i="9"/>
  <c r="BK76" i="9"/>
  <c r="FA76" i="9" s="1"/>
  <c r="BE76" i="9"/>
  <c r="AY76" i="9"/>
  <c r="AS76" i="9"/>
  <c r="AL82" i="9"/>
  <c r="AG76" i="9"/>
  <c r="AA76" i="9"/>
  <c r="CS129" i="4"/>
  <c r="CS130" i="4" s="1"/>
  <c r="CE129" i="4"/>
  <c r="CE130" i="4" s="1"/>
  <c r="CA130" i="4"/>
  <c r="BZ130" i="4"/>
  <c r="BQ74" i="9"/>
  <c r="BK74" i="9"/>
  <c r="BE74" i="9"/>
  <c r="FI73" i="9"/>
  <c r="FH73" i="9"/>
  <c r="FG73" i="9"/>
  <c r="FF73" i="9"/>
  <c r="AO62" i="9"/>
  <c r="BD55" i="9"/>
  <c r="BC55" i="9"/>
  <c r="BB55" i="9"/>
  <c r="BA55" i="9"/>
  <c r="AX55" i="9"/>
  <c r="AW55" i="9"/>
  <c r="AV55" i="9"/>
  <c r="AU55" i="9"/>
  <c r="AR55" i="9"/>
  <c r="AQ55" i="9"/>
  <c r="AQ52" i="9" s="1"/>
  <c r="AQ92" i="9" s="1"/>
  <c r="AP55" i="9"/>
  <c r="AO55" i="9"/>
  <c r="AL55" i="9"/>
  <c r="AK55" i="9"/>
  <c r="AJ55" i="9"/>
  <c r="AI55" i="9"/>
  <c r="AF55" i="9"/>
  <c r="AE55" i="9"/>
  <c r="AD55" i="9"/>
  <c r="AC55" i="9"/>
  <c r="Z55" i="9"/>
  <c r="Y55" i="9"/>
  <c r="Y49" i="9" s="1"/>
  <c r="X55" i="9"/>
  <c r="W55" i="9"/>
  <c r="S55" i="9"/>
  <c r="R55" i="9"/>
  <c r="Q55" i="9"/>
  <c r="M55" i="9"/>
  <c r="L55" i="9"/>
  <c r="K55" i="9"/>
  <c r="FC54" i="9"/>
  <c r="FB54" i="9"/>
  <c r="FA54" i="9"/>
  <c r="FE46" i="9"/>
  <c r="FD46" i="9"/>
  <c r="FC46" i="9"/>
  <c r="FB46" i="9"/>
  <c r="FA46" i="9"/>
  <c r="DD122" i="4"/>
  <c r="DC81" i="4"/>
  <c r="CX122" i="4"/>
  <c r="BD37" i="9"/>
  <c r="BC37" i="9"/>
  <c r="BB37" i="9"/>
  <c r="BA37" i="9"/>
  <c r="AX37" i="9"/>
  <c r="AW37" i="9"/>
  <c r="AV37" i="9"/>
  <c r="AU37" i="9"/>
  <c r="AR37" i="9"/>
  <c r="AQ37" i="9"/>
  <c r="AP37" i="9"/>
  <c r="AO37" i="9"/>
  <c r="AL37" i="9"/>
  <c r="AK37" i="9"/>
  <c r="AJ37" i="9"/>
  <c r="AI37" i="9"/>
  <c r="AF37" i="9"/>
  <c r="AE37" i="9"/>
  <c r="AD37" i="9"/>
  <c r="AC37" i="9"/>
  <c r="Z37" i="9"/>
  <c r="Y37" i="9"/>
  <c r="X37" i="9"/>
  <c r="W37" i="9"/>
  <c r="S37" i="9"/>
  <c r="R37" i="9"/>
  <c r="Q37" i="9"/>
  <c r="M37" i="9"/>
  <c r="L37" i="9"/>
  <c r="K37" i="9"/>
  <c r="BD14" i="9"/>
  <c r="BC14" i="9"/>
  <c r="BB14" i="9"/>
  <c r="BA14" i="9"/>
  <c r="AX14" i="9"/>
  <c r="AW14" i="9"/>
  <c r="AV14" i="9"/>
  <c r="AU14" i="9"/>
  <c r="AR14" i="9"/>
  <c r="AQ14" i="9"/>
  <c r="AP14" i="9"/>
  <c r="AO14" i="9"/>
  <c r="AL14" i="9"/>
  <c r="AK14" i="9"/>
  <c r="AJ14" i="9"/>
  <c r="AI14" i="9"/>
  <c r="AF14" i="9"/>
  <c r="AE14" i="9"/>
  <c r="AD14" i="9"/>
  <c r="AC14" i="9"/>
  <c r="Z14" i="9"/>
  <c r="Y14" i="9"/>
  <c r="X14" i="9"/>
  <c r="S14" i="9"/>
  <c r="R14" i="9"/>
  <c r="M14" i="9"/>
  <c r="L14" i="9"/>
  <c r="K14" i="9"/>
  <c r="BD13" i="9"/>
  <c r="BC13" i="9"/>
  <c r="BB13" i="9"/>
  <c r="BA13" i="9"/>
  <c r="AX13" i="9"/>
  <c r="AW13" i="9"/>
  <c r="AV13" i="9"/>
  <c r="AU13" i="9"/>
  <c r="AR13" i="9"/>
  <c r="AQ13" i="9"/>
  <c r="AP13" i="9"/>
  <c r="AO13" i="9"/>
  <c r="AL13" i="9"/>
  <c r="AK13" i="9"/>
  <c r="AJ13" i="9"/>
  <c r="AI13" i="9"/>
  <c r="AF13" i="9"/>
  <c r="AE13" i="9"/>
  <c r="AD13" i="9"/>
  <c r="AC13" i="9"/>
  <c r="Z13" i="9"/>
  <c r="Y13" i="9"/>
  <c r="X13" i="9"/>
  <c r="S13" i="9"/>
  <c r="R13" i="9"/>
  <c r="M13" i="9"/>
  <c r="L13" i="9"/>
  <c r="K13" i="9"/>
  <c r="BD19" i="9"/>
  <c r="BC19" i="9"/>
  <c r="BB19" i="9"/>
  <c r="BA19" i="9"/>
  <c r="AX19" i="9"/>
  <c r="AW19" i="9"/>
  <c r="AV19" i="9"/>
  <c r="AU19" i="9"/>
  <c r="AR19" i="9"/>
  <c r="AQ19" i="9"/>
  <c r="AP19" i="9"/>
  <c r="AO19" i="9"/>
  <c r="AL19" i="9"/>
  <c r="AK19" i="9"/>
  <c r="AJ19" i="9"/>
  <c r="AI19" i="9"/>
  <c r="AF19" i="9"/>
  <c r="AE19" i="9"/>
  <c r="AD19" i="9"/>
  <c r="AC19" i="9"/>
  <c r="AA19" i="9"/>
  <c r="Y19" i="9"/>
  <c r="X19" i="9"/>
  <c r="W19" i="9"/>
  <c r="U19" i="9"/>
  <c r="S19" i="9"/>
  <c r="R19" i="9"/>
  <c r="Q19" i="9"/>
  <c r="O19" i="9"/>
  <c r="BD18" i="9"/>
  <c r="BC18" i="9"/>
  <c r="BB18" i="9"/>
  <c r="BA18" i="9"/>
  <c r="AX18" i="9"/>
  <c r="AW18" i="9"/>
  <c r="AV18" i="9"/>
  <c r="AU18" i="9"/>
  <c r="AR18" i="9"/>
  <c r="AQ18" i="9"/>
  <c r="AP18" i="9"/>
  <c r="AO18" i="9"/>
  <c r="AL18" i="9"/>
  <c r="AK18" i="9"/>
  <c r="AJ18" i="9"/>
  <c r="AI18" i="9"/>
  <c r="AF18" i="9"/>
  <c r="AE18" i="9"/>
  <c r="AD18" i="9"/>
  <c r="AC18" i="9"/>
  <c r="AA18" i="9"/>
  <c r="Y18" i="9"/>
  <c r="X18" i="9"/>
  <c r="W18" i="9"/>
  <c r="U18" i="9"/>
  <c r="S18" i="9"/>
  <c r="R18" i="9"/>
  <c r="Q18" i="9"/>
  <c r="O18" i="9"/>
  <c r="BJ11" i="9"/>
  <c r="BJ71" i="4" s="1"/>
  <c r="BD10" i="9"/>
  <c r="BC10" i="9"/>
  <c r="BB10" i="9"/>
  <c r="BA10" i="9"/>
  <c r="AX10" i="9"/>
  <c r="AW10" i="9"/>
  <c r="AV10" i="9"/>
  <c r="AU10" i="9"/>
  <c r="AR10" i="9"/>
  <c r="AQ10" i="9"/>
  <c r="AP10" i="9"/>
  <c r="AO10" i="9"/>
  <c r="AL10" i="9"/>
  <c r="AK10" i="9"/>
  <c r="AJ10" i="9"/>
  <c r="AI10" i="9"/>
  <c r="AF10" i="9"/>
  <c r="AE10" i="9"/>
  <c r="AD10" i="9"/>
  <c r="AC10" i="9"/>
  <c r="AA10" i="9"/>
  <c r="Z10" i="9"/>
  <c r="Y10" i="9"/>
  <c r="X10" i="9"/>
  <c r="W10" i="9"/>
  <c r="U10" i="9"/>
  <c r="S10" i="9"/>
  <c r="R10" i="9"/>
  <c r="Q10" i="9"/>
  <c r="O10" i="9"/>
  <c r="M10" i="9"/>
  <c r="M20" i="9" s="1"/>
  <c r="L10" i="9"/>
  <c r="L20" i="9" s="1"/>
  <c r="K10" i="9"/>
  <c r="K20" i="9" s="1"/>
  <c r="I10" i="9"/>
  <c r="H10" i="9"/>
  <c r="EU9" i="9"/>
  <c r="ET9" i="9"/>
  <c r="ES9" i="9"/>
  <c r="ER9" i="9"/>
  <c r="DF37" i="9"/>
  <c r="DE37" i="9"/>
  <c r="DD37" i="9"/>
  <c r="DC37" i="9"/>
  <c r="CZ37" i="9"/>
  <c r="CX37" i="9"/>
  <c r="CW37" i="9"/>
  <c r="CT37" i="9"/>
  <c r="CS37" i="9"/>
  <c r="CR37" i="9"/>
  <c r="CQ37" i="9"/>
  <c r="CL148" i="4"/>
  <c r="CF148" i="4"/>
  <c r="CF150" i="4" s="1"/>
  <c r="CB148" i="4"/>
  <c r="CB150" i="4" s="1"/>
  <c r="BZ148" i="4"/>
  <c r="BZ150" i="4" s="1"/>
  <c r="BZ149" i="4" s="1"/>
  <c r="BY148" i="4"/>
  <c r="BY150" i="4" s="1"/>
  <c r="BY149" i="4" s="1"/>
  <c r="BV37" i="9"/>
  <c r="BP148" i="4"/>
  <c r="BP150" i="4" s="1"/>
  <c r="BP149" i="4" s="1"/>
  <c r="BO37" i="9"/>
  <c r="BM148" i="4"/>
  <c r="BM150" i="4" s="1"/>
  <c r="BJ37" i="9"/>
  <c r="BH37" i="9"/>
  <c r="BG14" i="9"/>
  <c r="BE9" i="9"/>
  <c r="AY9" i="9"/>
  <c r="AS9" i="9"/>
  <c r="EX9" i="9" s="1"/>
  <c r="AM9" i="9"/>
  <c r="AG9" i="9"/>
  <c r="AG19" i="9" s="1"/>
  <c r="T9" i="9"/>
  <c r="T37" i="9" s="1"/>
  <c r="N14" i="9"/>
  <c r="EU8" i="9"/>
  <c r="ET8" i="9"/>
  <c r="ES8" i="9"/>
  <c r="ER8" i="9"/>
  <c r="DF55" i="9"/>
  <c r="DF59" i="9" s="1"/>
  <c r="DE55" i="9"/>
  <c r="DE59" i="9" s="1"/>
  <c r="DD55" i="9"/>
  <c r="DD59" i="9" s="1"/>
  <c r="DC55" i="9"/>
  <c r="DC59" i="9" s="1"/>
  <c r="CZ55" i="9"/>
  <c r="CZ59" i="9" s="1"/>
  <c r="CY55" i="9"/>
  <c r="CY59" i="9" s="1"/>
  <c r="CX55" i="9"/>
  <c r="CX59" i="9" s="1"/>
  <c r="CW55" i="9"/>
  <c r="CW59" i="9" s="1"/>
  <c r="CT55" i="9"/>
  <c r="CT59" i="9" s="1"/>
  <c r="CS55" i="9"/>
  <c r="CS59" i="9" s="1"/>
  <c r="CR55" i="9"/>
  <c r="CR59" i="9" s="1"/>
  <c r="CQ55" i="9"/>
  <c r="CQ59" i="9" s="1"/>
  <c r="BE8" i="9"/>
  <c r="EZ8" i="9" s="1"/>
  <c r="AY8" i="9"/>
  <c r="EY8" i="9" s="1"/>
  <c r="AS8" i="9"/>
  <c r="AM8" i="9"/>
  <c r="AG8" i="9"/>
  <c r="EV8" i="9" s="1"/>
  <c r="T8" i="9"/>
  <c r="N8" i="9"/>
  <c r="A1" i="9"/>
  <c r="FR360" i="4"/>
  <c r="FP360" i="4"/>
  <c r="FO360" i="4"/>
  <c r="FN360" i="4"/>
  <c r="FM360" i="4"/>
  <c r="FL360" i="4"/>
  <c r="FK360" i="4"/>
  <c r="FJ360" i="4"/>
  <c r="FI360" i="4"/>
  <c r="FH360" i="4"/>
  <c r="FG360" i="4"/>
  <c r="DQ360" i="4"/>
  <c r="DP360" i="4"/>
  <c r="DO360" i="4"/>
  <c r="DM360" i="4"/>
  <c r="DL360" i="4"/>
  <c r="DK360" i="4"/>
  <c r="DJ360" i="4"/>
  <c r="DI360" i="4"/>
  <c r="DG360" i="4"/>
  <c r="DF360" i="4"/>
  <c r="DE360" i="4"/>
  <c r="DD360" i="4"/>
  <c r="DC360" i="4"/>
  <c r="DA360" i="4"/>
  <c r="CZ360" i="4"/>
  <c r="CY360" i="4"/>
  <c r="CX360" i="4"/>
  <c r="CW360" i="4"/>
  <c r="CU360" i="4"/>
  <c r="CT360" i="4"/>
  <c r="CS360" i="4"/>
  <c r="CR360" i="4"/>
  <c r="CQ360" i="4"/>
  <c r="CO360" i="4"/>
  <c r="CN360" i="4"/>
  <c r="CM360" i="4"/>
  <c r="CL360" i="4"/>
  <c r="CK360" i="4"/>
  <c r="CI360" i="4"/>
  <c r="CH360" i="4"/>
  <c r="CG360" i="4"/>
  <c r="CF360" i="4"/>
  <c r="CE360" i="4"/>
  <c r="CC360" i="4"/>
  <c r="CB360" i="4"/>
  <c r="CA360" i="4"/>
  <c r="BZ360" i="4"/>
  <c r="BY360" i="4"/>
  <c r="BW360" i="4"/>
  <c r="BV360" i="4"/>
  <c r="BU360" i="4"/>
  <c r="BT360" i="4"/>
  <c r="BS360" i="4"/>
  <c r="BN360" i="4"/>
  <c r="BO360" i="4"/>
  <c r="BP360" i="4"/>
  <c r="BQ360" i="4"/>
  <c r="BH360" i="4"/>
  <c r="BI360" i="4"/>
  <c r="BJ360" i="4"/>
  <c r="BK360" i="4"/>
  <c r="BM360" i="4"/>
  <c r="BG360" i="4"/>
  <c r="FI315" i="4"/>
  <c r="FH315" i="4"/>
  <c r="FG315" i="4"/>
  <c r="DQ377" i="4"/>
  <c r="FJ332" i="4"/>
  <c r="FI332" i="4"/>
  <c r="FH332" i="4"/>
  <c r="FG332" i="4"/>
  <c r="FJ331" i="4"/>
  <c r="FI331" i="4"/>
  <c r="FH331" i="4"/>
  <c r="FG331" i="4"/>
  <c r="FJ330" i="4"/>
  <c r="FI330" i="4"/>
  <c r="FH330" i="4"/>
  <c r="FG330" i="4"/>
  <c r="FH329" i="4"/>
  <c r="FG329" i="4"/>
  <c r="BJ377" i="4"/>
  <c r="BI377" i="4"/>
  <c r="BH377" i="4"/>
  <c r="BG377" i="4"/>
  <c r="BJ374" i="4"/>
  <c r="BI374" i="4"/>
  <c r="BH374" i="4"/>
  <c r="BG374" i="4"/>
  <c r="BP377" i="4"/>
  <c r="BO377" i="4"/>
  <c r="BN377" i="4"/>
  <c r="BM377" i="4"/>
  <c r="BP374" i="4"/>
  <c r="BO374" i="4"/>
  <c r="BN374" i="4"/>
  <c r="BM374" i="4"/>
  <c r="BV377" i="4"/>
  <c r="BU377" i="4"/>
  <c r="BT377" i="4"/>
  <c r="BS377" i="4"/>
  <c r="BV374" i="4"/>
  <c r="BU374" i="4"/>
  <c r="BT374" i="4"/>
  <c r="BS374" i="4"/>
  <c r="CB377" i="4"/>
  <c r="CA377" i="4"/>
  <c r="BZ377" i="4"/>
  <c r="BY377" i="4"/>
  <c r="CB374" i="4"/>
  <c r="CA374" i="4"/>
  <c r="BZ374" i="4"/>
  <c r="BY374" i="4"/>
  <c r="CH377" i="4"/>
  <c r="CG377" i="4"/>
  <c r="CF377" i="4"/>
  <c r="CE377" i="4"/>
  <c r="CH374" i="4"/>
  <c r="CG374" i="4"/>
  <c r="CF374" i="4"/>
  <c r="CE374" i="4"/>
  <c r="CN377" i="4"/>
  <c r="CM377" i="4"/>
  <c r="CL377" i="4"/>
  <c r="CK377" i="4"/>
  <c r="CN374" i="4"/>
  <c r="CM374" i="4"/>
  <c r="CL374" i="4"/>
  <c r="CK374" i="4"/>
  <c r="CT377" i="4"/>
  <c r="CS377" i="4"/>
  <c r="CR377" i="4"/>
  <c r="CQ377" i="4"/>
  <c r="CT374" i="4"/>
  <c r="CS374" i="4"/>
  <c r="CR374" i="4"/>
  <c r="CQ374" i="4"/>
  <c r="CZ377" i="4"/>
  <c r="CY377" i="4"/>
  <c r="CX377" i="4"/>
  <c r="CW377" i="4"/>
  <c r="CZ374" i="4"/>
  <c r="CY374" i="4"/>
  <c r="CX374" i="4"/>
  <c r="CW374" i="4"/>
  <c r="DF377" i="4"/>
  <c r="DE377" i="4"/>
  <c r="DD377" i="4"/>
  <c r="DC377" i="4"/>
  <c r="DF374" i="4"/>
  <c r="DE374" i="4"/>
  <c r="DD374" i="4"/>
  <c r="DC374" i="4"/>
  <c r="BJ371" i="4"/>
  <c r="BI371" i="4"/>
  <c r="BH371" i="4"/>
  <c r="BG371" i="4"/>
  <c r="BP371" i="4"/>
  <c r="BO371" i="4"/>
  <c r="BN371" i="4"/>
  <c r="BM371" i="4"/>
  <c r="BV371" i="4"/>
  <c r="BU371" i="4"/>
  <c r="BT371" i="4"/>
  <c r="BS371" i="4"/>
  <c r="CB371" i="4"/>
  <c r="CA371" i="4"/>
  <c r="BZ371" i="4"/>
  <c r="BY371" i="4"/>
  <c r="CH371" i="4"/>
  <c r="CG371" i="4"/>
  <c r="CF371" i="4"/>
  <c r="CE371" i="4"/>
  <c r="CN371" i="4"/>
  <c r="CM371" i="4"/>
  <c r="CL371" i="4"/>
  <c r="CK371" i="4"/>
  <c r="CT371" i="4"/>
  <c r="CS371" i="4"/>
  <c r="CR371" i="4"/>
  <c r="CQ371" i="4"/>
  <c r="BJ368" i="4"/>
  <c r="BI368" i="4"/>
  <c r="BH368" i="4"/>
  <c r="BG368" i="4"/>
  <c r="BJ365" i="4"/>
  <c r="BI365" i="4"/>
  <c r="BH365" i="4"/>
  <c r="BG365" i="4"/>
  <c r="BJ362" i="4"/>
  <c r="BI362" i="4"/>
  <c r="BH362" i="4"/>
  <c r="BG362" i="4"/>
  <c r="BP368" i="4"/>
  <c r="BO368" i="4"/>
  <c r="BN368" i="4"/>
  <c r="BM368" i="4"/>
  <c r="BP365" i="4"/>
  <c r="BO365" i="4"/>
  <c r="BN365" i="4"/>
  <c r="BM365" i="4"/>
  <c r="BP362" i="4"/>
  <c r="BO362" i="4"/>
  <c r="BN362" i="4"/>
  <c r="BM362" i="4"/>
  <c r="BV368" i="4"/>
  <c r="BU368" i="4"/>
  <c r="BT368" i="4"/>
  <c r="BS368" i="4"/>
  <c r="BV365" i="4"/>
  <c r="BU365" i="4"/>
  <c r="BT365" i="4"/>
  <c r="BS365" i="4"/>
  <c r="BV362" i="4"/>
  <c r="BU362" i="4"/>
  <c r="BT362" i="4"/>
  <c r="BS362" i="4"/>
  <c r="CB368" i="4"/>
  <c r="CA368" i="4"/>
  <c r="BZ368" i="4"/>
  <c r="BY368" i="4"/>
  <c r="CB365" i="4"/>
  <c r="CA365" i="4"/>
  <c r="BZ365" i="4"/>
  <c r="BY365" i="4"/>
  <c r="CB362" i="4"/>
  <c r="CA362" i="4"/>
  <c r="BZ362" i="4"/>
  <c r="BY362" i="4"/>
  <c r="CH368" i="4"/>
  <c r="CG368" i="4"/>
  <c r="CF368" i="4"/>
  <c r="CE368" i="4"/>
  <c r="CH365" i="4"/>
  <c r="CG365" i="4"/>
  <c r="CF365" i="4"/>
  <c r="CE365" i="4"/>
  <c r="CH362" i="4"/>
  <c r="CG362" i="4"/>
  <c r="CF362" i="4"/>
  <c r="CE362" i="4"/>
  <c r="CN368" i="4"/>
  <c r="CM368" i="4"/>
  <c r="CL368" i="4"/>
  <c r="CK368" i="4"/>
  <c r="CN365" i="4"/>
  <c r="CM365" i="4"/>
  <c r="CL365" i="4"/>
  <c r="CK365" i="4"/>
  <c r="CN362" i="4"/>
  <c r="CM362" i="4"/>
  <c r="CL362" i="4"/>
  <c r="CK362" i="4"/>
  <c r="CT368" i="4"/>
  <c r="CS368" i="4"/>
  <c r="CR368" i="4"/>
  <c r="CQ368" i="4"/>
  <c r="CT365" i="4"/>
  <c r="CS365" i="4"/>
  <c r="CR365" i="4"/>
  <c r="CQ365" i="4"/>
  <c r="CT362" i="4"/>
  <c r="CS362" i="4"/>
  <c r="CR362" i="4"/>
  <c r="CQ362" i="4"/>
  <c r="CZ368" i="4"/>
  <c r="CY368" i="4"/>
  <c r="CX368" i="4"/>
  <c r="CW368" i="4"/>
  <c r="CZ365" i="4"/>
  <c r="CY365" i="4"/>
  <c r="CX365" i="4"/>
  <c r="CW365" i="4"/>
  <c r="CZ362" i="4"/>
  <c r="CY362" i="4"/>
  <c r="CX362" i="4"/>
  <c r="CW362" i="4"/>
  <c r="DF368" i="4"/>
  <c r="DE368" i="4"/>
  <c r="DD368" i="4"/>
  <c r="DC368" i="4"/>
  <c r="DF365" i="4"/>
  <c r="DE365" i="4"/>
  <c r="DD365" i="4"/>
  <c r="DC365" i="4"/>
  <c r="DF362" i="4"/>
  <c r="DE362" i="4"/>
  <c r="DD362" i="4"/>
  <c r="DC362" i="4"/>
  <c r="DQ365" i="4"/>
  <c r="DP365" i="4"/>
  <c r="DG237" i="4"/>
  <c r="FO237" i="4" s="1"/>
  <c r="O85" i="5" s="1"/>
  <c r="BK265" i="4"/>
  <c r="FG265" i="4" s="1"/>
  <c r="G254" i="5" s="1"/>
  <c r="BK263" i="4"/>
  <c r="FG263" i="4" s="1"/>
  <c r="BQ265" i="4"/>
  <c r="FH265" i="4" s="1"/>
  <c r="H254" i="5" s="1"/>
  <c r="BQ263" i="4"/>
  <c r="FH263" i="4" s="1"/>
  <c r="BQ262" i="4"/>
  <c r="FH262" i="4" s="1"/>
  <c r="BW265" i="4"/>
  <c r="FI265" i="4" s="1"/>
  <c r="I254" i="5" s="1"/>
  <c r="BW263" i="4"/>
  <c r="FI263" i="4" s="1"/>
  <c r="CC265" i="4"/>
  <c r="FJ265" i="4" s="1"/>
  <c r="J254" i="5" s="1"/>
  <c r="CC263" i="4"/>
  <c r="FJ263" i="4" s="1"/>
  <c r="CI265" i="4"/>
  <c r="FK265" i="4" s="1"/>
  <c r="K254" i="5" s="1"/>
  <c r="CI263" i="4"/>
  <c r="FK263" i="4" s="1"/>
  <c r="CO265" i="4"/>
  <c r="FL265" i="4" s="1"/>
  <c r="L254" i="5" s="1"/>
  <c r="CO262" i="4"/>
  <c r="FL262" i="4" s="1"/>
  <c r="CU265" i="4"/>
  <c r="FM265" i="4" s="1"/>
  <c r="M254" i="5" s="1"/>
  <c r="CU263" i="4"/>
  <c r="FM263" i="4" s="1"/>
  <c r="DA265" i="4"/>
  <c r="FN265" i="4" s="1"/>
  <c r="N254" i="5" s="1"/>
  <c r="DA263" i="4"/>
  <c r="FN263" i="4" s="1"/>
  <c r="DG265" i="4"/>
  <c r="FO265" i="4" s="1"/>
  <c r="O254" i="5" s="1"/>
  <c r="DG263" i="4"/>
  <c r="FO263" i="4" s="1"/>
  <c r="BK259" i="4"/>
  <c r="FG259" i="4" s="1"/>
  <c r="G113" i="5" s="1"/>
  <c r="BK258" i="4"/>
  <c r="FG258" i="4" s="1"/>
  <c r="G112" i="5" s="1"/>
  <c r="BK257" i="4"/>
  <c r="FG257" i="4" s="1"/>
  <c r="G111" i="5" s="1"/>
  <c r="BQ259" i="4"/>
  <c r="FH259" i="4" s="1"/>
  <c r="H113" i="5" s="1"/>
  <c r="BQ258" i="4"/>
  <c r="FH258" i="4" s="1"/>
  <c r="H112" i="5" s="1"/>
  <c r="BQ257" i="4"/>
  <c r="FH257" i="4" s="1"/>
  <c r="H111" i="5" s="1"/>
  <c r="BQ256" i="4"/>
  <c r="FH256" i="4" s="1"/>
  <c r="H109" i="5" s="1"/>
  <c r="BW259" i="4"/>
  <c r="FI259" i="4" s="1"/>
  <c r="I113" i="5" s="1"/>
  <c r="BW258" i="4"/>
  <c r="FI258" i="4" s="1"/>
  <c r="I112" i="5" s="1"/>
  <c r="BW257" i="4"/>
  <c r="FI257" i="4" s="1"/>
  <c r="I111" i="5" s="1"/>
  <c r="CC259" i="4"/>
  <c r="FJ259" i="4" s="1"/>
  <c r="J113" i="5" s="1"/>
  <c r="CC258" i="4"/>
  <c r="FJ258" i="4" s="1"/>
  <c r="J112" i="5" s="1"/>
  <c r="CC257" i="4"/>
  <c r="FJ257" i="4" s="1"/>
  <c r="J111" i="5" s="1"/>
  <c r="CC256" i="4"/>
  <c r="FJ256" i="4" s="1"/>
  <c r="J109" i="5" s="1"/>
  <c r="CI259" i="4"/>
  <c r="FK259" i="4" s="1"/>
  <c r="K113" i="5" s="1"/>
  <c r="CI257" i="4"/>
  <c r="FK257" i="4" s="1"/>
  <c r="K111" i="5" s="1"/>
  <c r="CI256" i="4"/>
  <c r="FK256" i="4" s="1"/>
  <c r="K109" i="5" s="1"/>
  <c r="CO259" i="4"/>
  <c r="FL259" i="4" s="1"/>
  <c r="L113" i="5" s="1"/>
  <c r="CO258" i="4"/>
  <c r="FL258" i="4" s="1"/>
  <c r="L112" i="5" s="1"/>
  <c r="CO257" i="4"/>
  <c r="FL257" i="4" s="1"/>
  <c r="L111" i="5" s="1"/>
  <c r="CU259" i="4"/>
  <c r="FM259" i="4" s="1"/>
  <c r="M113" i="5" s="1"/>
  <c r="CU258" i="4"/>
  <c r="FM258" i="4" s="1"/>
  <c r="M112" i="5" s="1"/>
  <c r="CU257" i="4"/>
  <c r="FM257" i="4" s="1"/>
  <c r="M111" i="5" s="1"/>
  <c r="DA259" i="4"/>
  <c r="FN259" i="4" s="1"/>
  <c r="N113" i="5" s="1"/>
  <c r="DA258" i="4"/>
  <c r="FN258" i="4" s="1"/>
  <c r="N112" i="5" s="1"/>
  <c r="DA257" i="4"/>
  <c r="FN257" i="4" s="1"/>
  <c r="N111" i="5" s="1"/>
  <c r="DG259" i="4"/>
  <c r="FO259" i="4" s="1"/>
  <c r="O113" i="5" s="1"/>
  <c r="DG258" i="4"/>
  <c r="FO258" i="4" s="1"/>
  <c r="O112" i="5" s="1"/>
  <c r="DG257" i="4"/>
  <c r="FO257" i="4" s="1"/>
  <c r="O111" i="5" s="1"/>
  <c r="BK251" i="4"/>
  <c r="FG251" i="4" s="1"/>
  <c r="BK250" i="4"/>
  <c r="FG250" i="4" s="1"/>
  <c r="G103" i="5" s="1"/>
  <c r="BI285" i="4"/>
  <c r="BH285" i="4"/>
  <c r="BG321" i="4"/>
  <c r="BK249" i="4"/>
  <c r="FG249" i="4" s="1"/>
  <c r="BQ251" i="4"/>
  <c r="FH251" i="4" s="1"/>
  <c r="BQ250" i="4"/>
  <c r="FH250" i="4" s="1"/>
  <c r="H103" i="5" s="1"/>
  <c r="BO285" i="4"/>
  <c r="BN285" i="4"/>
  <c r="BM285" i="4"/>
  <c r="BQ249" i="4"/>
  <c r="FH249" i="4" s="1"/>
  <c r="BW251" i="4"/>
  <c r="FI251" i="4" s="1"/>
  <c r="BW250" i="4"/>
  <c r="FI250" i="4" s="1"/>
  <c r="I103" i="5" s="1"/>
  <c r="BU285" i="4"/>
  <c r="BT285" i="4"/>
  <c r="BS285" i="4"/>
  <c r="BW249" i="4"/>
  <c r="FI249" i="4" s="1"/>
  <c r="CC250" i="4"/>
  <c r="FJ250" i="4" s="1"/>
  <c r="J103" i="5" s="1"/>
  <c r="CA285" i="4"/>
  <c r="BZ285" i="4"/>
  <c r="BY285" i="4"/>
  <c r="CC249" i="4"/>
  <c r="FJ249" i="4" s="1"/>
  <c r="CI250" i="4"/>
  <c r="FK250" i="4" s="1"/>
  <c r="K103" i="5" s="1"/>
  <c r="CG285" i="4"/>
  <c r="CF285" i="4"/>
  <c r="CE285" i="4"/>
  <c r="CI249" i="4"/>
  <c r="FK249" i="4" s="1"/>
  <c r="CI248" i="4"/>
  <c r="FK248" i="4" s="1"/>
  <c r="CO250" i="4"/>
  <c r="FL250" i="4" s="1"/>
  <c r="L103" i="5" s="1"/>
  <c r="CK285" i="4"/>
  <c r="CO249" i="4"/>
  <c r="FL249" i="4" s="1"/>
  <c r="CU250" i="4"/>
  <c r="FM250" i="4" s="1"/>
  <c r="M103" i="5" s="1"/>
  <c r="CU249" i="4"/>
  <c r="FM249" i="4" s="1"/>
  <c r="DA250" i="4"/>
  <c r="FN250" i="4" s="1"/>
  <c r="N103" i="5" s="1"/>
  <c r="DA249" i="4"/>
  <c r="FN249" i="4" s="1"/>
  <c r="DG250" i="4"/>
  <c r="FO250" i="4" s="1"/>
  <c r="O103" i="5" s="1"/>
  <c r="DG249" i="4"/>
  <c r="FO249" i="4" s="1"/>
  <c r="BK243" i="4"/>
  <c r="FG243" i="4" s="1"/>
  <c r="BK242" i="4"/>
  <c r="FG242" i="4" s="1"/>
  <c r="BI283" i="4"/>
  <c r="BH283" i="4"/>
  <c r="BK240" i="4"/>
  <c r="FG240" i="4" s="1"/>
  <c r="BK239" i="4"/>
  <c r="FG239" i="4" s="1"/>
  <c r="G88" i="5" s="1"/>
  <c r="BK238" i="4"/>
  <c r="FG238" i="4" s="1"/>
  <c r="G86" i="5" s="1"/>
  <c r="BI284" i="4"/>
  <c r="BH284" i="4"/>
  <c r="BG320" i="4"/>
  <c r="BK237" i="4"/>
  <c r="FG237" i="4" s="1"/>
  <c r="G85" i="5" s="1"/>
  <c r="BQ243" i="4"/>
  <c r="FH243" i="4" s="1"/>
  <c r="BQ242" i="4"/>
  <c r="FH242" i="4" s="1"/>
  <c r="BO283" i="4"/>
  <c r="BN283" i="4"/>
  <c r="BM283" i="4"/>
  <c r="BQ240" i="4"/>
  <c r="FH240" i="4" s="1"/>
  <c r="BQ239" i="4"/>
  <c r="FH239" i="4" s="1"/>
  <c r="H88" i="5" s="1"/>
  <c r="BQ238" i="4"/>
  <c r="FH238" i="4" s="1"/>
  <c r="H86" i="5" s="1"/>
  <c r="BO284" i="4"/>
  <c r="BN284" i="4"/>
  <c r="BM284" i="4"/>
  <c r="BQ237" i="4"/>
  <c r="FH237" i="4" s="1"/>
  <c r="H85" i="5" s="1"/>
  <c r="BW243" i="4"/>
  <c r="FI243" i="4" s="1"/>
  <c r="BW242" i="4"/>
  <c r="FI242" i="4" s="1"/>
  <c r="BU283" i="4"/>
  <c r="BT283" i="4"/>
  <c r="BS283" i="4"/>
  <c r="BW240" i="4"/>
  <c r="FI240" i="4" s="1"/>
  <c r="BW239" i="4"/>
  <c r="FI239" i="4" s="1"/>
  <c r="I88" i="5" s="1"/>
  <c r="BV284" i="4"/>
  <c r="BW284" i="4" s="1"/>
  <c r="FI284" i="4" s="1"/>
  <c r="BU284" i="4"/>
  <c r="BT284" i="4"/>
  <c r="BS284" i="4"/>
  <c r="BW237" i="4"/>
  <c r="FI237" i="4" s="1"/>
  <c r="I85" i="5" s="1"/>
  <c r="BW236" i="4"/>
  <c r="FI236" i="4" s="1"/>
  <c r="CC243" i="4"/>
  <c r="FJ243" i="4" s="1"/>
  <c r="CC242" i="4"/>
  <c r="FJ242" i="4" s="1"/>
  <c r="CA283" i="4"/>
  <c r="BZ283" i="4"/>
  <c r="BY283" i="4"/>
  <c r="CC240" i="4"/>
  <c r="FJ240" i="4" s="1"/>
  <c r="CC239" i="4"/>
  <c r="FJ239" i="4" s="1"/>
  <c r="J88" i="5" s="1"/>
  <c r="CC238" i="4"/>
  <c r="FJ238" i="4" s="1"/>
  <c r="J86" i="5" s="1"/>
  <c r="CA284" i="4"/>
  <c r="BZ284" i="4"/>
  <c r="BY284" i="4"/>
  <c r="CC237" i="4"/>
  <c r="FJ237" i="4" s="1"/>
  <c r="J85" i="5" s="1"/>
  <c r="CI243" i="4"/>
  <c r="FK243" i="4" s="1"/>
  <c r="CI242" i="4"/>
  <c r="FK242" i="4" s="1"/>
  <c r="CG283" i="4"/>
  <c r="CF283" i="4"/>
  <c r="CE283" i="4"/>
  <c r="CI240" i="4"/>
  <c r="FK240" i="4" s="1"/>
  <c r="CI239" i="4"/>
  <c r="FK239" i="4" s="1"/>
  <c r="K88" i="5" s="1"/>
  <c r="CI238" i="4"/>
  <c r="FK238" i="4" s="1"/>
  <c r="K86" i="5" s="1"/>
  <c r="CG284" i="4"/>
  <c r="CF284" i="4"/>
  <c r="CE284" i="4"/>
  <c r="CI237" i="4"/>
  <c r="FK237" i="4" s="1"/>
  <c r="K85" i="5" s="1"/>
  <c r="CH187" i="4"/>
  <c r="CO243" i="4"/>
  <c r="FL243" i="4" s="1"/>
  <c r="CO242" i="4"/>
  <c r="FL242" i="4" s="1"/>
  <c r="CM283" i="4"/>
  <c r="CL283" i="4"/>
  <c r="CK283" i="4"/>
  <c r="CO240" i="4"/>
  <c r="FL240" i="4" s="1"/>
  <c r="CO239" i="4"/>
  <c r="FL239" i="4" s="1"/>
  <c r="L88" i="5" s="1"/>
  <c r="CO238" i="4"/>
  <c r="FL238" i="4" s="1"/>
  <c r="L86" i="5" s="1"/>
  <c r="CM284" i="4"/>
  <c r="CL284" i="4"/>
  <c r="CK284" i="4"/>
  <c r="CO237" i="4"/>
  <c r="FL237" i="4" s="1"/>
  <c r="L85" i="5" s="1"/>
  <c r="CN187" i="4"/>
  <c r="CM187" i="4"/>
  <c r="CL187" i="4"/>
  <c r="CK187" i="4"/>
  <c r="CU243" i="4"/>
  <c r="FM243" i="4" s="1"/>
  <c r="CU242" i="4"/>
  <c r="FM242" i="4" s="1"/>
  <c r="CS283" i="4"/>
  <c r="CR283" i="4"/>
  <c r="CQ283" i="4"/>
  <c r="CU240" i="4"/>
  <c r="FM240" i="4" s="1"/>
  <c r="CU239" i="4"/>
  <c r="FM239" i="4" s="1"/>
  <c r="M88" i="5" s="1"/>
  <c r="CU238" i="4"/>
  <c r="FM238" i="4" s="1"/>
  <c r="M86" i="5" s="1"/>
  <c r="CS284" i="4"/>
  <c r="CR284" i="4"/>
  <c r="CQ284" i="4"/>
  <c r="CU237" i="4"/>
  <c r="FM237" i="4" s="1"/>
  <c r="M85" i="5" s="1"/>
  <c r="CU236" i="4"/>
  <c r="FM236" i="4" s="1"/>
  <c r="CS187" i="4"/>
  <c r="CR187" i="4"/>
  <c r="CQ187" i="4"/>
  <c r="DA243" i="4"/>
  <c r="FN243" i="4" s="1"/>
  <c r="DA242" i="4"/>
  <c r="FN242" i="4" s="1"/>
  <c r="CY283" i="4"/>
  <c r="CX283" i="4"/>
  <c r="CW283" i="4"/>
  <c r="DA240" i="4"/>
  <c r="FN240" i="4" s="1"/>
  <c r="DA239" i="4"/>
  <c r="FN239" i="4" s="1"/>
  <c r="N88" i="5" s="1"/>
  <c r="DA238" i="4"/>
  <c r="FN238" i="4" s="1"/>
  <c r="N86" i="5" s="1"/>
  <c r="CY284" i="4"/>
  <c r="CX284" i="4"/>
  <c r="CW284" i="4"/>
  <c r="DA237" i="4"/>
  <c r="FN237" i="4" s="1"/>
  <c r="N85" i="5" s="1"/>
  <c r="CZ187" i="4"/>
  <c r="CY187" i="4"/>
  <c r="CX187" i="4"/>
  <c r="CW187" i="4"/>
  <c r="DG243" i="4"/>
  <c r="FO243" i="4" s="1"/>
  <c r="DI284" i="4"/>
  <c r="DI283" i="4"/>
  <c r="DG242" i="4"/>
  <c r="FO242" i="4" s="1"/>
  <c r="DE283" i="4"/>
  <c r="DD283" i="4"/>
  <c r="DC283" i="4"/>
  <c r="DG240" i="4"/>
  <c r="FO240" i="4" s="1"/>
  <c r="DG239" i="4"/>
  <c r="FO239" i="4" s="1"/>
  <c r="O88" i="5" s="1"/>
  <c r="DG238" i="4"/>
  <c r="FO238" i="4" s="1"/>
  <c r="O86" i="5" s="1"/>
  <c r="DE284" i="4"/>
  <c r="DD284" i="4"/>
  <c r="DC284" i="4"/>
  <c r="DG236" i="4"/>
  <c r="FO236" i="4" s="1"/>
  <c r="DE187" i="4"/>
  <c r="DD187" i="4"/>
  <c r="DC187" i="4"/>
  <c r="DM240" i="4"/>
  <c r="FP240" i="4" s="1"/>
  <c r="DM239" i="4"/>
  <c r="FP239" i="4" s="1"/>
  <c r="P88" i="5" s="1"/>
  <c r="BK232" i="4"/>
  <c r="FG232" i="4" s="1"/>
  <c r="G97" i="5" s="1"/>
  <c r="BK231" i="4"/>
  <c r="FG231" i="4" s="1"/>
  <c r="G95" i="5" s="1"/>
  <c r="BK230" i="4"/>
  <c r="FG230" i="4" s="1"/>
  <c r="G96" i="5" s="1"/>
  <c r="BK227" i="4"/>
  <c r="FG227" i="4" s="1"/>
  <c r="BQ231" i="4"/>
  <c r="FH231" i="4" s="1"/>
  <c r="H95" i="5" s="1"/>
  <c r="BQ230" i="4"/>
  <c r="FH230" i="4" s="1"/>
  <c r="H96" i="5" s="1"/>
  <c r="BQ227" i="4"/>
  <c r="FH227" i="4" s="1"/>
  <c r="BW231" i="4"/>
  <c r="FI231" i="4" s="1"/>
  <c r="I95" i="5" s="1"/>
  <c r="BW230" i="4"/>
  <c r="FI230" i="4" s="1"/>
  <c r="I96" i="5" s="1"/>
  <c r="BW227" i="4"/>
  <c r="FI227" i="4" s="1"/>
  <c r="CC231" i="4"/>
  <c r="FJ231" i="4" s="1"/>
  <c r="J95" i="5" s="1"/>
  <c r="CC230" i="4"/>
  <c r="FJ230" i="4" s="1"/>
  <c r="J96" i="5" s="1"/>
  <c r="CC227" i="4"/>
  <c r="FJ227" i="4" s="1"/>
  <c r="CI231" i="4"/>
  <c r="FK231" i="4" s="1"/>
  <c r="K95" i="5" s="1"/>
  <c r="CI230" i="4"/>
  <c r="FK230" i="4" s="1"/>
  <c r="K96" i="5" s="1"/>
  <c r="CI229" i="4"/>
  <c r="FK229" i="4" s="1"/>
  <c r="K94" i="5" s="1"/>
  <c r="CI227" i="4"/>
  <c r="FK227" i="4" s="1"/>
  <c r="CO232" i="4"/>
  <c r="FL232" i="4" s="1"/>
  <c r="L97" i="5" s="1"/>
  <c r="CO231" i="4"/>
  <c r="FL231" i="4" s="1"/>
  <c r="L95" i="5" s="1"/>
  <c r="CO230" i="4"/>
  <c r="FL230" i="4" s="1"/>
  <c r="L96" i="5" s="1"/>
  <c r="CO229" i="4"/>
  <c r="FL229" i="4" s="1"/>
  <c r="L94" i="5" s="1"/>
  <c r="CO227" i="4"/>
  <c r="FL227" i="4" s="1"/>
  <c r="CU232" i="4"/>
  <c r="FM232" i="4" s="1"/>
  <c r="M97" i="5" s="1"/>
  <c r="CU231" i="4"/>
  <c r="FM231" i="4" s="1"/>
  <c r="M95" i="5" s="1"/>
  <c r="CU230" i="4"/>
  <c r="FM230" i="4" s="1"/>
  <c r="M96" i="5" s="1"/>
  <c r="CU229" i="4"/>
  <c r="FM229" i="4" s="1"/>
  <c r="M94" i="5" s="1"/>
  <c r="CU227" i="4"/>
  <c r="FM227" i="4" s="1"/>
  <c r="DA232" i="4"/>
  <c r="FN232" i="4" s="1"/>
  <c r="N97" i="5" s="1"/>
  <c r="DA231" i="4"/>
  <c r="FN231" i="4" s="1"/>
  <c r="N95" i="5" s="1"/>
  <c r="DA230" i="4"/>
  <c r="FN230" i="4" s="1"/>
  <c r="N96" i="5" s="1"/>
  <c r="DA229" i="4"/>
  <c r="FN229" i="4" s="1"/>
  <c r="N94" i="5" s="1"/>
  <c r="DA227" i="4"/>
  <c r="FN227" i="4" s="1"/>
  <c r="DG232" i="4"/>
  <c r="FO232" i="4" s="1"/>
  <c r="O97" i="5" s="1"/>
  <c r="DG231" i="4"/>
  <c r="FO231" i="4" s="1"/>
  <c r="O95" i="5" s="1"/>
  <c r="DG230" i="4"/>
  <c r="FO230" i="4" s="1"/>
  <c r="O96" i="5" s="1"/>
  <c r="DG229" i="4"/>
  <c r="FO229" i="4" s="1"/>
  <c r="O94" i="5" s="1"/>
  <c r="DG227" i="4"/>
  <c r="FO227" i="4" s="1"/>
  <c r="DM229" i="4"/>
  <c r="FP229" i="4" s="1"/>
  <c r="P94" i="5" s="1"/>
  <c r="BK51" i="4"/>
  <c r="Z47" i="4"/>
  <c r="DQ279" i="4"/>
  <c r="DP279" i="4"/>
  <c r="DO279" i="4"/>
  <c r="DM279" i="4"/>
  <c r="DL279" i="4"/>
  <c r="DK279" i="4"/>
  <c r="DJ279" i="4"/>
  <c r="DI279" i="4"/>
  <c r="DG279" i="4"/>
  <c r="DF279" i="4"/>
  <c r="DE279" i="4"/>
  <c r="DD279" i="4"/>
  <c r="DC279" i="4"/>
  <c r="DA279" i="4"/>
  <c r="CZ279" i="4"/>
  <c r="CY279" i="4"/>
  <c r="CX279" i="4"/>
  <c r="CW279" i="4"/>
  <c r="CU279" i="4"/>
  <c r="CT279" i="4"/>
  <c r="CS279" i="4"/>
  <c r="CR279" i="4"/>
  <c r="CQ279" i="4"/>
  <c r="CO279" i="4"/>
  <c r="CN279" i="4"/>
  <c r="CM279" i="4"/>
  <c r="CL279" i="4"/>
  <c r="CK279" i="4"/>
  <c r="CI279" i="4"/>
  <c r="CH279" i="4"/>
  <c r="CG279" i="4"/>
  <c r="CF279" i="4"/>
  <c r="CE279" i="4"/>
  <c r="CC279" i="4"/>
  <c r="CB279" i="4"/>
  <c r="CA279" i="4"/>
  <c r="BZ279" i="4"/>
  <c r="BY279" i="4"/>
  <c r="BW279" i="4"/>
  <c r="BV279" i="4"/>
  <c r="BU279" i="4"/>
  <c r="BT279" i="4"/>
  <c r="BS279" i="4"/>
  <c r="BQ279" i="4"/>
  <c r="BP279" i="4"/>
  <c r="BO279" i="4"/>
  <c r="BN279" i="4"/>
  <c r="BM279" i="4"/>
  <c r="BK279" i="4"/>
  <c r="BJ279" i="4"/>
  <c r="BI279" i="4"/>
  <c r="BH279" i="4"/>
  <c r="BG279" i="4"/>
  <c r="BE279" i="4"/>
  <c r="BD279" i="4"/>
  <c r="BC279" i="4"/>
  <c r="BB279" i="4"/>
  <c r="BA279" i="4"/>
  <c r="AY279" i="4"/>
  <c r="AX279" i="4"/>
  <c r="AW279" i="4"/>
  <c r="AV279" i="4"/>
  <c r="AU279" i="4"/>
  <c r="AS279" i="4"/>
  <c r="AR279" i="4"/>
  <c r="AQ279" i="4"/>
  <c r="AP279" i="4"/>
  <c r="AO279" i="4"/>
  <c r="AM279" i="4"/>
  <c r="AL279" i="4"/>
  <c r="AK279" i="4"/>
  <c r="AJ279" i="4"/>
  <c r="AI279" i="4"/>
  <c r="AG279" i="4"/>
  <c r="AF279" i="4"/>
  <c r="AE279" i="4"/>
  <c r="AD279" i="4"/>
  <c r="AC279" i="4"/>
  <c r="AA279" i="4"/>
  <c r="Z279" i="4"/>
  <c r="Y279" i="4"/>
  <c r="X279" i="4"/>
  <c r="W279" i="4"/>
  <c r="U279" i="4"/>
  <c r="T279" i="4"/>
  <c r="S279" i="4"/>
  <c r="R279" i="4"/>
  <c r="Q279" i="4"/>
  <c r="O279" i="4"/>
  <c r="N279" i="4"/>
  <c r="M279" i="4"/>
  <c r="L279" i="4"/>
  <c r="K279" i="4"/>
  <c r="I279" i="4"/>
  <c r="H279" i="4"/>
  <c r="G279" i="4"/>
  <c r="F279" i="4"/>
  <c r="E279" i="4"/>
  <c r="DQ67" i="4"/>
  <c r="DP67" i="4"/>
  <c r="DO67" i="4"/>
  <c r="DM67" i="4"/>
  <c r="DL67" i="4"/>
  <c r="DK67" i="4"/>
  <c r="DJ67" i="4"/>
  <c r="DI67" i="4"/>
  <c r="DG67" i="4"/>
  <c r="DF67" i="4"/>
  <c r="DE67" i="4"/>
  <c r="DD67" i="4"/>
  <c r="DC67" i="4"/>
  <c r="DA67" i="4"/>
  <c r="CZ67" i="4"/>
  <c r="CY67" i="4"/>
  <c r="CX67" i="4"/>
  <c r="CW67" i="4"/>
  <c r="CU67" i="4"/>
  <c r="CT67" i="4"/>
  <c r="CS67" i="4"/>
  <c r="CR67" i="4"/>
  <c r="CQ67" i="4"/>
  <c r="CO67" i="4"/>
  <c r="CN67" i="4"/>
  <c r="CM67" i="4"/>
  <c r="CL67" i="4"/>
  <c r="CK67" i="4"/>
  <c r="CI67" i="4"/>
  <c r="CH67" i="4"/>
  <c r="CG67" i="4"/>
  <c r="CF67" i="4"/>
  <c r="CE67" i="4"/>
  <c r="CC67" i="4"/>
  <c r="CB67" i="4"/>
  <c r="CA67" i="4"/>
  <c r="BZ67" i="4"/>
  <c r="BY67" i="4"/>
  <c r="BW67" i="4"/>
  <c r="BV67" i="4"/>
  <c r="BU67" i="4"/>
  <c r="BT67" i="4"/>
  <c r="BS67" i="4"/>
  <c r="BQ67" i="4"/>
  <c r="BP67" i="4"/>
  <c r="BO67" i="4"/>
  <c r="BN67" i="4"/>
  <c r="BM67" i="4"/>
  <c r="BK67" i="4"/>
  <c r="BJ67" i="4"/>
  <c r="BI67" i="4"/>
  <c r="BH67" i="4"/>
  <c r="BG67" i="4"/>
  <c r="BE67" i="4"/>
  <c r="BD67" i="4"/>
  <c r="BC67" i="4"/>
  <c r="BB67" i="4"/>
  <c r="BA67" i="4"/>
  <c r="AY67" i="4"/>
  <c r="AX67" i="4"/>
  <c r="AW67" i="4"/>
  <c r="AV67" i="4"/>
  <c r="AU67" i="4"/>
  <c r="AS67" i="4"/>
  <c r="AR67" i="4"/>
  <c r="AQ67" i="4"/>
  <c r="AP67" i="4"/>
  <c r="AO67" i="4"/>
  <c r="AM67" i="4"/>
  <c r="AL67" i="4"/>
  <c r="AK67" i="4"/>
  <c r="AJ67" i="4"/>
  <c r="AI67" i="4"/>
  <c r="AG67" i="4"/>
  <c r="AF67" i="4"/>
  <c r="AE67" i="4"/>
  <c r="AD67" i="4"/>
  <c r="AC67" i="4"/>
  <c r="AA67" i="4"/>
  <c r="Z67" i="4"/>
  <c r="Y67" i="4"/>
  <c r="X67" i="4"/>
  <c r="W67" i="4"/>
  <c r="U67" i="4"/>
  <c r="T67" i="4"/>
  <c r="S67" i="4"/>
  <c r="R67" i="4"/>
  <c r="Q67" i="4"/>
  <c r="O67" i="4"/>
  <c r="N67" i="4"/>
  <c r="M67" i="4"/>
  <c r="L67" i="4"/>
  <c r="K67" i="4"/>
  <c r="I67" i="4"/>
  <c r="H67" i="4"/>
  <c r="G67" i="4"/>
  <c r="F67" i="4"/>
  <c r="E67" i="4"/>
  <c r="FQ279" i="4"/>
  <c r="FP279" i="4"/>
  <c r="FO279" i="4"/>
  <c r="FN279" i="4"/>
  <c r="FM279" i="4"/>
  <c r="FL279" i="4"/>
  <c r="FK279" i="4"/>
  <c r="FJ279" i="4"/>
  <c r="FI279" i="4"/>
  <c r="FH279" i="4"/>
  <c r="FG279" i="4"/>
  <c r="FF279" i="4"/>
  <c r="FE279" i="4"/>
  <c r="FD279" i="4"/>
  <c r="FC279" i="4"/>
  <c r="FB279" i="4"/>
  <c r="FA279" i="4"/>
  <c r="EZ279" i="4"/>
  <c r="EY279" i="4"/>
  <c r="EX279" i="4"/>
  <c r="FR67" i="4"/>
  <c r="FQ67" i="4"/>
  <c r="FP67" i="4"/>
  <c r="FO67" i="4"/>
  <c r="FN67" i="4"/>
  <c r="FM67" i="4"/>
  <c r="FL67" i="4"/>
  <c r="FK67" i="4"/>
  <c r="FJ67" i="4"/>
  <c r="FI67" i="4"/>
  <c r="FH67" i="4"/>
  <c r="FG67" i="4"/>
  <c r="FF67" i="4"/>
  <c r="FE67" i="4"/>
  <c r="FD67" i="4"/>
  <c r="FC67" i="4"/>
  <c r="FB67" i="4"/>
  <c r="FA67" i="4"/>
  <c r="EZ67" i="4"/>
  <c r="EY67" i="4"/>
  <c r="EX67" i="4"/>
  <c r="T70" i="4"/>
  <c r="AG70" i="4"/>
  <c r="AM70" i="4"/>
  <c r="AS70" i="4"/>
  <c r="AY70" i="4"/>
  <c r="BE70" i="4"/>
  <c r="N71" i="4"/>
  <c r="BH71" i="4"/>
  <c r="BI71" i="4"/>
  <c r="BM71" i="4"/>
  <c r="BN71" i="4"/>
  <c r="BO71" i="4"/>
  <c r="BP71" i="4"/>
  <c r="BS71" i="4"/>
  <c r="BT71" i="4"/>
  <c r="BU71" i="4"/>
  <c r="BV71" i="4"/>
  <c r="BY71" i="4"/>
  <c r="BZ71" i="4"/>
  <c r="CA71" i="4"/>
  <c r="CB71" i="4"/>
  <c r="CE71" i="4"/>
  <c r="CF71" i="4"/>
  <c r="CG71" i="4"/>
  <c r="CH71" i="4"/>
  <c r="CK71" i="4"/>
  <c r="CL71" i="4"/>
  <c r="CM71" i="4"/>
  <c r="CN71" i="4"/>
  <c r="N72" i="4"/>
  <c r="T72" i="4"/>
  <c r="AG72" i="4"/>
  <c r="AM72" i="4"/>
  <c r="AS72" i="4"/>
  <c r="AY72" i="4"/>
  <c r="BE72" i="4"/>
  <c r="BQ72" i="4"/>
  <c r="FH72" i="4" s="1"/>
  <c r="BW72" i="4"/>
  <c r="FI72" i="4" s="1"/>
  <c r="CC72" i="4"/>
  <c r="FJ72" i="4" s="1"/>
  <c r="CE72" i="4"/>
  <c r="CF72" i="4"/>
  <c r="CG72" i="4"/>
  <c r="CH72" i="4"/>
  <c r="CL72" i="4"/>
  <c r="CM72" i="4"/>
  <c r="CN72" i="4"/>
  <c r="CR72" i="4"/>
  <c r="CS72" i="4"/>
  <c r="CT72" i="4"/>
  <c r="CX72" i="4"/>
  <c r="CY72" i="4"/>
  <c r="CZ72" i="4"/>
  <c r="DD72" i="4"/>
  <c r="DE72" i="4"/>
  <c r="DF72" i="4"/>
  <c r="H73" i="4"/>
  <c r="I73" i="4"/>
  <c r="K73" i="4"/>
  <c r="L73" i="4"/>
  <c r="M73" i="4"/>
  <c r="O73" i="4"/>
  <c r="Q73" i="4"/>
  <c r="R73" i="4"/>
  <c r="S73" i="4"/>
  <c r="U73" i="4"/>
  <c r="W73" i="4"/>
  <c r="X73" i="4"/>
  <c r="Y73" i="4"/>
  <c r="Z73" i="4"/>
  <c r="AA73" i="4"/>
  <c r="AC73" i="4"/>
  <c r="AD73" i="4"/>
  <c r="AE73" i="4"/>
  <c r="AF73" i="4"/>
  <c r="AI73" i="4"/>
  <c r="AJ73" i="4"/>
  <c r="AK73" i="4"/>
  <c r="AL73" i="4"/>
  <c r="AO73" i="4"/>
  <c r="AP73" i="4"/>
  <c r="AQ73" i="4"/>
  <c r="AR73" i="4"/>
  <c r="AU73" i="4"/>
  <c r="AV73" i="4"/>
  <c r="AW73" i="4"/>
  <c r="AX73" i="4"/>
  <c r="BA73" i="4"/>
  <c r="BB73" i="4"/>
  <c r="BC73" i="4"/>
  <c r="BD73" i="4"/>
  <c r="BM11" i="4"/>
  <c r="BN11" i="4"/>
  <c r="BO11" i="4"/>
  <c r="BP11" i="4"/>
  <c r="BS11" i="4"/>
  <c r="BT11" i="4"/>
  <c r="BU11" i="4"/>
  <c r="BV11" i="4"/>
  <c r="BY11" i="4"/>
  <c r="BZ11" i="4"/>
  <c r="CA11" i="4"/>
  <c r="CB11" i="4"/>
  <c r="CE11" i="4"/>
  <c r="CF11" i="4"/>
  <c r="CG11" i="4"/>
  <c r="CH11" i="4"/>
  <c r="CL11" i="4"/>
  <c r="CM11" i="4"/>
  <c r="CN11" i="4"/>
  <c r="CQ11" i="4"/>
  <c r="CR11" i="4"/>
  <c r="CS11" i="4"/>
  <c r="CT11" i="4"/>
  <c r="CX11" i="4"/>
  <c r="CY11" i="4"/>
  <c r="CZ11" i="4"/>
  <c r="DD11" i="4"/>
  <c r="DE11" i="4"/>
  <c r="DF11" i="4"/>
  <c r="DJ11" i="4"/>
  <c r="CE122" i="4"/>
  <c r="CF122" i="4"/>
  <c r="CG122" i="4"/>
  <c r="CH122" i="4"/>
  <c r="CO127" i="4"/>
  <c r="FL127" i="4" s="1"/>
  <c r="CU127" i="4"/>
  <c r="FM127" i="4" s="1"/>
  <c r="DA127" i="4"/>
  <c r="FN127" i="4" s="1"/>
  <c r="DG127" i="4"/>
  <c r="FO127" i="4" s="1"/>
  <c r="CC128" i="4"/>
  <c r="CI128" i="4"/>
  <c r="FK128" i="4" s="1"/>
  <c r="CO128" i="4"/>
  <c r="FL128" i="4" s="1"/>
  <c r="CU128" i="4"/>
  <c r="FM128" i="4" s="1"/>
  <c r="DA128" i="4"/>
  <c r="FN128" i="4" s="1"/>
  <c r="DG128" i="4"/>
  <c r="FO128" i="4" s="1"/>
  <c r="CC166" i="4"/>
  <c r="FJ166" i="4" s="1"/>
  <c r="CI166" i="4"/>
  <c r="FK166" i="4" s="1"/>
  <c r="CU166" i="4"/>
  <c r="FM166" i="4" s="1"/>
  <c r="BK167" i="4"/>
  <c r="FG167" i="4" s="1"/>
  <c r="BQ167" i="4"/>
  <c r="FH167" i="4" s="1"/>
  <c r="BW167" i="4"/>
  <c r="FI167" i="4" s="1"/>
  <c r="CC167" i="4"/>
  <c r="FJ167" i="4" s="1"/>
  <c r="CI167" i="4"/>
  <c r="FK167" i="4" s="1"/>
  <c r="CO167" i="4"/>
  <c r="FL167" i="4" s="1"/>
  <c r="CU167" i="4"/>
  <c r="FM167" i="4" s="1"/>
  <c r="DA167" i="4"/>
  <c r="FN167" i="4" s="1"/>
  <c r="DG167" i="4"/>
  <c r="FO167" i="4" s="1"/>
  <c r="FP167" i="4"/>
  <c r="BI168" i="4"/>
  <c r="BJ168" i="4"/>
  <c r="BM168" i="4"/>
  <c r="BN168" i="4"/>
  <c r="BO168" i="4"/>
  <c r="BP168" i="4"/>
  <c r="BS168" i="4"/>
  <c r="BT168" i="4"/>
  <c r="BU168" i="4"/>
  <c r="BV168" i="4"/>
  <c r="BY168" i="4"/>
  <c r="BZ168" i="4"/>
  <c r="CA168" i="4"/>
  <c r="CB168" i="4"/>
  <c r="CE168" i="4"/>
  <c r="CF168" i="4"/>
  <c r="CG168" i="4"/>
  <c r="CH168" i="4"/>
  <c r="CK168" i="4"/>
  <c r="CL168" i="4"/>
  <c r="CM168" i="4"/>
  <c r="CN168" i="4"/>
  <c r="CQ168" i="4"/>
  <c r="CR168" i="4"/>
  <c r="CS168" i="4"/>
  <c r="CT168" i="4"/>
  <c r="CW168" i="4"/>
  <c r="CX168" i="4"/>
  <c r="CY168" i="4"/>
  <c r="CZ168" i="4"/>
  <c r="DC168" i="4"/>
  <c r="DD168" i="4"/>
  <c r="DE168" i="4"/>
  <c r="DF168" i="4"/>
  <c r="BM18" i="4"/>
  <c r="BN18" i="4"/>
  <c r="BO18" i="4"/>
  <c r="BP18" i="4"/>
  <c r="BS18" i="4"/>
  <c r="BT18" i="4"/>
  <c r="BU18" i="4"/>
  <c r="BV18" i="4"/>
  <c r="BY18" i="4"/>
  <c r="BZ18" i="4"/>
  <c r="CA18" i="4"/>
  <c r="CB18" i="4"/>
  <c r="CE18" i="4"/>
  <c r="CF18" i="4"/>
  <c r="CG18" i="4"/>
  <c r="CH18" i="4"/>
  <c r="CK18" i="4"/>
  <c r="CL18" i="4"/>
  <c r="CM18" i="4"/>
  <c r="CN18" i="4"/>
  <c r="CQ18" i="4"/>
  <c r="CR18" i="4"/>
  <c r="CS18" i="4"/>
  <c r="CT18" i="4"/>
  <c r="CW18" i="4"/>
  <c r="CX18" i="4"/>
  <c r="CY18" i="4"/>
  <c r="CZ18" i="4"/>
  <c r="DC18" i="4"/>
  <c r="DD18" i="4"/>
  <c r="DE18" i="4"/>
  <c r="DF18" i="4"/>
  <c r="DI18" i="4"/>
  <c r="CC176" i="4"/>
  <c r="FJ176" i="4" s="1"/>
  <c r="CI176" i="4"/>
  <c r="FK176" i="4" s="1"/>
  <c r="CK176" i="4"/>
  <c r="CQ176" i="4" s="1"/>
  <c r="CW176" i="4" s="1"/>
  <c r="CL176" i="4"/>
  <c r="CR176" i="4" s="1"/>
  <c r="CM176" i="4"/>
  <c r="CS176" i="4" s="1"/>
  <c r="CN176" i="4"/>
  <c r="BK177" i="4"/>
  <c r="FG177" i="4" s="1"/>
  <c r="BQ177" i="4"/>
  <c r="FH177" i="4" s="1"/>
  <c r="BW177" i="4"/>
  <c r="FI177" i="4" s="1"/>
  <c r="CC177" i="4"/>
  <c r="FJ177" i="4" s="1"/>
  <c r="CI177" i="4"/>
  <c r="FK177" i="4" s="1"/>
  <c r="CK177" i="4"/>
  <c r="CQ177" i="4" s="1"/>
  <c r="CW177" i="4" s="1"/>
  <c r="CL177" i="4"/>
  <c r="CR177" i="4" s="1"/>
  <c r="CX177" i="4" s="1"/>
  <c r="CM177" i="4"/>
  <c r="CS177" i="4" s="1"/>
  <c r="CY177" i="4" s="1"/>
  <c r="CN177" i="4"/>
  <c r="BM19" i="4"/>
  <c r="BN172" i="4"/>
  <c r="BO172" i="4"/>
  <c r="BP172" i="4"/>
  <c r="BS19" i="4"/>
  <c r="BU19" i="4"/>
  <c r="BV19" i="4"/>
  <c r="BY19" i="4"/>
  <c r="BZ19" i="4"/>
  <c r="CA19" i="4"/>
  <c r="CG19" i="4"/>
  <c r="CQ19" i="4"/>
  <c r="CR19" i="4"/>
  <c r="CW19" i="4"/>
  <c r="CX19" i="4"/>
  <c r="DC19" i="4"/>
  <c r="DD19" i="4"/>
  <c r="DI19" i="4"/>
  <c r="DJ19" i="4"/>
  <c r="BM20" i="4"/>
  <c r="BN20" i="4"/>
  <c r="BO20" i="4"/>
  <c r="BP20" i="4"/>
  <c r="BS20" i="4"/>
  <c r="BT20" i="4"/>
  <c r="BU20" i="4"/>
  <c r="BV20" i="4"/>
  <c r="BY20" i="4"/>
  <c r="BZ20" i="4"/>
  <c r="CA20" i="4"/>
  <c r="CB20" i="4"/>
  <c r="CE20" i="4"/>
  <c r="CF20" i="4"/>
  <c r="CG20" i="4"/>
  <c r="CH20" i="4"/>
  <c r="CK20" i="4"/>
  <c r="CL20" i="4"/>
  <c r="CM20" i="4"/>
  <c r="CN20" i="4"/>
  <c r="CQ20" i="4"/>
  <c r="CR20" i="4"/>
  <c r="CS20" i="4"/>
  <c r="CT20" i="4"/>
  <c r="CW20" i="4"/>
  <c r="CX20" i="4"/>
  <c r="CY20" i="4"/>
  <c r="CZ20" i="4"/>
  <c r="DC20" i="4"/>
  <c r="DD20" i="4"/>
  <c r="DE20" i="4"/>
  <c r="DF20" i="4"/>
  <c r="DJ20" i="4"/>
  <c r="DO20" i="4"/>
  <c r="DP20" i="4"/>
  <c r="DQ20" i="4"/>
  <c r="H187" i="4"/>
  <c r="N187" i="4"/>
  <c r="T187" i="4"/>
  <c r="Z187" i="4"/>
  <c r="Z188" i="4" s="1"/>
  <c r="AF187" i="4"/>
  <c r="AF188" i="4" s="1"/>
  <c r="AH187" i="4"/>
  <c r="W188" i="4"/>
  <c r="X188" i="4"/>
  <c r="Y188" i="4"/>
  <c r="AA188" i="4"/>
  <c r="AC188" i="4"/>
  <c r="AD188" i="4"/>
  <c r="AE188" i="4"/>
  <c r="E190" i="4"/>
  <c r="H190" i="4" s="1"/>
  <c r="N190" i="4"/>
  <c r="T190" i="4"/>
  <c r="Z190" i="4"/>
  <c r="AF190" i="4"/>
  <c r="AH190" i="4"/>
  <c r="F193" i="4"/>
  <c r="G193" i="4"/>
  <c r="K193" i="4"/>
  <c r="L193" i="4"/>
  <c r="M193" i="4"/>
  <c r="Q193" i="4"/>
  <c r="R193" i="4"/>
  <c r="S193" i="4"/>
  <c r="T193" i="4"/>
  <c r="W193" i="4"/>
  <c r="X193" i="4"/>
  <c r="Y193" i="4"/>
  <c r="Z193" i="4"/>
  <c r="AC193" i="4"/>
  <c r="AD193" i="4"/>
  <c r="AE193" i="4"/>
  <c r="AF193" i="4"/>
  <c r="AI193" i="4"/>
  <c r="AJ193" i="4"/>
  <c r="AK193" i="4"/>
  <c r="AL193" i="4"/>
  <c r="AO193" i="4"/>
  <c r="AP193" i="4"/>
  <c r="AQ193" i="4"/>
  <c r="AR193" i="4"/>
  <c r="AU193" i="4"/>
  <c r="AV193" i="4"/>
  <c r="AW193" i="4"/>
  <c r="AX193" i="4"/>
  <c r="BA193" i="4"/>
  <c r="BB193" i="4"/>
  <c r="BC193" i="4"/>
  <c r="BD193" i="4"/>
  <c r="BM30" i="4"/>
  <c r="BN30" i="4"/>
  <c r="BO30" i="4"/>
  <c r="BP30" i="4"/>
  <c r="BS30" i="4"/>
  <c r="BT30" i="4"/>
  <c r="BU30" i="4"/>
  <c r="BV30" i="4"/>
  <c r="BY30" i="4"/>
  <c r="BZ30" i="4"/>
  <c r="CA30" i="4"/>
  <c r="CB30" i="4"/>
  <c r="CE30" i="4"/>
  <c r="CF30" i="4"/>
  <c r="CG30" i="4"/>
  <c r="CH30" i="4"/>
  <c r="CK30" i="4"/>
  <c r="CL30" i="4"/>
  <c r="CM30" i="4"/>
  <c r="CN30" i="4"/>
  <c r="CQ30" i="4"/>
  <c r="CR30" i="4"/>
  <c r="CS30" i="4"/>
  <c r="CT30" i="4"/>
  <c r="CW30" i="4"/>
  <c r="CX30" i="4"/>
  <c r="CY30" i="4"/>
  <c r="CZ30" i="4"/>
  <c r="DC30" i="4"/>
  <c r="DD30" i="4"/>
  <c r="DE30" i="4"/>
  <c r="DF30" i="4"/>
  <c r="DI30" i="4"/>
  <c r="DJ30" i="4"/>
  <c r="BM38" i="4"/>
  <c r="BN38" i="4"/>
  <c r="BO38" i="4"/>
  <c r="BP38" i="4"/>
  <c r="BS38" i="4"/>
  <c r="BT38" i="4"/>
  <c r="BU38" i="4"/>
  <c r="BV38" i="4"/>
  <c r="BY38" i="4"/>
  <c r="BZ38" i="4"/>
  <c r="CA38" i="4"/>
  <c r="CB38" i="4"/>
  <c r="CE38" i="4"/>
  <c r="CF38" i="4"/>
  <c r="CG38" i="4"/>
  <c r="CH38" i="4"/>
  <c r="CK38" i="4"/>
  <c r="CL38" i="4"/>
  <c r="CM38" i="4"/>
  <c r="CN38" i="4"/>
  <c r="CQ38" i="4"/>
  <c r="CR38" i="4"/>
  <c r="CS38" i="4"/>
  <c r="CT38" i="4"/>
  <c r="CW38" i="4"/>
  <c r="CX38" i="4"/>
  <c r="CY38" i="4"/>
  <c r="CZ38" i="4"/>
  <c r="DC38" i="4"/>
  <c r="DD38" i="4"/>
  <c r="DE38" i="4"/>
  <c r="DF38" i="4"/>
  <c r="DI38" i="4"/>
  <c r="DJ38" i="4"/>
  <c r="CI201" i="4"/>
  <c r="FK201" i="4" s="1"/>
  <c r="CK41" i="4"/>
  <c r="CL41" i="4"/>
  <c r="CM41" i="4"/>
  <c r="CN41" i="4"/>
  <c r="CQ41" i="4"/>
  <c r="CR41" i="4"/>
  <c r="CS41" i="4"/>
  <c r="CT41" i="4"/>
  <c r="CW41" i="4"/>
  <c r="CX41" i="4"/>
  <c r="CY41" i="4"/>
  <c r="CZ41" i="4"/>
  <c r="DI41" i="4"/>
  <c r="DJ41" i="4"/>
  <c r="DJ50" i="4"/>
  <c r="BM52" i="4"/>
  <c r="BN52" i="4"/>
  <c r="BO52" i="4"/>
  <c r="BP52" i="4"/>
  <c r="AS215" i="4"/>
  <c r="AY215" i="4"/>
  <c r="O216" i="4"/>
  <c r="U216" i="4"/>
  <c r="AA216" i="4"/>
  <c r="AG216" i="4"/>
  <c r="AS216" i="4"/>
  <c r="AY216" i="4"/>
  <c r="AA217" i="4"/>
  <c r="AF217" i="4"/>
  <c r="AG217" i="4" s="1"/>
  <c r="H283" i="4"/>
  <c r="K283" i="4"/>
  <c r="L283" i="4"/>
  <c r="M283" i="4"/>
  <c r="N283" i="4"/>
  <c r="AX283" i="4"/>
  <c r="BC288" i="4"/>
  <c r="H284" i="4"/>
  <c r="K284" i="4"/>
  <c r="L284" i="4"/>
  <c r="M284" i="4"/>
  <c r="N284" i="4"/>
  <c r="AX284" i="4"/>
  <c r="H285" i="4"/>
  <c r="N285" i="4"/>
  <c r="AX285" i="4"/>
  <c r="H288" i="4"/>
  <c r="K288" i="4"/>
  <c r="L288" i="4"/>
  <c r="N288" i="4"/>
  <c r="Q288" i="4"/>
  <c r="R288" i="4"/>
  <c r="S288" i="4"/>
  <c r="T288" i="4"/>
  <c r="W288" i="4"/>
  <c r="X288" i="4"/>
  <c r="Y288" i="4"/>
  <c r="Z288" i="4"/>
  <c r="AC288" i="4"/>
  <c r="AD288" i="4"/>
  <c r="AE288" i="4"/>
  <c r="AF288" i="4"/>
  <c r="AI288" i="4"/>
  <c r="AJ288" i="4"/>
  <c r="AK288" i="4"/>
  <c r="AL288" i="4"/>
  <c r="AO288" i="4"/>
  <c r="AP288" i="4"/>
  <c r="AQ288" i="4"/>
  <c r="AR288" i="4"/>
  <c r="AU288" i="4"/>
  <c r="AV288" i="4"/>
  <c r="AW288" i="4"/>
  <c r="AX288" i="4"/>
  <c r="T290" i="4"/>
  <c r="Z290" i="4"/>
  <c r="AF290" i="4"/>
  <c r="AL290" i="4"/>
  <c r="AR290" i="4"/>
  <c r="AX290" i="4"/>
  <c r="DI362" i="4"/>
  <c r="DJ362" i="4"/>
  <c r="DI365" i="4"/>
  <c r="DJ365" i="4"/>
  <c r="DI368" i="4"/>
  <c r="DJ368" i="4"/>
  <c r="DI374" i="4"/>
  <c r="DJ374" i="4"/>
  <c r="DI377" i="4"/>
  <c r="FO223" i="4"/>
  <c r="FP223" i="4"/>
  <c r="FQ223" i="4"/>
  <c r="FR223" i="4"/>
  <c r="BD38" i="4"/>
  <c r="DI371" i="4" l="1"/>
  <c r="DE177" i="4"/>
  <c r="DD177" i="4"/>
  <c r="DC177" i="4"/>
  <c r="DJ371" i="4"/>
  <c r="DC371" i="4"/>
  <c r="DD371" i="4"/>
  <c r="DE371" i="4"/>
  <c r="DF371" i="4"/>
  <c r="CW371" i="4"/>
  <c r="CX371" i="4"/>
  <c r="CY371" i="4"/>
  <c r="CZ371" i="4"/>
  <c r="AY82" i="9"/>
  <c r="DG37" i="9"/>
  <c r="CY148" i="4"/>
  <c r="CY150" i="4" s="1"/>
  <c r="CY37" i="9"/>
  <c r="CU37" i="9"/>
  <c r="CG134" i="9"/>
  <c r="CH134" i="9"/>
  <c r="CR134" i="9"/>
  <c r="BY134" i="9"/>
  <c r="CK134" i="9"/>
  <c r="CW134" i="9"/>
  <c r="CF134" i="9"/>
  <c r="BZ134" i="9"/>
  <c r="CL134" i="9"/>
  <c r="CX134" i="9"/>
  <c r="CA134" i="9"/>
  <c r="CY134" i="9"/>
  <c r="CQ134" i="9"/>
  <c r="DC134" i="9"/>
  <c r="CB134" i="9"/>
  <c r="CN134" i="9"/>
  <c r="CZ134" i="9"/>
  <c r="CL133" i="9"/>
  <c r="CX133" i="9"/>
  <c r="CE134" i="9"/>
  <c r="CM133" i="9"/>
  <c r="CY133" i="9"/>
  <c r="CN133" i="9"/>
  <c r="CZ133" i="9"/>
  <c r="CS134" i="9"/>
  <c r="CE133" i="9"/>
  <c r="CQ133" i="9"/>
  <c r="CT134" i="9"/>
  <c r="CF133" i="9"/>
  <c r="CR133" i="9"/>
  <c r="CG133" i="9"/>
  <c r="CS133" i="9"/>
  <c r="CH133" i="9"/>
  <c r="CT133" i="9"/>
  <c r="CM134" i="9"/>
  <c r="CK133" i="9"/>
  <c r="CW133" i="9"/>
  <c r="AV47" i="9"/>
  <c r="I93" i="5"/>
  <c r="I240" i="5" s="1"/>
  <c r="DS332" i="4"/>
  <c r="FQ332" i="4" s="1"/>
  <c r="DO377" i="4"/>
  <c r="DS341" i="4"/>
  <c r="FQ341" i="4" s="1"/>
  <c r="DS330" i="4"/>
  <c r="FQ330" i="4" s="1"/>
  <c r="DS312" i="4"/>
  <c r="FQ312" i="4" s="1"/>
  <c r="DS343" i="4"/>
  <c r="FQ343" i="4" s="1"/>
  <c r="DS309" i="4"/>
  <c r="FQ309" i="4" s="1"/>
  <c r="DS315" i="4"/>
  <c r="FQ315" i="4" s="1"/>
  <c r="DS329" i="4"/>
  <c r="FQ329" i="4" s="1"/>
  <c r="DS339" i="4"/>
  <c r="FQ339" i="4" s="1"/>
  <c r="DO365" i="4"/>
  <c r="DS311" i="4"/>
  <c r="FQ311" i="4" s="1"/>
  <c r="DS346" i="4"/>
  <c r="FQ346" i="4" s="1"/>
  <c r="DS333" i="4"/>
  <c r="FQ333" i="4" s="1"/>
  <c r="DS331" i="4"/>
  <c r="FQ331" i="4" s="1"/>
  <c r="DS340" i="4"/>
  <c r="FQ340" i="4" s="1"/>
  <c r="DS20" i="4"/>
  <c r="BH20" i="4"/>
  <c r="BJ18" i="4"/>
  <c r="BH38" i="4"/>
  <c r="BJ30" i="4"/>
  <c r="BG20" i="4"/>
  <c r="BI19" i="4"/>
  <c r="BI18" i="4"/>
  <c r="BH11" i="4"/>
  <c r="BH288" i="4" s="1"/>
  <c r="BI50" i="4"/>
  <c r="BG38" i="4"/>
  <c r="BJ20" i="4"/>
  <c r="BH172" i="4"/>
  <c r="BH162" i="4"/>
  <c r="BG70" i="4"/>
  <c r="BJ50" i="4"/>
  <c r="BI38" i="4"/>
  <c r="BG30" i="4"/>
  <c r="BI30" i="4"/>
  <c r="BJ38" i="4"/>
  <c r="BH30" i="4"/>
  <c r="BI20" i="4"/>
  <c r="BG172" i="4"/>
  <c r="BG162" i="4"/>
  <c r="BJ11" i="4"/>
  <c r="BG52" i="4"/>
  <c r="BJ19" i="4"/>
  <c r="BI11" i="4"/>
  <c r="BI290" i="4" s="1"/>
  <c r="BH50" i="4"/>
  <c r="DE127" i="9"/>
  <c r="DE129" i="9" s="1"/>
  <c r="DC116" i="9"/>
  <c r="DC118" i="9" s="1"/>
  <c r="DD134" i="9"/>
  <c r="BU55" i="9"/>
  <c r="AK120" i="9"/>
  <c r="BC120" i="9"/>
  <c r="BU120" i="9"/>
  <c r="DE133" i="9"/>
  <c r="BV55" i="9"/>
  <c r="DF134" i="9"/>
  <c r="AL120" i="9"/>
  <c r="BD120" i="9"/>
  <c r="BV120" i="9"/>
  <c r="DF133" i="9"/>
  <c r="BG13" i="9"/>
  <c r="BY142" i="4"/>
  <c r="CQ142" i="4"/>
  <c r="AO120" i="9"/>
  <c r="BG120" i="9"/>
  <c r="BY120" i="9"/>
  <c r="BH18" i="9"/>
  <c r="CA55" i="9"/>
  <c r="AQ120" i="9"/>
  <c r="BI120" i="9"/>
  <c r="CA120" i="9"/>
  <c r="DD133" i="9"/>
  <c r="BJ120" i="9"/>
  <c r="BN55" i="9"/>
  <c r="CF142" i="4"/>
  <c r="CX142" i="4"/>
  <c r="AV120" i="9"/>
  <c r="BN120" i="9"/>
  <c r="BB120" i="9"/>
  <c r="DE134" i="9"/>
  <c r="BH120" i="9"/>
  <c r="BM55" i="9"/>
  <c r="BO142" i="4"/>
  <c r="CG142" i="4"/>
  <c r="CY142" i="4"/>
  <c r="AW120" i="9"/>
  <c r="BO120" i="9"/>
  <c r="BT142" i="4"/>
  <c r="AP120" i="9"/>
  <c r="AU120" i="9"/>
  <c r="BM120" i="9"/>
  <c r="BP142" i="4"/>
  <c r="CH55" i="9"/>
  <c r="CH54" i="9" s="1"/>
  <c r="AX120" i="9"/>
  <c r="BP120" i="9"/>
  <c r="CL142" i="4"/>
  <c r="AJ120" i="9"/>
  <c r="BT120" i="9"/>
  <c r="BZ55" i="9"/>
  <c r="BZ120" i="9"/>
  <c r="AR120" i="9"/>
  <c r="CB120" i="9"/>
  <c r="CK55" i="9"/>
  <c r="AI120" i="9"/>
  <c r="BA120" i="9"/>
  <c r="BS120" i="9"/>
  <c r="DC133" i="9"/>
  <c r="AX52" i="9"/>
  <c r="AX92" i="9" s="1"/>
  <c r="DJ187" i="4"/>
  <c r="AX49" i="9"/>
  <c r="W50" i="9"/>
  <c r="W90" i="9" s="1"/>
  <c r="AC52" i="9"/>
  <c r="AC92" i="9" s="1"/>
  <c r="BA51" i="9"/>
  <c r="BA91" i="9" s="1"/>
  <c r="Q113" i="5"/>
  <c r="AR52" i="9"/>
  <c r="AR92" i="9" s="1"/>
  <c r="Q51" i="9"/>
  <c r="Q91" i="9" s="1"/>
  <c r="X50" i="9"/>
  <c r="X90" i="9" s="1"/>
  <c r="AD50" i="9"/>
  <c r="AD90" i="9" s="1"/>
  <c r="AJ49" i="9"/>
  <c r="AJ89" i="9" s="1"/>
  <c r="AL50" i="9"/>
  <c r="AL90" i="9" s="1"/>
  <c r="DI187" i="4"/>
  <c r="DI191" i="4" s="1"/>
  <c r="AE49" i="9"/>
  <c r="AE89" i="9" s="1"/>
  <c r="AK52" i="9"/>
  <c r="AK92" i="9" s="1"/>
  <c r="AQ51" i="9"/>
  <c r="AQ91" i="9" s="1"/>
  <c r="CF120" i="9"/>
  <c r="CX120" i="9"/>
  <c r="CG120" i="9"/>
  <c r="CY120" i="9"/>
  <c r="CH120" i="9"/>
  <c r="CZ120" i="9"/>
  <c r="CK120" i="9"/>
  <c r="DC120" i="9"/>
  <c r="CL120" i="9"/>
  <c r="DD120" i="9"/>
  <c r="CM120" i="9"/>
  <c r="DE120" i="9"/>
  <c r="CN120" i="9"/>
  <c r="DF120" i="9"/>
  <c r="CQ120" i="9"/>
  <c r="CR120" i="9"/>
  <c r="CS120" i="9"/>
  <c r="CT120" i="9"/>
  <c r="CE120" i="9"/>
  <c r="CW120" i="9"/>
  <c r="AF39" i="9"/>
  <c r="CL122" i="4"/>
  <c r="AV49" i="9"/>
  <c r="AV89" i="9" s="1"/>
  <c r="DF41" i="4"/>
  <c r="J239" i="5"/>
  <c r="J303" i="5"/>
  <c r="DJ283" i="4"/>
  <c r="DK319" i="4"/>
  <c r="DD41" i="4"/>
  <c r="DP41" i="4"/>
  <c r="DJ284" i="4"/>
  <c r="DK320" i="4"/>
  <c r="DC41" i="4"/>
  <c r="DE41" i="4"/>
  <c r="AF51" i="9"/>
  <c r="AF91" i="9" s="1"/>
  <c r="BO148" i="4"/>
  <c r="BO150" i="4" s="1"/>
  <c r="BO149" i="4" s="1"/>
  <c r="AO51" i="9"/>
  <c r="AO91" i="9" s="1"/>
  <c r="CK142" i="4"/>
  <c r="CK129" i="4"/>
  <c r="CK130" i="4" s="1"/>
  <c r="AJ39" i="9"/>
  <c r="BB39" i="9"/>
  <c r="CE37" i="9"/>
  <c r="CF37" i="9"/>
  <c r="CK37" i="9"/>
  <c r="AE51" i="9"/>
  <c r="AE91" i="9" s="1"/>
  <c r="CM37" i="9"/>
  <c r="Z50" i="9"/>
  <c r="Z90" i="9" s="1"/>
  <c r="AE50" i="9"/>
  <c r="AE90" i="9" s="1"/>
  <c r="AF50" i="9"/>
  <c r="AF90" i="9" s="1"/>
  <c r="AO50" i="9"/>
  <c r="AO90" i="9" s="1"/>
  <c r="AF52" i="9"/>
  <c r="AF92" i="9" s="1"/>
  <c r="DF129" i="4"/>
  <c r="DF130" i="4" s="1"/>
  <c r="AU51" i="9"/>
  <c r="AU91" i="9" s="1"/>
  <c r="AD52" i="9"/>
  <c r="AD92" i="9" s="1"/>
  <c r="AC49" i="9"/>
  <c r="AC89" i="9" s="1"/>
  <c r="AR50" i="9"/>
  <c r="AR90" i="9" s="1"/>
  <c r="AO52" i="9"/>
  <c r="AO92" i="9" s="1"/>
  <c r="FB74" i="9"/>
  <c r="EV18" i="9"/>
  <c r="AD49" i="9"/>
  <c r="AD89" i="9" s="1"/>
  <c r="AV50" i="9"/>
  <c r="AV90" i="9" s="1"/>
  <c r="AV51" i="9"/>
  <c r="AV91" i="9" s="1"/>
  <c r="AM19" i="9"/>
  <c r="AV15" i="9"/>
  <c r="AF49" i="9"/>
  <c r="AF89" i="9" s="1"/>
  <c r="AV52" i="9"/>
  <c r="AV92" i="9" s="1"/>
  <c r="BU142" i="4"/>
  <c r="CR129" i="4"/>
  <c r="CR130" i="4" s="1"/>
  <c r="AX51" i="9"/>
  <c r="AX91" i="9" s="1"/>
  <c r="CH142" i="4"/>
  <c r="AR49" i="9"/>
  <c r="AR89" i="9" s="1"/>
  <c r="Z51" i="9"/>
  <c r="Z91" i="9" s="1"/>
  <c r="DF47" i="9"/>
  <c r="DF48" i="9" s="1"/>
  <c r="DF61" i="9" s="1"/>
  <c r="DI13" i="9"/>
  <c r="DL18" i="9"/>
  <c r="DF89" i="4"/>
  <c r="DF115" i="4" s="1"/>
  <c r="DI14" i="9"/>
  <c r="R51" i="9"/>
  <c r="R91" i="9" s="1"/>
  <c r="ER10" i="9"/>
  <c r="AI52" i="9"/>
  <c r="AI92" i="9" s="1"/>
  <c r="BA49" i="9"/>
  <c r="EU19" i="9"/>
  <c r="BB49" i="9"/>
  <c r="DD81" i="4"/>
  <c r="BC49" i="9"/>
  <c r="CW129" i="4"/>
  <c r="CW130" i="4" s="1"/>
  <c r="BA50" i="9"/>
  <c r="BA90" i="9" s="1"/>
  <c r="BB52" i="9"/>
  <c r="BB92" i="9" s="1"/>
  <c r="M50" i="9"/>
  <c r="M90" i="9" s="1"/>
  <c r="BB50" i="9"/>
  <c r="BC52" i="9"/>
  <c r="BC92" i="9" s="1"/>
  <c r="Q50" i="9"/>
  <c r="Q90" i="9" s="1"/>
  <c r="BC50" i="9"/>
  <c r="BB51" i="9"/>
  <c r="BB91" i="9" s="1"/>
  <c r="DI18" i="9"/>
  <c r="DC89" i="4"/>
  <c r="DI19" i="9"/>
  <c r="R50" i="9"/>
  <c r="R90" i="9" s="1"/>
  <c r="BC51" i="9"/>
  <c r="BC91" i="9" s="1"/>
  <c r="DJ18" i="9"/>
  <c r="DD89" i="4"/>
  <c r="DD115" i="4" s="1"/>
  <c r="DJ19" i="9"/>
  <c r="M51" i="9"/>
  <c r="M91" i="9" s="1"/>
  <c r="R52" i="9"/>
  <c r="R92" i="9" s="1"/>
  <c r="DF81" i="4"/>
  <c r="DE47" i="9"/>
  <c r="DE48" i="9" s="1"/>
  <c r="DE61" i="9" s="1"/>
  <c r="DK18" i="9"/>
  <c r="DE19" i="9"/>
  <c r="DE89" i="4"/>
  <c r="DE115" i="4" s="1"/>
  <c r="DK19" i="9"/>
  <c r="AK49" i="9"/>
  <c r="AK89" i="9" s="1"/>
  <c r="Y50" i="9"/>
  <c r="Y90" i="9" s="1"/>
  <c r="DF19" i="4"/>
  <c r="DE19" i="4"/>
  <c r="CY19" i="4"/>
  <c r="CZ19" i="4"/>
  <c r="CT19" i="4"/>
  <c r="CS19" i="4"/>
  <c r="CN19" i="4"/>
  <c r="CM19" i="4"/>
  <c r="CL19" i="4"/>
  <c r="CK19" i="4"/>
  <c r="CK174" i="4"/>
  <c r="G105" i="5"/>
  <c r="O93" i="5"/>
  <c r="O240" i="5" s="1"/>
  <c r="M93" i="5"/>
  <c r="M240" i="5" s="1"/>
  <c r="J93" i="5"/>
  <c r="J240" i="5" s="1"/>
  <c r="CH129" i="4"/>
  <c r="CH130" i="4" s="1"/>
  <c r="L93" i="5"/>
  <c r="L240" i="5" s="1"/>
  <c r="CK148" i="4"/>
  <c r="CK150" i="4" s="1"/>
  <c r="CT129" i="4"/>
  <c r="CT130" i="4" s="1"/>
  <c r="CE148" i="4"/>
  <c r="CE150" i="4" s="1"/>
  <c r="CE149" i="4" s="1"/>
  <c r="DE129" i="4"/>
  <c r="DE130" i="4" s="1"/>
  <c r="DE288" i="4"/>
  <c r="BV148" i="4"/>
  <c r="BV150" i="4" s="1"/>
  <c r="CS13" i="9"/>
  <c r="DF142" i="4"/>
  <c r="CO241" i="4"/>
  <c r="FL241" i="4" s="1"/>
  <c r="CN283" i="4"/>
  <c r="CC241" i="4"/>
  <c r="FJ241" i="4" s="1"/>
  <c r="J87" i="5" s="1"/>
  <c r="J238" i="5" s="1"/>
  <c r="CB283" i="4"/>
  <c r="BK241" i="4"/>
  <c r="FG241" i="4" s="1"/>
  <c r="G87" i="5" s="1"/>
  <c r="G238" i="5" s="1"/>
  <c r="BJ283" i="4"/>
  <c r="DG241" i="4"/>
  <c r="FO241" i="4" s="1"/>
  <c r="FO244" i="4" s="1"/>
  <c r="O90" i="5" s="1"/>
  <c r="DF283" i="4"/>
  <c r="CU241" i="4"/>
  <c r="FM241" i="4" s="1"/>
  <c r="CT283" i="4"/>
  <c r="CU283" i="4" s="1"/>
  <c r="FM283" i="4" s="1"/>
  <c r="CI241" i="4"/>
  <c r="FK241" i="4" s="1"/>
  <c r="K87" i="5" s="1"/>
  <c r="K238" i="5" s="1"/>
  <c r="CH283" i="4"/>
  <c r="BQ241" i="4"/>
  <c r="FH241" i="4" s="1"/>
  <c r="H87" i="5" s="1"/>
  <c r="H238" i="5" s="1"/>
  <c r="BP283" i="4"/>
  <c r="DA241" i="4"/>
  <c r="FN241" i="4" s="1"/>
  <c r="CZ283" i="4"/>
  <c r="DA283" i="4" s="1"/>
  <c r="FN283" i="4" s="1"/>
  <c r="BG319" i="4"/>
  <c r="BG322" i="4" s="1"/>
  <c r="BG283" i="4"/>
  <c r="BW241" i="4"/>
  <c r="FI241" i="4" s="1"/>
  <c r="I87" i="5" s="1"/>
  <c r="BV283" i="4"/>
  <c r="H114" i="5"/>
  <c r="J114" i="5"/>
  <c r="T18" i="9"/>
  <c r="Z52" i="9"/>
  <c r="Z92" i="9" s="1"/>
  <c r="BV18" i="9"/>
  <c r="AR15" i="9"/>
  <c r="AX39" i="9"/>
  <c r="CR18" i="9"/>
  <c r="BY19" i="9"/>
  <c r="BW78" i="9"/>
  <c r="FC78" i="9" s="1"/>
  <c r="K102" i="5"/>
  <c r="K122" i="5"/>
  <c r="R15" i="9"/>
  <c r="AI15" i="9"/>
  <c r="BA15" i="9"/>
  <c r="CB19" i="9"/>
  <c r="S20" i="9"/>
  <c r="L15" i="9"/>
  <c r="CX18" i="9"/>
  <c r="AP51" i="9"/>
  <c r="AP91" i="9" s="1"/>
  <c r="BN19" i="9"/>
  <c r="AL20" i="9"/>
  <c r="BD20" i="9"/>
  <c r="AP52" i="9"/>
  <c r="AP92" i="9" s="1"/>
  <c r="EW9" i="9"/>
  <c r="AO15" i="9"/>
  <c r="AF20" i="9"/>
  <c r="AA77" i="9"/>
  <c r="AA82" i="9" s="1"/>
  <c r="FJ77" i="9"/>
  <c r="BS18" i="9"/>
  <c r="Y20" i="9"/>
  <c r="BU13" i="9"/>
  <c r="S39" i="9"/>
  <c r="AY19" i="9"/>
  <c r="AO39" i="9"/>
  <c r="X51" i="9"/>
  <c r="X91" i="9" s="1"/>
  <c r="O20" i="9"/>
  <c r="AF15" i="9"/>
  <c r="AW15" i="9"/>
  <c r="EV9" i="9"/>
  <c r="EV19" i="9" s="1"/>
  <c r="Z15" i="9"/>
  <c r="Y39" i="9"/>
  <c r="BD49" i="9"/>
  <c r="BD50" i="9"/>
  <c r="BD90" i="9" s="1"/>
  <c r="AS18" i="9"/>
  <c r="U20" i="9"/>
  <c r="AK15" i="9"/>
  <c r="AO20" i="9"/>
  <c r="AR39" i="9"/>
  <c r="Z39" i="9"/>
  <c r="AL49" i="9"/>
  <c r="AL89" i="9" s="1"/>
  <c r="BD51" i="9"/>
  <c r="BD91" i="9" s="1"/>
  <c r="FJ79" i="9"/>
  <c r="DC14" i="9"/>
  <c r="EY9" i="9"/>
  <c r="EY19" i="9" s="1"/>
  <c r="BB20" i="9"/>
  <c r="AJ15" i="9"/>
  <c r="AP49" i="9"/>
  <c r="AP89" i="9" s="1"/>
  <c r="AI51" i="9"/>
  <c r="AI91" i="9" s="1"/>
  <c r="AW52" i="9"/>
  <c r="AW92" i="9" s="1"/>
  <c r="CL19" i="9"/>
  <c r="Y15" i="9"/>
  <c r="EU10" i="9"/>
  <c r="AQ49" i="9"/>
  <c r="AQ89" i="9" s="1"/>
  <c r="AI50" i="9"/>
  <c r="AI90" i="9" s="1"/>
  <c r="M52" i="9"/>
  <c r="M92" i="9" s="1"/>
  <c r="BE19" i="9"/>
  <c r="AQ39" i="9"/>
  <c r="L39" i="9"/>
  <c r="Y89" i="9"/>
  <c r="AU49" i="9"/>
  <c r="AU89" i="9" s="1"/>
  <c r="AP50" i="9"/>
  <c r="AP90" i="9" s="1"/>
  <c r="Y52" i="9"/>
  <c r="Y92" i="9" s="1"/>
  <c r="AI39" i="9"/>
  <c r="BD52" i="9"/>
  <c r="BD92" i="9" s="1"/>
  <c r="DG74" i="9"/>
  <c r="CC78" i="9"/>
  <c r="FD78" i="9" s="1"/>
  <c r="BJ13" i="9"/>
  <c r="CB18" i="9"/>
  <c r="ES18" i="9"/>
  <c r="AC20" i="9"/>
  <c r="AU39" i="9"/>
  <c r="BV19" i="9"/>
  <c r="AW49" i="9"/>
  <c r="CI77" i="9"/>
  <c r="FE77" i="9" s="1"/>
  <c r="BO19" i="9"/>
  <c r="CS19" i="9"/>
  <c r="AJ20" i="9"/>
  <c r="AW50" i="9"/>
  <c r="AW90" i="9" s="1"/>
  <c r="AW51" i="9"/>
  <c r="AW91" i="9" s="1"/>
  <c r="CM82" i="9"/>
  <c r="BO18" i="9"/>
  <c r="CG10" i="9"/>
  <c r="CY18" i="9"/>
  <c r="BM14" i="9"/>
  <c r="BU18" i="9"/>
  <c r="AA37" i="9"/>
  <c r="AI49" i="9"/>
  <c r="AI89" i="9" s="1"/>
  <c r="Y51" i="9"/>
  <c r="Y91" i="9" s="1"/>
  <c r="BY82" i="9"/>
  <c r="AM76" i="9"/>
  <c r="AM82" i="9" s="1"/>
  <c r="CO77" i="9"/>
  <c r="FF77" i="9" s="1"/>
  <c r="CI78" i="9"/>
  <c r="FE78" i="9" s="1"/>
  <c r="BW79" i="9"/>
  <c r="FC79" i="9" s="1"/>
  <c r="FJ46" i="9"/>
  <c r="AS82" i="9"/>
  <c r="FB76" i="9"/>
  <c r="O84" i="5"/>
  <c r="O123" i="5"/>
  <c r="I84" i="5"/>
  <c r="I123" i="5"/>
  <c r="M84" i="5"/>
  <c r="M123" i="5"/>
  <c r="N93" i="5"/>
  <c r="N240" i="5" s="1"/>
  <c r="K93" i="5"/>
  <c r="K240" i="5" s="1"/>
  <c r="I105" i="5"/>
  <c r="H93" i="5"/>
  <c r="H240" i="5" s="1"/>
  <c r="BQ191" i="4"/>
  <c r="CW142" i="4"/>
  <c r="CT13" i="9"/>
  <c r="CQ19" i="9"/>
  <c r="BV10" i="9"/>
  <c r="BV39" i="9" s="1"/>
  <c r="BN18" i="9"/>
  <c r="DA74" i="9"/>
  <c r="CI79" i="9"/>
  <c r="FE79" i="9" s="1"/>
  <c r="DA79" i="9"/>
  <c r="FH79" i="9" s="1"/>
  <c r="CY10" i="9"/>
  <c r="BH19" i="9"/>
  <c r="CQ18" i="9"/>
  <c r="BI19" i="9"/>
  <c r="BU82" i="9"/>
  <c r="CF14" i="9"/>
  <c r="BV82" i="9"/>
  <c r="CT14" i="9"/>
  <c r="CO76" i="9"/>
  <c r="DE82" i="9"/>
  <c r="CR10" i="9"/>
  <c r="H105" i="5"/>
  <c r="BP14" i="9"/>
  <c r="CR19" i="9"/>
  <c r="CZ14" i="9"/>
  <c r="CQ82" i="9"/>
  <c r="DG76" i="9"/>
  <c r="CO78" i="9"/>
  <c r="FF78" i="9" s="1"/>
  <c r="DG78" i="9"/>
  <c r="FI78" i="9" s="1"/>
  <c r="CK82" i="9"/>
  <c r="CN18" i="9"/>
  <c r="CI9" i="9"/>
  <c r="CO8" i="9"/>
  <c r="CY19" i="9"/>
  <c r="BP37" i="9"/>
  <c r="CX82" i="9"/>
  <c r="CY82" i="9"/>
  <c r="BV14" i="9"/>
  <c r="CL14" i="9"/>
  <c r="CZ19" i="9"/>
  <c r="BV13" i="9"/>
  <c r="BH10" i="9"/>
  <c r="BH39" i="9" s="1"/>
  <c r="BG18" i="9"/>
  <c r="CG82" i="9"/>
  <c r="BW77" i="9"/>
  <c r="FC77" i="9" s="1"/>
  <c r="BK8" i="9"/>
  <c r="FA8" i="9" s="1"/>
  <c r="FA18" i="9" s="1"/>
  <c r="CN19" i="9"/>
  <c r="BO10" i="9"/>
  <c r="BO9" i="4" s="1"/>
  <c r="DF13" i="9"/>
  <c r="CT208" i="4"/>
  <c r="DJ61" i="4"/>
  <c r="BT208" i="4"/>
  <c r="CZ61" i="4"/>
  <c r="CE61" i="4"/>
  <c r="BU61" i="4"/>
  <c r="CF61" i="4"/>
  <c r="CQ61" i="4"/>
  <c r="CG61" i="4"/>
  <c r="CR61" i="4"/>
  <c r="CH61" i="4"/>
  <c r="BM61" i="4"/>
  <c r="DC61" i="4"/>
  <c r="CS61" i="4"/>
  <c r="BN61" i="4"/>
  <c r="DD61" i="4"/>
  <c r="CT61" i="4"/>
  <c r="BY61" i="4"/>
  <c r="BO61" i="4"/>
  <c r="BV208" i="4"/>
  <c r="DE61" i="4"/>
  <c r="BZ61" i="4"/>
  <c r="BP61" i="4"/>
  <c r="DF61" i="4"/>
  <c r="CK61" i="4"/>
  <c r="CA61" i="4"/>
  <c r="CL61" i="4"/>
  <c r="CB61" i="4"/>
  <c r="DE208" i="4"/>
  <c r="CW61" i="4"/>
  <c r="CM61" i="4"/>
  <c r="CX61" i="4"/>
  <c r="CN61" i="4"/>
  <c r="BS61" i="4"/>
  <c r="DI61" i="4"/>
  <c r="CY61" i="4"/>
  <c r="BT61" i="4"/>
  <c r="BK206" i="4"/>
  <c r="FG206" i="4" s="1"/>
  <c r="BY208" i="4"/>
  <c r="DF208" i="4"/>
  <c r="CT52" i="4"/>
  <c r="CT51" i="4" s="1"/>
  <c r="BG50" i="4"/>
  <c r="BH208" i="4"/>
  <c r="CF208" i="4"/>
  <c r="CX208" i="4"/>
  <c r="BI208" i="4"/>
  <c r="CG208" i="4"/>
  <c r="BJ208" i="4"/>
  <c r="CH208" i="4"/>
  <c r="BW206" i="4"/>
  <c r="FI206" i="4" s="1"/>
  <c r="DG206" i="4"/>
  <c r="FO206" i="4" s="1"/>
  <c r="CS208" i="4"/>
  <c r="BY52" i="4"/>
  <c r="BY51" i="4" s="1"/>
  <c r="DA206" i="4"/>
  <c r="FN206" i="4" s="1"/>
  <c r="DF52" i="4"/>
  <c r="DF51" i="4" s="1"/>
  <c r="BZ208" i="4"/>
  <c r="DE52" i="4"/>
  <c r="DE51" i="4" s="1"/>
  <c r="CH52" i="4"/>
  <c r="CH51" i="4" s="1"/>
  <c r="CA208" i="4"/>
  <c r="CR208" i="4"/>
  <c r="CY208" i="4"/>
  <c r="CU206" i="4"/>
  <c r="FM206" i="4" s="1"/>
  <c r="CG52" i="4"/>
  <c r="CG51" i="4" s="1"/>
  <c r="CB208" i="4"/>
  <c r="CO206" i="4"/>
  <c r="FL206" i="4" s="1"/>
  <c r="CZ208" i="4"/>
  <c r="BS208" i="4"/>
  <c r="CK208" i="4"/>
  <c r="DD208" i="4"/>
  <c r="BJ52" i="4"/>
  <c r="BU208" i="4"/>
  <c r="CM208" i="4"/>
  <c r="BI52" i="4"/>
  <c r="CN208" i="4"/>
  <c r="BG208" i="4"/>
  <c r="CE208" i="4"/>
  <c r="CQ208" i="4"/>
  <c r="DG207" i="4"/>
  <c r="FO207" i="4" s="1"/>
  <c r="DC208" i="4"/>
  <c r="DA207" i="4"/>
  <c r="FN207" i="4" s="1"/>
  <c r="CW208" i="4"/>
  <c r="CU207" i="4"/>
  <c r="FM207" i="4" s="1"/>
  <c r="CO207" i="4"/>
  <c r="FL207" i="4" s="1"/>
  <c r="CL208" i="4"/>
  <c r="CI206" i="4"/>
  <c r="FK206" i="4" s="1"/>
  <c r="CI207" i="4"/>
  <c r="FK207" i="4" s="1"/>
  <c r="CC206" i="4"/>
  <c r="FJ206" i="4" s="1"/>
  <c r="CC207" i="4"/>
  <c r="FJ207" i="4" s="1"/>
  <c r="BW207" i="4"/>
  <c r="FI207" i="4" s="1"/>
  <c r="BV50" i="4"/>
  <c r="BH52" i="4"/>
  <c r="BK207" i="4"/>
  <c r="FG207" i="4" s="1"/>
  <c r="DG193" i="4"/>
  <c r="CO187" i="4"/>
  <c r="FL187" i="4" s="1"/>
  <c r="DF187" i="4"/>
  <c r="DA187" i="4"/>
  <c r="FN187" i="4" s="1"/>
  <c r="CT187" i="4"/>
  <c r="EZ18" i="9"/>
  <c r="BH13" i="9"/>
  <c r="BH55" i="9"/>
  <c r="CL18" i="9"/>
  <c r="CL55" i="9"/>
  <c r="CL47" i="9" s="1"/>
  <c r="CL10" i="9"/>
  <c r="CZ18" i="9"/>
  <c r="CZ47" i="9"/>
  <c r="CZ48" i="9" s="1"/>
  <c r="CZ61" i="9" s="1"/>
  <c r="CZ10" i="9"/>
  <c r="CZ13" i="9"/>
  <c r="T10" i="9"/>
  <c r="T39" i="9" s="1"/>
  <c r="AY10" i="9"/>
  <c r="BS10" i="9"/>
  <c r="CN10" i="9"/>
  <c r="CK18" i="9"/>
  <c r="DF18" i="9"/>
  <c r="CK19" i="9"/>
  <c r="CR13" i="9"/>
  <c r="BY14" i="9"/>
  <c r="DE14" i="9"/>
  <c r="BG37" i="9"/>
  <c r="BI55" i="9"/>
  <c r="BI18" i="9"/>
  <c r="BI10" i="9"/>
  <c r="BI13" i="9"/>
  <c r="BW8" i="9"/>
  <c r="CM55" i="9"/>
  <c r="CM10" i="9"/>
  <c r="CM9" i="4" s="1"/>
  <c r="CM13" i="9"/>
  <c r="CM18" i="9"/>
  <c r="DA8" i="9"/>
  <c r="BQ9" i="9"/>
  <c r="CG19" i="9"/>
  <c r="CU9" i="9"/>
  <c r="BT10" i="9"/>
  <c r="AY18" i="9"/>
  <c r="BP19" i="9"/>
  <c r="BA20" i="9"/>
  <c r="BM13" i="9"/>
  <c r="CE14" i="9"/>
  <c r="CG37" i="9"/>
  <c r="BJ10" i="9"/>
  <c r="BJ39" i="9" s="1"/>
  <c r="BJ55" i="9"/>
  <c r="BJ18" i="9"/>
  <c r="BY13" i="9"/>
  <c r="BY55" i="9"/>
  <c r="BY10" i="9"/>
  <c r="BY18" i="9"/>
  <c r="CN55" i="9"/>
  <c r="CN47" i="9" s="1"/>
  <c r="CN13" i="9"/>
  <c r="BS14" i="9"/>
  <c r="BS19" i="9"/>
  <c r="BS37" i="9"/>
  <c r="CH37" i="9"/>
  <c r="CH19" i="9"/>
  <c r="CW19" i="9"/>
  <c r="CW14" i="9"/>
  <c r="W20" i="9"/>
  <c r="BU10" i="9"/>
  <c r="CQ10" i="9"/>
  <c r="BT18" i="9"/>
  <c r="CM19" i="9"/>
  <c r="BN13" i="9"/>
  <c r="K39" i="9"/>
  <c r="CL37" i="9"/>
  <c r="M39" i="9"/>
  <c r="BT37" i="9"/>
  <c r="BT19" i="9"/>
  <c r="CX14" i="9"/>
  <c r="CX19" i="9"/>
  <c r="BU19" i="9"/>
  <c r="BP13" i="9"/>
  <c r="CW13" i="9"/>
  <c r="CG14" i="9"/>
  <c r="AD39" i="9"/>
  <c r="BN37" i="9"/>
  <c r="N55" i="9"/>
  <c r="EZ9" i="9"/>
  <c r="AP20" i="9"/>
  <c r="AP15" i="9"/>
  <c r="BZ10" i="9"/>
  <c r="DC13" i="9"/>
  <c r="CH14" i="9"/>
  <c r="AL15" i="9"/>
  <c r="CN37" i="9"/>
  <c r="Q39" i="9"/>
  <c r="AP39" i="9"/>
  <c r="CB13" i="9"/>
  <c r="ET18" i="9"/>
  <c r="BE10" i="9"/>
  <c r="CA10" i="9"/>
  <c r="CW10" i="9"/>
  <c r="BZ18" i="9"/>
  <c r="Z19" i="9"/>
  <c r="CT19" i="9"/>
  <c r="DD13" i="9"/>
  <c r="BH14" i="9"/>
  <c r="CN14" i="9"/>
  <c r="AQ15" i="9"/>
  <c r="R39" i="9"/>
  <c r="AG10" i="9"/>
  <c r="AG20" i="9" s="1"/>
  <c r="AG18" i="9"/>
  <c r="BO13" i="9"/>
  <c r="BO55" i="9"/>
  <c r="CC8" i="9"/>
  <c r="CC134" i="9" s="1"/>
  <c r="CS10" i="9"/>
  <c r="CS18" i="9"/>
  <c r="DG8" i="9"/>
  <c r="EU18" i="9"/>
  <c r="BI14" i="9"/>
  <c r="BI37" i="9"/>
  <c r="BW9" i="9"/>
  <c r="CM14" i="9"/>
  <c r="DA9" i="9"/>
  <c r="AA20" i="9"/>
  <c r="BG10" i="9"/>
  <c r="CB10" i="9"/>
  <c r="CB9" i="4" s="1"/>
  <c r="CX10" i="9"/>
  <c r="BE18" i="9"/>
  <c r="CA18" i="9"/>
  <c r="CW18" i="9"/>
  <c r="AK20" i="9"/>
  <c r="BZ13" i="9"/>
  <c r="DE13" i="9"/>
  <c r="BJ14" i="9"/>
  <c r="CQ14" i="9"/>
  <c r="M15" i="9"/>
  <c r="AG37" i="9"/>
  <c r="BU37" i="9"/>
  <c r="AV39" i="9"/>
  <c r="AM10" i="9"/>
  <c r="EW8" i="9"/>
  <c r="AM18" i="9"/>
  <c r="BP10" i="9"/>
  <c r="BP9" i="4" s="1"/>
  <c r="BP18" i="9"/>
  <c r="BP55" i="9"/>
  <c r="CE10" i="9"/>
  <c r="CI8" i="9"/>
  <c r="CI134" i="9" s="1"/>
  <c r="CE18" i="9"/>
  <c r="CE55" i="9"/>
  <c r="CE403" i="9" s="1"/>
  <c r="CE13" i="9"/>
  <c r="CT18" i="9"/>
  <c r="CT47" i="9"/>
  <c r="CT48" i="9" s="1"/>
  <c r="CT61" i="9" s="1"/>
  <c r="CT10" i="9"/>
  <c r="DI9" i="4"/>
  <c r="CC9" i="9"/>
  <c r="N10" i="9"/>
  <c r="Q15" i="9" s="1"/>
  <c r="AC15" i="9"/>
  <c r="AC39" i="9"/>
  <c r="AS10" i="9"/>
  <c r="BG19" i="9"/>
  <c r="CA13" i="9"/>
  <c r="CR14" i="9"/>
  <c r="AM37" i="9"/>
  <c r="AY37" i="9"/>
  <c r="X39" i="9"/>
  <c r="AW39" i="9"/>
  <c r="BQ8" i="9"/>
  <c r="CF18" i="9"/>
  <c r="CF55" i="9"/>
  <c r="CF47" i="9" s="1"/>
  <c r="CF10" i="9"/>
  <c r="CU8" i="9"/>
  <c r="EX8" i="9"/>
  <c r="EX10" i="9" s="1"/>
  <c r="BK9" i="9"/>
  <c r="BZ37" i="9"/>
  <c r="BZ14" i="9"/>
  <c r="BZ19" i="9"/>
  <c r="CO9" i="9"/>
  <c r="DD19" i="9"/>
  <c r="AD20" i="9"/>
  <c r="AD15" i="9"/>
  <c r="DC10" i="9"/>
  <c r="DI20" i="9" s="1"/>
  <c r="Q20" i="9"/>
  <c r="AQ20" i="9"/>
  <c r="CF13" i="9"/>
  <c r="BN14" i="9"/>
  <c r="BS55" i="9"/>
  <c r="BS13" i="9"/>
  <c r="CG55" i="9"/>
  <c r="CG47" i="9" s="1"/>
  <c r="CG13" i="9"/>
  <c r="O37" i="9"/>
  <c r="Q14" i="9"/>
  <c r="N19" i="9"/>
  <c r="BM37" i="9"/>
  <c r="BM19" i="9"/>
  <c r="CA37" i="9"/>
  <c r="CA14" i="9"/>
  <c r="CA19" i="9"/>
  <c r="AE15" i="9"/>
  <c r="AE20" i="9"/>
  <c r="AV20" i="9"/>
  <c r="BM10" i="9"/>
  <c r="CH10" i="9"/>
  <c r="CH9" i="4" s="1"/>
  <c r="DD10" i="9"/>
  <c r="DJ20" i="9" s="1"/>
  <c r="N18" i="9"/>
  <c r="CG18" i="9"/>
  <c r="DC18" i="9"/>
  <c r="AS19" i="9"/>
  <c r="CE19" i="9"/>
  <c r="R20" i="9"/>
  <c r="AR20" i="9"/>
  <c r="N13" i="9"/>
  <c r="CH13" i="9"/>
  <c r="BT14" i="9"/>
  <c r="CY14" i="9"/>
  <c r="BB15" i="9"/>
  <c r="W39" i="9"/>
  <c r="AK39" i="9"/>
  <c r="BY37" i="9"/>
  <c r="BA39" i="9"/>
  <c r="BT55" i="9"/>
  <c r="BT13" i="9"/>
  <c r="CX13" i="9"/>
  <c r="W14" i="9"/>
  <c r="T14" i="9"/>
  <c r="T19" i="9"/>
  <c r="CB37" i="9"/>
  <c r="CB14" i="9"/>
  <c r="DF14" i="9"/>
  <c r="ES10" i="9"/>
  <c r="ES19" i="9"/>
  <c r="AW20" i="9"/>
  <c r="BC20" i="9"/>
  <c r="BN10" i="9"/>
  <c r="BN9" i="4" s="1"/>
  <c r="DE10" i="9"/>
  <c r="DK20" i="9" s="1"/>
  <c r="BM18" i="9"/>
  <c r="CH18" i="9"/>
  <c r="DD18" i="9"/>
  <c r="BJ19" i="9"/>
  <c r="CF19" i="9"/>
  <c r="DC19" i="9"/>
  <c r="Q13" i="9"/>
  <c r="CK13" i="9"/>
  <c r="BU14" i="9"/>
  <c r="X15" i="9"/>
  <c r="BD15" i="9"/>
  <c r="BC39" i="9"/>
  <c r="AE39" i="9"/>
  <c r="BD39" i="9"/>
  <c r="CY13" i="9"/>
  <c r="CY47" i="9"/>
  <c r="CY48" i="9" s="1"/>
  <c r="CY61" i="9" s="1"/>
  <c r="BO14" i="9"/>
  <c r="CS14" i="9"/>
  <c r="DG9" i="9"/>
  <c r="ET19" i="9"/>
  <c r="ET10" i="9"/>
  <c r="AI20" i="9"/>
  <c r="AX15" i="9"/>
  <c r="CK10" i="9"/>
  <c r="DF10" i="9"/>
  <c r="DE18" i="9"/>
  <c r="X20" i="9"/>
  <c r="AX20" i="9"/>
  <c r="CL13" i="9"/>
  <c r="DD14" i="9"/>
  <c r="AS37" i="9"/>
  <c r="T55" i="9"/>
  <c r="W13" i="9"/>
  <c r="CQ13" i="9"/>
  <c r="BC15" i="9"/>
  <c r="L51" i="9"/>
  <c r="L91" i="9" s="1"/>
  <c r="AC51" i="9"/>
  <c r="Q52" i="9"/>
  <c r="CB55" i="9"/>
  <c r="BW74" i="9"/>
  <c r="CN82" i="9"/>
  <c r="CF82" i="9"/>
  <c r="CH82" i="9"/>
  <c r="AJ50" i="9"/>
  <c r="AJ90" i="9" s="1"/>
  <c r="AX50" i="9"/>
  <c r="BE82" i="9"/>
  <c r="DG79" i="9"/>
  <c r="FI79" i="9" s="1"/>
  <c r="AK51" i="9"/>
  <c r="AK91" i="9" s="1"/>
  <c r="CA82" i="9"/>
  <c r="CS82" i="9"/>
  <c r="W51" i="9"/>
  <c r="AL52" i="9"/>
  <c r="AL92" i="9" s="1"/>
  <c r="BA52" i="9"/>
  <c r="AU15" i="9"/>
  <c r="AO49" i="9"/>
  <c r="K50" i="9"/>
  <c r="S51" i="9"/>
  <c r="S91" i="9" s="1"/>
  <c r="AJ51" i="9"/>
  <c r="K52" i="9"/>
  <c r="CE82" i="9"/>
  <c r="CI74" i="9"/>
  <c r="BW76" i="9"/>
  <c r="DA77" i="9"/>
  <c r="FH77" i="9" s="1"/>
  <c r="CT82" i="9"/>
  <c r="CK14" i="9"/>
  <c r="S15" i="9"/>
  <c r="Z18" i="9"/>
  <c r="DF19" i="9"/>
  <c r="U37" i="9"/>
  <c r="AL39" i="9"/>
  <c r="Z49" i="9"/>
  <c r="Z89" i="9" s="1"/>
  <c r="L50" i="9"/>
  <c r="L90" i="9" s="1"/>
  <c r="AU50" i="9"/>
  <c r="AL51" i="9"/>
  <c r="AL91" i="9" s="1"/>
  <c r="L52" i="9"/>
  <c r="L92" i="9" s="1"/>
  <c r="AU52" i="9"/>
  <c r="BK82" i="9"/>
  <c r="FA74" i="9"/>
  <c r="FA82" i="9" s="1"/>
  <c r="DG77" i="9"/>
  <c r="FI77" i="9" s="1"/>
  <c r="CC79" i="9"/>
  <c r="FD79" i="9" s="1"/>
  <c r="CU79" i="9"/>
  <c r="FG79" i="9" s="1"/>
  <c r="BQ82" i="9"/>
  <c r="CW82" i="9"/>
  <c r="FJ78" i="9"/>
  <c r="BT82" i="9"/>
  <c r="AC50" i="9"/>
  <c r="AQ50" i="9"/>
  <c r="AQ90" i="9" s="1"/>
  <c r="CZ82" i="9"/>
  <c r="AG82" i="9"/>
  <c r="CC77" i="9"/>
  <c r="FD77" i="9" s="1"/>
  <c r="AD51" i="9"/>
  <c r="AD91" i="9" s="1"/>
  <c r="AR51" i="9"/>
  <c r="AR91" i="9" s="1"/>
  <c r="BG55" i="9"/>
  <c r="CU76" i="9"/>
  <c r="AE52" i="9"/>
  <c r="AE92" i="9" s="1"/>
  <c r="CL82" i="9"/>
  <c r="CO74" i="9"/>
  <c r="DC82" i="9"/>
  <c r="K15" i="9"/>
  <c r="AU20" i="9"/>
  <c r="T13" i="9"/>
  <c r="BE37" i="9"/>
  <c r="S50" i="9"/>
  <c r="S90" i="9" s="1"/>
  <c r="AK50" i="9"/>
  <c r="AK90" i="9" s="1"/>
  <c r="K51" i="9"/>
  <c r="S52" i="9"/>
  <c r="S92" i="9" s="1"/>
  <c r="AJ52" i="9"/>
  <c r="AJ92" i="9" s="1"/>
  <c r="DD82" i="9"/>
  <c r="DA78" i="9"/>
  <c r="FH78" i="9" s="1"/>
  <c r="CB82" i="9"/>
  <c r="DA76" i="9"/>
  <c r="CU78" i="9"/>
  <c r="FG78" i="9" s="1"/>
  <c r="CO79" i="9"/>
  <c r="FF79" i="9" s="1"/>
  <c r="CC74" i="9"/>
  <c r="FJ73" i="9"/>
  <c r="BZ82" i="9"/>
  <c r="CU74" i="9"/>
  <c r="CI76" i="9"/>
  <c r="CU77" i="9"/>
  <c r="FG77" i="9" s="1"/>
  <c r="CR82" i="9"/>
  <c r="DF82" i="9"/>
  <c r="BS82" i="9"/>
  <c r="CC76" i="9"/>
  <c r="CB369" i="4"/>
  <c r="BJ369" i="4"/>
  <c r="CS369" i="4"/>
  <c r="CA369" i="4"/>
  <c r="BI369" i="4"/>
  <c r="DM365" i="4"/>
  <c r="FP365" i="4" s="1"/>
  <c r="CE369" i="4"/>
  <c r="BM369" i="4"/>
  <c r="CY369" i="4"/>
  <c r="CG369" i="4"/>
  <c r="BO369" i="4"/>
  <c r="CZ369" i="4"/>
  <c r="CH369" i="4"/>
  <c r="BP369" i="4"/>
  <c r="CZ375" i="4"/>
  <c r="CK369" i="4"/>
  <c r="BS369" i="4"/>
  <c r="BT369" i="4"/>
  <c r="CQ369" i="4"/>
  <c r="BY369" i="4"/>
  <c r="CR369" i="4"/>
  <c r="BZ369" i="4"/>
  <c r="BH369" i="4"/>
  <c r="DC375" i="4"/>
  <c r="CK375" i="4"/>
  <c r="BS375" i="4"/>
  <c r="CY375" i="4"/>
  <c r="CG375" i="4"/>
  <c r="BO375" i="4"/>
  <c r="DF375" i="4"/>
  <c r="CN375" i="4"/>
  <c r="CH375" i="4"/>
  <c r="BP375" i="4"/>
  <c r="CT369" i="4"/>
  <c r="CW375" i="4"/>
  <c r="CQ375" i="4"/>
  <c r="BM375" i="4"/>
  <c r="CW369" i="4"/>
  <c r="CE375" i="4"/>
  <c r="BY375" i="4"/>
  <c r="DC369" i="4"/>
  <c r="DJ369" i="4"/>
  <c r="CX369" i="4"/>
  <c r="CF369" i="4"/>
  <c r="BN369" i="4"/>
  <c r="DD375" i="4"/>
  <c r="CX375" i="4"/>
  <c r="CR375" i="4"/>
  <c r="CL375" i="4"/>
  <c r="CF375" i="4"/>
  <c r="BZ375" i="4"/>
  <c r="BT375" i="4"/>
  <c r="BN375" i="4"/>
  <c r="DI369" i="4"/>
  <c r="DE375" i="4"/>
  <c r="CS375" i="4"/>
  <c r="CA375" i="4"/>
  <c r="BU375" i="4"/>
  <c r="CM375" i="4"/>
  <c r="DJ375" i="4"/>
  <c r="DD369" i="4"/>
  <c r="CL369" i="4"/>
  <c r="BG369" i="4"/>
  <c r="CT375" i="4"/>
  <c r="DI375" i="4"/>
  <c r="DE369" i="4"/>
  <c r="CM369" i="4"/>
  <c r="BU369" i="4"/>
  <c r="CB375" i="4"/>
  <c r="DF369" i="4"/>
  <c r="CN369" i="4"/>
  <c r="BV369" i="4"/>
  <c r="DJ377" i="4"/>
  <c r="CO332" i="4"/>
  <c r="FL332" i="4" s="1"/>
  <c r="CU332" i="4"/>
  <c r="FM332" i="4" s="1"/>
  <c r="CQ288" i="4"/>
  <c r="DD288" i="4"/>
  <c r="BY290" i="4"/>
  <c r="BN288" i="4"/>
  <c r="CO330" i="4"/>
  <c r="FL330" i="4" s="1"/>
  <c r="BT288" i="4"/>
  <c r="BY288" i="4"/>
  <c r="BZ288" i="4"/>
  <c r="CA288" i="4"/>
  <c r="CF288" i="4"/>
  <c r="CX288" i="4"/>
  <c r="BO288" i="4"/>
  <c r="CK344" i="4"/>
  <c r="CO331" i="4"/>
  <c r="FL331" i="4" s="1"/>
  <c r="DA330" i="4"/>
  <c r="FN330" i="4" s="1"/>
  <c r="DM330" i="4"/>
  <c r="FP330" i="4" s="1"/>
  <c r="BV285" i="4"/>
  <c r="CO328" i="4"/>
  <c r="FL328" i="4" s="1"/>
  <c r="DF284" i="4"/>
  <c r="DG284" i="4" s="1"/>
  <c r="FO284" i="4" s="1"/>
  <c r="DF285" i="4"/>
  <c r="DG285" i="4" s="1"/>
  <c r="FO285" i="4" s="1"/>
  <c r="CY288" i="4"/>
  <c r="CZ284" i="4"/>
  <c r="DA284" i="4" s="1"/>
  <c r="FN284" i="4" s="1"/>
  <c r="CZ285" i="4"/>
  <c r="DA285" i="4" s="1"/>
  <c r="FN285" i="4" s="1"/>
  <c r="CR288" i="4"/>
  <c r="CS288" i="4"/>
  <c r="CT284" i="4"/>
  <c r="CU284" i="4" s="1"/>
  <c r="FM284" i="4" s="1"/>
  <c r="CT285" i="4"/>
  <c r="CU285" i="4" s="1"/>
  <c r="FM285" i="4" s="1"/>
  <c r="CL288" i="4"/>
  <c r="CM288" i="4"/>
  <c r="CN284" i="4"/>
  <c r="CO284" i="4" s="1"/>
  <c r="FL284" i="4" s="1"/>
  <c r="CN285" i="4"/>
  <c r="CO285" i="4" s="1"/>
  <c r="FL285" i="4" s="1"/>
  <c r="CF290" i="4"/>
  <c r="CE290" i="4"/>
  <c r="CG290" i="4"/>
  <c r="CE288" i="4"/>
  <c r="CG288" i="4"/>
  <c r="CH284" i="4"/>
  <c r="CI284" i="4" s="1"/>
  <c r="FK284" i="4" s="1"/>
  <c r="CH285" i="4"/>
  <c r="CI285" i="4" s="1"/>
  <c r="FK285" i="4" s="1"/>
  <c r="BS290" i="4"/>
  <c r="BT290" i="4"/>
  <c r="BU290" i="4"/>
  <c r="BS288" i="4"/>
  <c r="BU288" i="4"/>
  <c r="BM290" i="4"/>
  <c r="BN290" i="4"/>
  <c r="BO290" i="4"/>
  <c r="BM288" i="4"/>
  <c r="BP284" i="4"/>
  <c r="BQ284" i="4" s="1"/>
  <c r="FH284" i="4" s="1"/>
  <c r="BP285" i="4"/>
  <c r="BQ285" i="4" s="1"/>
  <c r="FH285" i="4" s="1"/>
  <c r="BG284" i="4"/>
  <c r="BJ284" i="4"/>
  <c r="BK284" i="4" s="1"/>
  <c r="FG284" i="4" s="1"/>
  <c r="BG285" i="4"/>
  <c r="BJ285" i="4"/>
  <c r="BK285" i="4" s="1"/>
  <c r="FG285" i="4" s="1"/>
  <c r="CB284" i="4"/>
  <c r="CC284" i="4" s="1"/>
  <c r="FJ284" i="4" s="1"/>
  <c r="CB285" i="4"/>
  <c r="CC285" i="4" s="1"/>
  <c r="FJ285" i="4" s="1"/>
  <c r="CA290" i="4"/>
  <c r="BZ290" i="4"/>
  <c r="CO333" i="4"/>
  <c r="FL333" i="4" s="1"/>
  <c r="CI315" i="4"/>
  <c r="FK315" i="4" s="1"/>
  <c r="CU315" i="4"/>
  <c r="FM315" i="4" s="1"/>
  <c r="CI330" i="4"/>
  <c r="FK330" i="4" s="1"/>
  <c r="CC339" i="4"/>
  <c r="FJ339" i="4" s="1"/>
  <c r="CK334" i="4"/>
  <c r="DA331" i="4"/>
  <c r="FN331" i="4" s="1"/>
  <c r="DM331" i="4"/>
  <c r="FP331" i="4" s="1"/>
  <c r="CO326" i="4"/>
  <c r="FL326" i="4" s="1"/>
  <c r="L141" i="5" s="1"/>
  <c r="CO329" i="4"/>
  <c r="FL329" i="4" s="1"/>
  <c r="CI332" i="4"/>
  <c r="FK332" i="4" s="1"/>
  <c r="CO327" i="4"/>
  <c r="FL327" i="4" s="1"/>
  <c r="DM332" i="4"/>
  <c r="FP332" i="4" s="1"/>
  <c r="CN316" i="4"/>
  <c r="CU330" i="4"/>
  <c r="FM330" i="4" s="1"/>
  <c r="DG330" i="4"/>
  <c r="FO330" i="4" s="1"/>
  <c r="CW316" i="4"/>
  <c r="CQ316" i="4"/>
  <c r="CI331" i="4"/>
  <c r="FK331" i="4" s="1"/>
  <c r="CU331" i="4"/>
  <c r="FM331" i="4" s="1"/>
  <c r="DD316" i="4"/>
  <c r="CS316" i="4"/>
  <c r="CG316" i="4"/>
  <c r="CB316" i="4"/>
  <c r="CW351" i="4"/>
  <c r="CE316" i="4"/>
  <c r="DG331" i="4"/>
  <c r="FO331" i="4" s="1"/>
  <c r="CF316" i="4"/>
  <c r="DI351" i="4"/>
  <c r="DM346" i="4"/>
  <c r="FP346" i="4" s="1"/>
  <c r="P154" i="5" s="1"/>
  <c r="CY316" i="4"/>
  <c r="DA332" i="4"/>
  <c r="FN332" i="4" s="1"/>
  <c r="DG332" i="4"/>
  <c r="FO332" i="4" s="1"/>
  <c r="CH316" i="4"/>
  <c r="CR316" i="4"/>
  <c r="DC316" i="4"/>
  <c r="BY316" i="4"/>
  <c r="CT316" i="4"/>
  <c r="DE316" i="4"/>
  <c r="BZ316" i="4"/>
  <c r="DF316" i="4"/>
  <c r="CA316" i="4"/>
  <c r="DI316" i="4"/>
  <c r="CF344" i="4"/>
  <c r="DJ316" i="4"/>
  <c r="CK316" i="4"/>
  <c r="CX316" i="4"/>
  <c r="CZ344" i="4"/>
  <c r="CN344" i="4"/>
  <c r="CL316" i="4"/>
  <c r="CM316" i="4"/>
  <c r="CZ316" i="4"/>
  <c r="DM315" i="4"/>
  <c r="FP315" i="4" s="1"/>
  <c r="DG315" i="4"/>
  <c r="FO315" i="4" s="1"/>
  <c r="DA315" i="4"/>
  <c r="FN315" i="4" s="1"/>
  <c r="CO315" i="4"/>
  <c r="FL315" i="4" s="1"/>
  <c r="CC315" i="4"/>
  <c r="FJ315" i="4" s="1"/>
  <c r="CC342" i="4"/>
  <c r="FJ342" i="4" s="1"/>
  <c r="BW339" i="4"/>
  <c r="FI339" i="4" s="1"/>
  <c r="BQ339" i="4"/>
  <c r="FH339" i="4" s="1"/>
  <c r="BK339" i="4"/>
  <c r="FG339" i="4" s="1"/>
  <c r="DA339" i="4"/>
  <c r="FN339" i="4" s="1"/>
  <c r="DG339" i="4"/>
  <c r="FO339" i="4" s="1"/>
  <c r="CQ344" i="4"/>
  <c r="CU340" i="4"/>
  <c r="FM340" i="4" s="1"/>
  <c r="CI337" i="4"/>
  <c r="BK340" i="4"/>
  <c r="FG340" i="4" s="1"/>
  <c r="DM341" i="4"/>
  <c r="FP341" i="4" s="1"/>
  <c r="DM338" i="4"/>
  <c r="FP338" i="4" s="1"/>
  <c r="P147" i="5" s="1"/>
  <c r="CU338" i="4"/>
  <c r="FM338" i="4" s="1"/>
  <c r="M147" i="5" s="1"/>
  <c r="CC341" i="4"/>
  <c r="FJ341" i="4" s="1"/>
  <c r="DM340" i="4"/>
  <c r="FP340" i="4" s="1"/>
  <c r="BZ344" i="4"/>
  <c r="CI339" i="4"/>
  <c r="FK339" i="4" s="1"/>
  <c r="BY344" i="4"/>
  <c r="BQ346" i="4"/>
  <c r="FH346" i="4" s="1"/>
  <c r="H154" i="5" s="1"/>
  <c r="BK338" i="4"/>
  <c r="FG338" i="4" s="1"/>
  <c r="G147" i="5" s="1"/>
  <c r="DM342" i="4"/>
  <c r="FP342" i="4" s="1"/>
  <c r="CO339" i="4"/>
  <c r="FL339" i="4" s="1"/>
  <c r="DM329" i="4"/>
  <c r="FP329" i="4" s="1"/>
  <c r="DG337" i="4"/>
  <c r="DA337" i="4"/>
  <c r="CC337" i="4"/>
  <c r="CC340" i="4"/>
  <c r="FJ340" i="4" s="1"/>
  <c r="DG338" i="4"/>
  <c r="FO338" i="4" s="1"/>
  <c r="O147" i="5" s="1"/>
  <c r="CA344" i="4"/>
  <c r="CC343" i="4"/>
  <c r="FJ343" i="4" s="1"/>
  <c r="BP344" i="4"/>
  <c r="DM333" i="4"/>
  <c r="FP333" i="4" s="1"/>
  <c r="DA341" i="4"/>
  <c r="FN341" i="4" s="1"/>
  <c r="DA346" i="4"/>
  <c r="FN346" i="4" s="1"/>
  <c r="N154" i="5" s="1"/>
  <c r="BJ344" i="4"/>
  <c r="CC338" i="4"/>
  <c r="FJ338" i="4" s="1"/>
  <c r="J147" i="5" s="1"/>
  <c r="J299" i="5" s="1"/>
  <c r="CB344" i="4"/>
  <c r="DM339" i="4"/>
  <c r="FP339" i="4" s="1"/>
  <c r="BW338" i="4"/>
  <c r="FI338" i="4" s="1"/>
  <c r="I147" i="5" s="1"/>
  <c r="CH344" i="4"/>
  <c r="CC346" i="4"/>
  <c r="FJ346" i="4" s="1"/>
  <c r="J154" i="5" s="1"/>
  <c r="BW341" i="4"/>
  <c r="FI341" i="4" s="1"/>
  <c r="BW346" i="4"/>
  <c r="FI346" i="4" s="1"/>
  <c r="I154" i="5" s="1"/>
  <c r="BQ338" i="4"/>
  <c r="FH338" i="4" s="1"/>
  <c r="H147" i="5" s="1"/>
  <c r="DA340" i="4"/>
  <c r="FN340" i="4" s="1"/>
  <c r="DA343" i="4"/>
  <c r="FN343" i="4" s="1"/>
  <c r="CT344" i="4"/>
  <c r="CU342" i="4"/>
  <c r="FM342" i="4" s="1"/>
  <c r="CM344" i="4"/>
  <c r="CO342" i="4"/>
  <c r="FL342" i="4" s="1"/>
  <c r="CI346" i="4"/>
  <c r="FK346" i="4" s="1"/>
  <c r="K154" i="5" s="1"/>
  <c r="BV344" i="4"/>
  <c r="BO344" i="4"/>
  <c r="BK342" i="4"/>
  <c r="FG342" i="4" s="1"/>
  <c r="DG341" i="4"/>
  <c r="FO341" i="4" s="1"/>
  <c r="DG346" i="4"/>
  <c r="FO346" i="4" s="1"/>
  <c r="O154" i="5" s="1"/>
  <c r="DA338" i="4"/>
  <c r="FN338" i="4" s="1"/>
  <c r="N147" i="5" s="1"/>
  <c r="CO340" i="4"/>
  <c r="FL340" i="4" s="1"/>
  <c r="CO343" i="4"/>
  <c r="FL343" i="4" s="1"/>
  <c r="CI342" i="4"/>
  <c r="FK342" i="4" s="1"/>
  <c r="BQ341" i="4"/>
  <c r="FH341" i="4" s="1"/>
  <c r="BK337" i="4"/>
  <c r="BK343" i="4"/>
  <c r="FG343" i="4" s="1"/>
  <c r="CQ319" i="4"/>
  <c r="CO337" i="4"/>
  <c r="CI336" i="4"/>
  <c r="CU343" i="4"/>
  <c r="FM343" i="4" s="1"/>
  <c r="BS344" i="4"/>
  <c r="DC344" i="4"/>
  <c r="CR344" i="4"/>
  <c r="CO338" i="4"/>
  <c r="FL338" i="4" s="1"/>
  <c r="L147" i="5" s="1"/>
  <c r="CE344" i="4"/>
  <c r="BT344" i="4"/>
  <c r="DD344" i="4"/>
  <c r="CW344" i="4"/>
  <c r="CU341" i="4"/>
  <c r="FM341" i="4" s="1"/>
  <c r="CU346" i="4"/>
  <c r="FM346" i="4" s="1"/>
  <c r="M154" i="5" s="1"/>
  <c r="CO341" i="4"/>
  <c r="FL341" i="4" s="1"/>
  <c r="CG344" i="4"/>
  <c r="CC336" i="4"/>
  <c r="BU344" i="4"/>
  <c r="BN344" i="4"/>
  <c r="BK341" i="4"/>
  <c r="FG341" i="4" s="1"/>
  <c r="DE344" i="4"/>
  <c r="CX344" i="4"/>
  <c r="CO346" i="4"/>
  <c r="FL346" i="4" s="1"/>
  <c r="L154" i="5" s="1"/>
  <c r="CI340" i="4"/>
  <c r="FK340" i="4" s="1"/>
  <c r="BW342" i="4"/>
  <c r="FI342" i="4" s="1"/>
  <c r="BQ342" i="4"/>
  <c r="FH342" i="4" s="1"/>
  <c r="BK346" i="4"/>
  <c r="FG346" i="4" s="1"/>
  <c r="G154" i="5" s="1"/>
  <c r="DG342" i="4"/>
  <c r="FO342" i="4" s="1"/>
  <c r="CY344" i="4"/>
  <c r="DA342" i="4"/>
  <c r="FN342" i="4" s="1"/>
  <c r="CI338" i="4"/>
  <c r="FK338" i="4" s="1"/>
  <c r="K147" i="5" s="1"/>
  <c r="BG344" i="4"/>
  <c r="CU339" i="4"/>
  <c r="FM339" i="4" s="1"/>
  <c r="CI341" i="4"/>
  <c r="FK341" i="4" s="1"/>
  <c r="BW340" i="4"/>
  <c r="FI340" i="4" s="1"/>
  <c r="BW343" i="4"/>
  <c r="FI343" i="4" s="1"/>
  <c r="BM344" i="4"/>
  <c r="BH344" i="4"/>
  <c r="DG340" i="4"/>
  <c r="FO340" i="4" s="1"/>
  <c r="DG343" i="4"/>
  <c r="FO343" i="4" s="1"/>
  <c r="CS344" i="4"/>
  <c r="CL344" i="4"/>
  <c r="BW337" i="4"/>
  <c r="BQ340" i="4"/>
  <c r="FH340" i="4" s="1"/>
  <c r="BQ343" i="4"/>
  <c r="FH343" i="4" s="1"/>
  <c r="BI344" i="4"/>
  <c r="BK336" i="4"/>
  <c r="BK61" i="4" s="1"/>
  <c r="FG61" i="4" s="1"/>
  <c r="G30" i="5" s="1"/>
  <c r="BQ337" i="4"/>
  <c r="BQ377" i="4" s="1"/>
  <c r="FH377" i="4" s="1"/>
  <c r="BQ336" i="4"/>
  <c r="BW336" i="4"/>
  <c r="CI343" i="4"/>
  <c r="FK343" i="4" s="1"/>
  <c r="CO336" i="4"/>
  <c r="CU337" i="4"/>
  <c r="CU336" i="4"/>
  <c r="DA336" i="4"/>
  <c r="DF344" i="4"/>
  <c r="DG336" i="4"/>
  <c r="DI344" i="4"/>
  <c r="DJ344" i="4"/>
  <c r="DE319" i="4"/>
  <c r="CS320" i="4"/>
  <c r="CS319" i="4"/>
  <c r="BY321" i="4"/>
  <c r="BW329" i="4"/>
  <c r="FI329" i="4" s="1"/>
  <c r="BQ333" i="4"/>
  <c r="FH333" i="4" s="1"/>
  <c r="H140" i="5" s="1"/>
  <c r="DJ320" i="4"/>
  <c r="CM320" i="4"/>
  <c r="CM319" i="4"/>
  <c r="BV320" i="4"/>
  <c r="DG329" i="4"/>
  <c r="FO329" i="4" s="1"/>
  <c r="CE321" i="4"/>
  <c r="CI333" i="4"/>
  <c r="FK333" i="4" s="1"/>
  <c r="BW333" i="4"/>
  <c r="FI333" i="4" s="1"/>
  <c r="I140" i="5" s="1"/>
  <c r="BK328" i="4"/>
  <c r="FG328" i="4" s="1"/>
  <c r="CI329" i="4"/>
  <c r="FK329" i="4" s="1"/>
  <c r="DA329" i="4"/>
  <c r="FN329" i="4" s="1"/>
  <c r="CE320" i="4"/>
  <c r="CE319" i="4"/>
  <c r="BM320" i="4"/>
  <c r="BM319" i="4"/>
  <c r="BG334" i="4"/>
  <c r="CU313" i="4"/>
  <c r="BP334" i="4"/>
  <c r="BK326" i="4"/>
  <c r="FG326" i="4" s="1"/>
  <c r="G141" i="5" s="1"/>
  <c r="G165" i="5" s="1"/>
  <c r="BT319" i="4"/>
  <c r="BN321" i="4"/>
  <c r="DG333" i="4"/>
  <c r="FO333" i="4" s="1"/>
  <c r="DA333" i="4"/>
  <c r="FN333" i="4" s="1"/>
  <c r="CU333" i="4"/>
  <c r="FM333" i="4" s="1"/>
  <c r="BQ326" i="4"/>
  <c r="FH326" i="4" s="1"/>
  <c r="H141" i="5" s="1"/>
  <c r="H165" i="5" s="1"/>
  <c r="CF129" i="4"/>
  <c r="CF130" i="4" s="1"/>
  <c r="BK327" i="4"/>
  <c r="FG327" i="4" s="1"/>
  <c r="CC333" i="4"/>
  <c r="FJ333" i="4" s="1"/>
  <c r="J140" i="5" s="1"/>
  <c r="BJ334" i="4"/>
  <c r="BH334" i="4"/>
  <c r="BI334" i="4"/>
  <c r="BG272" i="4"/>
  <c r="BQ325" i="4"/>
  <c r="BM334" i="4"/>
  <c r="CU329" i="4"/>
  <c r="FM329" i="4" s="1"/>
  <c r="BK333" i="4"/>
  <c r="FG333" i="4" s="1"/>
  <c r="G140" i="5" s="1"/>
  <c r="BN334" i="4"/>
  <c r="BQ328" i="4"/>
  <c r="FH328" i="4" s="1"/>
  <c r="BK325" i="4"/>
  <c r="BO334" i="4"/>
  <c r="BQ327" i="4"/>
  <c r="FH327" i="4" s="1"/>
  <c r="BU334" i="4"/>
  <c r="CC328" i="4"/>
  <c r="FJ328" i="4" s="1"/>
  <c r="BS334" i="4"/>
  <c r="BV334" i="4"/>
  <c r="BW328" i="4"/>
  <c r="FI328" i="4" s="1"/>
  <c r="BW326" i="4"/>
  <c r="FI326" i="4" s="1"/>
  <c r="I141" i="5" s="1"/>
  <c r="I165" i="5" s="1"/>
  <c r="CC327" i="4"/>
  <c r="FJ327" i="4" s="1"/>
  <c r="BW327" i="4"/>
  <c r="FI327" i="4" s="1"/>
  <c r="BY334" i="4"/>
  <c r="BW325" i="4"/>
  <c r="CC326" i="4"/>
  <c r="FJ326" i="4" s="1"/>
  <c r="J141" i="5" s="1"/>
  <c r="J165" i="5" s="1"/>
  <c r="CH334" i="4"/>
  <c r="BT334" i="4"/>
  <c r="CN334" i="4"/>
  <c r="CL334" i="4"/>
  <c r="CI326" i="4"/>
  <c r="FK326" i="4" s="1"/>
  <c r="K141" i="5" s="1"/>
  <c r="K165" i="5" s="1"/>
  <c r="CF334" i="4"/>
  <c r="CC325" i="4"/>
  <c r="CG334" i="4"/>
  <c r="CA334" i="4"/>
  <c r="CE334" i="4"/>
  <c r="CI328" i="4"/>
  <c r="FK328" i="4" s="1"/>
  <c r="DG326" i="4"/>
  <c r="FO326" i="4" s="1"/>
  <c r="O141" i="5" s="1"/>
  <c r="CM334" i="4"/>
  <c r="CI327" i="4"/>
  <c r="FK327" i="4" s="1"/>
  <c r="CI325" i="4"/>
  <c r="DA328" i="4"/>
  <c r="FN328" i="4" s="1"/>
  <c r="CQ334" i="4"/>
  <c r="CU328" i="4"/>
  <c r="FM328" i="4" s="1"/>
  <c r="DA326" i="4"/>
  <c r="FN326" i="4" s="1"/>
  <c r="N141" i="5" s="1"/>
  <c r="CT334" i="4"/>
  <c r="CS334" i="4"/>
  <c r="CO325" i="4"/>
  <c r="CU326" i="4"/>
  <c r="FM326" i="4" s="1"/>
  <c r="M141" i="5" s="1"/>
  <c r="CZ334" i="4"/>
  <c r="CR334" i="4"/>
  <c r="DE334" i="4"/>
  <c r="CX334" i="4"/>
  <c r="DF334" i="4"/>
  <c r="CY334" i="4"/>
  <c r="CU327" i="4"/>
  <c r="FM327" i="4" s="1"/>
  <c r="CU325" i="4"/>
  <c r="CW334" i="4"/>
  <c r="DA327" i="4"/>
  <c r="FN327" i="4" s="1"/>
  <c r="DC334" i="4"/>
  <c r="DG328" i="4"/>
  <c r="FO328" i="4" s="1"/>
  <c r="DA325" i="4"/>
  <c r="DG327" i="4"/>
  <c r="FO327" i="4" s="1"/>
  <c r="DD334" i="4"/>
  <c r="DG325" i="4"/>
  <c r="BZ319" i="4"/>
  <c r="BH321" i="4"/>
  <c r="DJ334" i="4"/>
  <c r="BY272" i="4"/>
  <c r="CX320" i="4"/>
  <c r="BS319" i="4"/>
  <c r="BO321" i="4"/>
  <c r="CI309" i="4"/>
  <c r="FK309" i="4" s="1"/>
  <c r="CI312" i="4"/>
  <c r="FK312" i="4" s="1"/>
  <c r="CL320" i="4"/>
  <c r="CL319" i="4"/>
  <c r="BU320" i="4"/>
  <c r="BU319" i="4"/>
  <c r="DC320" i="4"/>
  <c r="DC319" i="4"/>
  <c r="CQ320" i="4"/>
  <c r="BI316" i="4"/>
  <c r="CN272" i="4"/>
  <c r="BS321" i="4"/>
  <c r="DA314" i="4"/>
  <c r="FN314" i="4" s="1"/>
  <c r="N135" i="5" s="1"/>
  <c r="BZ272" i="4"/>
  <c r="BN320" i="4"/>
  <c r="BN319" i="4"/>
  <c r="BH272" i="4"/>
  <c r="BT321" i="4"/>
  <c r="DM309" i="4"/>
  <c r="FP309" i="4" s="1"/>
  <c r="CG319" i="4"/>
  <c r="BO319" i="4"/>
  <c r="BW314" i="4"/>
  <c r="FI314" i="4" s="1"/>
  <c r="I135" i="5" s="1"/>
  <c r="DI334" i="4"/>
  <c r="DG309" i="4"/>
  <c r="FO309" i="4" s="1"/>
  <c r="DG312" i="4"/>
  <c r="FO312" i="4" s="1"/>
  <c r="DM312" i="4"/>
  <c r="FP312" i="4" s="1"/>
  <c r="DF320" i="4"/>
  <c r="CW320" i="4"/>
  <c r="CC308" i="4"/>
  <c r="CC314" i="4"/>
  <c r="FJ314" i="4" s="1"/>
  <c r="J135" i="5" s="1"/>
  <c r="BQ313" i="4"/>
  <c r="BK309" i="4"/>
  <c r="FG309" i="4" s="1"/>
  <c r="DG313" i="4"/>
  <c r="CW319" i="4"/>
  <c r="CF320" i="4"/>
  <c r="CX319" i="4"/>
  <c r="CG320" i="4"/>
  <c r="BO320" i="4"/>
  <c r="BU321" i="4"/>
  <c r="BP321" i="4"/>
  <c r="CF319" i="4"/>
  <c r="CY320" i="4"/>
  <c r="CY319" i="4"/>
  <c r="CB272" i="4"/>
  <c r="DG308" i="4"/>
  <c r="BK313" i="4"/>
  <c r="BM272" i="4"/>
  <c r="BM321" i="4"/>
  <c r="CN320" i="4"/>
  <c r="BW309" i="4"/>
  <c r="FI309" i="4" s="1"/>
  <c r="CK320" i="4"/>
  <c r="CK319" i="4"/>
  <c r="BT320" i="4"/>
  <c r="CN148" i="4"/>
  <c r="CN150" i="4" s="1"/>
  <c r="CN149" i="4" s="1"/>
  <c r="DJ319" i="4"/>
  <c r="DG314" i="4"/>
  <c r="FO314" i="4" s="1"/>
  <c r="O135" i="5" s="1"/>
  <c r="CU314" i="4"/>
  <c r="FM314" i="4" s="1"/>
  <c r="M135" i="5" s="1"/>
  <c r="CH319" i="4"/>
  <c r="BQ314" i="4"/>
  <c r="FH314" i="4" s="1"/>
  <c r="H135" i="5" s="1"/>
  <c r="DI319" i="4"/>
  <c r="BY320" i="4"/>
  <c r="BY319" i="4"/>
  <c r="CO314" i="4"/>
  <c r="FL314" i="4" s="1"/>
  <c r="L135" i="5" s="1"/>
  <c r="BW313" i="4"/>
  <c r="BZ320" i="4"/>
  <c r="BH320" i="4"/>
  <c r="BH319" i="4"/>
  <c r="CF321" i="4"/>
  <c r="BZ321" i="4"/>
  <c r="CU312" i="4"/>
  <c r="FM312" i="4" s="1"/>
  <c r="CI308" i="4"/>
  <c r="CI362" i="4" s="1"/>
  <c r="FK362" i="4" s="1"/>
  <c r="CI314" i="4"/>
  <c r="FK314" i="4" s="1"/>
  <c r="K135" i="5" s="1"/>
  <c r="BQ312" i="4"/>
  <c r="FH312" i="4" s="1"/>
  <c r="DD320" i="4"/>
  <c r="DD319" i="4"/>
  <c r="DI320" i="4"/>
  <c r="CR320" i="4"/>
  <c r="CR319" i="4"/>
  <c r="CA320" i="4"/>
  <c r="CA319" i="4"/>
  <c r="BU272" i="4"/>
  <c r="BI320" i="4"/>
  <c r="BI319" i="4"/>
  <c r="CK321" i="4"/>
  <c r="CG321" i="4"/>
  <c r="CA321" i="4"/>
  <c r="BI321" i="4"/>
  <c r="CO309" i="4"/>
  <c r="FL309" i="4" s="1"/>
  <c r="BV321" i="4"/>
  <c r="BJ316" i="4"/>
  <c r="BG316" i="4"/>
  <c r="CB319" i="4"/>
  <c r="BJ321" i="4"/>
  <c r="DA309" i="4"/>
  <c r="FN309" i="4" s="1"/>
  <c r="CZ320" i="4"/>
  <c r="CU308" i="4"/>
  <c r="CU311" i="4"/>
  <c r="CI311" i="4"/>
  <c r="CA272" i="4"/>
  <c r="BI272" i="4"/>
  <c r="CO312" i="4"/>
  <c r="FL312" i="4" s="1"/>
  <c r="BW308" i="4"/>
  <c r="BW311" i="4"/>
  <c r="BV319" i="4"/>
  <c r="BO316" i="4"/>
  <c r="BK312" i="4"/>
  <c r="FG312" i="4" s="1"/>
  <c r="CT319" i="4"/>
  <c r="CH320" i="4"/>
  <c r="CC311" i="4"/>
  <c r="BT316" i="4"/>
  <c r="BS320" i="4"/>
  <c r="DA312" i="4"/>
  <c r="FN312" i="4" s="1"/>
  <c r="CO313" i="4"/>
  <c r="CC309" i="4"/>
  <c r="FJ309" i="4" s="1"/>
  <c r="CB320" i="4"/>
  <c r="BQ308" i="4"/>
  <c r="BQ311" i="4"/>
  <c r="BP319" i="4"/>
  <c r="BH316" i="4"/>
  <c r="BN272" i="4"/>
  <c r="DA313" i="4"/>
  <c r="CU309" i="4"/>
  <c r="FM309" i="4" s="1"/>
  <c r="BN316" i="4"/>
  <c r="BO272" i="4"/>
  <c r="BJ319" i="4"/>
  <c r="CH272" i="4"/>
  <c r="BP272" i="4"/>
  <c r="DF319" i="4"/>
  <c r="CI313" i="4"/>
  <c r="CH321" i="4"/>
  <c r="BP316" i="4"/>
  <c r="BK308" i="4"/>
  <c r="CZ272" i="4"/>
  <c r="BS272" i="4"/>
  <c r="DG311" i="4"/>
  <c r="CT320" i="4"/>
  <c r="CO308" i="4"/>
  <c r="CO311" i="4"/>
  <c r="CN319" i="4"/>
  <c r="CC313" i="4"/>
  <c r="BU316" i="4"/>
  <c r="BQ309" i="4"/>
  <c r="FH309" i="4" s="1"/>
  <c r="BP320" i="4"/>
  <c r="BK311" i="4"/>
  <c r="BK314" i="4"/>
  <c r="FG314" i="4" s="1"/>
  <c r="G135" i="5" s="1"/>
  <c r="DE320" i="4"/>
  <c r="CK272" i="4"/>
  <c r="BT272" i="4"/>
  <c r="DA308" i="4"/>
  <c r="DA311" i="4"/>
  <c r="CZ319" i="4"/>
  <c r="CB321" i="4"/>
  <c r="BJ320" i="4"/>
  <c r="BK310" i="4"/>
  <c r="BQ310" i="4"/>
  <c r="BM316" i="4"/>
  <c r="BV316" i="4"/>
  <c r="BW310" i="4"/>
  <c r="FI310" i="4" s="1"/>
  <c r="BS316" i="4"/>
  <c r="BW312" i="4"/>
  <c r="FI312" i="4" s="1"/>
  <c r="CI310" i="4"/>
  <c r="CC310" i="4"/>
  <c r="CC312" i="4"/>
  <c r="FJ312" i="4" s="1"/>
  <c r="CO310" i="4"/>
  <c r="DA310" i="4"/>
  <c r="DG310" i="4"/>
  <c r="CU310" i="4"/>
  <c r="DM310" i="4"/>
  <c r="FP310" i="4" s="1"/>
  <c r="CG272" i="4"/>
  <c r="BV272" i="4"/>
  <c r="CE272" i="4"/>
  <c r="CF272" i="4"/>
  <c r="BJ272" i="4"/>
  <c r="DF148" i="4"/>
  <c r="DF150" i="4" s="1"/>
  <c r="CA129" i="4"/>
  <c r="CR148" i="4"/>
  <c r="CR150" i="4" s="1"/>
  <c r="DF272" i="4"/>
  <c r="BK262" i="4"/>
  <c r="CT272" i="4"/>
  <c r="BW262" i="4"/>
  <c r="CC262" i="4"/>
  <c r="CI262" i="4"/>
  <c r="CU262" i="4"/>
  <c r="CO263" i="4"/>
  <c r="DA262" i="4"/>
  <c r="DG262" i="4"/>
  <c r="CQ148" i="4"/>
  <c r="CQ150" i="4" s="1"/>
  <c r="CR142" i="4"/>
  <c r="BZ142" i="4"/>
  <c r="FO233" i="4"/>
  <c r="FH260" i="4"/>
  <c r="FJ260" i="4"/>
  <c r="BG260" i="4"/>
  <c r="BH260" i="4"/>
  <c r="BI260" i="4"/>
  <c r="BJ260" i="4"/>
  <c r="BK256" i="4"/>
  <c r="BM260" i="4"/>
  <c r="BN260" i="4"/>
  <c r="BO260" i="4"/>
  <c r="BP260" i="4"/>
  <c r="BQ260" i="4"/>
  <c r="BT260" i="4"/>
  <c r="CH260" i="4"/>
  <c r="BU260" i="4"/>
  <c r="CE260" i="4"/>
  <c r="BV260" i="4"/>
  <c r="CL260" i="4"/>
  <c r="BS260" i="4"/>
  <c r="BW256" i="4"/>
  <c r="BY260" i="4"/>
  <c r="BZ260" i="4"/>
  <c r="CA260" i="4"/>
  <c r="CB260" i="4"/>
  <c r="CC260" i="4"/>
  <c r="CF260" i="4"/>
  <c r="CG260" i="4"/>
  <c r="CT260" i="4"/>
  <c r="CI258" i="4"/>
  <c r="CK260" i="4"/>
  <c r="CM260" i="4"/>
  <c r="CN260" i="4"/>
  <c r="CZ260" i="4"/>
  <c r="CO256" i="4"/>
  <c r="CR260" i="4"/>
  <c r="CS260" i="4"/>
  <c r="CX260" i="4"/>
  <c r="CQ260" i="4"/>
  <c r="DE260" i="4"/>
  <c r="CW260" i="4"/>
  <c r="CU256" i="4"/>
  <c r="CY260" i="4"/>
  <c r="DC260" i="4"/>
  <c r="DA256" i="4"/>
  <c r="DD260" i="4"/>
  <c r="DF260" i="4"/>
  <c r="DG256" i="4"/>
  <c r="DM258" i="4"/>
  <c r="FP258" i="4" s="1"/>
  <c r="P112" i="5" s="1"/>
  <c r="DI260" i="4"/>
  <c r="DJ260" i="4"/>
  <c r="DM257" i="4"/>
  <c r="FP257" i="4" s="1"/>
  <c r="P111" i="5" s="1"/>
  <c r="BK248" i="4"/>
  <c r="FG248" i="4" s="1"/>
  <c r="CC251" i="4"/>
  <c r="FJ251" i="4" s="1"/>
  <c r="J105" i="5" s="1"/>
  <c r="BQ248" i="4"/>
  <c r="FH248" i="4" s="1"/>
  <c r="BW248" i="4"/>
  <c r="FI248" i="4" s="1"/>
  <c r="CC248" i="4"/>
  <c r="FJ248" i="4" s="1"/>
  <c r="CO251" i="4"/>
  <c r="FL251" i="4" s="1"/>
  <c r="L105" i="5" s="1"/>
  <c r="CI251" i="4"/>
  <c r="FK251" i="4" s="1"/>
  <c r="K105" i="5" s="1"/>
  <c r="CO248" i="4"/>
  <c r="FL248" i="4" s="1"/>
  <c r="CU248" i="4"/>
  <c r="DA248" i="4"/>
  <c r="FN248" i="4" s="1"/>
  <c r="DG248" i="4"/>
  <c r="FO248" i="4" s="1"/>
  <c r="BG244" i="4"/>
  <c r="BH244" i="4"/>
  <c r="BI244" i="4"/>
  <c r="BJ244" i="4"/>
  <c r="BJ233" i="4"/>
  <c r="BM244" i="4"/>
  <c r="BN244" i="4"/>
  <c r="BS244" i="4"/>
  <c r="BO244" i="4"/>
  <c r="BP244" i="4"/>
  <c r="BK236" i="4"/>
  <c r="BK188" i="4" s="1"/>
  <c r="BV244" i="4"/>
  <c r="BT244" i="4"/>
  <c r="BQ236" i="4"/>
  <c r="BQ188" i="4" s="1"/>
  <c r="BU244" i="4"/>
  <c r="BY244" i="4"/>
  <c r="BZ244" i="4"/>
  <c r="BW238" i="4"/>
  <c r="FI238" i="4" s="1"/>
  <c r="CA244" i="4"/>
  <c r="CB244" i="4"/>
  <c r="CF244" i="4"/>
  <c r="CH244" i="4"/>
  <c r="CE244" i="4"/>
  <c r="CC236" i="4"/>
  <c r="CE351" i="4" s="1"/>
  <c r="CG244" i="4"/>
  <c r="CL244" i="4"/>
  <c r="CQ244" i="4"/>
  <c r="CM244" i="4"/>
  <c r="CN244" i="4"/>
  <c r="CI236" i="4"/>
  <c r="CR244" i="4"/>
  <c r="CS244" i="4"/>
  <c r="CO236" i="4"/>
  <c r="CT244" i="4"/>
  <c r="CW244" i="4"/>
  <c r="CX244" i="4"/>
  <c r="CY244" i="4"/>
  <c r="CZ244" i="4"/>
  <c r="DA236" i="4"/>
  <c r="DC351" i="4" s="1"/>
  <c r="DD244" i="4"/>
  <c r="DE244" i="4"/>
  <c r="DJ244" i="4"/>
  <c r="DC244" i="4"/>
  <c r="DF244" i="4"/>
  <c r="DI244" i="4"/>
  <c r="DM237" i="4"/>
  <c r="FP237" i="4" s="1"/>
  <c r="P85" i="5" s="1"/>
  <c r="CG148" i="4"/>
  <c r="CG150" i="4" s="1"/>
  <c r="CG149" i="4" s="1"/>
  <c r="BH233" i="4"/>
  <c r="CN51" i="4"/>
  <c r="CU20" i="4"/>
  <c r="CE142" i="4"/>
  <c r="DD129" i="4"/>
  <c r="DD130" i="4" s="1"/>
  <c r="BB294" i="4"/>
  <c r="BN142" i="4"/>
  <c r="BM142" i="4"/>
  <c r="CW122" i="4"/>
  <c r="BI233" i="4"/>
  <c r="CR122" i="4"/>
  <c r="BG233" i="4"/>
  <c r="BU51" i="4"/>
  <c r="BN51" i="4"/>
  <c r="DA20" i="4"/>
  <c r="CO20" i="4"/>
  <c r="CK51" i="4"/>
  <c r="BS51" i="4"/>
  <c r="CI18" i="4"/>
  <c r="CT142" i="4"/>
  <c r="BW11" i="4"/>
  <c r="CA21" i="4"/>
  <c r="CQ122" i="4"/>
  <c r="CB142" i="4"/>
  <c r="CC18" i="4"/>
  <c r="CI11" i="4"/>
  <c r="BZ51" i="4"/>
  <c r="CQ51" i="4"/>
  <c r="CB19" i="4"/>
  <c r="CE233" i="4"/>
  <c r="CF233" i="4"/>
  <c r="CG233" i="4"/>
  <c r="CI232" i="4"/>
  <c r="CL233" i="4"/>
  <c r="CM233" i="4"/>
  <c r="CN233" i="4"/>
  <c r="CH41" i="4"/>
  <c r="CI41" i="4" s="1"/>
  <c r="DA41" i="4"/>
  <c r="CO41" i="4"/>
  <c r="CQ233" i="4"/>
  <c r="CR233" i="4"/>
  <c r="CS233" i="4"/>
  <c r="CT233" i="4"/>
  <c r="CX233" i="4"/>
  <c r="CZ233" i="4"/>
  <c r="CW233" i="4"/>
  <c r="CY233" i="4"/>
  <c r="DD233" i="4"/>
  <c r="DE233" i="4"/>
  <c r="DF233" i="4"/>
  <c r="DC233" i="4"/>
  <c r="DG233" i="4"/>
  <c r="DI233" i="4"/>
  <c r="DJ233" i="4"/>
  <c r="DM230" i="4"/>
  <c r="FP230" i="4" s="1"/>
  <c r="P96" i="5" s="1"/>
  <c r="DM231" i="4"/>
  <c r="FP231" i="4" s="1"/>
  <c r="P95" i="5" s="1"/>
  <c r="DM232" i="4"/>
  <c r="FP232" i="4" s="1"/>
  <c r="P97" i="5" s="1"/>
  <c r="CG21" i="4"/>
  <c r="CR21" i="4"/>
  <c r="BZ21" i="4"/>
  <c r="BV21" i="4"/>
  <c r="BU21" i="4"/>
  <c r="CU11" i="4"/>
  <c r="CC11" i="4"/>
  <c r="DG18" i="4"/>
  <c r="CO18" i="4"/>
  <c r="BS21" i="4"/>
  <c r="BW18" i="4"/>
  <c r="CX21" i="4"/>
  <c r="DA18" i="4"/>
  <c r="BQ18" i="4"/>
  <c r="CF19" i="4"/>
  <c r="BG11" i="4"/>
  <c r="CU41" i="4"/>
  <c r="CH19" i="4"/>
  <c r="CC20" i="4"/>
  <c r="BW20" i="4"/>
  <c r="BQ20" i="4"/>
  <c r="DD21" i="4"/>
  <c r="BS142" i="4"/>
  <c r="BH19" i="4"/>
  <c r="BG19" i="4"/>
  <c r="CW11" i="4"/>
  <c r="DA11" i="4" s="1"/>
  <c r="DC11" i="4"/>
  <c r="BH18" i="4"/>
  <c r="BG18" i="4"/>
  <c r="DG20" i="4"/>
  <c r="BN19" i="4"/>
  <c r="CU18" i="4"/>
  <c r="DD51" i="4"/>
  <c r="BT19" i="4"/>
  <c r="BO19" i="4"/>
  <c r="CK11" i="4"/>
  <c r="CO11" i="4" s="1"/>
  <c r="CE19" i="4"/>
  <c r="BP19" i="4"/>
  <c r="BO51" i="4"/>
  <c r="CW51" i="4"/>
  <c r="CE51" i="4"/>
  <c r="BM51" i="4"/>
  <c r="CX51" i="4"/>
  <c r="CF51" i="4"/>
  <c r="DC51" i="4"/>
  <c r="CY51" i="4"/>
  <c r="CO50" i="4"/>
  <c r="CZ51" i="4"/>
  <c r="BP51" i="4"/>
  <c r="CA51" i="4"/>
  <c r="BQ50" i="4"/>
  <c r="CB51" i="4"/>
  <c r="CR51" i="4"/>
  <c r="CL51" i="4"/>
  <c r="BT51" i="4"/>
  <c r="CC50" i="4"/>
  <c r="CM51" i="4"/>
  <c r="CU50" i="4"/>
  <c r="BQ30" i="4"/>
  <c r="BQ38" i="4"/>
  <c r="BQ11" i="4"/>
  <c r="BM21" i="4"/>
  <c r="BW38" i="4"/>
  <c r="BW30" i="4"/>
  <c r="CC38" i="4"/>
  <c r="CC30" i="4"/>
  <c r="BY21" i="4"/>
  <c r="CI30" i="4"/>
  <c r="CI38" i="4"/>
  <c r="CI20" i="4"/>
  <c r="CI50" i="4"/>
  <c r="CO38" i="4"/>
  <c r="CO30" i="4"/>
  <c r="CU30" i="4"/>
  <c r="CU38" i="4"/>
  <c r="CQ21" i="4"/>
  <c r="CS51" i="4"/>
  <c r="DA30" i="4"/>
  <c r="DA38" i="4"/>
  <c r="DA50" i="4"/>
  <c r="CW21" i="4"/>
  <c r="DG38" i="4"/>
  <c r="DG30" i="4"/>
  <c r="DG50" i="4"/>
  <c r="DC21" i="4"/>
  <c r="CO168" i="4"/>
  <c r="FL168" i="4" s="1"/>
  <c r="CX129" i="4"/>
  <c r="CX130" i="4" s="1"/>
  <c r="CB129" i="4"/>
  <c r="BO162" i="4"/>
  <c r="CS142" i="4"/>
  <c r="CA142" i="4"/>
  <c r="CK122" i="4"/>
  <c r="BO70" i="4"/>
  <c r="BO154" i="4" s="1"/>
  <c r="BK193" i="4"/>
  <c r="CB154" i="4"/>
  <c r="CN142" i="4"/>
  <c r="DC129" i="4"/>
  <c r="DC130" i="4" s="1"/>
  <c r="DC122" i="4"/>
  <c r="CA154" i="4"/>
  <c r="DD148" i="4"/>
  <c r="DD150" i="4" s="1"/>
  <c r="BZ154" i="4"/>
  <c r="BZ143" i="4" s="1"/>
  <c r="DC148" i="4"/>
  <c r="DC150" i="4" s="1"/>
  <c r="DC149" i="4" s="1"/>
  <c r="AS73" i="4"/>
  <c r="BN148" i="4"/>
  <c r="CB130" i="4"/>
  <c r="BE73" i="4"/>
  <c r="AG73" i="4"/>
  <c r="CL129" i="4"/>
  <c r="CL130" i="4" s="1"/>
  <c r="BQ71" i="4"/>
  <c r="FH71" i="4" s="1"/>
  <c r="T73" i="4"/>
  <c r="BZ129" i="4"/>
  <c r="BU154" i="4"/>
  <c r="DE148" i="4"/>
  <c r="DE150" i="4" s="1"/>
  <c r="BM208" i="4"/>
  <c r="BD294" i="4"/>
  <c r="CQ129" i="4"/>
  <c r="CQ130" i="4" s="1"/>
  <c r="CN129" i="4"/>
  <c r="CN130" i="4" s="1"/>
  <c r="CM129" i="4"/>
  <c r="CM130" i="4" s="1"/>
  <c r="BU148" i="4"/>
  <c r="BU150" i="4" s="1"/>
  <c r="BU149" i="4" s="1"/>
  <c r="BY129" i="4"/>
  <c r="CM148" i="4"/>
  <c r="CM150" i="4" s="1"/>
  <c r="CM149" i="4" s="1"/>
  <c r="BT148" i="4"/>
  <c r="BT150" i="4" s="1"/>
  <c r="AG193" i="4"/>
  <c r="BS148" i="4"/>
  <c r="BD295" i="4"/>
  <c r="BY130" i="4"/>
  <c r="DA193" i="4"/>
  <c r="AY193" i="4"/>
  <c r="DE142" i="4"/>
  <c r="CM142" i="4"/>
  <c r="DD142" i="4"/>
  <c r="CX148" i="4"/>
  <c r="CX150" i="4" s="1"/>
  <c r="CX149" i="4" s="1"/>
  <c r="CW148" i="4"/>
  <c r="CW150" i="4" s="1"/>
  <c r="CW149" i="4" s="1"/>
  <c r="CZ129" i="4"/>
  <c r="CZ130" i="4" s="1"/>
  <c r="BB293" i="4"/>
  <c r="BB288" i="4"/>
  <c r="CU72" i="4"/>
  <c r="FM72" i="4" s="1"/>
  <c r="BV142" i="4"/>
  <c r="BA288" i="4"/>
  <c r="BA293" i="4"/>
  <c r="BK168" i="4"/>
  <c r="FG168" i="4" s="1"/>
  <c r="BK181" i="4"/>
  <c r="FG181" i="4" s="1"/>
  <c r="FL123" i="4"/>
  <c r="DO41" i="4"/>
  <c r="CT148" i="4"/>
  <c r="CT150" i="4" s="1"/>
  <c r="CT149" i="4" s="1"/>
  <c r="FP72" i="4"/>
  <c r="AM73" i="4"/>
  <c r="AI217" i="4"/>
  <c r="AJ217" i="4" s="1"/>
  <c r="AK217" i="4" s="1"/>
  <c r="AL217" i="4" s="1"/>
  <c r="AO217" i="4" s="1"/>
  <c r="AP217" i="4" s="1"/>
  <c r="AQ217" i="4" s="1"/>
  <c r="AR217" i="4" s="1"/>
  <c r="BM70" i="4"/>
  <c r="BM154" i="4" s="1"/>
  <c r="DC142" i="4"/>
  <c r="BK71" i="4"/>
  <c r="FG71" i="4" s="1"/>
  <c r="DA168" i="4"/>
  <c r="FN168" i="4" s="1"/>
  <c r="FN123" i="4"/>
  <c r="N73" i="4"/>
  <c r="BE193" i="4"/>
  <c r="AM193" i="4"/>
  <c r="DA181" i="4"/>
  <c r="FN181" i="4" s="1"/>
  <c r="BQ181" i="4"/>
  <c r="FH181" i="4" s="1"/>
  <c r="BP162" i="4"/>
  <c r="CO181" i="4"/>
  <c r="FL181" i="4" s="1"/>
  <c r="CT176" i="4"/>
  <c r="CZ176" i="4" s="1"/>
  <c r="DF176" i="4" s="1"/>
  <c r="DL176" i="4" s="1"/>
  <c r="CO176" i="4"/>
  <c r="FL176" i="4" s="1"/>
  <c r="BB289" i="4"/>
  <c r="BA289" i="4"/>
  <c r="BA294" i="4"/>
  <c r="DJ52" i="4"/>
  <c r="AJ190" i="4"/>
  <c r="AJ187" i="4" s="1"/>
  <c r="AJ188" i="4" s="1"/>
  <c r="AK190" i="4"/>
  <c r="AK187" i="4" s="1"/>
  <c r="AK188" i="4" s="1"/>
  <c r="AI190" i="4"/>
  <c r="AI187" i="4" s="1"/>
  <c r="AI188" i="4" s="1"/>
  <c r="BC295" i="4"/>
  <c r="BC289" i="4"/>
  <c r="BD289" i="4"/>
  <c r="BC294" i="4"/>
  <c r="DA201" i="4"/>
  <c r="FN201" i="4" s="1"/>
  <c r="U193" i="4"/>
  <c r="DG181" i="4"/>
  <c r="FO181" i="4" s="1"/>
  <c r="DJ18" i="4"/>
  <c r="BW168" i="4"/>
  <c r="FI168" i="4" s="1"/>
  <c r="BS154" i="4"/>
  <c r="BW181" i="4"/>
  <c r="FI181" i="4" s="1"/>
  <c r="DA73" i="4"/>
  <c r="DI164" i="4"/>
  <c r="CZ142" i="4"/>
  <c r="CU201" i="4"/>
  <c r="FM201" i="4" s="1"/>
  <c r="FK123" i="4"/>
  <c r="BC293" i="4"/>
  <c r="CI168" i="4"/>
  <c r="FK168" i="4" s="1"/>
  <c r="CY129" i="4"/>
  <c r="CY130" i="4" s="1"/>
  <c r="CG129" i="4"/>
  <c r="CG130" i="4" s="1"/>
  <c r="BN208" i="4"/>
  <c r="CU193" i="4"/>
  <c r="AS193" i="4"/>
  <c r="FP181" i="4"/>
  <c r="DI20" i="4"/>
  <c r="DM20" i="4" s="1"/>
  <c r="AY73" i="4"/>
  <c r="CO201" i="4"/>
  <c r="FL201" i="4" s="1"/>
  <c r="AA193" i="4"/>
  <c r="CU181" i="4"/>
  <c r="FM181" i="4" s="1"/>
  <c r="FP168" i="4"/>
  <c r="CC168" i="4"/>
  <c r="FJ168" i="4" s="1"/>
  <c r="CF149" i="4"/>
  <c r="CS148" i="4"/>
  <c r="CA148" i="4"/>
  <c r="DI11" i="4"/>
  <c r="BY154" i="4"/>
  <c r="BY143" i="4" s="1"/>
  <c r="DG72" i="4"/>
  <c r="FO72" i="4" s="1"/>
  <c r="DG201" i="4"/>
  <c r="FO201" i="4" s="1"/>
  <c r="CI198" i="4"/>
  <c r="FK198" i="4" s="1"/>
  <c r="CC181" i="4"/>
  <c r="FJ181" i="4" s="1"/>
  <c r="BV154" i="4"/>
  <c r="DG198" i="4"/>
  <c r="FO198" i="4" s="1"/>
  <c r="CI193" i="4"/>
  <c r="DA198" i="4"/>
  <c r="FN198" i="4" s="1"/>
  <c r="BW193" i="4"/>
  <c r="BQ206" i="4"/>
  <c r="FH206" i="4" s="1"/>
  <c r="BD208" i="4"/>
  <c r="BP208" i="4"/>
  <c r="CZ148" i="4"/>
  <c r="CH148" i="4"/>
  <c r="BB295" i="4"/>
  <c r="BP174" i="4"/>
  <c r="BA295" i="4"/>
  <c r="CE174" i="4"/>
  <c r="BQ193" i="4"/>
  <c r="CC193" i="4"/>
  <c r="BO208" i="4"/>
  <c r="BQ207" i="4"/>
  <c r="FH207" i="4" s="1"/>
  <c r="CC198" i="4"/>
  <c r="FJ198" i="4" s="1"/>
  <c r="BK198" i="4"/>
  <c r="FG198" i="4" s="1"/>
  <c r="CO193" i="4"/>
  <c r="CX176" i="4"/>
  <c r="DD176" i="4" s="1"/>
  <c r="DJ176" i="4" s="1"/>
  <c r="DP176" i="4" s="1"/>
  <c r="BW198" i="4"/>
  <c r="FI198" i="4" s="1"/>
  <c r="CO198" i="4"/>
  <c r="FL198" i="4" s="1"/>
  <c r="CB174" i="4"/>
  <c r="CY176" i="4"/>
  <c r="DE176" i="4" s="1"/>
  <c r="DK176" i="4" s="1"/>
  <c r="BO174" i="4"/>
  <c r="BQ168" i="4"/>
  <c r="FH168" i="4" s="1"/>
  <c r="CU198" i="4"/>
  <c r="FM198" i="4" s="1"/>
  <c r="CI181" i="4"/>
  <c r="FK181" i="4" s="1"/>
  <c r="BT174" i="4"/>
  <c r="CU168" i="4"/>
  <c r="FM168" i="4" s="1"/>
  <c r="BQ198" i="4"/>
  <c r="FH198" i="4" s="1"/>
  <c r="CH174" i="4"/>
  <c r="BJ162" i="4"/>
  <c r="CB149" i="4"/>
  <c r="CF174" i="4"/>
  <c r="BI162" i="4"/>
  <c r="DG168" i="4"/>
  <c r="FO168" i="4" s="1"/>
  <c r="CT177" i="4"/>
  <c r="CO177" i="4"/>
  <c r="FL177" i="4" s="1"/>
  <c r="FO123" i="4"/>
  <c r="CU73" i="4"/>
  <c r="AL190" i="4"/>
  <c r="BM172" i="4"/>
  <c r="BN162" i="4"/>
  <c r="DC176" i="4"/>
  <c r="DI176" i="4" s="1"/>
  <c r="DO176" i="4" s="1"/>
  <c r="DU176" i="4" s="1"/>
  <c r="BJ172" i="4"/>
  <c r="BI172" i="4"/>
  <c r="CL150" i="4"/>
  <c r="CL149" i="4" s="1"/>
  <c r="BM149" i="4"/>
  <c r="FM123" i="4"/>
  <c r="BM162" i="4"/>
  <c r="BK73" i="4"/>
  <c r="BH70" i="4"/>
  <c r="DG73" i="4"/>
  <c r="CC71" i="4"/>
  <c r="FJ71" i="4" s="1"/>
  <c r="CO72" i="4"/>
  <c r="FL72" i="4" s="1"/>
  <c r="CI122" i="4"/>
  <c r="FK122" i="4" s="1"/>
  <c r="CO73" i="4"/>
  <c r="CO71" i="4"/>
  <c r="FL71" i="4" s="1"/>
  <c r="BW71" i="4"/>
  <c r="FI71" i="4" s="1"/>
  <c r="BW73" i="4"/>
  <c r="BT154" i="4"/>
  <c r="BP70" i="4"/>
  <c r="CI72" i="4"/>
  <c r="FK72" i="4" s="1"/>
  <c r="CI73" i="4"/>
  <c r="CI71" i="4"/>
  <c r="FK71" i="4" s="1"/>
  <c r="BN70" i="4"/>
  <c r="BN154" i="4" s="1"/>
  <c r="BQ73" i="4"/>
  <c r="CC73" i="4"/>
  <c r="DA72" i="4"/>
  <c r="FN72" i="4" s="1"/>
  <c r="DE21" i="4" l="1"/>
  <c r="DF21" i="4"/>
  <c r="FP216" i="4"/>
  <c r="DI177" i="4"/>
  <c r="DJ177" i="4"/>
  <c r="DK177" i="4"/>
  <c r="CY149" i="4"/>
  <c r="CY144" i="4" s="1"/>
  <c r="CY145" i="4" s="1"/>
  <c r="W52" i="9"/>
  <c r="W92" i="9" s="1"/>
  <c r="DG118" i="9"/>
  <c r="DC319" i="9"/>
  <c r="CH403" i="9"/>
  <c r="CG403" i="9"/>
  <c r="CF403" i="9"/>
  <c r="CU134" i="9"/>
  <c r="CU55" i="9"/>
  <c r="CU59" i="9" s="1"/>
  <c r="DA134" i="9"/>
  <c r="DA55" i="9"/>
  <c r="DA59" i="9" s="1"/>
  <c r="DM18" i="9"/>
  <c r="DG55" i="9"/>
  <c r="DG59" i="9" s="1"/>
  <c r="DA37" i="9"/>
  <c r="EA176" i="4"/>
  <c r="BU50" i="9"/>
  <c r="BU90" i="9" s="1"/>
  <c r="BU49" i="9"/>
  <c r="FF8" i="9"/>
  <c r="CO134" i="9"/>
  <c r="DE132" i="9"/>
  <c r="DF132" i="9" s="1"/>
  <c r="DG132" i="9" s="1"/>
  <c r="CS21" i="4"/>
  <c r="DG134" i="9"/>
  <c r="DG133" i="9"/>
  <c r="CZ87" i="9"/>
  <c r="CG87" i="9"/>
  <c r="DE87" i="9"/>
  <c r="CY87" i="9"/>
  <c r="CL87" i="9"/>
  <c r="CF87" i="9"/>
  <c r="CN87" i="9"/>
  <c r="CT87" i="9"/>
  <c r="DF87" i="9"/>
  <c r="CQ47" i="9"/>
  <c r="CQ48" i="9" s="1"/>
  <c r="CQ61" i="9" s="1"/>
  <c r="CW47" i="9"/>
  <c r="CW48" i="9" s="1"/>
  <c r="CW61" i="9" s="1"/>
  <c r="CR47" i="9"/>
  <c r="CR48" i="9" s="1"/>
  <c r="CR61" i="9" s="1"/>
  <c r="DD51" i="9"/>
  <c r="DD91" i="9" s="1"/>
  <c r="DD47" i="9"/>
  <c r="DD48" i="9" s="1"/>
  <c r="DD61" i="9" s="1"/>
  <c r="CM47" i="9"/>
  <c r="CH47" i="9"/>
  <c r="CX47" i="9"/>
  <c r="CX48" i="9" s="1"/>
  <c r="CX61" i="9" s="1"/>
  <c r="CE47" i="9"/>
  <c r="CS47" i="9"/>
  <c r="DC56" i="9"/>
  <c r="DC47" i="9"/>
  <c r="DC48" i="9" s="1"/>
  <c r="DC61" i="9" s="1"/>
  <c r="AW47" i="9"/>
  <c r="CK47" i="9"/>
  <c r="CH56" i="9"/>
  <c r="AX47" i="9"/>
  <c r="AX60" i="9" s="1"/>
  <c r="BM51" i="9"/>
  <c r="BM91" i="9" s="1"/>
  <c r="BM52" i="9"/>
  <c r="BM92" i="9" s="1"/>
  <c r="BH164" i="4"/>
  <c r="CR52" i="9"/>
  <c r="CR92" i="9" s="1"/>
  <c r="CR49" i="9"/>
  <c r="CA50" i="9"/>
  <c r="CA90" i="9" s="1"/>
  <c r="BZ47" i="9"/>
  <c r="CR51" i="9"/>
  <c r="CR91" i="9" s="1"/>
  <c r="CA47" i="9"/>
  <c r="CA87" i="9" s="1"/>
  <c r="CA52" i="9"/>
  <c r="CA92" i="9" s="1"/>
  <c r="CR401" i="9"/>
  <c r="CA49" i="9"/>
  <c r="FQ20" i="4"/>
  <c r="DG116" i="9"/>
  <c r="CX38" i="9"/>
  <c r="BH375" i="4"/>
  <c r="BH51" i="4"/>
  <c r="BH61" i="4"/>
  <c r="BH290" i="4"/>
  <c r="Q134" i="5"/>
  <c r="BY144" i="4"/>
  <c r="BY145" i="4" s="1"/>
  <c r="BJ26" i="4"/>
  <c r="BJ34" i="4" s="1"/>
  <c r="P146" i="5"/>
  <c r="CT21" i="4"/>
  <c r="Q154" i="5"/>
  <c r="Q140" i="5"/>
  <c r="CY21" i="4"/>
  <c r="DS365" i="4"/>
  <c r="FQ365" i="4" s="1"/>
  <c r="DS314" i="4"/>
  <c r="FQ314" i="4" s="1"/>
  <c r="DS310" i="4"/>
  <c r="FQ310" i="4" s="1"/>
  <c r="DR176" i="4"/>
  <c r="DX176" i="4" s="1"/>
  <c r="ED176" i="4" s="1"/>
  <c r="EJ176" i="4" s="1"/>
  <c r="BK38" i="4"/>
  <c r="BU52" i="9"/>
  <c r="BU92" i="9" s="1"/>
  <c r="CH49" i="9"/>
  <c r="CH89" i="9" s="1"/>
  <c r="CH52" i="9"/>
  <c r="CH92" i="9" s="1"/>
  <c r="CH401" i="9"/>
  <c r="BN47" i="9"/>
  <c r="BU47" i="9"/>
  <c r="BK30" i="4"/>
  <c r="CM122" i="4"/>
  <c r="CH50" i="9"/>
  <c r="CH90" i="9" s="1"/>
  <c r="BU51" i="9"/>
  <c r="BU91" i="9" s="1"/>
  <c r="CH51" i="9"/>
  <c r="CH91" i="9" s="1"/>
  <c r="CH402" i="9"/>
  <c r="BN50" i="9"/>
  <c r="BN90" i="9" s="1"/>
  <c r="AX89" i="9"/>
  <c r="CR50" i="9"/>
  <c r="CR90" i="9" s="1"/>
  <c r="CR56" i="9"/>
  <c r="CA54" i="9"/>
  <c r="CA51" i="9"/>
  <c r="CA91" i="9" s="1"/>
  <c r="BI61" i="4"/>
  <c r="BI21" i="4"/>
  <c r="BI51" i="4"/>
  <c r="BJ21" i="4"/>
  <c r="BI26" i="4"/>
  <c r="BI34" i="4" s="1"/>
  <c r="BI375" i="4"/>
  <c r="BK11" i="4"/>
  <c r="BJ375" i="4"/>
  <c r="CK21" i="4"/>
  <c r="BK20" i="4"/>
  <c r="BI288" i="4"/>
  <c r="BJ51" i="4"/>
  <c r="BJ61" i="4"/>
  <c r="DY310" i="4"/>
  <c r="FR310" i="4" s="1"/>
  <c r="DY259" i="4"/>
  <c r="FR259" i="4" s="1"/>
  <c r="R113" i="5" s="1"/>
  <c r="BN49" i="9"/>
  <c r="BN52" i="9"/>
  <c r="BN92" i="9" s="1"/>
  <c r="BN51" i="9"/>
  <c r="BN91" i="9" s="1"/>
  <c r="BV47" i="9"/>
  <c r="BV50" i="9"/>
  <c r="BV90" i="9" s="1"/>
  <c r="BV49" i="9"/>
  <c r="BV51" i="9"/>
  <c r="BV91" i="9" s="1"/>
  <c r="BV52" i="9"/>
  <c r="BV92" i="9" s="1"/>
  <c r="DC109" i="9"/>
  <c r="DF127" i="9"/>
  <c r="DF129" i="9" s="1"/>
  <c r="BM49" i="9"/>
  <c r="BM47" i="9"/>
  <c r="BM87" i="9" s="1"/>
  <c r="CK56" i="9"/>
  <c r="BM50" i="9"/>
  <c r="CW401" i="9"/>
  <c r="CR39" i="9"/>
  <c r="CK50" i="9"/>
  <c r="CK90" i="9" s="1"/>
  <c r="CK401" i="9"/>
  <c r="CK49" i="9"/>
  <c r="CK89" i="9" s="1"/>
  <c r="CK52" i="9"/>
  <c r="CK92" i="9" s="1"/>
  <c r="CK51" i="9"/>
  <c r="CK91" i="9" s="1"/>
  <c r="CK54" i="9"/>
  <c r="CW49" i="9"/>
  <c r="CW51" i="9"/>
  <c r="CW91" i="9" s="1"/>
  <c r="CW56" i="9"/>
  <c r="CW50" i="9"/>
  <c r="CW90" i="9" s="1"/>
  <c r="CW52" i="9"/>
  <c r="CW92" i="9" s="1"/>
  <c r="BZ50" i="9"/>
  <c r="BZ90" i="9" s="1"/>
  <c r="BZ52" i="9"/>
  <c r="BZ92" i="9" s="1"/>
  <c r="BZ51" i="9"/>
  <c r="BZ91" i="9" s="1"/>
  <c r="BZ54" i="9"/>
  <c r="BZ49" i="9"/>
  <c r="BB89" i="9"/>
  <c r="G139" i="5"/>
  <c r="DG19" i="4"/>
  <c r="DG21" i="4" s="1"/>
  <c r="CL21" i="4"/>
  <c r="CL38" i="9"/>
  <c r="CU19" i="4"/>
  <c r="CU21" i="4" s="1"/>
  <c r="CH21" i="4"/>
  <c r="CC19" i="4"/>
  <c r="CC21" i="4" s="1"/>
  <c r="BP21" i="4"/>
  <c r="BO21" i="4"/>
  <c r="CZ21" i="4"/>
  <c r="CF124" i="4"/>
  <c r="CF125" i="4" s="1"/>
  <c r="CF132" i="4" s="1"/>
  <c r="CF133" i="4" s="1"/>
  <c r="BG61" i="4"/>
  <c r="DC49" i="9"/>
  <c r="Q112" i="5"/>
  <c r="BS50" i="9"/>
  <c r="BS90" i="9" s="1"/>
  <c r="DG125" i="9"/>
  <c r="DI125" i="9" s="1"/>
  <c r="DK125" i="9" s="1"/>
  <c r="CY122" i="4"/>
  <c r="BW19" i="4"/>
  <c r="BW21" i="4" s="1"/>
  <c r="BN21" i="4"/>
  <c r="CN21" i="4"/>
  <c r="Q97" i="5"/>
  <c r="Q96" i="5"/>
  <c r="CB49" i="9"/>
  <c r="CB89" i="9" s="1"/>
  <c r="CG49" i="9"/>
  <c r="CG89" i="9" s="1"/>
  <c r="BV375" i="4"/>
  <c r="CM21" i="4"/>
  <c r="DE50" i="9"/>
  <c r="DE90" i="9" s="1"/>
  <c r="DD49" i="9"/>
  <c r="Q85" i="5"/>
  <c r="CN49" i="9"/>
  <c r="CN89" i="9" s="1"/>
  <c r="DE122" i="4"/>
  <c r="BQ148" i="4"/>
  <c r="CF21" i="4"/>
  <c r="Q95" i="5"/>
  <c r="DA19" i="4"/>
  <c r="DA21" i="4" s="1"/>
  <c r="Q88" i="5"/>
  <c r="Q111" i="5"/>
  <c r="BT49" i="9"/>
  <c r="CQ38" i="9"/>
  <c r="FH46" i="9"/>
  <c r="CL52" i="9"/>
  <c r="CL92" i="9" s="1"/>
  <c r="DD52" i="9"/>
  <c r="DD86" i="4" s="1"/>
  <c r="DD112" i="4" s="1"/>
  <c r="DF38" i="9"/>
  <c r="EV10" i="9"/>
  <c r="CS122" i="4"/>
  <c r="AA50" i="9"/>
  <c r="AA90" i="9" s="1"/>
  <c r="CS38" i="9"/>
  <c r="CM39" i="9"/>
  <c r="M87" i="5"/>
  <c r="M303" i="5" s="1"/>
  <c r="N165" i="5"/>
  <c r="O87" i="5"/>
  <c r="O303" i="5" s="1"/>
  <c r="CO19" i="4"/>
  <c r="CO21" i="4" s="1"/>
  <c r="DG41" i="4"/>
  <c r="CU244" i="4"/>
  <c r="N87" i="5"/>
  <c r="N238" i="5" s="1"/>
  <c r="DG244" i="4"/>
  <c r="L87" i="5"/>
  <c r="L238" i="5" s="1"/>
  <c r="M165" i="5"/>
  <c r="O165" i="5"/>
  <c r="L165" i="5"/>
  <c r="CI142" i="4"/>
  <c r="FK142" i="4" s="1"/>
  <c r="CN38" i="9"/>
  <c r="DC52" i="9"/>
  <c r="DC86" i="4" s="1"/>
  <c r="DC112" i="4" s="1"/>
  <c r="DD56" i="9"/>
  <c r="DC50" i="9"/>
  <c r="DC84" i="4" s="1"/>
  <c r="DC110" i="4" s="1"/>
  <c r="DD50" i="9"/>
  <c r="DD84" i="4" s="1"/>
  <c r="DD110" i="4" s="1"/>
  <c r="DC401" i="9"/>
  <c r="DC51" i="9"/>
  <c r="DC85" i="4" s="1"/>
  <c r="DC111" i="4" s="1"/>
  <c r="DD401" i="9"/>
  <c r="DV176" i="4"/>
  <c r="EB176" i="4" s="1"/>
  <c r="EH176" i="4" s="1"/>
  <c r="DQ176" i="4"/>
  <c r="DW176" i="4" s="1"/>
  <c r="EC176" i="4" s="1"/>
  <c r="EI176" i="4" s="1"/>
  <c r="K241" i="5"/>
  <c r="K303" i="5"/>
  <c r="DM176" i="4"/>
  <c r="DM201" i="4"/>
  <c r="FP201" i="4" s="1"/>
  <c r="DL41" i="4"/>
  <c r="DM41" i="4" s="1"/>
  <c r="CU172" i="4"/>
  <c r="FM172" i="4" s="1"/>
  <c r="DD38" i="9"/>
  <c r="DJ38" i="9"/>
  <c r="CY38" i="9"/>
  <c r="CT38" i="9"/>
  <c r="DE38" i="9"/>
  <c r="DK38" i="9"/>
  <c r="CM38" i="9"/>
  <c r="CR38" i="9"/>
  <c r="EW19" i="9"/>
  <c r="BE50" i="9"/>
  <c r="BE90" i="9" s="1"/>
  <c r="DC38" i="9"/>
  <c r="DI38" i="9"/>
  <c r="CW38" i="9"/>
  <c r="AY49" i="9"/>
  <c r="AY89" i="9" s="1"/>
  <c r="CK39" i="9"/>
  <c r="CK38" i="9"/>
  <c r="CZ38" i="9"/>
  <c r="FI74" i="9"/>
  <c r="EX19" i="9"/>
  <c r="BB90" i="9"/>
  <c r="BC90" i="9" s="1"/>
  <c r="DE81" i="4"/>
  <c r="CE26" i="9"/>
  <c r="CE25" i="9"/>
  <c r="BA89" i="9"/>
  <c r="AW89" i="9"/>
  <c r="BE51" i="9"/>
  <c r="BE91" i="9" s="1"/>
  <c r="BC89" i="9"/>
  <c r="AY51" i="9"/>
  <c r="AY91" i="9" s="1"/>
  <c r="DF39" i="9"/>
  <c r="DE52" i="9"/>
  <c r="DE92" i="9" s="1"/>
  <c r="FE9" i="9"/>
  <c r="DF401" i="9"/>
  <c r="AS52" i="9"/>
  <c r="AS92" i="9" s="1"/>
  <c r="DE49" i="9"/>
  <c r="DE56" i="9"/>
  <c r="DE51" i="9"/>
  <c r="DE91" i="9" s="1"/>
  <c r="DF50" i="9"/>
  <c r="CO18" i="9"/>
  <c r="DE401" i="9"/>
  <c r="DF52" i="9"/>
  <c r="DF92" i="9" s="1"/>
  <c r="AG49" i="9"/>
  <c r="DF49" i="9"/>
  <c r="BA47" i="9"/>
  <c r="DF51" i="9"/>
  <c r="DF91" i="9" s="1"/>
  <c r="EY10" i="9"/>
  <c r="DF56" i="9"/>
  <c r="BB60" i="9"/>
  <c r="BV149" i="4"/>
  <c r="BV143" i="4" s="1"/>
  <c r="BV144" i="4" s="1"/>
  <c r="BV145" i="4" s="1"/>
  <c r="DG89" i="4"/>
  <c r="FO89" i="4" s="1"/>
  <c r="DC115" i="4"/>
  <c r="DG115" i="4" s="1"/>
  <c r="DI15" i="9"/>
  <c r="CL51" i="9"/>
  <c r="CL91" i="9" s="1"/>
  <c r="BH15" i="9"/>
  <c r="DI179" i="4"/>
  <c r="DI170" i="4"/>
  <c r="DI163" i="4"/>
  <c r="DM18" i="4"/>
  <c r="CE137" i="4"/>
  <c r="O140" i="5"/>
  <c r="BG51" i="4"/>
  <c r="O98" i="5"/>
  <c r="O100" i="5" s="1"/>
  <c r="J241" i="5"/>
  <c r="N140" i="5"/>
  <c r="CK149" i="4"/>
  <c r="CK137" i="4" s="1"/>
  <c r="O139" i="5"/>
  <c r="BY47" i="9"/>
  <c r="L140" i="5"/>
  <c r="CR20" i="9"/>
  <c r="M146" i="5"/>
  <c r="CM401" i="9"/>
  <c r="BS49" i="9"/>
  <c r="CM54" i="9"/>
  <c r="K139" i="5"/>
  <c r="CI19" i="9"/>
  <c r="BK18" i="9"/>
  <c r="H139" i="5"/>
  <c r="L146" i="5"/>
  <c r="K140" i="5"/>
  <c r="G146" i="5"/>
  <c r="H146" i="5"/>
  <c r="CT401" i="9"/>
  <c r="FM244" i="4"/>
  <c r="M90" i="5" s="1"/>
  <c r="BT50" i="9"/>
  <c r="BT90" i="9" s="1"/>
  <c r="W15" i="9"/>
  <c r="AA39" i="9"/>
  <c r="FB82" i="9"/>
  <c r="AM20" i="9"/>
  <c r="BE20" i="9"/>
  <c r="I139" i="5"/>
  <c r="O146" i="5"/>
  <c r="CH288" i="4"/>
  <c r="CI283" i="4"/>
  <c r="FK283" i="4" s="1"/>
  <c r="G102" i="5"/>
  <c r="O102" i="5"/>
  <c r="M139" i="5"/>
  <c r="J139" i="5"/>
  <c r="K146" i="5"/>
  <c r="N146" i="5"/>
  <c r="BP288" i="4"/>
  <c r="BQ283" i="4"/>
  <c r="FH283" i="4" s="1"/>
  <c r="N102" i="5"/>
  <c r="M140" i="5"/>
  <c r="L102" i="5"/>
  <c r="I146" i="5"/>
  <c r="J102" i="5"/>
  <c r="J122" i="5"/>
  <c r="J146" i="5"/>
  <c r="BJ288" i="4"/>
  <c r="BK283" i="4"/>
  <c r="FG283" i="4" s="1"/>
  <c r="BV290" i="4"/>
  <c r="BW285" i="4"/>
  <c r="FI285" i="4" s="1"/>
  <c r="I102" i="5"/>
  <c r="L139" i="5"/>
  <c r="CN288" i="4"/>
  <c r="CO283" i="4"/>
  <c r="FL283" i="4" s="1"/>
  <c r="H102" i="5"/>
  <c r="H122" i="5"/>
  <c r="BV288" i="4"/>
  <c r="BW283" i="4"/>
  <c r="FI283" i="4" s="1"/>
  <c r="DF288" i="4"/>
  <c r="DG283" i="4"/>
  <c r="FO283" i="4" s="1"/>
  <c r="N139" i="5"/>
  <c r="P140" i="5"/>
  <c r="CB288" i="4"/>
  <c r="CC283" i="4"/>
  <c r="FJ283" i="4" s="1"/>
  <c r="CO37" i="9"/>
  <c r="AM49" i="9"/>
  <c r="BD89" i="9"/>
  <c r="BE49" i="9"/>
  <c r="BE89" i="9" s="1"/>
  <c r="FJ76" i="9"/>
  <c r="BS51" i="9"/>
  <c r="BS91" i="9" s="1"/>
  <c r="CH295" i="4"/>
  <c r="CH294" i="4"/>
  <c r="CT294" i="4"/>
  <c r="CT295" i="4"/>
  <c r="DJ294" i="4"/>
  <c r="CY294" i="4"/>
  <c r="BM294" i="4"/>
  <c r="BM295" i="4"/>
  <c r="CG15" i="9"/>
  <c r="CF294" i="4"/>
  <c r="CF295" i="4"/>
  <c r="CI37" i="9"/>
  <c r="FE37" i="9" s="1"/>
  <c r="CN294" i="4"/>
  <c r="CN295" i="4"/>
  <c r="BH20" i="9"/>
  <c r="BH295" i="4"/>
  <c r="BH294" i="4"/>
  <c r="BS295" i="4"/>
  <c r="BS294" i="4"/>
  <c r="BY295" i="4"/>
  <c r="BY294" i="4"/>
  <c r="BO39" i="9"/>
  <c r="BO294" i="4"/>
  <c r="BO295" i="4"/>
  <c r="CM294" i="4"/>
  <c r="EY18" i="9"/>
  <c r="CG294" i="4"/>
  <c r="CG295" i="4"/>
  <c r="CW294" i="4"/>
  <c r="CR15" i="9"/>
  <c r="CQ294" i="4"/>
  <c r="CG20" i="9"/>
  <c r="CA295" i="4"/>
  <c r="CA294" i="4"/>
  <c r="BV15" i="9"/>
  <c r="BU294" i="4"/>
  <c r="BU295" i="4"/>
  <c r="CR294" i="4"/>
  <c r="DF294" i="4"/>
  <c r="DF295" i="4"/>
  <c r="CE294" i="4"/>
  <c r="CE295" i="4"/>
  <c r="BV295" i="4"/>
  <c r="BV294" i="4"/>
  <c r="CK295" i="4"/>
  <c r="CK294" i="4"/>
  <c r="DE294" i="4"/>
  <c r="DI294" i="4"/>
  <c r="BJ294" i="4"/>
  <c r="BJ295" i="4"/>
  <c r="BI295" i="4"/>
  <c r="BI294" i="4"/>
  <c r="CZ295" i="4"/>
  <c r="CZ294" i="4"/>
  <c r="BN294" i="4"/>
  <c r="BN295" i="4"/>
  <c r="CX294" i="4"/>
  <c r="BZ295" i="4"/>
  <c r="BZ294" i="4"/>
  <c r="BT295" i="4"/>
  <c r="BT294" i="4"/>
  <c r="BP295" i="4"/>
  <c r="BP294" i="4"/>
  <c r="CB294" i="4"/>
  <c r="CB295" i="4"/>
  <c r="CY20" i="9"/>
  <c r="CS294" i="4"/>
  <c r="CF402" i="9"/>
  <c r="DD294" i="4"/>
  <c r="DC294" i="4"/>
  <c r="BG295" i="4"/>
  <c r="BG294" i="4"/>
  <c r="CL294" i="4"/>
  <c r="DA142" i="4"/>
  <c r="FN142" i="4" s="1"/>
  <c r="BP13" i="4"/>
  <c r="BP173" i="4"/>
  <c r="BP293" i="4"/>
  <c r="CH13" i="4"/>
  <c r="CH14" i="4" s="1"/>
  <c r="CH173" i="4"/>
  <c r="CH293" i="4"/>
  <c r="BN13" i="4"/>
  <c r="BN14" i="4" s="1"/>
  <c r="BN173" i="4"/>
  <c r="BN293" i="4"/>
  <c r="BO13" i="4"/>
  <c r="BO173" i="4"/>
  <c r="BO293" i="4"/>
  <c r="CM13" i="4"/>
  <c r="CM173" i="4"/>
  <c r="CM293" i="4"/>
  <c r="CB13" i="4"/>
  <c r="CB14" i="4" s="1"/>
  <c r="CB293" i="4"/>
  <c r="CB173" i="4"/>
  <c r="DI293" i="4"/>
  <c r="H241" i="5"/>
  <c r="BG375" i="4"/>
  <c r="DG11" i="4"/>
  <c r="FI76" i="9"/>
  <c r="CF54" i="9"/>
  <c r="DI288" i="4"/>
  <c r="FF76" i="9"/>
  <c r="FH74" i="9"/>
  <c r="CY52" i="9"/>
  <c r="CY92" i="9" s="1"/>
  <c r="DI289" i="4"/>
  <c r="FI244" i="4"/>
  <c r="I90" i="5" s="1"/>
  <c r="I86" i="5"/>
  <c r="I238" i="5" s="1"/>
  <c r="I241" i="5" s="1"/>
  <c r="CO208" i="4"/>
  <c r="FL208" i="4" s="1"/>
  <c r="CO61" i="4"/>
  <c r="FL61" i="4" s="1"/>
  <c r="L30" i="5" s="1"/>
  <c r="BQ61" i="4"/>
  <c r="FH61" i="4" s="1"/>
  <c r="H30" i="5" s="1"/>
  <c r="CC61" i="4"/>
  <c r="FJ61" i="4" s="1"/>
  <c r="J30" i="5" s="1"/>
  <c r="CI61" i="4"/>
  <c r="FK61" i="4" s="1"/>
  <c r="K30" i="5" s="1"/>
  <c r="DG61" i="4"/>
  <c r="DA61" i="4"/>
  <c r="FN61" i="4" s="1"/>
  <c r="N30" i="5" s="1"/>
  <c r="CU61" i="4"/>
  <c r="FM61" i="4" s="1"/>
  <c r="M30" i="5" s="1"/>
  <c r="BV61" i="4"/>
  <c r="CC208" i="4"/>
  <c r="FJ208" i="4" s="1"/>
  <c r="CI208" i="4"/>
  <c r="FK208" i="4" s="1"/>
  <c r="BK208" i="4"/>
  <c r="FG208" i="4" s="1"/>
  <c r="DG208" i="4"/>
  <c r="FO208" i="4" s="1"/>
  <c r="BW208" i="4"/>
  <c r="FI208" i="4" s="1"/>
  <c r="BV51" i="4"/>
  <c r="BW51" i="4" s="1"/>
  <c r="BW50" i="4"/>
  <c r="BW61" i="4" s="1"/>
  <c r="FI61" i="4" s="1"/>
  <c r="I30" i="5" s="1"/>
  <c r="DA208" i="4"/>
  <c r="FN208" i="4" s="1"/>
  <c r="CU208" i="4"/>
  <c r="FM208" i="4" s="1"/>
  <c r="CO188" i="4"/>
  <c r="CU187" i="4"/>
  <c r="DG187" i="4"/>
  <c r="DA188" i="4"/>
  <c r="BG188" i="4"/>
  <c r="BG187" i="4" s="1"/>
  <c r="BH188" i="4"/>
  <c r="BH187" i="4" s="1"/>
  <c r="BI188" i="4"/>
  <c r="BI187" i="4" s="1"/>
  <c r="O39" i="9"/>
  <c r="BG60" i="9"/>
  <c r="BG51" i="9"/>
  <c r="BG49" i="9"/>
  <c r="BG52" i="9"/>
  <c r="BG50" i="9"/>
  <c r="AU90" i="9"/>
  <c r="AY50" i="9"/>
  <c r="BA92" i="9"/>
  <c r="BE52" i="9"/>
  <c r="AM50" i="9"/>
  <c r="CT51" i="9"/>
  <c r="CT91" i="9" s="1"/>
  <c r="CK15" i="9"/>
  <c r="CK20" i="9"/>
  <c r="DD39" i="9"/>
  <c r="BN39" i="9"/>
  <c r="CL39" i="9"/>
  <c r="BJ15" i="9"/>
  <c r="BJ20" i="9"/>
  <c r="FG9" i="9"/>
  <c r="CU19" i="9"/>
  <c r="BI51" i="9"/>
  <c r="BI91" i="9" s="1"/>
  <c r="BI49" i="9"/>
  <c r="BI52" i="9"/>
  <c r="BI92" i="9" s="1"/>
  <c r="FH76" i="9"/>
  <c r="CO82" i="9"/>
  <c r="FF74" i="9"/>
  <c r="FC76" i="9"/>
  <c r="AO89" i="9"/>
  <c r="AS49" i="9"/>
  <c r="CB47" i="9"/>
  <c r="CB87" i="9" s="1"/>
  <c r="BQ37" i="9"/>
  <c r="BM39" i="9"/>
  <c r="CO19" i="9"/>
  <c r="FF9" i="9"/>
  <c r="BQ18" i="9"/>
  <c r="BQ10" i="9"/>
  <c r="FB8" i="9"/>
  <c r="FB18" i="9" s="1"/>
  <c r="BP20" i="9"/>
  <c r="BP39" i="9"/>
  <c r="BP15" i="9"/>
  <c r="EZ19" i="9"/>
  <c r="EZ10" i="9"/>
  <c r="CY39" i="9"/>
  <c r="CC82" i="9"/>
  <c r="FD74" i="9"/>
  <c r="FF46" i="9"/>
  <c r="CX401" i="9"/>
  <c r="CX51" i="9"/>
  <c r="CX91" i="9" s="1"/>
  <c r="CX52" i="9"/>
  <c r="CX92" i="9" s="1"/>
  <c r="CX50" i="9"/>
  <c r="CX90" i="9" s="1"/>
  <c r="CX56" i="9"/>
  <c r="CX49" i="9"/>
  <c r="DE39" i="9"/>
  <c r="CB39" i="9"/>
  <c r="CX39" i="9"/>
  <c r="DG10" i="9"/>
  <c r="FI8" i="9"/>
  <c r="FI422" i="9" s="1"/>
  <c r="DG18" i="9"/>
  <c r="CW39" i="9"/>
  <c r="FB9" i="9"/>
  <c r="BQ19" i="9"/>
  <c r="CF39" i="9"/>
  <c r="AS51" i="9"/>
  <c r="AC91" i="9"/>
  <c r="AG51" i="9"/>
  <c r="DG82" i="9"/>
  <c r="DC39" i="9"/>
  <c r="DD20" i="9"/>
  <c r="DD15" i="9"/>
  <c r="AS20" i="9"/>
  <c r="CT20" i="9"/>
  <c r="CT15" i="9"/>
  <c r="EW18" i="9"/>
  <c r="EW10" i="9"/>
  <c r="CS401" i="9"/>
  <c r="CS51" i="9"/>
  <c r="CS91" i="9" s="1"/>
  <c r="CS49" i="9"/>
  <c r="CS50" i="9"/>
  <c r="CS90" i="9" s="1"/>
  <c r="CS56" i="9"/>
  <c r="DA10" i="9"/>
  <c r="DA18" i="9"/>
  <c r="FH8" i="9"/>
  <c r="K91" i="9"/>
  <c r="BE39" i="9"/>
  <c r="W91" i="9"/>
  <c r="AA51" i="9"/>
  <c r="CB51" i="9"/>
  <c r="CB91" i="9" s="1"/>
  <c r="CB50" i="9"/>
  <c r="CB90" i="9" s="1"/>
  <c r="CB54" i="9"/>
  <c r="T51" i="9"/>
  <c r="T91" i="9" s="1"/>
  <c r="T52" i="9"/>
  <c r="T92" i="9" s="1"/>
  <c r="T50" i="9"/>
  <c r="AS39" i="9"/>
  <c r="CH15" i="9"/>
  <c r="CH20" i="9"/>
  <c r="N39" i="9"/>
  <c r="CG402" i="9"/>
  <c r="CG401" i="9"/>
  <c r="CG52" i="9"/>
  <c r="CG92" i="9" s="1"/>
  <c r="CG50" i="9"/>
  <c r="CG90" i="9" s="1"/>
  <c r="CG56" i="9"/>
  <c r="CG54" i="9"/>
  <c r="CG51" i="9"/>
  <c r="CG91" i="9" s="1"/>
  <c r="BZ39" i="9"/>
  <c r="CT52" i="9"/>
  <c r="CT92" i="9" s="1"/>
  <c r="CT50" i="9"/>
  <c r="CT90" i="9" s="1"/>
  <c r="CT56" i="9"/>
  <c r="CT49" i="9"/>
  <c r="BU39" i="9"/>
  <c r="CX20" i="9"/>
  <c r="CX15" i="9"/>
  <c r="BT39" i="9"/>
  <c r="CH39" i="9"/>
  <c r="CZ15" i="9"/>
  <c r="CZ20" i="9"/>
  <c r="BH52" i="9"/>
  <c r="BH92" i="9" s="1"/>
  <c r="BH51" i="9"/>
  <c r="BH91" i="9" s="1"/>
  <c r="BH49" i="9"/>
  <c r="BH50" i="9"/>
  <c r="U39" i="9"/>
  <c r="FJ74" i="9"/>
  <c r="K92" i="9"/>
  <c r="DG19" i="9"/>
  <c r="FI9" i="9"/>
  <c r="BM15" i="9"/>
  <c r="BM20" i="9"/>
  <c r="BK19" i="9"/>
  <c r="FA9" i="9"/>
  <c r="CB15" i="9"/>
  <c r="CB20" i="9"/>
  <c r="CS20" i="9"/>
  <c r="CS15" i="9"/>
  <c r="CN39" i="9"/>
  <c r="BS39" i="9"/>
  <c r="BW37" i="9"/>
  <c r="CN401" i="9"/>
  <c r="CN56" i="9"/>
  <c r="CN54" i="9"/>
  <c r="CN51" i="9"/>
  <c r="CN91" i="9" s="1"/>
  <c r="CN52" i="9"/>
  <c r="CN92" i="9" s="1"/>
  <c r="CN50" i="9"/>
  <c r="CN90" i="9" s="1"/>
  <c r="CN124" i="4"/>
  <c r="CZ401" i="9"/>
  <c r="CZ56" i="9"/>
  <c r="CZ52" i="9"/>
  <c r="CZ92" i="9" s="1"/>
  <c r="CZ50" i="9"/>
  <c r="CZ90" i="9" s="1"/>
  <c r="CZ124" i="4"/>
  <c r="CZ51" i="9"/>
  <c r="CZ91" i="9" s="1"/>
  <c r="CZ49" i="9"/>
  <c r="CZ39" i="9"/>
  <c r="CF401" i="9"/>
  <c r="CY401" i="9"/>
  <c r="CI82" i="9"/>
  <c r="FE74" i="9"/>
  <c r="CS39" i="9"/>
  <c r="DE15" i="9"/>
  <c r="DE20" i="9"/>
  <c r="CC37" i="9"/>
  <c r="BY39" i="9"/>
  <c r="BS52" i="9"/>
  <c r="BS47" i="9"/>
  <c r="EX18" i="9"/>
  <c r="N20" i="9"/>
  <c r="N15" i="9"/>
  <c r="AG39" i="9"/>
  <c r="BG15" i="9"/>
  <c r="BG20" i="9"/>
  <c r="CC18" i="9"/>
  <c r="CC10" i="9"/>
  <c r="FD8" i="9"/>
  <c r="AG52" i="9"/>
  <c r="N50" i="9"/>
  <c r="N90" i="9" s="1"/>
  <c r="N52" i="9"/>
  <c r="N92" i="9" s="1"/>
  <c r="N51" i="9"/>
  <c r="N91" i="9" s="1"/>
  <c r="CM15" i="9"/>
  <c r="CM20" i="9"/>
  <c r="CY15" i="9"/>
  <c r="CT39" i="9"/>
  <c r="FG74" i="9"/>
  <c r="CU82" i="9"/>
  <c r="CQ401" i="9"/>
  <c r="CQ51" i="9"/>
  <c r="CQ49" i="9"/>
  <c r="CQ52" i="9"/>
  <c r="CQ50" i="9"/>
  <c r="CQ56" i="9"/>
  <c r="AM51" i="9"/>
  <c r="BW82" i="9"/>
  <c r="FC74" i="9"/>
  <c r="BN20" i="9"/>
  <c r="BO15" i="9"/>
  <c r="BN15" i="9"/>
  <c r="BT47" i="9"/>
  <c r="BT87" i="9" s="1"/>
  <c r="BT51" i="9"/>
  <c r="BT91" i="9" s="1"/>
  <c r="BT52" i="9"/>
  <c r="BT92" i="9" s="1"/>
  <c r="DC20" i="9"/>
  <c r="DC15" i="9"/>
  <c r="CE402" i="9"/>
  <c r="CE401" i="9"/>
  <c r="CE52" i="9"/>
  <c r="CE50" i="9"/>
  <c r="CE56" i="9"/>
  <c r="CE54" i="9"/>
  <c r="CE51" i="9"/>
  <c r="CE49" i="9"/>
  <c r="BO52" i="9"/>
  <c r="BO92" i="9" s="1"/>
  <c r="BO50" i="9"/>
  <c r="BO47" i="9"/>
  <c r="BO51" i="9"/>
  <c r="BO91" i="9" s="1"/>
  <c r="BO49" i="9"/>
  <c r="CQ39" i="9"/>
  <c r="CW15" i="9"/>
  <c r="CW20" i="9"/>
  <c r="BY15" i="9"/>
  <c r="BY20" i="9"/>
  <c r="CO10" i="9"/>
  <c r="CM56" i="9"/>
  <c r="CM51" i="9"/>
  <c r="CM91" i="9" s="1"/>
  <c r="CM49" i="9"/>
  <c r="CM52" i="9"/>
  <c r="CM92" i="9" s="1"/>
  <c r="CM50" i="9"/>
  <c r="CM90" i="9" s="1"/>
  <c r="CL20" i="9"/>
  <c r="CL15" i="9"/>
  <c r="FG76" i="9"/>
  <c r="AS50" i="9"/>
  <c r="Q92" i="9"/>
  <c r="DA82" i="9"/>
  <c r="CS52" i="9"/>
  <c r="CS92" i="9" s="1"/>
  <c r="BK10" i="9"/>
  <c r="BK20" i="9" s="1"/>
  <c r="FD9" i="9"/>
  <c r="CC19" i="9"/>
  <c r="FH9" i="9"/>
  <c r="DA19" i="9"/>
  <c r="CA15" i="9"/>
  <c r="CA20" i="9"/>
  <c r="CQ15" i="9"/>
  <c r="CQ20" i="9"/>
  <c r="BY54" i="9"/>
  <c r="BY51" i="9"/>
  <c r="BY49" i="9"/>
  <c r="BY52" i="9"/>
  <c r="BY50" i="9"/>
  <c r="BT15" i="9"/>
  <c r="BT20" i="9"/>
  <c r="BW18" i="9"/>
  <c r="BW10" i="9"/>
  <c r="FC8" i="9"/>
  <c r="CN20" i="9"/>
  <c r="CN15" i="9"/>
  <c r="CL401" i="9"/>
  <c r="CL56" i="9"/>
  <c r="CL54" i="9"/>
  <c r="CL49" i="9"/>
  <c r="CL50" i="9"/>
  <c r="CL90" i="9" s="1"/>
  <c r="FE76" i="9"/>
  <c r="AU92" i="9"/>
  <c r="AY52" i="9"/>
  <c r="CY50" i="9"/>
  <c r="CY90" i="9" s="1"/>
  <c r="CY124" i="4"/>
  <c r="CY56" i="9"/>
  <c r="CY51" i="9"/>
  <c r="CY91" i="9" s="1"/>
  <c r="CY49" i="9"/>
  <c r="CB52" i="9"/>
  <c r="CB92" i="9" s="1"/>
  <c r="CU18" i="9"/>
  <c r="CU10" i="9"/>
  <c r="FG8" i="9"/>
  <c r="CI18" i="9"/>
  <c r="CI10" i="9"/>
  <c r="FE8" i="9"/>
  <c r="BU15" i="9"/>
  <c r="BU20" i="9"/>
  <c r="BG39" i="9"/>
  <c r="BK37" i="9"/>
  <c r="BS20" i="9"/>
  <c r="BS15" i="9"/>
  <c r="CE39" i="9"/>
  <c r="K90" i="9"/>
  <c r="CF15" i="9"/>
  <c r="CF20" i="9"/>
  <c r="AY39" i="9"/>
  <c r="CE15" i="9"/>
  <c r="CE20" i="9"/>
  <c r="FC9" i="9"/>
  <c r="BW19" i="9"/>
  <c r="BZ20" i="9"/>
  <c r="BZ15" i="9"/>
  <c r="BV20" i="9"/>
  <c r="BI15" i="9"/>
  <c r="BO20" i="9"/>
  <c r="BI20" i="9"/>
  <c r="AY20" i="9"/>
  <c r="FD76" i="9"/>
  <c r="AC90" i="9"/>
  <c r="AG50" i="9"/>
  <c r="AM52" i="9"/>
  <c r="DF15" i="9"/>
  <c r="DF20" i="9"/>
  <c r="CA39" i="9"/>
  <c r="CF52" i="9"/>
  <c r="CF92" i="9" s="1"/>
  <c r="CF50" i="9"/>
  <c r="CF90" i="9" s="1"/>
  <c r="CF56" i="9"/>
  <c r="CF51" i="9"/>
  <c r="CF91" i="9" s="1"/>
  <c r="CF49" i="9"/>
  <c r="AM39" i="9"/>
  <c r="BP52" i="9"/>
  <c r="BP92" i="9" s="1"/>
  <c r="BP50" i="9"/>
  <c r="BP90" i="9" s="1"/>
  <c r="BP51" i="9"/>
  <c r="BP91" i="9" s="1"/>
  <c r="BP49" i="9"/>
  <c r="BP47" i="9"/>
  <c r="BP87" i="9" s="1"/>
  <c r="BI39" i="9"/>
  <c r="BJ47" i="9"/>
  <c r="BJ51" i="9"/>
  <c r="BJ91" i="9" s="1"/>
  <c r="BJ49" i="9"/>
  <c r="BJ52" i="9"/>
  <c r="BJ50" i="9"/>
  <c r="BJ90" i="9" s="1"/>
  <c r="CG39" i="9"/>
  <c r="T20" i="9"/>
  <c r="T15" i="9"/>
  <c r="Z20" i="9"/>
  <c r="DI363" i="4"/>
  <c r="CM363" i="4"/>
  <c r="CM372" i="4"/>
  <c r="BP363" i="4"/>
  <c r="BN363" i="4"/>
  <c r="CB363" i="4"/>
  <c r="CH363" i="4"/>
  <c r="BO363" i="4"/>
  <c r="DI372" i="4"/>
  <c r="CB372" i="4"/>
  <c r="BN372" i="4"/>
  <c r="CH372" i="4"/>
  <c r="BP372" i="4"/>
  <c r="BO372" i="4"/>
  <c r="FO311" i="4"/>
  <c r="O134" i="5" s="1"/>
  <c r="DG365" i="4"/>
  <c r="FO365" i="4" s="1"/>
  <c r="FO325" i="4"/>
  <c r="DG371" i="4"/>
  <c r="FO371" i="4" s="1"/>
  <c r="FO308" i="4"/>
  <c r="O132" i="5" s="1"/>
  <c r="DG362" i="4"/>
  <c r="FO362" i="4" s="1"/>
  <c r="FO336" i="4"/>
  <c r="O149" i="5" s="1"/>
  <c r="DG374" i="4"/>
  <c r="FO313" i="4"/>
  <c r="DG368" i="4"/>
  <c r="FO337" i="4"/>
  <c r="O148" i="5" s="1"/>
  <c r="DG377" i="4"/>
  <c r="FO377" i="4" s="1"/>
  <c r="FN313" i="4"/>
  <c r="DA368" i="4"/>
  <c r="FN325" i="4"/>
  <c r="DA371" i="4"/>
  <c r="FN371" i="4" s="1"/>
  <c r="FN336" i="4"/>
  <c r="N149" i="5" s="1"/>
  <c r="DA374" i="4"/>
  <c r="FN337" i="4"/>
  <c r="N148" i="5" s="1"/>
  <c r="DA377" i="4"/>
  <c r="FN377" i="4" s="1"/>
  <c r="FN311" i="4"/>
  <c r="N134" i="5" s="1"/>
  <c r="DA365" i="4"/>
  <c r="FN365" i="4" s="1"/>
  <c r="FN308" i="4"/>
  <c r="N132" i="5" s="1"/>
  <c r="DA362" i="4"/>
  <c r="FN362" i="4" s="1"/>
  <c r="FM336" i="4"/>
  <c r="M149" i="5" s="1"/>
  <c r="CU374" i="4"/>
  <c r="FM311" i="4"/>
  <c r="M134" i="5" s="1"/>
  <c r="CU365" i="4"/>
  <c r="FM365" i="4" s="1"/>
  <c r="FM337" i="4"/>
  <c r="M148" i="5" s="1"/>
  <c r="CU377" i="4"/>
  <c r="FM377" i="4" s="1"/>
  <c r="FM308" i="4"/>
  <c r="M132" i="5" s="1"/>
  <c r="CU362" i="4"/>
  <c r="FM362" i="4" s="1"/>
  <c r="FM313" i="4"/>
  <c r="CU368" i="4"/>
  <c r="FM325" i="4"/>
  <c r="CU371" i="4"/>
  <c r="FM371" i="4" s="1"/>
  <c r="FL337" i="4"/>
  <c r="L148" i="5" s="1"/>
  <c r="CO377" i="4"/>
  <c r="FL377" i="4" s="1"/>
  <c r="FL336" i="4"/>
  <c r="L149" i="5" s="1"/>
  <c r="CO374" i="4"/>
  <c r="FL325" i="4"/>
  <c r="CO371" i="4"/>
  <c r="FL371" i="4" s="1"/>
  <c r="FL311" i="4"/>
  <c r="L134" i="5" s="1"/>
  <c r="CO365" i="4"/>
  <c r="FL365" i="4" s="1"/>
  <c r="FL308" i="4"/>
  <c r="L132" i="5" s="1"/>
  <c r="CO362" i="4"/>
  <c r="FL362" i="4" s="1"/>
  <c r="FL313" i="4"/>
  <c r="CO368" i="4"/>
  <c r="FL368" i="4" s="1"/>
  <c r="FL369" i="4" s="1"/>
  <c r="FK311" i="4"/>
  <c r="K134" i="5" s="1"/>
  <c r="CI365" i="4"/>
  <c r="FK365" i="4" s="1"/>
  <c r="FK325" i="4"/>
  <c r="CI371" i="4"/>
  <c r="FK371" i="4" s="1"/>
  <c r="FK313" i="4"/>
  <c r="CI368" i="4"/>
  <c r="FK368" i="4" s="1"/>
  <c r="FK369" i="4" s="1"/>
  <c r="FK337" i="4"/>
  <c r="K148" i="5" s="1"/>
  <c r="CI377" i="4"/>
  <c r="FK377" i="4" s="1"/>
  <c r="FK336" i="4"/>
  <c r="K149" i="5" s="1"/>
  <c r="CI374" i="4"/>
  <c r="FK374" i="4" s="1"/>
  <c r="FJ311" i="4"/>
  <c r="J134" i="5" s="1"/>
  <c r="CC365" i="4"/>
  <c r="FJ365" i="4" s="1"/>
  <c r="FJ337" i="4"/>
  <c r="J148" i="5" s="1"/>
  <c r="J257" i="5" s="1"/>
  <c r="CC377" i="4"/>
  <c r="FJ377" i="4" s="1"/>
  <c r="FJ313" i="4"/>
  <c r="CC368" i="4"/>
  <c r="FJ308" i="4"/>
  <c r="J132" i="5" s="1"/>
  <c r="CC362" i="4"/>
  <c r="FJ362" i="4" s="1"/>
  <c r="FJ336" i="4"/>
  <c r="J149" i="5" s="1"/>
  <c r="CC374" i="4"/>
  <c r="FJ374" i="4" s="1"/>
  <c r="FJ325" i="4"/>
  <c r="J142" i="5" s="1"/>
  <c r="CC371" i="4"/>
  <c r="FJ371" i="4" s="1"/>
  <c r="FI336" i="4"/>
  <c r="I149" i="5" s="1"/>
  <c r="BW374" i="4"/>
  <c r="FI374" i="4" s="1"/>
  <c r="FI311" i="4"/>
  <c r="I134" i="5" s="1"/>
  <c r="BW365" i="4"/>
  <c r="FI365" i="4" s="1"/>
  <c r="FI308" i="4"/>
  <c r="I132" i="5" s="1"/>
  <c r="BW362" i="4"/>
  <c r="FI362" i="4" s="1"/>
  <c r="FI337" i="4"/>
  <c r="I148" i="5" s="1"/>
  <c r="I257" i="5" s="1"/>
  <c r="BW377" i="4"/>
  <c r="FI377" i="4" s="1"/>
  <c r="FI313" i="4"/>
  <c r="BW368" i="4"/>
  <c r="FI325" i="4"/>
  <c r="BW371" i="4"/>
  <c r="FI371" i="4" s="1"/>
  <c r="FH325" i="4"/>
  <c r="BQ371" i="4"/>
  <c r="FH371" i="4" s="1"/>
  <c r="FH313" i="4"/>
  <c r="BQ368" i="4"/>
  <c r="FH368" i="4" s="1"/>
  <c r="FH369" i="4" s="1"/>
  <c r="FH311" i="4"/>
  <c r="H134" i="5" s="1"/>
  <c r="BQ365" i="4"/>
  <c r="FH365" i="4" s="1"/>
  <c r="FH308" i="4"/>
  <c r="H132" i="5" s="1"/>
  <c r="BQ362" i="4"/>
  <c r="FH362" i="4" s="1"/>
  <c r="FH336" i="4"/>
  <c r="H149" i="5" s="1"/>
  <c r="BQ374" i="4"/>
  <c r="FH374" i="4" s="1"/>
  <c r="FH337" i="4"/>
  <c r="H148" i="5" s="1"/>
  <c r="H257" i="5" s="1"/>
  <c r="FG337" i="4"/>
  <c r="G148" i="5" s="1"/>
  <c r="G257" i="5" s="1"/>
  <c r="BK377" i="4"/>
  <c r="FG377" i="4" s="1"/>
  <c r="FG336" i="4"/>
  <c r="G149" i="5" s="1"/>
  <c r="BK374" i="4"/>
  <c r="FG374" i="4" s="1"/>
  <c r="FG325" i="4"/>
  <c r="BK371" i="4"/>
  <c r="FG371" i="4" s="1"/>
  <c r="FG311" i="4"/>
  <c r="G134" i="5" s="1"/>
  <c r="BK365" i="4"/>
  <c r="FG365" i="4" s="1"/>
  <c r="FG313" i="4"/>
  <c r="BK368" i="4"/>
  <c r="FG308" i="4"/>
  <c r="G132" i="5" s="1"/>
  <c r="BK362" i="4"/>
  <c r="FG362" i="4" s="1"/>
  <c r="CK290" i="4"/>
  <c r="CM289" i="4"/>
  <c r="BG288" i="4"/>
  <c r="DJ288" i="4"/>
  <c r="BO289" i="4"/>
  <c r="CT288" i="4"/>
  <c r="CZ288" i="4"/>
  <c r="BN289" i="4"/>
  <c r="DC288" i="4"/>
  <c r="CW288" i="4"/>
  <c r="CK288" i="4"/>
  <c r="DF290" i="4"/>
  <c r="CZ290" i="4"/>
  <c r="CT290" i="4"/>
  <c r="CN290" i="4"/>
  <c r="CH290" i="4"/>
  <c r="CH289" i="4"/>
  <c r="BP290" i="4"/>
  <c r="BP289" i="4"/>
  <c r="BJ290" i="4"/>
  <c r="BG290" i="4"/>
  <c r="CB290" i="4"/>
  <c r="CB289" i="4"/>
  <c r="CI272" i="4"/>
  <c r="CK351" i="4"/>
  <c r="DA316" i="4"/>
  <c r="FK308" i="4"/>
  <c r="K132" i="5" s="1"/>
  <c r="CI316" i="4"/>
  <c r="DG316" i="4"/>
  <c r="CO316" i="4"/>
  <c r="CC316" i="4"/>
  <c r="CU316" i="4"/>
  <c r="CB323" i="4"/>
  <c r="CB357" i="4" s="1"/>
  <c r="CI344" i="4"/>
  <c r="DG344" i="4"/>
  <c r="CC344" i="4"/>
  <c r="BW344" i="4"/>
  <c r="BT149" i="4"/>
  <c r="BT143" i="4" s="1"/>
  <c r="BK344" i="4"/>
  <c r="BQ344" i="4"/>
  <c r="DA344" i="4"/>
  <c r="BT164" i="4"/>
  <c r="CU344" i="4"/>
  <c r="BH74" i="4"/>
  <c r="BH75" i="4" s="1"/>
  <c r="CO344" i="4"/>
  <c r="CA323" i="4"/>
  <c r="CE322" i="4"/>
  <c r="BT322" i="4"/>
  <c r="CN144" i="4"/>
  <c r="CN145" i="4" s="1"/>
  <c r="CO148" i="4"/>
  <c r="FL148" i="4" s="1"/>
  <c r="BQ334" i="4"/>
  <c r="BK319" i="4"/>
  <c r="FG319" i="4" s="1"/>
  <c r="BM322" i="4"/>
  <c r="BO322" i="4"/>
  <c r="BQ142" i="4"/>
  <c r="BK334" i="4"/>
  <c r="BO143" i="4"/>
  <c r="BO144" i="4" s="1"/>
  <c r="BO145" i="4" s="1"/>
  <c r="BQ320" i="4"/>
  <c r="FH320" i="4" s="1"/>
  <c r="BH322" i="4"/>
  <c r="CB322" i="4"/>
  <c r="BV322" i="4"/>
  <c r="DM314" i="4"/>
  <c r="FP314" i="4" s="1"/>
  <c r="P135" i="5" s="1"/>
  <c r="BW334" i="4"/>
  <c r="CI334" i="4"/>
  <c r="CO334" i="4"/>
  <c r="CU334" i="4"/>
  <c r="DA334" i="4"/>
  <c r="DG334" i="4"/>
  <c r="BZ322" i="4"/>
  <c r="BN322" i="4"/>
  <c r="BY322" i="4"/>
  <c r="CU320" i="4"/>
  <c r="FM320" i="4" s="1"/>
  <c r="CG322" i="4"/>
  <c r="BS322" i="4"/>
  <c r="BQ321" i="4"/>
  <c r="FH321" i="4" s="1"/>
  <c r="BW321" i="4"/>
  <c r="FI321" i="4" s="1"/>
  <c r="CA322" i="4"/>
  <c r="BU143" i="4"/>
  <c r="BU144" i="4" s="1"/>
  <c r="BU145" i="4" s="1"/>
  <c r="DG320" i="4"/>
  <c r="FO320" i="4" s="1"/>
  <c r="CI320" i="4"/>
  <c r="FK320" i="4" s="1"/>
  <c r="BU322" i="4"/>
  <c r="DG142" i="4"/>
  <c r="FO142" i="4" s="1"/>
  <c r="BW319" i="4"/>
  <c r="FI319" i="4" s="1"/>
  <c r="CC319" i="4"/>
  <c r="FJ319" i="4" s="1"/>
  <c r="BQ319" i="4"/>
  <c r="FH319" i="4" s="1"/>
  <c r="BK320" i="4"/>
  <c r="FG320" i="4" s="1"/>
  <c r="BK321" i="4"/>
  <c r="FG321" i="4" s="1"/>
  <c r="CK322" i="4"/>
  <c r="CC130" i="4"/>
  <c r="BI322" i="4"/>
  <c r="CI319" i="4"/>
  <c r="FK319" i="4" s="1"/>
  <c r="CR149" i="4"/>
  <c r="CR144" i="4" s="1"/>
  <c r="BW320" i="4"/>
  <c r="FI320" i="4" s="1"/>
  <c r="CO320" i="4"/>
  <c r="FL320" i="4" s="1"/>
  <c r="CI321" i="4"/>
  <c r="FK321" i="4" s="1"/>
  <c r="CO319" i="4"/>
  <c r="FL319" i="4" s="1"/>
  <c r="CH322" i="4"/>
  <c r="CC320" i="4"/>
  <c r="FJ320" i="4" s="1"/>
  <c r="CB143" i="4"/>
  <c r="CB144" i="4" s="1"/>
  <c r="CB145" i="4" s="1"/>
  <c r="CF322" i="4"/>
  <c r="DA272" i="4"/>
  <c r="DG319" i="4"/>
  <c r="FO319" i="4" s="1"/>
  <c r="DG272" i="4"/>
  <c r="CU142" i="4"/>
  <c r="FM142" i="4" s="1"/>
  <c r="BQ272" i="4"/>
  <c r="DA320" i="4"/>
  <c r="FN320" i="4" s="1"/>
  <c r="CI148" i="4"/>
  <c r="FK148" i="4" s="1"/>
  <c r="FJ310" i="4"/>
  <c r="FK310" i="4"/>
  <c r="FM310" i="4"/>
  <c r="DA319" i="4"/>
  <c r="FN319" i="4" s="1"/>
  <c r="CC272" i="4"/>
  <c r="CU319" i="4"/>
  <c r="FM319" i="4" s="1"/>
  <c r="CC321" i="4"/>
  <c r="FJ321" i="4" s="1"/>
  <c r="BP322" i="4"/>
  <c r="FO310" i="4"/>
  <c r="FL310" i="4"/>
  <c r="BJ322" i="4"/>
  <c r="FN310" i="4"/>
  <c r="BQ316" i="4"/>
  <c r="FH310" i="4"/>
  <c r="BK316" i="4"/>
  <c r="FG310" i="4"/>
  <c r="BW316" i="4"/>
  <c r="CU176" i="4"/>
  <c r="FM176" i="4" s="1"/>
  <c r="CI129" i="4"/>
  <c r="CF137" i="4"/>
  <c r="FI262" i="4"/>
  <c r="FG262" i="4"/>
  <c r="CC142" i="4"/>
  <c r="CG144" i="4"/>
  <c r="CG145" i="4" s="1"/>
  <c r="FL263" i="4"/>
  <c r="FJ262" i="4"/>
  <c r="BK272" i="4"/>
  <c r="FO262" i="4"/>
  <c r="BP164" i="4"/>
  <c r="BW272" i="4"/>
  <c r="CO272" i="4"/>
  <c r="FN262" i="4"/>
  <c r="FM262" i="4"/>
  <c r="FM248" i="4"/>
  <c r="CU272" i="4"/>
  <c r="BZ144" i="4"/>
  <c r="BZ145" i="4" s="1"/>
  <c r="FK262" i="4"/>
  <c r="DG129" i="4"/>
  <c r="BH26" i="4"/>
  <c r="BH34" i="4" s="1"/>
  <c r="FO246" i="4"/>
  <c r="BW142" i="4"/>
  <c r="BU164" i="4"/>
  <c r="DE164" i="4"/>
  <c r="DA233" i="4"/>
  <c r="FN226" i="4"/>
  <c r="N92" i="5" s="1"/>
  <c r="CO233" i="4"/>
  <c r="FL226" i="4"/>
  <c r="L92" i="5" s="1"/>
  <c r="BK244" i="4"/>
  <c r="FG236" i="4"/>
  <c r="DG260" i="4"/>
  <c r="FO256" i="4"/>
  <c r="O109" i="5" s="1"/>
  <c r="O114" i="5" s="1"/>
  <c r="CO142" i="4"/>
  <c r="FL142" i="4" s="1"/>
  <c r="DA260" i="4"/>
  <c r="FN256" i="4"/>
  <c r="CO260" i="4"/>
  <c r="FL256" i="4"/>
  <c r="CU233" i="4"/>
  <c r="FM226" i="4"/>
  <c r="M92" i="5" s="1"/>
  <c r="BK233" i="4"/>
  <c r="FG228" i="4"/>
  <c r="CI233" i="4"/>
  <c r="FK232" i="4"/>
  <c r="BW260" i="4"/>
  <c r="FI256" i="4"/>
  <c r="I122" i="5" s="1"/>
  <c r="I124" i="5" s="1"/>
  <c r="BK260" i="4"/>
  <c r="FG256" i="4"/>
  <c r="BW244" i="4"/>
  <c r="CU260" i="4"/>
  <c r="FM256" i="4"/>
  <c r="CI260" i="4"/>
  <c r="FK258" i="4"/>
  <c r="DG154" i="4"/>
  <c r="BQ244" i="4"/>
  <c r="FH236" i="4"/>
  <c r="DM259" i="4"/>
  <c r="FP259" i="4" s="1"/>
  <c r="P113" i="5" s="1"/>
  <c r="CC244" i="4"/>
  <c r="FJ236" i="4"/>
  <c r="CI244" i="4"/>
  <c r="FK236" i="4"/>
  <c r="CO244" i="4"/>
  <c r="FL236" i="4"/>
  <c r="DA244" i="4"/>
  <c r="FN236" i="4"/>
  <c r="CM144" i="4"/>
  <c r="CM145" i="4" s="1"/>
  <c r="CC129" i="4"/>
  <c r="CT122" i="4"/>
  <c r="DA129" i="4"/>
  <c r="BK19" i="4"/>
  <c r="BH21" i="4"/>
  <c r="CU51" i="4"/>
  <c r="CU52" i="4" s="1"/>
  <c r="CI51" i="4"/>
  <c r="CI52" i="4" s="1"/>
  <c r="BQ51" i="4"/>
  <c r="BQ52" i="4" s="1"/>
  <c r="BQ19" i="4"/>
  <c r="BQ21" i="4" s="1"/>
  <c r="CU148" i="4"/>
  <c r="FM148" i="4" s="1"/>
  <c r="DD149" i="4"/>
  <c r="DD144" i="4" s="1"/>
  <c r="DD145" i="4" s="1"/>
  <c r="CI19" i="4"/>
  <c r="CI21" i="4" s="1"/>
  <c r="CB21" i="4"/>
  <c r="CH233" i="4"/>
  <c r="DM227" i="4"/>
  <c r="FP227" i="4" s="1"/>
  <c r="CE9" i="4"/>
  <c r="CL9" i="4"/>
  <c r="BG9" i="4"/>
  <c r="CK9" i="4"/>
  <c r="CW164" i="4"/>
  <c r="CX164" i="4"/>
  <c r="BK18" i="4"/>
  <c r="BT21" i="4"/>
  <c r="CF9" i="4"/>
  <c r="DF9" i="4"/>
  <c r="CT9" i="4"/>
  <c r="BN150" i="4"/>
  <c r="BQ150" i="4" s="1"/>
  <c r="CA9" i="4"/>
  <c r="CN9" i="4"/>
  <c r="CY9" i="4"/>
  <c r="BT9" i="4"/>
  <c r="DC9" i="4"/>
  <c r="CS9" i="4"/>
  <c r="BV9" i="4"/>
  <c r="BM9" i="4"/>
  <c r="CR9" i="4"/>
  <c r="BU9" i="4"/>
  <c r="BI9" i="4"/>
  <c r="BS9" i="4"/>
  <c r="BZ9" i="4"/>
  <c r="CX9" i="4"/>
  <c r="BJ9" i="4"/>
  <c r="CG9" i="4"/>
  <c r="DE9" i="4"/>
  <c r="BH9" i="4"/>
  <c r="CW9" i="4"/>
  <c r="CE21" i="4"/>
  <c r="CZ9" i="4"/>
  <c r="BY9" i="4"/>
  <c r="CE164" i="4"/>
  <c r="DD9" i="4"/>
  <c r="CQ9" i="4"/>
  <c r="BG26" i="4"/>
  <c r="BG21" i="4"/>
  <c r="CC51" i="4"/>
  <c r="CC52" i="4" s="1"/>
  <c r="DG51" i="4"/>
  <c r="DG52" i="4" s="1"/>
  <c r="DA51" i="4"/>
  <c r="DA52" i="4" s="1"/>
  <c r="CO51" i="4"/>
  <c r="CO52" i="4" s="1"/>
  <c r="CU129" i="4"/>
  <c r="DG70" i="4"/>
  <c r="FO70" i="4" s="1"/>
  <c r="FO73" i="4" s="1"/>
  <c r="BZ164" i="4"/>
  <c r="CC70" i="4"/>
  <c r="FJ70" i="4" s="1"/>
  <c r="FJ73" i="4" s="1"/>
  <c r="CR164" i="4"/>
  <c r="DF164" i="4"/>
  <c r="CO129" i="4"/>
  <c r="AM217" i="4"/>
  <c r="BD290" i="4"/>
  <c r="CT164" i="4"/>
  <c r="CT144" i="4"/>
  <c r="DC164" i="4"/>
  <c r="CN122" i="4"/>
  <c r="CC162" i="4"/>
  <c r="CC169" i="4" s="1"/>
  <c r="CS164" i="4"/>
  <c r="DG148" i="4"/>
  <c r="FO148" i="4" s="1"/>
  <c r="CO70" i="4"/>
  <c r="FL70" i="4" s="1"/>
  <c r="FL73" i="4" s="1"/>
  <c r="BS150" i="4"/>
  <c r="BW148" i="4"/>
  <c r="DE149" i="4"/>
  <c r="DE144" i="4" s="1"/>
  <c r="DE145" i="4" s="1"/>
  <c r="BM143" i="4"/>
  <c r="BM144" i="4" s="1"/>
  <c r="DG150" i="4"/>
  <c r="FO150" i="4" s="1"/>
  <c r="DF122" i="4"/>
  <c r="BD293" i="4"/>
  <c r="BD288" i="4"/>
  <c r="CI70" i="4"/>
  <c r="FK70" i="4" s="1"/>
  <c r="FK73" i="4" s="1"/>
  <c r="DA148" i="4"/>
  <c r="FN148" i="4" s="1"/>
  <c r="CU162" i="4"/>
  <c r="DF149" i="4"/>
  <c r="BQ162" i="4"/>
  <c r="FH162" i="4" s="1"/>
  <c r="BW172" i="4"/>
  <c r="DA70" i="4"/>
  <c r="FN70" i="4" s="1"/>
  <c r="FN73" i="4" s="1"/>
  <c r="CI172" i="4"/>
  <c r="FK172" i="4" s="1"/>
  <c r="CA150" i="4"/>
  <c r="CC150" i="4" s="1"/>
  <c r="CC148" i="4"/>
  <c r="CS150" i="4"/>
  <c r="CS149" i="4" s="1"/>
  <c r="CS144" i="4" s="1"/>
  <c r="DQ41" i="4"/>
  <c r="CZ122" i="4"/>
  <c r="CO150" i="4"/>
  <c r="FL150" i="4" s="1"/>
  <c r="DJ9" i="4"/>
  <c r="BG74" i="4"/>
  <c r="BG75" i="4" s="1"/>
  <c r="CO154" i="4"/>
  <c r="CG164" i="4"/>
  <c r="DG162" i="4"/>
  <c r="FO162" i="4" s="1"/>
  <c r="FO169" i="4" s="1"/>
  <c r="CQ174" i="4"/>
  <c r="BQ208" i="4"/>
  <c r="FH208" i="4" s="1"/>
  <c r="CI154" i="4"/>
  <c r="BM174" i="4"/>
  <c r="CL164" i="4"/>
  <c r="CF164" i="4"/>
  <c r="CQ164" i="4"/>
  <c r="CH164" i="4"/>
  <c r="CO172" i="4"/>
  <c r="FL172" i="4" s="1"/>
  <c r="CL174" i="4"/>
  <c r="BY174" i="4"/>
  <c r="BV164" i="4"/>
  <c r="BW162" i="4"/>
  <c r="BY164" i="4"/>
  <c r="BI164" i="4"/>
  <c r="CM164" i="4"/>
  <c r="BK172" i="4"/>
  <c r="FG172" i="4" s="1"/>
  <c r="FG178" i="4" s="1"/>
  <c r="CM174" i="4"/>
  <c r="CQ149" i="4"/>
  <c r="CK164" i="4"/>
  <c r="DC144" i="4"/>
  <c r="CG174" i="4"/>
  <c r="BZ174" i="4"/>
  <c r="CC172" i="4"/>
  <c r="FJ172" i="4" s="1"/>
  <c r="FJ178" i="4" s="1"/>
  <c r="CR174" i="4"/>
  <c r="CI162" i="4"/>
  <c r="CZ150" i="4"/>
  <c r="DA150" i="4" s="1"/>
  <c r="FN150" i="4" s="1"/>
  <c r="BQ70" i="4"/>
  <c r="BP154" i="4"/>
  <c r="BP143" i="4" s="1"/>
  <c r="CY164" i="4"/>
  <c r="CU154" i="4"/>
  <c r="BW70" i="4"/>
  <c r="FI70" i="4" s="1"/>
  <c r="FI73" i="4" s="1"/>
  <c r="DD164" i="4"/>
  <c r="DG176" i="4"/>
  <c r="FO176" i="4" s="1"/>
  <c r="CH150" i="4"/>
  <c r="CI150" i="4" s="1"/>
  <c r="FK150" i="4" s="1"/>
  <c r="CX144" i="4"/>
  <c r="DA154" i="4"/>
  <c r="CU70" i="4"/>
  <c r="FM70" i="4" s="1"/>
  <c r="FM73" i="4" s="1"/>
  <c r="CU177" i="4"/>
  <c r="FM177" i="4" s="1"/>
  <c r="CZ177" i="4"/>
  <c r="DA176" i="4"/>
  <c r="FN176" i="4" s="1"/>
  <c r="DA162" i="4"/>
  <c r="FN162" i="4" s="1"/>
  <c r="FN169" i="4" s="1"/>
  <c r="CZ164" i="4"/>
  <c r="AM190" i="4"/>
  <c r="AN190" i="4" s="1"/>
  <c r="AL187" i="4"/>
  <c r="CS174" i="4"/>
  <c r="BQ172" i="4"/>
  <c r="FH172" i="4" s="1"/>
  <c r="FH178" i="4" s="1"/>
  <c r="BK162" i="4"/>
  <c r="BJ164" i="4"/>
  <c r="BS174" i="4"/>
  <c r="BM164" i="4"/>
  <c r="BN174" i="4"/>
  <c r="CN174" i="4"/>
  <c r="CA174" i="4"/>
  <c r="BV174" i="4"/>
  <c r="CA164" i="4"/>
  <c r="BS164" i="4"/>
  <c r="CN164" i="4"/>
  <c r="CO162" i="4"/>
  <c r="BN164" i="4"/>
  <c r="BO164" i="4"/>
  <c r="CB164" i="4"/>
  <c r="BU174" i="4"/>
  <c r="FL178" i="4" l="1"/>
  <c r="FL175" i="4"/>
  <c r="FM175" i="4"/>
  <c r="FK178" i="4"/>
  <c r="FK175" i="4"/>
  <c r="CZ173" i="4"/>
  <c r="DQ177" i="4"/>
  <c r="DV177" i="4"/>
  <c r="DO177" i="4"/>
  <c r="DG81" i="4"/>
  <c r="CI403" i="9"/>
  <c r="CT53" i="9"/>
  <c r="CT66" i="9" s="1"/>
  <c r="CT68" i="9" s="1"/>
  <c r="CS124" i="4"/>
  <c r="CS125" i="4" s="1"/>
  <c r="CS132" i="4" s="1"/>
  <c r="CS133" i="4" s="1"/>
  <c r="CS48" i="9"/>
  <c r="CS61" i="9" s="1"/>
  <c r="CS53" i="9"/>
  <c r="CS66" i="9" s="1"/>
  <c r="CQ53" i="9"/>
  <c r="CQ66" i="9" s="1"/>
  <c r="CQ68" i="9" s="1"/>
  <c r="CR53" i="9"/>
  <c r="CR66" i="9" s="1"/>
  <c r="CR68" i="9" s="1"/>
  <c r="CY53" i="9"/>
  <c r="CY66" i="9" s="1"/>
  <c r="CY68" i="9" s="1"/>
  <c r="CZ53" i="9"/>
  <c r="CZ66" i="9" s="1"/>
  <c r="CZ68" i="9" s="1"/>
  <c r="CW53" i="9"/>
  <c r="CW66" i="9" s="1"/>
  <c r="CW68" i="9" s="1"/>
  <c r="CX53" i="9"/>
  <c r="CX66" i="9" s="1"/>
  <c r="CX68" i="9" s="1"/>
  <c r="DE83" i="4"/>
  <c r="DE109" i="4" s="1"/>
  <c r="DE53" i="9"/>
  <c r="DD83" i="4"/>
  <c r="DD109" i="4" s="1"/>
  <c r="DD53" i="9"/>
  <c r="DF83" i="4"/>
  <c r="DF109" i="4" s="1"/>
  <c r="DF53" i="9"/>
  <c r="DC83" i="4"/>
  <c r="DC109" i="4" s="1"/>
  <c r="DC113" i="4" s="1"/>
  <c r="DC53" i="9"/>
  <c r="CF26" i="9"/>
  <c r="CK36" i="9"/>
  <c r="DI173" i="4"/>
  <c r="DI175" i="4"/>
  <c r="DK175" i="4"/>
  <c r="DP175" i="4"/>
  <c r="DJ175" i="4"/>
  <c r="EG176" i="4"/>
  <c r="EK176" i="4" s="1"/>
  <c r="FT176" i="4" s="1"/>
  <c r="EA175" i="4"/>
  <c r="BU89" i="9"/>
  <c r="FG18" i="9"/>
  <c r="EA173" i="4"/>
  <c r="O257" i="5"/>
  <c r="N257" i="5"/>
  <c r="K257" i="5"/>
  <c r="L257" i="5"/>
  <c r="M257" i="5"/>
  <c r="DG109" i="9"/>
  <c r="DC111" i="9"/>
  <c r="DD85" i="4"/>
  <c r="DD111" i="4" s="1"/>
  <c r="BU87" i="9"/>
  <c r="BV87" i="9" s="1"/>
  <c r="BY87" i="9" s="1"/>
  <c r="BJ87" i="9"/>
  <c r="BO87" i="9"/>
  <c r="AY47" i="9"/>
  <c r="AY55" i="9" s="1"/>
  <c r="AY65" i="9" s="1"/>
  <c r="BV125" i="4"/>
  <c r="CM24" i="4"/>
  <c r="BS87" i="9"/>
  <c r="CS87" i="9"/>
  <c r="CM87" i="9"/>
  <c r="CQ87" i="9"/>
  <c r="BN87" i="9"/>
  <c r="CE87" i="9"/>
  <c r="DD87" i="9"/>
  <c r="BZ125" i="4"/>
  <c r="BZ87" i="9"/>
  <c r="CK87" i="9"/>
  <c r="CX87" i="9"/>
  <c r="CR124" i="4"/>
  <c r="CR125" i="4" s="1"/>
  <c r="CR132" i="4" s="1"/>
  <c r="CR133" i="4" s="1"/>
  <c r="CR87" i="9"/>
  <c r="BY125" i="4"/>
  <c r="BY136" i="4" s="1"/>
  <c r="DC87" i="9"/>
  <c r="CH87" i="9"/>
  <c r="CW87" i="9"/>
  <c r="DG47" i="9"/>
  <c r="DA47" i="9"/>
  <c r="DA48" i="9" s="1"/>
  <c r="DA61" i="9" s="1"/>
  <c r="CU47" i="9"/>
  <c r="CU48" i="9" s="1"/>
  <c r="CU61" i="9" s="1"/>
  <c r="CR89" i="9"/>
  <c r="CA89" i="9"/>
  <c r="BV89" i="9"/>
  <c r="CW89" i="9"/>
  <c r="CH404" i="9"/>
  <c r="BN89" i="9"/>
  <c r="BM89" i="9"/>
  <c r="BO90" i="9"/>
  <c r="CO122" i="4"/>
  <c r="FL122" i="4" s="1"/>
  <c r="Q146" i="5"/>
  <c r="BO24" i="4"/>
  <c r="BO25" i="4" s="1"/>
  <c r="DS41" i="4"/>
  <c r="DS338" i="4"/>
  <c r="FQ338" i="4" s="1"/>
  <c r="DS176" i="4"/>
  <c r="FQ176" i="4" s="1"/>
  <c r="EE176" i="4"/>
  <c r="FS176" i="4" s="1"/>
  <c r="DY239" i="4"/>
  <c r="FR239" i="4" s="1"/>
  <c r="R88" i="5" s="1"/>
  <c r="DY230" i="4"/>
  <c r="FR230" i="4" s="1"/>
  <c r="R96" i="5" s="1"/>
  <c r="DY257" i="4"/>
  <c r="FR257" i="4" s="1"/>
  <c r="R111" i="5" s="1"/>
  <c r="DY240" i="4"/>
  <c r="FR240" i="4" s="1"/>
  <c r="DY232" i="4"/>
  <c r="FR232" i="4" s="1"/>
  <c r="R97" i="5" s="1"/>
  <c r="DY258" i="4"/>
  <c r="FR258" i="4" s="1"/>
  <c r="R112" i="5" s="1"/>
  <c r="DY231" i="4"/>
  <c r="FR231" i="4" s="1"/>
  <c r="R95" i="5" s="1"/>
  <c r="DY237" i="4"/>
  <c r="FR237" i="4" s="1"/>
  <c r="R85" i="5" s="1"/>
  <c r="L303" i="5"/>
  <c r="DY176" i="4"/>
  <c r="FR176" i="4" s="1"/>
  <c r="M238" i="5"/>
  <c r="BM125" i="4"/>
  <c r="DE130" i="9"/>
  <c r="BZ89" i="9"/>
  <c r="DE84" i="4"/>
  <c r="DE110" i="4" s="1"/>
  <c r="DG127" i="9"/>
  <c r="FG46" i="9"/>
  <c r="DF89" i="9"/>
  <c r="DD92" i="9"/>
  <c r="DY338" i="4"/>
  <c r="FR338" i="4" s="1"/>
  <c r="BT89" i="9"/>
  <c r="DC124" i="4"/>
  <c r="DC125" i="4" s="1"/>
  <c r="DC132" i="4" s="1"/>
  <c r="DC133" i="4" s="1"/>
  <c r="DC89" i="9"/>
  <c r="DC91" i="9"/>
  <c r="CT124" i="4"/>
  <c r="CT125" i="4" s="1"/>
  <c r="O238" i="5"/>
  <c r="O241" i="5" s="1"/>
  <c r="DE124" i="4"/>
  <c r="DE125" i="4" s="1"/>
  <c r="DE132" i="4" s="1"/>
  <c r="O89" i="5"/>
  <c r="M89" i="5"/>
  <c r="DG122" i="4"/>
  <c r="FO122" i="4" s="1"/>
  <c r="DD89" i="9"/>
  <c r="BP24" i="4"/>
  <c r="BP32" i="4" s="1"/>
  <c r="DU260" i="4"/>
  <c r="N303" i="5"/>
  <c r="DG50" i="9"/>
  <c r="DG90" i="9" s="1"/>
  <c r="FI90" i="9" s="1"/>
  <c r="DC92" i="9"/>
  <c r="DD90" i="9"/>
  <c r="CU122" i="4"/>
  <c r="FM122" i="4" s="1"/>
  <c r="CE144" i="4"/>
  <c r="CE145" i="4" s="1"/>
  <c r="EZ20" i="9"/>
  <c r="DC90" i="9"/>
  <c r="CU38" i="9"/>
  <c r="DG38" i="9"/>
  <c r="DG52" i="9"/>
  <c r="FI52" i="9" s="1"/>
  <c r="U51" i="9"/>
  <c r="FI46" i="9"/>
  <c r="DD82" i="4"/>
  <c r="DC82" i="4"/>
  <c r="DK174" i="4"/>
  <c r="DK173" i="4"/>
  <c r="J166" i="5"/>
  <c r="DJ174" i="4"/>
  <c r="FI71" i="9"/>
  <c r="CE27" i="9"/>
  <c r="CK32" i="9" s="1"/>
  <c r="FJ71" i="9"/>
  <c r="FF37" i="9"/>
  <c r="CO38" i="9"/>
  <c r="DA38" i="9"/>
  <c r="CF25" i="9"/>
  <c r="FG71" i="9"/>
  <c r="FF71" i="9"/>
  <c r="FH71" i="9"/>
  <c r="DG401" i="9"/>
  <c r="DE86" i="4"/>
  <c r="DE112" i="4" s="1"/>
  <c r="FE10" i="9"/>
  <c r="FK294" i="4" s="1"/>
  <c r="DF82" i="4"/>
  <c r="FE19" i="9"/>
  <c r="DG49" i="9"/>
  <c r="DF86" i="4"/>
  <c r="DF112" i="4" s="1"/>
  <c r="DE89" i="9"/>
  <c r="DF84" i="4"/>
  <c r="DG51" i="9"/>
  <c r="FI51" i="9" s="1"/>
  <c r="DF90" i="9"/>
  <c r="BA60" i="9"/>
  <c r="CC47" i="9"/>
  <c r="DE85" i="4"/>
  <c r="DE111" i="4" s="1"/>
  <c r="DE82" i="4"/>
  <c r="BE47" i="9"/>
  <c r="DF85" i="4"/>
  <c r="DF111" i="4" s="1"/>
  <c r="BO14" i="4"/>
  <c r="DG103" i="4"/>
  <c r="FO115" i="4"/>
  <c r="FO103" i="4" s="1"/>
  <c r="BC60" i="9"/>
  <c r="FI82" i="9"/>
  <c r="DJ170" i="4"/>
  <c r="DJ179" i="4"/>
  <c r="DJ163" i="4"/>
  <c r="DJ173" i="4"/>
  <c r="CO149" i="4"/>
  <c r="FL149" i="4" s="1"/>
  <c r="CK144" i="4"/>
  <c r="CK145" i="4" s="1"/>
  <c r="BP14" i="4"/>
  <c r="CM14" i="4"/>
  <c r="FM178" i="4"/>
  <c r="BW49" i="9"/>
  <c r="BW89" i="9" s="1"/>
  <c r="FC89" i="9" s="1"/>
  <c r="CB24" i="4"/>
  <c r="BS89" i="9"/>
  <c r="BJ92" i="9"/>
  <c r="FN151" i="4"/>
  <c r="CI20" i="9"/>
  <c r="FK151" i="4"/>
  <c r="FL151" i="4"/>
  <c r="FO151" i="4"/>
  <c r="CI54" i="9"/>
  <c r="FE54" i="9" s="1"/>
  <c r="CI130" i="4"/>
  <c r="FK129" i="4"/>
  <c r="FK130" i="4" s="1"/>
  <c r="CC54" i="9"/>
  <c r="FD54" i="9" s="1"/>
  <c r="CO130" i="4"/>
  <c r="FL129" i="4"/>
  <c r="FL130" i="4" s="1"/>
  <c r="DF144" i="4"/>
  <c r="DF145" i="4" s="1"/>
  <c r="DG130" i="4"/>
  <c r="FO129" i="4"/>
  <c r="FO130" i="4" s="1"/>
  <c r="BW50" i="9"/>
  <c r="BW90" i="9" s="1"/>
  <c r="FC90" i="9" s="1"/>
  <c r="FF82" i="9"/>
  <c r="CU130" i="4"/>
  <c r="FM129" i="4"/>
  <c r="FM130" i="4" s="1"/>
  <c r="DA130" i="4"/>
  <c r="FN129" i="4"/>
  <c r="FN130" i="4" s="1"/>
  <c r="N215" i="5"/>
  <c r="L215" i="5"/>
  <c r="I215" i="5"/>
  <c r="AW60" i="9"/>
  <c r="AG55" i="9"/>
  <c r="AG62" i="9" s="1"/>
  <c r="DA52" i="9"/>
  <c r="DA92" i="9" s="1"/>
  <c r="FH92" i="9" s="1"/>
  <c r="FH82" i="9"/>
  <c r="I175" i="5"/>
  <c r="I204" i="5"/>
  <c r="FK260" i="4"/>
  <c r="K112" i="5"/>
  <c r="K114" i="5" s="1"/>
  <c r="FL334" i="4"/>
  <c r="L144" i="5" s="1"/>
  <c r="L142" i="5"/>
  <c r="CC369" i="4"/>
  <c r="FJ368" i="4"/>
  <c r="FJ369" i="4" s="1"/>
  <c r="CO375" i="4"/>
  <c r="FL374" i="4"/>
  <c r="FM260" i="4"/>
  <c r="M109" i="5"/>
  <c r="M114" i="5" s="1"/>
  <c r="FK334" i="4"/>
  <c r="K144" i="5" s="1"/>
  <c r="K142" i="5"/>
  <c r="FN334" i="4"/>
  <c r="N144" i="5" s="1"/>
  <c r="N142" i="5"/>
  <c r="FO334" i="4"/>
  <c r="O144" i="5" s="1"/>
  <c r="O142" i="5"/>
  <c r="FL260" i="4"/>
  <c r="L109" i="5"/>
  <c r="L114" i="5" s="1"/>
  <c r="M102" i="5"/>
  <c r="M122" i="5"/>
  <c r="M124" i="5" s="1"/>
  <c r="M305" i="5" s="1"/>
  <c r="FG334" i="4"/>
  <c r="G144" i="5" s="1"/>
  <c r="G142" i="5"/>
  <c r="G166" i="5" s="1"/>
  <c r="CU375" i="4"/>
  <c r="FM374" i="4"/>
  <c r="DA369" i="4"/>
  <c r="FN368" i="4"/>
  <c r="FN369" i="4" s="1"/>
  <c r="O122" i="5"/>
  <c r="O124" i="5" s="1"/>
  <c r="O305" i="5" s="1"/>
  <c r="BW178" i="4"/>
  <c r="FI172" i="4"/>
  <c r="FI178" i="4" s="1"/>
  <c r="M215" i="5"/>
  <c r="L122" i="5"/>
  <c r="FG260" i="4"/>
  <c r="G109" i="5"/>
  <c r="G114" i="5" s="1"/>
  <c r="FN260" i="4"/>
  <c r="N109" i="5"/>
  <c r="N114" i="5" s="1"/>
  <c r="FH191" i="4"/>
  <c r="FH334" i="4"/>
  <c r="H144" i="5" s="1"/>
  <c r="H142" i="5"/>
  <c r="H166" i="5" s="1"/>
  <c r="FM334" i="4"/>
  <c r="M144" i="5" s="1"/>
  <c r="M142" i="5"/>
  <c r="G122" i="5"/>
  <c r="FI260" i="4"/>
  <c r="I109" i="5"/>
  <c r="I114" i="5" s="1"/>
  <c r="CU369" i="4"/>
  <c r="FM368" i="4"/>
  <c r="FM369" i="4" s="1"/>
  <c r="DG369" i="4"/>
  <c r="FO368" i="4"/>
  <c r="FO369" i="4" s="1"/>
  <c r="CI402" i="9"/>
  <c r="N122" i="5"/>
  <c r="FI334" i="4"/>
  <c r="I144" i="5" s="1"/>
  <c r="I142" i="5"/>
  <c r="I166" i="5" s="1"/>
  <c r="K215" i="5"/>
  <c r="BW369" i="4"/>
  <c r="FI368" i="4"/>
  <c r="FI369" i="4" s="1"/>
  <c r="DG375" i="4"/>
  <c r="FO374" i="4"/>
  <c r="CU20" i="9"/>
  <c r="BK369" i="4"/>
  <c r="FG368" i="4"/>
  <c r="FG369" i="4" s="1"/>
  <c r="H215" i="5"/>
  <c r="J215" i="5"/>
  <c r="O215" i="5"/>
  <c r="DA375" i="4"/>
  <c r="FN374" i="4"/>
  <c r="BD60" i="9"/>
  <c r="FJ82" i="9"/>
  <c r="U52" i="9"/>
  <c r="FC82" i="9"/>
  <c r="O51" i="9"/>
  <c r="O50" i="9"/>
  <c r="CH24" i="4"/>
  <c r="CE293" i="4"/>
  <c r="CE173" i="4"/>
  <c r="DD293" i="4"/>
  <c r="DD173" i="4"/>
  <c r="CX173" i="4"/>
  <c r="CX293" i="4"/>
  <c r="CN173" i="4"/>
  <c r="CN293" i="4"/>
  <c r="CL173" i="4"/>
  <c r="CL293" i="4"/>
  <c r="CA293" i="4"/>
  <c r="CA173" i="4"/>
  <c r="BS293" i="4"/>
  <c r="BS173" i="4"/>
  <c r="L84" i="5"/>
  <c r="L123" i="5"/>
  <c r="BY293" i="4"/>
  <c r="BY173" i="4"/>
  <c r="CZ293" i="4"/>
  <c r="BI173" i="4"/>
  <c r="BI293" i="4"/>
  <c r="CT173" i="4"/>
  <c r="CT293" i="4"/>
  <c r="DF293" i="4"/>
  <c r="CR173" i="4"/>
  <c r="CR293" i="4"/>
  <c r="CF173" i="4"/>
  <c r="CF293" i="4"/>
  <c r="BN24" i="4"/>
  <c r="BU173" i="4"/>
  <c r="BU293" i="4"/>
  <c r="K84" i="5"/>
  <c r="K123" i="5"/>
  <c r="K124" i="5" s="1"/>
  <c r="K305" i="5" s="1"/>
  <c r="CW293" i="4"/>
  <c r="CW173" i="4"/>
  <c r="BM293" i="4"/>
  <c r="BM173" i="4"/>
  <c r="J84" i="5"/>
  <c r="J123" i="5"/>
  <c r="J124" i="5" s="1"/>
  <c r="FL188" i="4"/>
  <c r="BZ173" i="4"/>
  <c r="BZ293" i="4"/>
  <c r="BV173" i="4"/>
  <c r="BV293" i="4"/>
  <c r="BH173" i="4"/>
  <c r="BH293" i="4"/>
  <c r="CS173" i="4"/>
  <c r="CS293" i="4"/>
  <c r="DJ293" i="4"/>
  <c r="G84" i="5"/>
  <c r="G123" i="5"/>
  <c r="FG188" i="4"/>
  <c r="H84" i="5"/>
  <c r="H123" i="5"/>
  <c r="H124" i="5" s="1"/>
  <c r="FH188" i="4"/>
  <c r="DG188" i="4"/>
  <c r="FO187" i="4"/>
  <c r="DC293" i="4"/>
  <c r="DC173" i="4"/>
  <c r="CQ293" i="4"/>
  <c r="CQ173" i="4"/>
  <c r="CG173" i="4"/>
  <c r="CG293" i="4"/>
  <c r="BT173" i="4"/>
  <c r="BT293" i="4"/>
  <c r="CK293" i="4"/>
  <c r="CK173" i="4"/>
  <c r="DE293" i="4"/>
  <c r="DE173" i="4"/>
  <c r="BJ173" i="4"/>
  <c r="BJ293" i="4"/>
  <c r="CY173" i="4"/>
  <c r="CY293" i="4"/>
  <c r="BG293" i="4"/>
  <c r="BG173" i="4"/>
  <c r="N84" i="5"/>
  <c r="N123" i="5"/>
  <c r="CU188" i="4"/>
  <c r="FM187" i="4"/>
  <c r="FN188" i="4"/>
  <c r="M98" i="5"/>
  <c r="M100" i="5" s="1"/>
  <c r="M239" i="5"/>
  <c r="L98" i="5"/>
  <c r="L239" i="5"/>
  <c r="L241" i="5" s="1"/>
  <c r="N98" i="5"/>
  <c r="N239" i="5"/>
  <c r="N241" i="5" s="1"/>
  <c r="I89" i="5"/>
  <c r="DE170" i="4"/>
  <c r="DA49" i="9"/>
  <c r="DC170" i="4"/>
  <c r="DD170" i="4"/>
  <c r="CU169" i="4"/>
  <c r="FM162" i="4"/>
  <c r="FM169" i="4" s="1"/>
  <c r="CC20" i="9"/>
  <c r="FI18" i="9"/>
  <c r="DF170" i="4"/>
  <c r="FC18" i="9"/>
  <c r="FG233" i="4"/>
  <c r="G93" i="5"/>
  <c r="FO61" i="4"/>
  <c r="O30" i="5" s="1"/>
  <c r="FK233" i="4"/>
  <c r="K97" i="5"/>
  <c r="K98" i="5" s="1"/>
  <c r="BW52" i="4"/>
  <c r="FH169" i="4"/>
  <c r="CA347" i="4"/>
  <c r="CA357" i="4"/>
  <c r="BG190" i="4"/>
  <c r="BG191" i="4" s="1"/>
  <c r="BJ187" i="4"/>
  <c r="BJ188" i="4" s="1"/>
  <c r="FH316" i="4"/>
  <c r="FE18" i="9"/>
  <c r="FF18" i="9"/>
  <c r="CY89" i="9"/>
  <c r="BW20" i="9"/>
  <c r="DA50" i="9"/>
  <c r="CO47" i="9"/>
  <c r="FH37" i="9"/>
  <c r="CO54" i="9"/>
  <c r="BG91" i="9"/>
  <c r="BK51" i="9"/>
  <c r="BO89" i="9"/>
  <c r="BJ89" i="9"/>
  <c r="CL89" i="9"/>
  <c r="CE89" i="9"/>
  <c r="CI49" i="9"/>
  <c r="CG404" i="9"/>
  <c r="CS89" i="9"/>
  <c r="BQ20" i="9"/>
  <c r="FH19" i="9"/>
  <c r="FH10" i="9"/>
  <c r="CE91" i="9"/>
  <c r="CI51" i="9"/>
  <c r="CC39" i="9"/>
  <c r="FD37" i="9"/>
  <c r="FE82" i="9"/>
  <c r="BH89" i="9"/>
  <c r="T90" i="9"/>
  <c r="U50" i="9"/>
  <c r="CX89" i="9"/>
  <c r="BY90" i="9"/>
  <c r="CC50" i="9"/>
  <c r="CM89" i="9"/>
  <c r="BW47" i="9"/>
  <c r="CI401" i="9"/>
  <c r="DG20" i="9"/>
  <c r="FF10" i="9"/>
  <c r="FF19" i="9"/>
  <c r="CO49" i="9"/>
  <c r="BY92" i="9"/>
  <c r="CC52" i="9"/>
  <c r="AM55" i="9"/>
  <c r="AM62" i="9" s="1"/>
  <c r="CQ90" i="9"/>
  <c r="CU50" i="9"/>
  <c r="BS92" i="9"/>
  <c r="BW52" i="9"/>
  <c r="AS91" i="9"/>
  <c r="BQ47" i="9"/>
  <c r="BQ51" i="9"/>
  <c r="BW51" i="9"/>
  <c r="CI47" i="9"/>
  <c r="CE124" i="4"/>
  <c r="CE125" i="4" s="1"/>
  <c r="CQ92" i="9"/>
  <c r="CU52" i="9"/>
  <c r="FD18" i="9"/>
  <c r="FC37" i="9"/>
  <c r="BW39" i="9"/>
  <c r="FH18" i="9"/>
  <c r="FG19" i="9"/>
  <c r="FG10" i="9"/>
  <c r="FN344" i="4"/>
  <c r="N151" i="5" s="1"/>
  <c r="N150" i="5" s="1"/>
  <c r="BK39" i="9"/>
  <c r="FA37" i="9"/>
  <c r="BY89" i="9"/>
  <c r="CC49" i="9"/>
  <c r="AS90" i="9"/>
  <c r="CE90" i="9"/>
  <c r="CI50" i="9"/>
  <c r="CF404" i="9"/>
  <c r="FI37" i="9"/>
  <c r="BQ52" i="9"/>
  <c r="AY92" i="9"/>
  <c r="BY91" i="9"/>
  <c r="CC51" i="9"/>
  <c r="CO20" i="9"/>
  <c r="CE92" i="9"/>
  <c r="CI52" i="9"/>
  <c r="CQ89" i="9"/>
  <c r="CU49" i="9"/>
  <c r="BQ50" i="9"/>
  <c r="DA20" i="9"/>
  <c r="CO52" i="9"/>
  <c r="FD82" i="9"/>
  <c r="CO401" i="9"/>
  <c r="BG90" i="9"/>
  <c r="BH90" i="9" s="1"/>
  <c r="FD10" i="9"/>
  <c r="FD19" i="9"/>
  <c r="CQ91" i="9"/>
  <c r="CU51" i="9"/>
  <c r="FG82" i="9"/>
  <c r="CT89" i="9"/>
  <c r="AA91" i="9"/>
  <c r="FB19" i="9"/>
  <c r="FB10" i="9"/>
  <c r="DA401" i="9"/>
  <c r="FB37" i="9"/>
  <c r="BQ39" i="9"/>
  <c r="AS89" i="9"/>
  <c r="AS55" i="9"/>
  <c r="AS62" i="9" s="1"/>
  <c r="BE92" i="9"/>
  <c r="BG92" i="9"/>
  <c r="BK52" i="9"/>
  <c r="BP89" i="9"/>
  <c r="FC19" i="9"/>
  <c r="FC10" i="9"/>
  <c r="FG37" i="9"/>
  <c r="DA51" i="9"/>
  <c r="CZ89" i="9"/>
  <c r="FA19" i="9"/>
  <c r="FA10" i="9"/>
  <c r="FI19" i="9"/>
  <c r="FI10" i="9"/>
  <c r="CO50" i="9"/>
  <c r="BQ49" i="9"/>
  <c r="CF89" i="9"/>
  <c r="CE404" i="9"/>
  <c r="CU401" i="9"/>
  <c r="O52" i="9"/>
  <c r="BI89" i="9"/>
  <c r="CO51" i="9"/>
  <c r="AY90" i="9"/>
  <c r="BG89" i="9"/>
  <c r="BK49" i="9"/>
  <c r="FM344" i="4"/>
  <c r="M151" i="5" s="1"/>
  <c r="M150" i="5" s="1"/>
  <c r="FI344" i="4"/>
  <c r="I151" i="5" s="1"/>
  <c r="I150" i="5" s="1"/>
  <c r="FG344" i="4"/>
  <c r="G151" i="5" s="1"/>
  <c r="G150" i="5" s="1"/>
  <c r="FL344" i="4"/>
  <c r="L151" i="5" s="1"/>
  <c r="L150" i="5" s="1"/>
  <c r="FH344" i="4"/>
  <c r="H151" i="5" s="1"/>
  <c r="H150" i="5" s="1"/>
  <c r="FI316" i="4"/>
  <c r="FJ344" i="4"/>
  <c r="J151" i="5" s="1"/>
  <c r="J150" i="5" s="1"/>
  <c r="FO344" i="4"/>
  <c r="O151" i="5" s="1"/>
  <c r="O150" i="5" s="1"/>
  <c r="CX363" i="4"/>
  <c r="CX372" i="4"/>
  <c r="CS363" i="4"/>
  <c r="CS372" i="4"/>
  <c r="BG372" i="4"/>
  <c r="BG363" i="4"/>
  <c r="DC363" i="4"/>
  <c r="DC372" i="4"/>
  <c r="CF363" i="4"/>
  <c r="CF372" i="4"/>
  <c r="FK344" i="4"/>
  <c r="K151" i="5" s="1"/>
  <c r="K150" i="5" s="1"/>
  <c r="BT363" i="4"/>
  <c r="BT372" i="4"/>
  <c r="CL363" i="4"/>
  <c r="CL372" i="4"/>
  <c r="CQ372" i="4"/>
  <c r="CQ363" i="4"/>
  <c r="CW363" i="4"/>
  <c r="CW372" i="4"/>
  <c r="BI363" i="4"/>
  <c r="BI372" i="4"/>
  <c r="CA363" i="4"/>
  <c r="CA372" i="4"/>
  <c r="FJ316" i="4"/>
  <c r="CY363" i="4"/>
  <c r="CY372" i="4"/>
  <c r="DD363" i="4"/>
  <c r="DD372" i="4"/>
  <c r="BU372" i="4"/>
  <c r="BU363" i="4"/>
  <c r="FN316" i="4"/>
  <c r="BZ372" i="4"/>
  <c r="BZ363" i="4"/>
  <c r="CN13" i="4"/>
  <c r="CN14" i="4" s="1"/>
  <c r="CN372" i="4"/>
  <c r="CN363" i="4"/>
  <c r="BH363" i="4"/>
  <c r="BH372" i="4"/>
  <c r="CR372" i="4"/>
  <c r="CR363" i="4"/>
  <c r="DE363" i="4"/>
  <c r="DE372" i="4"/>
  <c r="BM372" i="4"/>
  <c r="BM363" i="4"/>
  <c r="CE372" i="4"/>
  <c r="CE363" i="4"/>
  <c r="BS363" i="4"/>
  <c r="BS372" i="4"/>
  <c r="BY372" i="4"/>
  <c r="BY363" i="4"/>
  <c r="CG372" i="4"/>
  <c r="CG363" i="4"/>
  <c r="CT13" i="4"/>
  <c r="CT24" i="4" s="1"/>
  <c r="CT372" i="4"/>
  <c r="CT363" i="4"/>
  <c r="DJ289" i="4"/>
  <c r="DJ363" i="4"/>
  <c r="DJ372" i="4"/>
  <c r="BV372" i="4"/>
  <c r="BV363" i="4"/>
  <c r="FL316" i="4"/>
  <c r="CZ13" i="4"/>
  <c r="CZ14" i="4" s="1"/>
  <c r="CZ363" i="4"/>
  <c r="CZ372" i="4"/>
  <c r="BJ363" i="4"/>
  <c r="BJ372" i="4"/>
  <c r="DF289" i="4"/>
  <c r="DF363" i="4"/>
  <c r="DF372" i="4"/>
  <c r="CK372" i="4"/>
  <c r="CK363" i="4"/>
  <c r="FG316" i="4"/>
  <c r="FO316" i="4"/>
  <c r="FM316" i="4"/>
  <c r="CO369" i="4"/>
  <c r="CI375" i="4"/>
  <c r="CI369" i="4"/>
  <c r="CC375" i="4"/>
  <c r="BW375" i="4"/>
  <c r="BQ375" i="4"/>
  <c r="BQ369" i="4"/>
  <c r="BK375" i="4"/>
  <c r="CN289" i="4"/>
  <c r="CW289" i="4"/>
  <c r="BZ13" i="4"/>
  <c r="BZ14" i="4" s="1"/>
  <c r="BZ289" i="4"/>
  <c r="BY289" i="4"/>
  <c r="BU13" i="4"/>
  <c r="BU14" i="4" s="1"/>
  <c r="BU289" i="4"/>
  <c r="CK289" i="4"/>
  <c r="DD13" i="4"/>
  <c r="DD289" i="4"/>
  <c r="DE13" i="4"/>
  <c r="DE289" i="4"/>
  <c r="CT289" i="4"/>
  <c r="CR13" i="4"/>
  <c r="CR14" i="4" s="1"/>
  <c r="CR289" i="4"/>
  <c r="CF289" i="4"/>
  <c r="BT13" i="4"/>
  <c r="BT24" i="4" s="1"/>
  <c r="BT289" i="4"/>
  <c r="CG13" i="4"/>
  <c r="CG24" i="4" s="1"/>
  <c r="CG289" i="4"/>
  <c r="CY13" i="4"/>
  <c r="CY24" i="4" s="1"/>
  <c r="CY289" i="4"/>
  <c r="BG13" i="4"/>
  <c r="BG14" i="4" s="1"/>
  <c r="BJ13" i="4"/>
  <c r="BJ14" i="4" s="1"/>
  <c r="BM289" i="4"/>
  <c r="CL13" i="4"/>
  <c r="CL24" i="4" s="1"/>
  <c r="CL289" i="4"/>
  <c r="BG289" i="4"/>
  <c r="CS13" i="4"/>
  <c r="CS24" i="4" s="1"/>
  <c r="CS289" i="4"/>
  <c r="DC289" i="4"/>
  <c r="BS289" i="4"/>
  <c r="CA13" i="4"/>
  <c r="CA24" i="4" s="1"/>
  <c r="CA289" i="4"/>
  <c r="CE13" i="4"/>
  <c r="CE14" i="4" s="1"/>
  <c r="CE289" i="4"/>
  <c r="BH289" i="4"/>
  <c r="CQ289" i="4"/>
  <c r="CX13" i="4"/>
  <c r="CX14" i="4" s="1"/>
  <c r="CX289" i="4"/>
  <c r="BJ289" i="4"/>
  <c r="BI13" i="4"/>
  <c r="BI24" i="4" s="1"/>
  <c r="BI289" i="4"/>
  <c r="DF13" i="4"/>
  <c r="BV13" i="4"/>
  <c r="BV14" i="4" s="1"/>
  <c r="BV289" i="4"/>
  <c r="CZ289" i="4"/>
  <c r="FK316" i="4"/>
  <c r="CT174" i="4"/>
  <c r="CW174" i="4"/>
  <c r="BQ169" i="4"/>
  <c r="CF136" i="4"/>
  <c r="CQ124" i="4"/>
  <c r="CQ125" i="4" s="1"/>
  <c r="CG137" i="4"/>
  <c r="BQ322" i="4"/>
  <c r="FH322" i="4" s="1"/>
  <c r="BK322" i="4"/>
  <c r="FG322" i="4" s="1"/>
  <c r="BW322" i="4"/>
  <c r="FI322" i="4" s="1"/>
  <c r="CK124" i="4"/>
  <c r="CK125" i="4" s="1"/>
  <c r="CK136" i="4" s="1"/>
  <c r="CH124" i="4"/>
  <c r="CH125" i="4" s="1"/>
  <c r="CH136" i="4" s="1"/>
  <c r="CF144" i="4"/>
  <c r="CC322" i="4"/>
  <c r="FJ322" i="4" s="1"/>
  <c r="CR145" i="4"/>
  <c r="CI322" i="4"/>
  <c r="FI272" i="4"/>
  <c r="BH27" i="4"/>
  <c r="FL233" i="4"/>
  <c r="FJ244" i="4"/>
  <c r="J90" i="5" s="1"/>
  <c r="FJ272" i="4"/>
  <c r="FN233" i="4"/>
  <c r="FH244" i="4"/>
  <c r="H90" i="5" s="1"/>
  <c r="FH272" i="4"/>
  <c r="FM233" i="4"/>
  <c r="FM246" i="4" s="1"/>
  <c r="FM272" i="4"/>
  <c r="FN244" i="4"/>
  <c r="N90" i="5" s="1"/>
  <c r="FN272" i="4"/>
  <c r="FO260" i="4"/>
  <c r="FO272" i="4"/>
  <c r="FL244" i="4"/>
  <c r="L90" i="5" s="1"/>
  <c r="FL272" i="4"/>
  <c r="FG244" i="4"/>
  <c r="G90" i="5" s="1"/>
  <c r="FG272" i="4"/>
  <c r="FK244" i="4"/>
  <c r="FK272" i="4"/>
  <c r="BI27" i="4"/>
  <c r="BK246" i="4"/>
  <c r="DD124" i="4"/>
  <c r="DD125" i="4" s="1"/>
  <c r="DD136" i="4" s="1"/>
  <c r="DA151" i="4"/>
  <c r="CT145" i="4"/>
  <c r="BN149" i="4"/>
  <c r="BQ149" i="4" s="1"/>
  <c r="CW124" i="4"/>
  <c r="CW125" i="4" s="1"/>
  <c r="FJ162" i="4"/>
  <c r="BG27" i="4"/>
  <c r="BG34" i="4"/>
  <c r="BK9" i="4"/>
  <c r="BH13" i="4"/>
  <c r="CU9" i="4"/>
  <c r="CQ13" i="4"/>
  <c r="BQ9" i="4"/>
  <c r="BM13" i="4"/>
  <c r="BK21" i="4"/>
  <c r="BK26" i="4"/>
  <c r="BW9" i="4"/>
  <c r="BS13" i="4"/>
  <c r="CI9" i="4"/>
  <c r="CF13" i="4"/>
  <c r="DG9" i="4"/>
  <c r="DC13" i="4"/>
  <c r="DC116" i="4" s="1"/>
  <c r="CO9" i="4"/>
  <c r="CK13" i="4"/>
  <c r="BJ27" i="4"/>
  <c r="BY13" i="4"/>
  <c r="CC9" i="4"/>
  <c r="DA9" i="4"/>
  <c r="CW13" i="4"/>
  <c r="BI35" i="4"/>
  <c r="BI45" i="4"/>
  <c r="BH35" i="4"/>
  <c r="BH45" i="4"/>
  <c r="BJ45" i="4"/>
  <c r="BJ35" i="4"/>
  <c r="CY174" i="4"/>
  <c r="CM124" i="4"/>
  <c r="CM125" i="4" s="1"/>
  <c r="CM132" i="4" s="1"/>
  <c r="CG124" i="4"/>
  <c r="DG143" i="4"/>
  <c r="FO143" i="4" s="1"/>
  <c r="DG151" i="4"/>
  <c r="DG149" i="4"/>
  <c r="FO149" i="4" s="1"/>
  <c r="CX174" i="4"/>
  <c r="BW150" i="4"/>
  <c r="BS149" i="4"/>
  <c r="CO151" i="4"/>
  <c r="BT144" i="4"/>
  <c r="BT145" i="4" s="1"/>
  <c r="CI178" i="4"/>
  <c r="CS145" i="4"/>
  <c r="BQ151" i="4"/>
  <c r="CX124" i="4"/>
  <c r="CX125" i="4" s="1"/>
  <c r="CA149" i="4"/>
  <c r="CU150" i="4"/>
  <c r="CL144" i="4"/>
  <c r="CO143" i="4"/>
  <c r="FL143" i="4" s="1"/>
  <c r="CC151" i="4"/>
  <c r="CZ125" i="4"/>
  <c r="DA122" i="4"/>
  <c r="FN122" i="4" s="1"/>
  <c r="CY125" i="4"/>
  <c r="CU149" i="4"/>
  <c r="FM149" i="4" s="1"/>
  <c r="CO169" i="4"/>
  <c r="FL162" i="4"/>
  <c r="BQ178" i="4"/>
  <c r="FP176" i="4"/>
  <c r="CU143" i="4"/>
  <c r="FM143" i="4" s="1"/>
  <c r="CQ144" i="4"/>
  <c r="CZ149" i="4"/>
  <c r="CO178" i="4"/>
  <c r="CL124" i="4"/>
  <c r="CL125" i="4" s="1"/>
  <c r="DG169" i="4"/>
  <c r="DF177" i="4"/>
  <c r="DA177" i="4"/>
  <c r="FN177" i="4" s="1"/>
  <c r="DC145" i="4"/>
  <c r="FI162" i="4"/>
  <c r="BW169" i="4"/>
  <c r="DE174" i="4"/>
  <c r="CW144" i="4"/>
  <c r="BP144" i="4"/>
  <c r="BP145" i="4" s="1"/>
  <c r="CX145" i="4"/>
  <c r="FH70" i="4"/>
  <c r="FH73" i="4" s="1"/>
  <c r="BQ154" i="4"/>
  <c r="BU125" i="4"/>
  <c r="BK178" i="4"/>
  <c r="CN125" i="4"/>
  <c r="AM187" i="4"/>
  <c r="AL188" i="4"/>
  <c r="DA169" i="4"/>
  <c r="CU178" i="4"/>
  <c r="DF124" i="4"/>
  <c r="DD174" i="4"/>
  <c r="FG162" i="4"/>
  <c r="BK169" i="4"/>
  <c r="AW190" i="4"/>
  <c r="AO190" i="4"/>
  <c r="AO187" i="4" s="1"/>
  <c r="AO188" i="4" s="1"/>
  <c r="AP190" i="4"/>
  <c r="AQ190" i="4"/>
  <c r="AQ187" i="4" s="1"/>
  <c r="AQ188" i="4" s="1"/>
  <c r="AR190" i="4"/>
  <c r="AR187" i="4" s="1"/>
  <c r="AR188" i="4" s="1"/>
  <c r="AU190" i="4"/>
  <c r="BA190" i="4"/>
  <c r="AV190" i="4"/>
  <c r="AX190" i="4"/>
  <c r="CH149" i="4"/>
  <c r="CC178" i="4"/>
  <c r="CI151" i="4"/>
  <c r="FK162" i="4"/>
  <c r="CI169" i="4"/>
  <c r="BM145" i="4"/>
  <c r="AM120" i="9"/>
  <c r="AS120" i="9"/>
  <c r="AY120" i="9"/>
  <c r="BE120" i="9"/>
  <c r="DL177" i="4" l="1"/>
  <c r="EB177" i="4"/>
  <c r="DW177" i="4"/>
  <c r="FO216" i="4"/>
  <c r="DD113" i="4"/>
  <c r="DE66" i="9"/>
  <c r="DE68" i="9" s="1"/>
  <c r="DE87" i="4"/>
  <c r="DE113" i="4"/>
  <c r="DC66" i="9"/>
  <c r="DC68" i="9" s="1"/>
  <c r="DC87" i="4"/>
  <c r="DF66" i="9"/>
  <c r="DF68" i="9" s="1"/>
  <c r="DF87" i="4"/>
  <c r="DD66" i="9"/>
  <c r="DD68" i="9" s="1"/>
  <c r="DD87" i="4"/>
  <c r="FO81" i="4"/>
  <c r="CF27" i="9"/>
  <c r="CL32" i="9" s="1"/>
  <c r="DG109" i="4"/>
  <c r="DG83" i="4"/>
  <c r="FO83" i="4" s="1"/>
  <c r="CU53" i="9"/>
  <c r="CS68" i="9"/>
  <c r="DA89" i="9"/>
  <c r="FH89" i="9" s="1"/>
  <c r="DA53" i="9"/>
  <c r="DG89" i="9"/>
  <c r="FI89" i="9" s="1"/>
  <c r="DG53" i="9"/>
  <c r="FI47" i="9"/>
  <c r="FI48" i="9" s="1"/>
  <c r="DG48" i="9"/>
  <c r="DG61" i="9" s="1"/>
  <c r="CK35" i="9"/>
  <c r="CK30" i="9" s="1"/>
  <c r="CG26" i="9"/>
  <c r="CL36" i="9"/>
  <c r="CL35" i="9" s="1"/>
  <c r="CL30" i="9" s="1"/>
  <c r="EB19" i="4"/>
  <c r="CM202" i="4"/>
  <c r="CM25" i="4"/>
  <c r="EE232" i="4"/>
  <c r="FS232" i="4" s="1"/>
  <c r="S97" i="5" s="1"/>
  <c r="EK232" i="4"/>
  <c r="FT232" i="4" s="1"/>
  <c r="EE239" i="4"/>
  <c r="FS239" i="4" s="1"/>
  <c r="S88" i="5" s="1"/>
  <c r="EK239" i="4"/>
  <c r="FT239" i="4" s="1"/>
  <c r="EE237" i="4"/>
  <c r="FS237" i="4" s="1"/>
  <c r="S85" i="5" s="1"/>
  <c r="EK237" i="4"/>
  <c r="FT237" i="4" s="1"/>
  <c r="EE240" i="4"/>
  <c r="FS240" i="4" s="1"/>
  <c r="EK240" i="4"/>
  <c r="FT240" i="4" s="1"/>
  <c r="EE231" i="4"/>
  <c r="FS231" i="4" s="1"/>
  <c r="S95" i="5" s="1"/>
  <c r="EK231" i="4"/>
  <c r="FT231" i="4" s="1"/>
  <c r="EE257" i="4"/>
  <c r="FS257" i="4" s="1"/>
  <c r="S111" i="5" s="1"/>
  <c r="EK257" i="4"/>
  <c r="FT257" i="4" s="1"/>
  <c r="EE258" i="4"/>
  <c r="FS258" i="4" s="1"/>
  <c r="S112" i="5" s="1"/>
  <c r="EK258" i="4"/>
  <c r="FT258" i="4" s="1"/>
  <c r="EE259" i="4"/>
  <c r="FS259" i="4" s="1"/>
  <c r="S113" i="5" s="1"/>
  <c r="EK259" i="4"/>
  <c r="FT259" i="4" s="1"/>
  <c r="EE230" i="4"/>
  <c r="FS230" i="4" s="1"/>
  <c r="S96" i="5" s="1"/>
  <c r="EK230" i="4"/>
  <c r="FT230" i="4" s="1"/>
  <c r="CM32" i="4"/>
  <c r="CM39" i="4" s="1"/>
  <c r="CR136" i="4"/>
  <c r="CR138" i="4"/>
  <c r="BQ87" i="9"/>
  <c r="BW87" i="9"/>
  <c r="BY132" i="4"/>
  <c r="BY138" i="4" s="1"/>
  <c r="DG87" i="9"/>
  <c r="CI87" i="9"/>
  <c r="CU87" i="9"/>
  <c r="DA87" i="9"/>
  <c r="CO87" i="9"/>
  <c r="CC87" i="9"/>
  <c r="CS136" i="4"/>
  <c r="BO32" i="4"/>
  <c r="BO39" i="4" s="1"/>
  <c r="CS138" i="4"/>
  <c r="DG111" i="9"/>
  <c r="FQ41" i="4"/>
  <c r="M241" i="5"/>
  <c r="Q147" i="5"/>
  <c r="DE136" i="4"/>
  <c r="FU176" i="4"/>
  <c r="FV176" i="4" s="1"/>
  <c r="FW176" i="4" s="1"/>
  <c r="FX176" i="4" s="1"/>
  <c r="EE338" i="4"/>
  <c r="FS338" i="4" s="1"/>
  <c r="BP39" i="4"/>
  <c r="DY229" i="4"/>
  <c r="FR229" i="4" s="1"/>
  <c r="DY227" i="4"/>
  <c r="FR227" i="4" s="1"/>
  <c r="AN187" i="4"/>
  <c r="FI50" i="9"/>
  <c r="DG92" i="9"/>
  <c r="FI92" i="9" s="1"/>
  <c r="DG129" i="9"/>
  <c r="DF130" i="9"/>
  <c r="DI127" i="9"/>
  <c r="DC136" i="4"/>
  <c r="FC49" i="9"/>
  <c r="DG91" i="9"/>
  <c r="FI91" i="9" s="1"/>
  <c r="FK295" i="4"/>
  <c r="BN25" i="4"/>
  <c r="CH32" i="4"/>
  <c r="BI32" i="4"/>
  <c r="CL202" i="4"/>
  <c r="CT202" i="4"/>
  <c r="CB25" i="4"/>
  <c r="CS202" i="4"/>
  <c r="CY202" i="4"/>
  <c r="BP25" i="4"/>
  <c r="FH52" i="9"/>
  <c r="O299" i="5"/>
  <c r="FD47" i="9"/>
  <c r="K166" i="5"/>
  <c r="K299" i="5"/>
  <c r="DG112" i="4"/>
  <c r="FO112" i="4" s="1"/>
  <c r="DG86" i="4"/>
  <c r="FO86" i="4" s="1"/>
  <c r="M166" i="5"/>
  <c r="M299" i="5"/>
  <c r="L166" i="5"/>
  <c r="L299" i="5"/>
  <c r="N166" i="5"/>
  <c r="N299" i="5"/>
  <c r="CG25" i="9"/>
  <c r="DG111" i="4"/>
  <c r="FO111" i="4" s="1"/>
  <c r="FC50" i="9"/>
  <c r="AG65" i="9"/>
  <c r="DG82" i="4"/>
  <c r="FO82" i="4" s="1"/>
  <c r="AG63" i="9"/>
  <c r="AG64" i="9"/>
  <c r="FI49" i="9"/>
  <c r="BE55" i="9"/>
  <c r="BE62" i="9" s="1"/>
  <c r="DG85" i="4"/>
  <c r="FO85" i="4" s="1"/>
  <c r="DF110" i="4"/>
  <c r="DG110" i="4" s="1"/>
  <c r="DG84" i="4"/>
  <c r="FO84" i="4" s="1"/>
  <c r="CB32" i="4"/>
  <c r="FL154" i="4"/>
  <c r="FL155" i="4" s="1"/>
  <c r="AY63" i="9"/>
  <c r="DE24" i="4"/>
  <c r="DE116" i="4"/>
  <c r="DD24" i="4"/>
  <c r="DD116" i="4"/>
  <c r="DF14" i="4"/>
  <c r="DF116" i="4"/>
  <c r="DG144" i="4"/>
  <c r="FO144" i="4" s="1"/>
  <c r="FO145" i="4" s="1"/>
  <c r="BN32" i="4"/>
  <c r="N89" i="5"/>
  <c r="FM154" i="4"/>
  <c r="FM155" i="4" s="1"/>
  <c r="L89" i="5"/>
  <c r="CU151" i="4"/>
  <c r="FM150" i="4"/>
  <c r="FM151" i="4" s="1"/>
  <c r="BT125" i="4"/>
  <c r="BT132" i="4" s="1"/>
  <c r="BT130" i="4" s="1"/>
  <c r="BT137" i="4" s="1"/>
  <c r="FO154" i="4"/>
  <c r="FO155" i="4" s="1"/>
  <c r="CH25" i="4"/>
  <c r="R147" i="5"/>
  <c r="G143" i="5"/>
  <c r="N124" i="5"/>
  <c r="O166" i="5"/>
  <c r="H143" i="5"/>
  <c r="M175" i="5"/>
  <c r="M204" i="5"/>
  <c r="I143" i="5"/>
  <c r="M143" i="5"/>
  <c r="G124" i="5"/>
  <c r="G175" i="5" s="1"/>
  <c r="O175" i="5"/>
  <c r="O204" i="5"/>
  <c r="O143" i="5"/>
  <c r="L143" i="5"/>
  <c r="N143" i="5"/>
  <c r="L124" i="5"/>
  <c r="K143" i="5"/>
  <c r="CB125" i="4"/>
  <c r="CB136" i="4" s="1"/>
  <c r="O55" i="9"/>
  <c r="O63" i="9" s="1"/>
  <c r="FH20" i="9"/>
  <c r="FN295" i="4"/>
  <c r="FN294" i="4"/>
  <c r="FI20" i="9"/>
  <c r="FO295" i="4"/>
  <c r="FO294" i="4"/>
  <c r="FM294" i="4"/>
  <c r="FM295" i="4"/>
  <c r="FA20" i="9"/>
  <c r="FG295" i="4"/>
  <c r="FG294" i="4"/>
  <c r="FI295" i="4"/>
  <c r="FI294" i="4"/>
  <c r="FH295" i="4"/>
  <c r="FH294" i="4"/>
  <c r="FD20" i="9"/>
  <c r="FJ295" i="4"/>
  <c r="FJ294" i="4"/>
  <c r="FF20" i="9"/>
  <c r="FL294" i="4"/>
  <c r="FL295" i="4"/>
  <c r="FH49" i="9"/>
  <c r="CH202" i="4"/>
  <c r="G89" i="5"/>
  <c r="J89" i="5"/>
  <c r="CT14" i="4"/>
  <c r="H89" i="5"/>
  <c r="BW13" i="4"/>
  <c r="BW24" i="4" s="1"/>
  <c r="BW173" i="4"/>
  <c r="FM188" i="4"/>
  <c r="K175" i="5"/>
  <c r="K204" i="5"/>
  <c r="DA13" i="4"/>
  <c r="DA24" i="4" s="1"/>
  <c r="DA202" i="4" s="1"/>
  <c r="H175" i="5"/>
  <c r="H204" i="5"/>
  <c r="CC13" i="4"/>
  <c r="CC24" i="4" s="1"/>
  <c r="CC173" i="4"/>
  <c r="CO13" i="4"/>
  <c r="CO14" i="4" s="1"/>
  <c r="CO173" i="4"/>
  <c r="CU13" i="4"/>
  <c r="CU14" i="4" s="1"/>
  <c r="CU173" i="4"/>
  <c r="J175" i="5"/>
  <c r="J204" i="5"/>
  <c r="BQ13" i="4"/>
  <c r="BQ24" i="4" s="1"/>
  <c r="BQ173" i="4"/>
  <c r="BK13" i="4"/>
  <c r="BK24" i="4" s="1"/>
  <c r="BK173" i="4"/>
  <c r="CI372" i="4"/>
  <c r="CI173" i="4"/>
  <c r="FO188" i="4"/>
  <c r="G98" i="5"/>
  <c r="G100" i="5" s="1"/>
  <c r="G240" i="5"/>
  <c r="G241" i="5" s="1"/>
  <c r="FB20" i="9"/>
  <c r="FG20" i="9"/>
  <c r="FK246" i="4"/>
  <c r="K90" i="5"/>
  <c r="K89" i="5" s="1"/>
  <c r="L100" i="5"/>
  <c r="N100" i="5"/>
  <c r="DG13" i="4"/>
  <c r="DG170" i="4"/>
  <c r="FL169" i="4"/>
  <c r="FG169" i="4"/>
  <c r="FJ169" i="4"/>
  <c r="FK169" i="4"/>
  <c r="FI169" i="4"/>
  <c r="CO92" i="9"/>
  <c r="FF92" i="9" s="1"/>
  <c r="FF52" i="9"/>
  <c r="CI92" i="9"/>
  <c r="FE92" i="9" s="1"/>
  <c r="FE52" i="9"/>
  <c r="BW91" i="9"/>
  <c r="FC91" i="9" s="1"/>
  <c r="FC51" i="9"/>
  <c r="CI404" i="9"/>
  <c r="CI407" i="9" s="1"/>
  <c r="BK89" i="9"/>
  <c r="FA89" i="9" s="1"/>
  <c r="FA49" i="9"/>
  <c r="FC47" i="9"/>
  <c r="CC90" i="9"/>
  <c r="FD90" i="9" s="1"/>
  <c r="FD50" i="9"/>
  <c r="BO125" i="4"/>
  <c r="BK91" i="9"/>
  <c r="FA91" i="9" s="1"/>
  <c r="FA51" i="9"/>
  <c r="BK92" i="9"/>
  <c r="FA92" i="9" s="1"/>
  <c r="FA52" i="9"/>
  <c r="CC89" i="9"/>
  <c r="FD89" i="9" s="1"/>
  <c r="FD49" i="9"/>
  <c r="CU92" i="9"/>
  <c r="FG92" i="9" s="1"/>
  <c r="FG52" i="9"/>
  <c r="BS125" i="4"/>
  <c r="CI89" i="9"/>
  <c r="FE89" i="9" s="1"/>
  <c r="FE49" i="9"/>
  <c r="FF54" i="9"/>
  <c r="DA90" i="9"/>
  <c r="FH90" i="9" s="1"/>
  <c r="FH50" i="9"/>
  <c r="FC20" i="9"/>
  <c r="BQ92" i="9"/>
  <c r="FB92" i="9" s="1"/>
  <c r="FB52" i="9"/>
  <c r="BZ136" i="4"/>
  <c r="BZ132" i="4"/>
  <c r="CC91" i="9"/>
  <c r="FD91" i="9" s="1"/>
  <c r="FD51" i="9"/>
  <c r="CC55" i="9"/>
  <c r="CC64" i="9" s="1"/>
  <c r="AY64" i="9"/>
  <c r="AY62" i="9"/>
  <c r="CO91" i="9"/>
  <c r="FF91" i="9" s="1"/>
  <c r="FF51" i="9"/>
  <c r="CO90" i="9"/>
  <c r="FF90" i="9" s="1"/>
  <c r="FF50" i="9"/>
  <c r="CU89" i="9"/>
  <c r="FG89" i="9" s="1"/>
  <c r="FG49" i="9"/>
  <c r="CI90" i="9"/>
  <c r="FE90" i="9" s="1"/>
  <c r="FE50" i="9"/>
  <c r="AY60" i="9"/>
  <c r="AM63" i="9"/>
  <c r="CE136" i="4"/>
  <c r="CE132" i="4"/>
  <c r="CE138" i="4" s="1"/>
  <c r="BQ91" i="9"/>
  <c r="FB91" i="9" s="1"/>
  <c r="FB51" i="9"/>
  <c r="CC92" i="9"/>
  <c r="FD92" i="9" s="1"/>
  <c r="FD52" i="9"/>
  <c r="U55" i="9"/>
  <c r="U63" i="9" s="1"/>
  <c r="FG47" i="9"/>
  <c r="FG48" i="9" s="1"/>
  <c r="AM64" i="9"/>
  <c r="FB47" i="9"/>
  <c r="CO89" i="9"/>
  <c r="FF89" i="9" s="1"/>
  <c r="FF49" i="9"/>
  <c r="AM65" i="9"/>
  <c r="BQ89" i="9"/>
  <c r="FB89" i="9" s="1"/>
  <c r="FB49" i="9"/>
  <c r="BW92" i="9"/>
  <c r="FC92" i="9" s="1"/>
  <c r="FC52" i="9"/>
  <c r="FE20" i="9"/>
  <c r="CU91" i="9"/>
  <c r="FG91" i="9" s="1"/>
  <c r="FG51" i="9"/>
  <c r="FE47" i="9"/>
  <c r="CI55" i="9"/>
  <c r="CI63" i="9" s="1"/>
  <c r="CI91" i="9"/>
  <c r="FE91" i="9" s="1"/>
  <c r="FE51" i="9"/>
  <c r="DA91" i="9"/>
  <c r="FH91" i="9" s="1"/>
  <c r="FH51" i="9"/>
  <c r="AS65" i="9"/>
  <c r="BQ90" i="9"/>
  <c r="FB90" i="9" s="1"/>
  <c r="FB50" i="9"/>
  <c r="FH47" i="9"/>
  <c r="FH48" i="9" s="1"/>
  <c r="AS63" i="9"/>
  <c r="AS64" i="9"/>
  <c r="CU90" i="9"/>
  <c r="FG90" i="9" s="1"/>
  <c r="FG50" i="9"/>
  <c r="FF47" i="9"/>
  <c r="CO55" i="9"/>
  <c r="CO39" i="9" s="1"/>
  <c r="CK132" i="4"/>
  <c r="CK138" i="4" s="1"/>
  <c r="CK139" i="4" s="1"/>
  <c r="CN24" i="4"/>
  <c r="CR24" i="4"/>
  <c r="CU124" i="4"/>
  <c r="DG363" i="4"/>
  <c r="CC372" i="4"/>
  <c r="DA363" i="4"/>
  <c r="CU372" i="4"/>
  <c r="BW372" i="4"/>
  <c r="BQ372" i="4"/>
  <c r="CU363" i="4"/>
  <c r="CO363" i="4"/>
  <c r="BK363" i="4"/>
  <c r="CI13" i="4"/>
  <c r="CI14" i="4" s="1"/>
  <c r="CI363" i="4"/>
  <c r="BQ363" i="4"/>
  <c r="DG372" i="4"/>
  <c r="CC363" i="4"/>
  <c r="CO372" i="4"/>
  <c r="DA372" i="4"/>
  <c r="CZ24" i="4"/>
  <c r="BW363" i="4"/>
  <c r="BK372" i="4"/>
  <c r="BT14" i="4"/>
  <c r="DE14" i="4"/>
  <c r="DD132" i="4"/>
  <c r="DD133" i="4" s="1"/>
  <c r="BU24" i="4"/>
  <c r="CL14" i="4"/>
  <c r="CE24" i="4"/>
  <c r="CA14" i="4"/>
  <c r="CG14" i="4"/>
  <c r="DF24" i="4"/>
  <c r="CS14" i="4"/>
  <c r="CX24" i="4"/>
  <c r="BZ24" i="4"/>
  <c r="CY14" i="4"/>
  <c r="BI14" i="4"/>
  <c r="DD14" i="4"/>
  <c r="BJ24" i="4"/>
  <c r="BV24" i="4"/>
  <c r="BI25" i="4"/>
  <c r="BG24" i="4"/>
  <c r="CH132" i="4"/>
  <c r="CH133" i="4" s="1"/>
  <c r="BP125" i="4"/>
  <c r="BP132" i="4" s="1"/>
  <c r="BP130" i="4" s="1"/>
  <c r="BP137" i="4" s="1"/>
  <c r="CC264" i="4"/>
  <c r="CB266" i="4"/>
  <c r="BK264" i="4"/>
  <c r="BJ266" i="4"/>
  <c r="BW264" i="4"/>
  <c r="BV266" i="4"/>
  <c r="BK318" i="4"/>
  <c r="FG318" i="4" s="1"/>
  <c r="G136" i="5" s="1"/>
  <c r="BQ264" i="4"/>
  <c r="BP266" i="4"/>
  <c r="CI124" i="4"/>
  <c r="FK124" i="4" s="1"/>
  <c r="FK125" i="4" s="1"/>
  <c r="FK132" i="4" s="1"/>
  <c r="FK133" i="4" s="1"/>
  <c r="CC318" i="4"/>
  <c r="FJ318" i="4" s="1"/>
  <c r="J136" i="5" s="1"/>
  <c r="BQ318" i="4"/>
  <c r="FH318" i="4" s="1"/>
  <c r="H136" i="5" s="1"/>
  <c r="BW318" i="4"/>
  <c r="FI318" i="4" s="1"/>
  <c r="I136" i="5" s="1"/>
  <c r="CF138" i="4"/>
  <c r="CF139" i="4" s="1"/>
  <c r="CF145" i="4"/>
  <c r="BN125" i="4"/>
  <c r="BN136" i="4" s="1"/>
  <c r="BN143" i="4"/>
  <c r="BN144" i="4" s="1"/>
  <c r="FK322" i="4"/>
  <c r="CI318" i="4"/>
  <c r="FN246" i="4"/>
  <c r="FL246" i="4"/>
  <c r="CT132" i="4"/>
  <c r="CT136" i="4"/>
  <c r="CU251" i="4"/>
  <c r="FM251" i="4" s="1"/>
  <c r="M105" i="5" s="1"/>
  <c r="BP43" i="4"/>
  <c r="BP33" i="4"/>
  <c r="CW132" i="4"/>
  <c r="CW133" i="4" s="1"/>
  <c r="CW136" i="4"/>
  <c r="CS25" i="4"/>
  <c r="CS32" i="4"/>
  <c r="CF24" i="4"/>
  <c r="CF14" i="4"/>
  <c r="BK34" i="4"/>
  <c r="BK27" i="4"/>
  <c r="BY14" i="4"/>
  <c r="BY24" i="4"/>
  <c r="BS24" i="4"/>
  <c r="BS14" i="4"/>
  <c r="BM14" i="4"/>
  <c r="BM24" i="4"/>
  <c r="CK14" i="4"/>
  <c r="CK24" i="4"/>
  <c r="CT32" i="4"/>
  <c r="CT25" i="4"/>
  <c r="CQ14" i="4"/>
  <c r="CQ24" i="4"/>
  <c r="BG35" i="4"/>
  <c r="BG45" i="4"/>
  <c r="DC14" i="4"/>
  <c r="DC24" i="4"/>
  <c r="CA25" i="4"/>
  <c r="CA32" i="4"/>
  <c r="CL25" i="4"/>
  <c r="CL32" i="4"/>
  <c r="CG25" i="4"/>
  <c r="CG32" i="4"/>
  <c r="CY32" i="4"/>
  <c r="CY25" i="4"/>
  <c r="BT32" i="4"/>
  <c r="BT25" i="4"/>
  <c r="CW14" i="4"/>
  <c r="CW24" i="4"/>
  <c r="BH14" i="4"/>
  <c r="BH24" i="4"/>
  <c r="BH55" i="4"/>
  <c r="BH46" i="4"/>
  <c r="BH54" i="4"/>
  <c r="BJ55" i="4"/>
  <c r="BJ46" i="4"/>
  <c r="BJ54" i="4"/>
  <c r="BI55" i="4"/>
  <c r="BI46" i="4"/>
  <c r="BI54" i="4"/>
  <c r="CG125" i="4"/>
  <c r="CG132" i="4" s="1"/>
  <c r="CM136" i="4"/>
  <c r="CA125" i="4"/>
  <c r="CO124" i="4"/>
  <c r="BS143" i="4"/>
  <c r="BW149" i="4"/>
  <c r="BW151" i="4"/>
  <c r="DA124" i="4"/>
  <c r="CM133" i="4"/>
  <c r="CM138" i="4"/>
  <c r="CX132" i="4"/>
  <c r="CX136" i="4"/>
  <c r="CO144" i="4"/>
  <c r="FL144" i="4" s="1"/>
  <c r="FL145" i="4" s="1"/>
  <c r="CL145" i="4"/>
  <c r="CZ132" i="4"/>
  <c r="CZ136" i="4"/>
  <c r="CC149" i="4"/>
  <c r="CA143" i="4"/>
  <c r="CY132" i="4"/>
  <c r="CY136" i="4"/>
  <c r="AW187" i="4"/>
  <c r="AW188" i="4" s="1"/>
  <c r="AW191" i="4"/>
  <c r="DC138" i="4"/>
  <c r="DE133" i="4"/>
  <c r="DE138" i="4"/>
  <c r="AY190" i="4"/>
  <c r="AV187" i="4"/>
  <c r="AV191" i="4"/>
  <c r="CN132" i="4"/>
  <c r="CN136" i="4"/>
  <c r="BV132" i="4"/>
  <c r="BV130" i="4" s="1"/>
  <c r="BV137" i="4" s="1"/>
  <c r="BV136" i="4"/>
  <c r="CI149" i="4"/>
  <c r="FK149" i="4" s="1"/>
  <c r="BA187" i="4"/>
  <c r="BA188" i="4" s="1"/>
  <c r="BA191" i="4"/>
  <c r="DA149" i="4"/>
  <c r="FN149" i="4" s="1"/>
  <c r="AU187" i="4"/>
  <c r="AU188" i="4" s="1"/>
  <c r="AU191" i="4"/>
  <c r="DG124" i="4"/>
  <c r="DF125" i="4"/>
  <c r="CQ132" i="4"/>
  <c r="CQ138" i="4" s="1"/>
  <c r="CQ136" i="4"/>
  <c r="CW145" i="4"/>
  <c r="BM132" i="4"/>
  <c r="BM130" i="4" s="1"/>
  <c r="BM136" i="4"/>
  <c r="CZ174" i="4"/>
  <c r="DC174" i="4"/>
  <c r="DA172" i="4"/>
  <c r="FN172" i="4" s="1"/>
  <c r="AX187" i="4"/>
  <c r="AX188" i="4" s="1"/>
  <c r="AX191" i="4"/>
  <c r="AS190" i="4"/>
  <c r="AP187" i="4"/>
  <c r="CL132" i="4"/>
  <c r="CL136" i="4"/>
  <c r="BU132" i="4"/>
  <c r="BU130" i="4" s="1"/>
  <c r="BU136" i="4"/>
  <c r="DG177" i="4"/>
  <c r="FO177" i="4" s="1"/>
  <c r="CU144" i="4"/>
  <c r="CQ145" i="4"/>
  <c r="BS266" i="4"/>
  <c r="BM266" i="4"/>
  <c r="BY266" i="4"/>
  <c r="BG266" i="4"/>
  <c r="FN178" i="4" l="1"/>
  <c r="FN175" i="4"/>
  <c r="DR177" i="4"/>
  <c r="DX177" i="4" s="1"/>
  <c r="EB174" i="4"/>
  <c r="DU175" i="4"/>
  <c r="DP174" i="4"/>
  <c r="DO175" i="4"/>
  <c r="EB21" i="4"/>
  <c r="EB24" i="4" s="1"/>
  <c r="EB25" i="4" s="1"/>
  <c r="EC177" i="4"/>
  <c r="DI129" i="9"/>
  <c r="DD101" i="4"/>
  <c r="FE55" i="9"/>
  <c r="FE64" i="9" s="1"/>
  <c r="DE101" i="4"/>
  <c r="FF55" i="9"/>
  <c r="FF67" i="9" s="1"/>
  <c r="DG87" i="4"/>
  <c r="FO87" i="4" s="1"/>
  <c r="DG66" i="9"/>
  <c r="FI53" i="9"/>
  <c r="DA66" i="9"/>
  <c r="FH53" i="9"/>
  <c r="CU66" i="9"/>
  <c r="FG53" i="9"/>
  <c r="DF113" i="4"/>
  <c r="DF101" i="4" s="1"/>
  <c r="DC101" i="4"/>
  <c r="FO109" i="4"/>
  <c r="FO97" i="4" s="1"/>
  <c r="DG113" i="4"/>
  <c r="DG97" i="4"/>
  <c r="CG27" i="9"/>
  <c r="CM32" i="9" s="1"/>
  <c r="CH26" i="9"/>
  <c r="CM36" i="9"/>
  <c r="CM35" i="9" s="1"/>
  <c r="CM30" i="9" s="1"/>
  <c r="DL174" i="4"/>
  <c r="DL175" i="4"/>
  <c r="U113" i="5"/>
  <c r="CM33" i="4"/>
  <c r="T113" i="5"/>
  <c r="EK338" i="4"/>
  <c r="FT338" i="4" s="1"/>
  <c r="CM43" i="4"/>
  <c r="CM366" i="4" s="1"/>
  <c r="EE227" i="4"/>
  <c r="FS227" i="4" s="1"/>
  <c r="EK227" i="4"/>
  <c r="FT227" i="4" s="1"/>
  <c r="FU240" i="4"/>
  <c r="FV240" i="4" s="1"/>
  <c r="FW240" i="4" s="1"/>
  <c r="FX240" i="4" s="1"/>
  <c r="EE229" i="4"/>
  <c r="FS229" i="4" s="1"/>
  <c r="EK229" i="4"/>
  <c r="FT229" i="4" s="1"/>
  <c r="FD55" i="9"/>
  <c r="FD62" i="9" s="1"/>
  <c r="FC55" i="9"/>
  <c r="FB55" i="9"/>
  <c r="CR139" i="4"/>
  <c r="CR137" i="4"/>
  <c r="BO43" i="4"/>
  <c r="BO44" i="4" s="1"/>
  <c r="CI60" i="9"/>
  <c r="CO60" i="9"/>
  <c r="CU39" i="9"/>
  <c r="DE139" i="4"/>
  <c r="CS137" i="4"/>
  <c r="CS139" i="4"/>
  <c r="BO33" i="4"/>
  <c r="DO174" i="4"/>
  <c r="FU230" i="4"/>
  <c r="T96" i="5"/>
  <c r="FU231" i="4"/>
  <c r="T95" i="5"/>
  <c r="FU232" i="4"/>
  <c r="T97" i="5"/>
  <c r="FU239" i="4"/>
  <c r="T88" i="5"/>
  <c r="FU237" i="4"/>
  <c r="T85" i="5"/>
  <c r="T112" i="5"/>
  <c r="T111" i="5"/>
  <c r="BN33" i="4"/>
  <c r="BI43" i="4"/>
  <c r="BI366" i="4" s="1"/>
  <c r="CB39" i="4"/>
  <c r="CH43" i="4"/>
  <c r="CH366" i="4" s="1"/>
  <c r="BI33" i="4"/>
  <c r="DG130" i="9"/>
  <c r="DJ127" i="9"/>
  <c r="DJ129" i="9" s="1"/>
  <c r="BE65" i="9"/>
  <c r="BE63" i="9"/>
  <c r="DC139" i="4"/>
  <c r="BI39" i="4"/>
  <c r="BE64" i="9"/>
  <c r="CH33" i="4"/>
  <c r="CH39" i="4"/>
  <c r="DD32" i="4"/>
  <c r="BV25" i="4"/>
  <c r="DE32" i="4"/>
  <c r="DY242" i="4"/>
  <c r="DY314" i="4"/>
  <c r="FR314" i="4" s="1"/>
  <c r="R135" i="5" s="1"/>
  <c r="CE25" i="4"/>
  <c r="BJ32" i="4"/>
  <c r="BZ32" i="4"/>
  <c r="BU32" i="4"/>
  <c r="CW202" i="4"/>
  <c r="CQ202" i="4"/>
  <c r="CK202" i="4"/>
  <c r="BG32" i="4"/>
  <c r="FO100" i="4"/>
  <c r="DG100" i="4"/>
  <c r="O65" i="9"/>
  <c r="S147" i="5"/>
  <c r="DM177" i="4"/>
  <c r="FP177" i="4" s="1"/>
  <c r="L204" i="5"/>
  <c r="L305" i="5"/>
  <c r="CH25" i="9"/>
  <c r="N175" i="5"/>
  <c r="N305" i="5"/>
  <c r="CB33" i="4"/>
  <c r="CB43" i="4"/>
  <c r="CB366" i="4" s="1"/>
  <c r="O64" i="9"/>
  <c r="FO99" i="4"/>
  <c r="DG99" i="4"/>
  <c r="DG98" i="4"/>
  <c r="DD25" i="4"/>
  <c r="DE202" i="4"/>
  <c r="DD202" i="4"/>
  <c r="DE25" i="4"/>
  <c r="BE60" i="9"/>
  <c r="FO110" i="4"/>
  <c r="FO98" i="4" s="1"/>
  <c r="DG145" i="4"/>
  <c r="DG24" i="4"/>
  <c r="DG116" i="4"/>
  <c r="DF173" i="4"/>
  <c r="DI174" i="4"/>
  <c r="N204" i="5"/>
  <c r="CB132" i="4"/>
  <c r="CB138" i="4" s="1"/>
  <c r="CB139" i="4" s="1"/>
  <c r="BN43" i="4"/>
  <c r="BN58" i="4" s="1"/>
  <c r="BQ14" i="4"/>
  <c r="BN39" i="4"/>
  <c r="DA14" i="4"/>
  <c r="BW125" i="4"/>
  <c r="BT136" i="4"/>
  <c r="BT138" i="4" s="1"/>
  <c r="BT139" i="4" s="1"/>
  <c r="DA125" i="4"/>
  <c r="FN124" i="4"/>
  <c r="FN125" i="4" s="1"/>
  <c r="FN132" i="4" s="1"/>
  <c r="FN133" i="4" s="1"/>
  <c r="DG125" i="4"/>
  <c r="FO124" i="4"/>
  <c r="FO125" i="4" s="1"/>
  <c r="FO132" i="4" s="1"/>
  <c r="FO133" i="4" s="1"/>
  <c r="CU125" i="4"/>
  <c r="FM124" i="4"/>
  <c r="FM125" i="4" s="1"/>
  <c r="FM132" i="4" s="1"/>
  <c r="FM133" i="4" s="1"/>
  <c r="CU145" i="4"/>
  <c r="FM144" i="4"/>
  <c r="FM145" i="4" s="1"/>
  <c r="CO125" i="4"/>
  <c r="FL124" i="4"/>
  <c r="FL125" i="4" s="1"/>
  <c r="FL132" i="4" s="1"/>
  <c r="FL133" i="4" s="1"/>
  <c r="Q94" i="5"/>
  <c r="FP162" i="4"/>
  <c r="FP169" i="4" s="1"/>
  <c r="DO18" i="4"/>
  <c r="L175" i="5"/>
  <c r="G204" i="5"/>
  <c r="DA173" i="4"/>
  <c r="CO62" i="9"/>
  <c r="CC65" i="9"/>
  <c r="CK133" i="4"/>
  <c r="CU24" i="4"/>
  <c r="CU202" i="4" s="1"/>
  <c r="CI64" i="9"/>
  <c r="CI62" i="9"/>
  <c r="CO24" i="4"/>
  <c r="CO202" i="4" s="1"/>
  <c r="BK14" i="4"/>
  <c r="BW14" i="4"/>
  <c r="CC14" i="4"/>
  <c r="K100" i="5"/>
  <c r="DG14" i="4"/>
  <c r="CX32" i="4"/>
  <c r="CX202" i="4"/>
  <c r="CZ25" i="4"/>
  <c r="CZ202" i="4"/>
  <c r="DF25" i="4"/>
  <c r="DF202" i="4"/>
  <c r="CI65" i="9"/>
  <c r="DC202" i="4"/>
  <c r="CR25" i="4"/>
  <c r="CR202" i="4"/>
  <c r="CC63" i="9"/>
  <c r="CN32" i="4"/>
  <c r="CN202" i="4"/>
  <c r="CE139" i="4"/>
  <c r="CC62" i="9"/>
  <c r="FA95" i="9"/>
  <c r="DA39" i="9"/>
  <c r="CO64" i="9"/>
  <c r="BO132" i="4"/>
  <c r="BO130" i="4" s="1"/>
  <c r="BO137" i="4" s="1"/>
  <c r="BO136" i="4"/>
  <c r="CI408" i="9"/>
  <c r="CI417" i="9"/>
  <c r="BZ133" i="4"/>
  <c r="BZ138" i="4"/>
  <c r="BS132" i="4"/>
  <c r="BS130" i="4" s="1"/>
  <c r="BS136" i="4"/>
  <c r="FB95" i="9"/>
  <c r="CI39" i="9"/>
  <c r="CI67" i="9"/>
  <c r="CO63" i="9"/>
  <c r="CO67" i="9"/>
  <c r="CO65" i="9"/>
  <c r="U65" i="9"/>
  <c r="U64" i="9"/>
  <c r="CC67" i="9"/>
  <c r="CC60" i="9"/>
  <c r="BQ143" i="4"/>
  <c r="CN25" i="4"/>
  <c r="DD138" i="4"/>
  <c r="DD139" i="4" s="1"/>
  <c r="CR32" i="4"/>
  <c r="BU25" i="4"/>
  <c r="CI24" i="4"/>
  <c r="DF32" i="4"/>
  <c r="CZ32" i="4"/>
  <c r="BP44" i="4"/>
  <c r="BP366" i="4"/>
  <c r="CE32" i="4"/>
  <c r="BZ25" i="4"/>
  <c r="CX25" i="4"/>
  <c r="BG25" i="4"/>
  <c r="BV32" i="4"/>
  <c r="BJ25" i="4"/>
  <c r="BQ125" i="4"/>
  <c r="BP136" i="4"/>
  <c r="BP138" i="4" s="1"/>
  <c r="CI125" i="4"/>
  <c r="FI264" i="4"/>
  <c r="FI266" i="4" s="1"/>
  <c r="I119" i="5" s="1"/>
  <c r="I253" i="5" s="1"/>
  <c r="BW266" i="4"/>
  <c r="BN132" i="4"/>
  <c r="BN130" i="4" s="1"/>
  <c r="BN137" i="4" s="1"/>
  <c r="BN138" i="4" s="1"/>
  <c r="BN139" i="4" s="1"/>
  <c r="FG264" i="4"/>
  <c r="FG266" i="4" s="1"/>
  <c r="G119" i="5" s="1"/>
  <c r="BK266" i="4"/>
  <c r="FH264" i="4"/>
  <c r="FH266" i="4" s="1"/>
  <c r="H119" i="5" s="1"/>
  <c r="H253" i="5" s="1"/>
  <c r="BQ266" i="4"/>
  <c r="FJ264" i="4"/>
  <c r="FJ266" i="4" s="1"/>
  <c r="J119" i="5" s="1"/>
  <c r="J253" i="5" s="1"/>
  <c r="CC266" i="4"/>
  <c r="FK318" i="4"/>
  <c r="K136" i="5" s="1"/>
  <c r="CT133" i="4"/>
  <c r="CT138" i="4"/>
  <c r="CT139" i="4" s="1"/>
  <c r="BY139" i="4"/>
  <c r="BY137" i="4"/>
  <c r="BH266" i="4"/>
  <c r="BP58" i="4"/>
  <c r="BP57" i="4"/>
  <c r="CW138" i="4"/>
  <c r="CW139" i="4" s="1"/>
  <c r="BH25" i="4"/>
  <c r="BH32" i="4"/>
  <c r="BG46" i="4"/>
  <c r="BG55" i="4"/>
  <c r="BG54" i="4"/>
  <c r="CF32" i="4"/>
  <c r="CF25" i="4"/>
  <c r="CQ25" i="4"/>
  <c r="CQ32" i="4"/>
  <c r="CC25" i="4"/>
  <c r="CC32" i="4"/>
  <c r="CW25" i="4"/>
  <c r="CW32" i="4"/>
  <c r="BW25" i="4"/>
  <c r="BW32" i="4"/>
  <c r="CK32" i="4"/>
  <c r="CK25" i="4"/>
  <c r="BY25" i="4"/>
  <c r="BY32" i="4"/>
  <c r="BK25" i="4"/>
  <c r="BK32" i="4"/>
  <c r="BT33" i="4"/>
  <c r="BT43" i="4"/>
  <c r="BT366" i="4" s="1"/>
  <c r="BT39" i="4"/>
  <c r="CL33" i="4"/>
  <c r="CL43" i="4"/>
  <c r="CL366" i="4" s="1"/>
  <c r="CL39" i="4"/>
  <c r="BK35" i="4"/>
  <c r="BK45" i="4"/>
  <c r="CS33" i="4"/>
  <c r="CS43" i="4"/>
  <c r="CS366" i="4" s="1"/>
  <c r="CS39" i="4"/>
  <c r="CY33" i="4"/>
  <c r="CY43" i="4"/>
  <c r="CY366" i="4" s="1"/>
  <c r="CY39" i="4"/>
  <c r="CA33" i="4"/>
  <c r="CA43" i="4"/>
  <c r="CA366" i="4" s="1"/>
  <c r="CA39" i="4"/>
  <c r="BM25" i="4"/>
  <c r="BM32" i="4"/>
  <c r="CT33" i="4"/>
  <c r="CT43" i="4"/>
  <c r="CT366" i="4" s="1"/>
  <c r="CT39" i="4"/>
  <c r="DC25" i="4"/>
  <c r="DC32" i="4"/>
  <c r="DA25" i="4"/>
  <c r="DA32" i="4"/>
  <c r="CG33" i="4"/>
  <c r="CG43" i="4"/>
  <c r="CG366" i="4" s="1"/>
  <c r="CG39" i="4"/>
  <c r="BQ25" i="4"/>
  <c r="BQ32" i="4"/>
  <c r="BS25" i="4"/>
  <c r="BS32" i="4"/>
  <c r="CG136" i="4"/>
  <c r="CI136" i="4" s="1"/>
  <c r="FK136" i="4" s="1"/>
  <c r="CM139" i="4"/>
  <c r="CA136" i="4"/>
  <c r="CC136" i="4" s="1"/>
  <c r="CA132" i="4"/>
  <c r="CC125" i="4"/>
  <c r="CM137" i="4"/>
  <c r="DE137" i="4"/>
  <c r="BS144" i="4"/>
  <c r="BW143" i="4"/>
  <c r="BW154" i="4" s="1"/>
  <c r="DA136" i="4"/>
  <c r="FN136" i="4" s="1"/>
  <c r="CX133" i="4"/>
  <c r="CX138" i="4"/>
  <c r="CX139" i="4" s="1"/>
  <c r="CY133" i="4"/>
  <c r="CY138" i="4"/>
  <c r="CY139" i="4" s="1"/>
  <c r="CO145" i="4"/>
  <c r="CA144" i="4"/>
  <c r="CC143" i="4"/>
  <c r="CC154" i="4" s="1"/>
  <c r="DC137" i="4"/>
  <c r="DA132" i="4"/>
  <c r="CZ133" i="4"/>
  <c r="BU137" i="4"/>
  <c r="BM137" i="4"/>
  <c r="DA178" i="4"/>
  <c r="DF132" i="4"/>
  <c r="DF136" i="4"/>
  <c r="CO132" i="4"/>
  <c r="CN133" i="4"/>
  <c r="CN138" i="4"/>
  <c r="CZ144" i="4"/>
  <c r="DA143" i="4"/>
  <c r="FN143" i="4" s="1"/>
  <c r="FN154" i="4" s="1"/>
  <c r="FN155" i="4" s="1"/>
  <c r="CL133" i="4"/>
  <c r="CL138" i="4"/>
  <c r="CL139" i="4" s="1"/>
  <c r="AV188" i="4"/>
  <c r="AY187" i="4"/>
  <c r="CH137" i="4"/>
  <c r="CI137" i="4" s="1"/>
  <c r="FK137" i="4" s="1"/>
  <c r="CH144" i="4"/>
  <c r="CI143" i="4"/>
  <c r="FK143" i="4" s="1"/>
  <c r="FK154" i="4" s="1"/>
  <c r="FK155" i="4" s="1"/>
  <c r="CQ139" i="4"/>
  <c r="DF174" i="4"/>
  <c r="DG172" i="4"/>
  <c r="AS187" i="4"/>
  <c r="AP188" i="4"/>
  <c r="BV138" i="4"/>
  <c r="CG133" i="4"/>
  <c r="CG138" i="4"/>
  <c r="CI132" i="4"/>
  <c r="CO136" i="4"/>
  <c r="FL136" i="4" s="1"/>
  <c r="BN145" i="4"/>
  <c r="BQ144" i="4"/>
  <c r="CQ137" i="4"/>
  <c r="CU136" i="4"/>
  <c r="FM136" i="4" s="1"/>
  <c r="CQ133" i="4"/>
  <c r="CU132" i="4"/>
  <c r="BT266" i="4"/>
  <c r="BN266" i="4"/>
  <c r="BZ266" i="4"/>
  <c r="A1" i="4"/>
  <c r="V113" i="5" l="1"/>
  <c r="DR175" i="4"/>
  <c r="DS177" i="4"/>
  <c r="FQ177" i="4" s="1"/>
  <c r="EB173" i="4"/>
  <c r="DX175" i="4"/>
  <c r="DG101" i="4"/>
  <c r="FO113" i="4"/>
  <c r="FO101" i="4" s="1"/>
  <c r="CH27" i="9"/>
  <c r="CN32" i="9" s="1"/>
  <c r="CI26" i="9"/>
  <c r="FE26" i="9" s="1"/>
  <c r="CN36" i="9"/>
  <c r="CK26" i="9"/>
  <c r="FR242" i="4"/>
  <c r="FV239" i="4"/>
  <c r="U88" i="5"/>
  <c r="FV232" i="4"/>
  <c r="U97" i="5"/>
  <c r="FV231" i="4"/>
  <c r="U95" i="5"/>
  <c r="FV230" i="4"/>
  <c r="U96" i="5"/>
  <c r="U111" i="5"/>
  <c r="U112" i="5"/>
  <c r="FV237" i="4"/>
  <c r="U85" i="5"/>
  <c r="CM58" i="4"/>
  <c r="CM44" i="4"/>
  <c r="CM57" i="4"/>
  <c r="FU227" i="4"/>
  <c r="BO366" i="4"/>
  <c r="BO57" i="4"/>
  <c r="BO58" i="4"/>
  <c r="DR173" i="4"/>
  <c r="DU174" i="4"/>
  <c r="DU164" i="4"/>
  <c r="FU338" i="4"/>
  <c r="T147" i="5"/>
  <c r="BI44" i="4"/>
  <c r="BI58" i="4"/>
  <c r="BI57" i="4"/>
  <c r="CH57" i="4"/>
  <c r="CH44" i="4"/>
  <c r="CH58" i="4"/>
  <c r="BV39" i="4"/>
  <c r="CE33" i="4"/>
  <c r="CZ33" i="4"/>
  <c r="CR39" i="4"/>
  <c r="BU39" i="4"/>
  <c r="BJ43" i="4"/>
  <c r="BJ366" i="4" s="1"/>
  <c r="EE310" i="4"/>
  <c r="BG33" i="4"/>
  <c r="CN39" i="4"/>
  <c r="CX43" i="4"/>
  <c r="CX366" i="4" s="1"/>
  <c r="BZ43" i="4"/>
  <c r="BZ366" i="4" s="1"/>
  <c r="DD39" i="4"/>
  <c r="BU33" i="4"/>
  <c r="BU43" i="4"/>
  <c r="BU366" i="4" s="1"/>
  <c r="BG43" i="4"/>
  <c r="BG366" i="4" s="1"/>
  <c r="DI130" i="9"/>
  <c r="DK127" i="9"/>
  <c r="DK129" i="9" s="1"/>
  <c r="BG39" i="4"/>
  <c r="BJ39" i="4"/>
  <c r="DD43" i="4"/>
  <c r="DD366" i="4" s="1"/>
  <c r="DD33" i="4"/>
  <c r="BJ33" i="4"/>
  <c r="DE39" i="4"/>
  <c r="BZ33" i="4"/>
  <c r="BZ39" i="4"/>
  <c r="DE43" i="4"/>
  <c r="DE57" i="4" s="1"/>
  <c r="DY256" i="4"/>
  <c r="DE33" i="4"/>
  <c r="DG32" i="4"/>
  <c r="CU133" i="4"/>
  <c r="CB57" i="4"/>
  <c r="CB44" i="4"/>
  <c r="CB58" i="4"/>
  <c r="CI25" i="9"/>
  <c r="CK25" i="9"/>
  <c r="BN44" i="4"/>
  <c r="DG202" i="4"/>
  <c r="CB137" i="4"/>
  <c r="BN57" i="4"/>
  <c r="BN366" i="4"/>
  <c r="DG25" i="4"/>
  <c r="CB133" i="4"/>
  <c r="FO116" i="4"/>
  <c r="CU32" i="4"/>
  <c r="BW136" i="4"/>
  <c r="CO25" i="4"/>
  <c r="CU25" i="4"/>
  <c r="FF63" i="9"/>
  <c r="DA133" i="4"/>
  <c r="FF62" i="9"/>
  <c r="R94" i="5"/>
  <c r="DP18" i="4"/>
  <c r="G253" i="5"/>
  <c r="CN43" i="4"/>
  <c r="CN366" i="4" s="1"/>
  <c r="CN33" i="4"/>
  <c r="FO172" i="4"/>
  <c r="DG173" i="4"/>
  <c r="FE63" i="9"/>
  <c r="FE65" i="9"/>
  <c r="FE62" i="9"/>
  <c r="FF65" i="9"/>
  <c r="FE60" i="9"/>
  <c r="FD65" i="9"/>
  <c r="CO32" i="4"/>
  <c r="CX39" i="4"/>
  <c r="CX33" i="4"/>
  <c r="FD39" i="9"/>
  <c r="FD60" i="9"/>
  <c r="FD67" i="9"/>
  <c r="FD63" i="9"/>
  <c r="FD64" i="9"/>
  <c r="FD56" i="9"/>
  <c r="FF64" i="9"/>
  <c r="FF60" i="9"/>
  <c r="DF39" i="4"/>
  <c r="CI25" i="4"/>
  <c r="CI202" i="4"/>
  <c r="BW130" i="4"/>
  <c r="BS137" i="4"/>
  <c r="BS138" i="4" s="1"/>
  <c r="BS139" i="4" s="1"/>
  <c r="BW132" i="4"/>
  <c r="BW133" i="4" s="1"/>
  <c r="BO138" i="4"/>
  <c r="BO139" i="4" s="1"/>
  <c r="FF56" i="9"/>
  <c r="FF39" i="9"/>
  <c r="BZ137" i="4"/>
  <c r="BZ139" i="4"/>
  <c r="FE56" i="9"/>
  <c r="FE39" i="9"/>
  <c r="FE67" i="9"/>
  <c r="DF33" i="4"/>
  <c r="DD137" i="4"/>
  <c r="CR43" i="4"/>
  <c r="CR366" i="4" s="1"/>
  <c r="CI32" i="4"/>
  <c r="CR33" i="4"/>
  <c r="DF43" i="4"/>
  <c r="CZ39" i="4"/>
  <c r="CZ43" i="4"/>
  <c r="CZ366" i="4" s="1"/>
  <c r="CE43" i="4"/>
  <c r="CE366" i="4" s="1"/>
  <c r="CE39" i="4"/>
  <c r="BQ136" i="4"/>
  <c r="BV43" i="4"/>
  <c r="BV33" i="4"/>
  <c r="BQ132" i="4"/>
  <c r="BQ133" i="4" s="1"/>
  <c r="BQ130" i="4"/>
  <c r="BQ137" i="4"/>
  <c r="CW137" i="4"/>
  <c r="CU138" i="4"/>
  <c r="CT137" i="4"/>
  <c r="CU137" i="4" s="1"/>
  <c r="FM137" i="4" s="1"/>
  <c r="DA33" i="4"/>
  <c r="DA43" i="4"/>
  <c r="DA366" i="4" s="1"/>
  <c r="DA39" i="4"/>
  <c r="BK33" i="4"/>
  <c r="BK43" i="4"/>
  <c r="BK366" i="4" s="1"/>
  <c r="BK39" i="4"/>
  <c r="BS43" i="4"/>
  <c r="BS366" i="4" s="1"/>
  <c r="BS39" i="4"/>
  <c r="BS33" i="4"/>
  <c r="CC33" i="4"/>
  <c r="CC43" i="4"/>
  <c r="CC366" i="4" s="1"/>
  <c r="CC39" i="4"/>
  <c r="DC33" i="4"/>
  <c r="DC43" i="4"/>
  <c r="DC39" i="4"/>
  <c r="CS58" i="4"/>
  <c r="CS44" i="4"/>
  <c r="CS57" i="4"/>
  <c r="CL58" i="4"/>
  <c r="CL44" i="4"/>
  <c r="CL57" i="4"/>
  <c r="BY33" i="4"/>
  <c r="BY43" i="4"/>
  <c r="BY366" i="4" s="1"/>
  <c r="BY39" i="4"/>
  <c r="BQ33" i="4"/>
  <c r="BQ43" i="4"/>
  <c r="BQ366" i="4" s="1"/>
  <c r="BQ39" i="4"/>
  <c r="BM33" i="4"/>
  <c r="BM43" i="4"/>
  <c r="BM366" i="4" s="1"/>
  <c r="BM39" i="4"/>
  <c r="BK55" i="4"/>
  <c r="BK46" i="4"/>
  <c r="BK54" i="4"/>
  <c r="CF43" i="4"/>
  <c r="CF366" i="4" s="1"/>
  <c r="CF39" i="4"/>
  <c r="CF33" i="4"/>
  <c r="CT44" i="4"/>
  <c r="CT57" i="4"/>
  <c r="CT58" i="4"/>
  <c r="BT58" i="4"/>
  <c r="BT44" i="4"/>
  <c r="BT57" i="4"/>
  <c r="CK43" i="4"/>
  <c r="CK366" i="4" s="1"/>
  <c r="CK33" i="4"/>
  <c r="CK39" i="4"/>
  <c r="CQ33" i="4"/>
  <c r="CQ43" i="4"/>
  <c r="CQ366" i="4" s="1"/>
  <c r="CQ39" i="4"/>
  <c r="BH43" i="4"/>
  <c r="BH366" i="4" s="1"/>
  <c r="BH33" i="4"/>
  <c r="BH39" i="4"/>
  <c r="CA58" i="4"/>
  <c r="CA44" i="4"/>
  <c r="CA57" i="4"/>
  <c r="CG58" i="4"/>
  <c r="CG44" i="4"/>
  <c r="CG57" i="4"/>
  <c r="BW39" i="4"/>
  <c r="BW43" i="4"/>
  <c r="BW366" i="4" s="1"/>
  <c r="BW33" i="4"/>
  <c r="CY58" i="4"/>
  <c r="CY44" i="4"/>
  <c r="CY57" i="4"/>
  <c r="CW43" i="4"/>
  <c r="CW366" i="4" s="1"/>
  <c r="CW33" i="4"/>
  <c r="CW39" i="4"/>
  <c r="CG139" i="4"/>
  <c r="CA133" i="4"/>
  <c r="CC132" i="4"/>
  <c r="CX137" i="4"/>
  <c r="BS145" i="4"/>
  <c r="BW144" i="4"/>
  <c r="CY137" i="4"/>
  <c r="BM138" i="4"/>
  <c r="BM139" i="4" s="1"/>
  <c r="CA145" i="4"/>
  <c r="CC144" i="4"/>
  <c r="CA138" i="4"/>
  <c r="DG178" i="4"/>
  <c r="CI133" i="4"/>
  <c r="BU138" i="4"/>
  <c r="BU139" i="4" s="1"/>
  <c r="CL137" i="4"/>
  <c r="BP139" i="4"/>
  <c r="DF133" i="4"/>
  <c r="DG132" i="4"/>
  <c r="DG133" i="4" s="1"/>
  <c r="DF138" i="4"/>
  <c r="DF137" i="4" s="1"/>
  <c r="BV139" i="4"/>
  <c r="CN139" i="4"/>
  <c r="CO138" i="4"/>
  <c r="FL138" i="4" s="1"/>
  <c r="FL139" i="4" s="1"/>
  <c r="DG136" i="4"/>
  <c r="FO136" i="4" s="1"/>
  <c r="CO133" i="4"/>
  <c r="BQ145" i="4"/>
  <c r="CH145" i="4"/>
  <c r="CH138" i="4"/>
  <c r="CI144" i="4"/>
  <c r="FK144" i="4" s="1"/>
  <c r="FK145" i="4" s="1"/>
  <c r="CN137" i="4"/>
  <c r="CZ138" i="4"/>
  <c r="CZ145" i="4"/>
  <c r="DA144" i="4"/>
  <c r="CA266" i="4"/>
  <c r="BO266" i="4"/>
  <c r="BU266" i="4"/>
  <c r="BI266" i="4"/>
  <c r="A1" i="5"/>
  <c r="E6" i="4"/>
  <c r="F6" i="4"/>
  <c r="G6" i="4"/>
  <c r="H6" i="4"/>
  <c r="I6" i="4"/>
  <c r="K6" i="4"/>
  <c r="L6" i="4"/>
  <c r="M6" i="4"/>
  <c r="N6" i="4"/>
  <c r="O6" i="4"/>
  <c r="Q6" i="4"/>
  <c r="R6" i="4"/>
  <c r="S6" i="4"/>
  <c r="T6" i="4"/>
  <c r="U6" i="4"/>
  <c r="W6" i="4"/>
  <c r="X6" i="4"/>
  <c r="Y6" i="4"/>
  <c r="Z6" i="4"/>
  <c r="AA6" i="4"/>
  <c r="AC6" i="4"/>
  <c r="AD6" i="4"/>
  <c r="AE6" i="4"/>
  <c r="AF6" i="4"/>
  <c r="AG6" i="4"/>
  <c r="AI6" i="4"/>
  <c r="AJ6" i="4"/>
  <c r="AK6" i="4"/>
  <c r="AL6" i="4"/>
  <c r="AM6" i="4"/>
  <c r="AO6" i="4"/>
  <c r="AP6" i="4"/>
  <c r="AQ6" i="4"/>
  <c r="AR6" i="4"/>
  <c r="AS6" i="4"/>
  <c r="AU6" i="4"/>
  <c r="AV6" i="4"/>
  <c r="AW6" i="4"/>
  <c r="AX6" i="4"/>
  <c r="AY6" i="4"/>
  <c r="BA6" i="4"/>
  <c r="BB6" i="4"/>
  <c r="BC6" i="4"/>
  <c r="BD6" i="4"/>
  <c r="BE6" i="4"/>
  <c r="BG6" i="4"/>
  <c r="BH6" i="4"/>
  <c r="BI6" i="4"/>
  <c r="BJ6" i="4"/>
  <c r="BK6" i="4"/>
  <c r="BM6" i="4"/>
  <c r="BN6" i="4"/>
  <c r="BO6" i="4"/>
  <c r="BP6" i="4"/>
  <c r="BQ6" i="4"/>
  <c r="BS6" i="4"/>
  <c r="BT6" i="4"/>
  <c r="BU6" i="4"/>
  <c r="BV6" i="4"/>
  <c r="BW6" i="4"/>
  <c r="BY6" i="4"/>
  <c r="BZ6" i="4"/>
  <c r="CA6" i="4"/>
  <c r="CB6" i="4"/>
  <c r="CC6" i="4"/>
  <c r="CE6" i="4"/>
  <c r="CF6" i="4"/>
  <c r="CG6" i="4"/>
  <c r="CH6" i="4"/>
  <c r="CI6" i="4"/>
  <c r="CK6" i="4"/>
  <c r="CL6" i="4"/>
  <c r="CM6" i="4"/>
  <c r="CN6" i="4"/>
  <c r="CO6" i="4"/>
  <c r="CQ6" i="4"/>
  <c r="CR6" i="4"/>
  <c r="CS6" i="4"/>
  <c r="CT6" i="4"/>
  <c r="CU6" i="4"/>
  <c r="CW6" i="4"/>
  <c r="CX6" i="4"/>
  <c r="CY6" i="4"/>
  <c r="CZ6" i="4"/>
  <c r="DA6" i="4"/>
  <c r="DC6" i="4"/>
  <c r="DD6" i="4"/>
  <c r="DE6" i="4"/>
  <c r="DF6" i="4"/>
  <c r="DG6" i="4"/>
  <c r="DI6" i="4"/>
  <c r="DJ6" i="4"/>
  <c r="DK6" i="4"/>
  <c r="DL6" i="4"/>
  <c r="DM6" i="4"/>
  <c r="DO6" i="4"/>
  <c r="DP6" i="4"/>
  <c r="DQ6" i="4"/>
  <c r="EX6" i="4"/>
  <c r="EY6" i="4"/>
  <c r="EZ6" i="4"/>
  <c r="FA6" i="4"/>
  <c r="FB6" i="4"/>
  <c r="FC6" i="4"/>
  <c r="FD6" i="4"/>
  <c r="FE6" i="4"/>
  <c r="FF6" i="4"/>
  <c r="FG6" i="4"/>
  <c r="FH6" i="4"/>
  <c r="FI6" i="4"/>
  <c r="FJ6" i="4"/>
  <c r="FK6" i="4"/>
  <c r="FL6" i="4"/>
  <c r="FM6" i="4"/>
  <c r="FN6" i="4"/>
  <c r="FO6" i="4"/>
  <c r="FP6" i="4"/>
  <c r="FQ6" i="4"/>
  <c r="FR6" i="4"/>
  <c r="A7" i="4"/>
  <c r="E9" i="4"/>
  <c r="F9" i="4"/>
  <c r="G9" i="4"/>
  <c r="G13" i="4" s="1"/>
  <c r="G14" i="4" s="1"/>
  <c r="EV9" i="4"/>
  <c r="EW9" i="4"/>
  <c r="E11" i="4"/>
  <c r="N11" i="4"/>
  <c r="AG11" i="4"/>
  <c r="FB11" i="4" s="1"/>
  <c r="AM11" i="4"/>
  <c r="FC11" i="4" s="1"/>
  <c r="AS11" i="4"/>
  <c r="FD11" i="4" s="1"/>
  <c r="AY11" i="4"/>
  <c r="FE11" i="4" s="1"/>
  <c r="BE11" i="4"/>
  <c r="FF11" i="4" s="1"/>
  <c r="EV11" i="4"/>
  <c r="EW11" i="4"/>
  <c r="EX11" i="4"/>
  <c r="EY11" i="4"/>
  <c r="EZ11" i="4"/>
  <c r="FA11" i="4"/>
  <c r="E18" i="4"/>
  <c r="N18" i="4"/>
  <c r="T18" i="4"/>
  <c r="AG18" i="4"/>
  <c r="AM18" i="4"/>
  <c r="FC18" i="4" s="1"/>
  <c r="AS18" i="4"/>
  <c r="FD18" i="4" s="1"/>
  <c r="AY18" i="4"/>
  <c r="FE18" i="4" s="1"/>
  <c r="BE18" i="4"/>
  <c r="FF18" i="4" s="1"/>
  <c r="EX18" i="4"/>
  <c r="EY18" i="4"/>
  <c r="EZ18" i="4"/>
  <c r="FA18" i="4"/>
  <c r="F19" i="4"/>
  <c r="G19" i="4"/>
  <c r="I19" i="4"/>
  <c r="I21" i="4" s="1"/>
  <c r="K19" i="4"/>
  <c r="O19" i="4"/>
  <c r="U19" i="4"/>
  <c r="U21" i="4" s="1"/>
  <c r="AA19" i="4"/>
  <c r="FA19" i="4" s="1"/>
  <c r="AG19" i="4"/>
  <c r="AM19" i="4"/>
  <c r="FC19" i="4" s="1"/>
  <c r="AS19" i="4"/>
  <c r="FD19" i="4" s="1"/>
  <c r="AY19" i="4"/>
  <c r="FE19" i="4" s="1"/>
  <c r="BE19" i="4"/>
  <c r="FF19" i="4" s="1"/>
  <c r="H20" i="4"/>
  <c r="N20" i="4"/>
  <c r="T20" i="4"/>
  <c r="Z20" i="4"/>
  <c r="Z21" i="4" s="1"/>
  <c r="AG20" i="4"/>
  <c r="FB20" i="4" s="1"/>
  <c r="AM20" i="4"/>
  <c r="FC20" i="4" s="1"/>
  <c r="AS20" i="4"/>
  <c r="FD20" i="4" s="1"/>
  <c r="AY20" i="4"/>
  <c r="EX20" i="4"/>
  <c r="EY20" i="4"/>
  <c r="EZ20" i="4"/>
  <c r="FA20" i="4"/>
  <c r="L21" i="4"/>
  <c r="M21" i="4"/>
  <c r="Q21" i="4"/>
  <c r="R21" i="4"/>
  <c r="S21" i="4"/>
  <c r="W21" i="4"/>
  <c r="X21" i="4"/>
  <c r="Y21" i="4"/>
  <c r="AC21" i="4"/>
  <c r="AD21" i="4"/>
  <c r="AE21" i="4"/>
  <c r="AF21" i="4"/>
  <c r="AI21" i="4"/>
  <c r="AJ21" i="4"/>
  <c r="AK21" i="4"/>
  <c r="AL21" i="4"/>
  <c r="AO21" i="4"/>
  <c r="AP21" i="4"/>
  <c r="AQ21" i="4"/>
  <c r="AR21" i="4"/>
  <c r="AU21" i="4"/>
  <c r="AV21" i="4"/>
  <c r="AW21" i="4"/>
  <c r="AX21" i="4"/>
  <c r="BB21" i="4"/>
  <c r="BC21" i="4"/>
  <c r="BD21" i="4"/>
  <c r="E30" i="4"/>
  <c r="I30" i="4"/>
  <c r="EX30" i="4" s="1"/>
  <c r="O30" i="4"/>
  <c r="N30" i="4" s="1"/>
  <c r="U30" i="4"/>
  <c r="EZ30" i="4" s="1"/>
  <c r="AA30" i="4"/>
  <c r="FA30" i="4" s="1"/>
  <c r="AG30" i="4"/>
  <c r="FB30" i="4" s="1"/>
  <c r="ET30" i="4"/>
  <c r="EU30" i="4"/>
  <c r="EV30" i="4"/>
  <c r="EW30" i="4"/>
  <c r="E38" i="4"/>
  <c r="N38" i="4"/>
  <c r="AG38" i="4"/>
  <c r="FB38" i="4" s="1"/>
  <c r="AM38" i="4"/>
  <c r="FC38" i="4" s="1"/>
  <c r="AS38" i="4"/>
  <c r="FD38" i="4" s="1"/>
  <c r="AY38" i="4"/>
  <c r="FE38" i="4" s="1"/>
  <c r="BE38" i="4"/>
  <c r="EX38" i="4"/>
  <c r="EY38" i="4"/>
  <c r="EZ38" i="4"/>
  <c r="FA38" i="4"/>
  <c r="E50" i="4"/>
  <c r="N50" i="4"/>
  <c r="AM50" i="4"/>
  <c r="FC50" i="4" s="1"/>
  <c r="BE50" i="4"/>
  <c r="FF50" i="4" s="1"/>
  <c r="EX50" i="4"/>
  <c r="EY50" i="4"/>
  <c r="EZ50" i="4"/>
  <c r="FA50" i="4"/>
  <c r="FB50" i="4"/>
  <c r="FD50" i="4"/>
  <c r="FE50" i="4"/>
  <c r="FG50" i="4"/>
  <c r="FH50" i="4"/>
  <c r="F51" i="4"/>
  <c r="G51" i="4"/>
  <c r="I51" i="4"/>
  <c r="EX51" i="4" s="1"/>
  <c r="K51" i="4"/>
  <c r="L51" i="4"/>
  <c r="M51" i="4"/>
  <c r="O51" i="4"/>
  <c r="EY51" i="4" s="1"/>
  <c r="R51" i="4"/>
  <c r="S51" i="4"/>
  <c r="U51" i="4"/>
  <c r="EZ51" i="4" s="1"/>
  <c r="W51" i="4"/>
  <c r="X51" i="4"/>
  <c r="Y51" i="4"/>
  <c r="Z51" i="4"/>
  <c r="AA51" i="4"/>
  <c r="FA51" i="4" s="1"/>
  <c r="AC51" i="4"/>
  <c r="AD51" i="4"/>
  <c r="AE51" i="4"/>
  <c r="AF51" i="4"/>
  <c r="AG51" i="4"/>
  <c r="FB51" i="4" s="1"/>
  <c r="AI51" i="4"/>
  <c r="AJ51" i="4" s="1"/>
  <c r="AO51" i="4"/>
  <c r="AP51" i="4"/>
  <c r="AQ51" i="4"/>
  <c r="AR51" i="4"/>
  <c r="AS51" i="4"/>
  <c r="FD51" i="4" s="1"/>
  <c r="AU51" i="4"/>
  <c r="AV51" i="4"/>
  <c r="AW51" i="4" s="1"/>
  <c r="AX51" i="4" s="1"/>
  <c r="BB51" i="4"/>
  <c r="BC51" i="4" s="1"/>
  <c r="BC52" i="4" s="1"/>
  <c r="BD51" i="4"/>
  <c r="BE51" i="4" s="1"/>
  <c r="FG51" i="4"/>
  <c r="FH51" i="4"/>
  <c r="E52" i="4"/>
  <c r="H52" i="4"/>
  <c r="N52" i="4"/>
  <c r="BA52" i="4"/>
  <c r="EX52" i="4"/>
  <c r="EY52" i="4"/>
  <c r="EZ52" i="4"/>
  <c r="FA52" i="4"/>
  <c r="FB52" i="4"/>
  <c r="FD52" i="4"/>
  <c r="FE52" i="4"/>
  <c r="FG52" i="4"/>
  <c r="G251" i="5" s="1"/>
  <c r="FH52" i="4"/>
  <c r="H251" i="5" s="1"/>
  <c r="E223" i="4"/>
  <c r="F223" i="4"/>
  <c r="G223" i="4"/>
  <c r="H223" i="4"/>
  <c r="I223" i="4"/>
  <c r="K223" i="4"/>
  <c r="L223" i="4"/>
  <c r="M223" i="4"/>
  <c r="N223" i="4"/>
  <c r="O223" i="4"/>
  <c r="Q223" i="4"/>
  <c r="R223" i="4"/>
  <c r="S223" i="4"/>
  <c r="T223" i="4"/>
  <c r="U223" i="4"/>
  <c r="W223" i="4"/>
  <c r="X223" i="4"/>
  <c r="Y223" i="4"/>
  <c r="Z223" i="4"/>
  <c r="AA223" i="4"/>
  <c r="AC223" i="4"/>
  <c r="AD223" i="4"/>
  <c r="AE223" i="4"/>
  <c r="AF223" i="4"/>
  <c r="AG223" i="4"/>
  <c r="AI223" i="4"/>
  <c r="AJ223" i="4"/>
  <c r="AK223" i="4"/>
  <c r="AL223" i="4"/>
  <c r="AM223" i="4"/>
  <c r="AO223" i="4"/>
  <c r="AP223" i="4"/>
  <c r="AQ223" i="4"/>
  <c r="AR223" i="4"/>
  <c r="AS223" i="4"/>
  <c r="AU223" i="4"/>
  <c r="AV223" i="4"/>
  <c r="AW223" i="4"/>
  <c r="AX223" i="4"/>
  <c r="AY223" i="4"/>
  <c r="BA223" i="4"/>
  <c r="BB223" i="4"/>
  <c r="BC223" i="4"/>
  <c r="BD223" i="4"/>
  <c r="BE223" i="4"/>
  <c r="BG223" i="4"/>
  <c r="BH223" i="4"/>
  <c r="BI223" i="4"/>
  <c r="BJ223" i="4"/>
  <c r="BM223" i="4"/>
  <c r="BN223" i="4"/>
  <c r="BO223" i="4"/>
  <c r="BP223" i="4"/>
  <c r="BS223" i="4"/>
  <c r="BT223" i="4"/>
  <c r="BU223" i="4"/>
  <c r="BV223" i="4"/>
  <c r="BW223" i="4"/>
  <c r="BY223" i="4"/>
  <c r="BZ223" i="4"/>
  <c r="CA223" i="4"/>
  <c r="CB223" i="4"/>
  <c r="CC223" i="4"/>
  <c r="CE223" i="4"/>
  <c r="CF223" i="4"/>
  <c r="CG223" i="4"/>
  <c r="CH223" i="4"/>
  <c r="CI223" i="4"/>
  <c r="CK223" i="4"/>
  <c r="CL223" i="4"/>
  <c r="CM223" i="4"/>
  <c r="CN223" i="4"/>
  <c r="CO223" i="4"/>
  <c r="CQ223" i="4"/>
  <c r="CR223" i="4"/>
  <c r="CS223" i="4"/>
  <c r="CT223" i="4"/>
  <c r="CU223" i="4"/>
  <c r="CW223" i="4"/>
  <c r="CX223" i="4"/>
  <c r="CY223" i="4"/>
  <c r="CZ223" i="4"/>
  <c r="DA223" i="4"/>
  <c r="DC223" i="4"/>
  <c r="DD223" i="4"/>
  <c r="DE223" i="4"/>
  <c r="DF223" i="4"/>
  <c r="DG223" i="4"/>
  <c r="DI223" i="4"/>
  <c r="DJ223" i="4"/>
  <c r="DK223" i="4"/>
  <c r="DL223" i="4"/>
  <c r="DM223" i="4"/>
  <c r="DO223" i="4"/>
  <c r="DP223" i="4"/>
  <c r="DQ223" i="4"/>
  <c r="EV223" i="4"/>
  <c r="EW223" i="4"/>
  <c r="EX223" i="4"/>
  <c r="EY223" i="4"/>
  <c r="EZ223" i="4"/>
  <c r="FA223" i="4"/>
  <c r="FB223" i="4"/>
  <c r="FC223" i="4"/>
  <c r="FD223" i="4"/>
  <c r="FE223" i="4"/>
  <c r="FF223" i="4"/>
  <c r="FG223" i="4"/>
  <c r="FH223" i="4"/>
  <c r="FI223" i="4"/>
  <c r="FJ223" i="4"/>
  <c r="FK223" i="4"/>
  <c r="FL223" i="4"/>
  <c r="FM223" i="4"/>
  <c r="FN223" i="4"/>
  <c r="EX226" i="4"/>
  <c r="EY226" i="4"/>
  <c r="EZ226" i="4"/>
  <c r="FA226" i="4"/>
  <c r="FB226" i="4"/>
  <c r="FC226" i="4"/>
  <c r="FD226" i="4"/>
  <c r="FE226" i="4"/>
  <c r="FF226" i="4"/>
  <c r="EX227" i="4"/>
  <c r="EY227" i="4"/>
  <c r="EZ227" i="4"/>
  <c r="FA227" i="4"/>
  <c r="FB227" i="4"/>
  <c r="FC227" i="4"/>
  <c r="FD227" i="4"/>
  <c r="FE227" i="4"/>
  <c r="FF227" i="4"/>
  <c r="W228" i="4"/>
  <c r="X228" i="4"/>
  <c r="Y228" i="4"/>
  <c r="Z228" i="4"/>
  <c r="FA228" i="4" s="1"/>
  <c r="EX228" i="4"/>
  <c r="EY228" i="4"/>
  <c r="EZ228" i="4"/>
  <c r="FB228" i="4"/>
  <c r="FC228" i="4"/>
  <c r="FD228" i="4"/>
  <c r="FE228" i="4"/>
  <c r="FF228" i="4"/>
  <c r="Q230" i="4"/>
  <c r="Q233" i="4" s="1"/>
  <c r="S230" i="4"/>
  <c r="S233" i="4" s="1"/>
  <c r="W230" i="4"/>
  <c r="X230" i="4"/>
  <c r="Y230" i="4"/>
  <c r="EX230" i="4"/>
  <c r="EY230" i="4"/>
  <c r="EZ230" i="4"/>
  <c r="FA230" i="4"/>
  <c r="FB230" i="4"/>
  <c r="FC230" i="4"/>
  <c r="FD230" i="4"/>
  <c r="FE230" i="4"/>
  <c r="FF230" i="4"/>
  <c r="EX231" i="4"/>
  <c r="EY231" i="4"/>
  <c r="EZ231" i="4"/>
  <c r="FA231" i="4"/>
  <c r="FB231" i="4"/>
  <c r="FC231" i="4"/>
  <c r="FD231" i="4"/>
  <c r="FE231" i="4"/>
  <c r="FF231" i="4"/>
  <c r="AI232" i="4"/>
  <c r="AJ232" i="4"/>
  <c r="AQ232" i="4"/>
  <c r="AR232" i="4"/>
  <c r="BC232" i="4"/>
  <c r="BC233" i="4" s="1"/>
  <c r="BD232" i="4"/>
  <c r="FF232" i="4" s="1"/>
  <c r="EX232" i="4"/>
  <c r="EY232" i="4"/>
  <c r="EZ232" i="4"/>
  <c r="FA232" i="4"/>
  <c r="FB232" i="4"/>
  <c r="FC232" i="4"/>
  <c r="FE232" i="4"/>
  <c r="H233" i="4"/>
  <c r="K233" i="4"/>
  <c r="L233" i="4"/>
  <c r="M233" i="4"/>
  <c r="N233" i="4"/>
  <c r="R233" i="4"/>
  <c r="T233" i="4"/>
  <c r="AC233" i="4"/>
  <c r="AD233" i="4"/>
  <c r="AE233" i="4"/>
  <c r="AF233" i="4"/>
  <c r="AK233" i="4"/>
  <c r="AL233" i="4"/>
  <c r="AO233" i="4"/>
  <c r="AP233" i="4"/>
  <c r="AU233" i="4"/>
  <c r="AV233" i="4"/>
  <c r="AW233" i="4"/>
  <c r="AX233" i="4"/>
  <c r="BA233" i="4"/>
  <c r="BB233" i="4"/>
  <c r="EV233" i="4"/>
  <c r="EW233" i="4"/>
  <c r="EX235" i="4"/>
  <c r="EY235" i="4"/>
  <c r="EZ235" i="4"/>
  <c r="FA235" i="4"/>
  <c r="FB235" i="4"/>
  <c r="FC235" i="4"/>
  <c r="FD235" i="4"/>
  <c r="FE235" i="4"/>
  <c r="FF235" i="4"/>
  <c r="AI238" i="4"/>
  <c r="AJ238" i="4"/>
  <c r="EX238" i="4"/>
  <c r="EY238" i="4"/>
  <c r="EZ238" i="4"/>
  <c r="FA238" i="4"/>
  <c r="FB238" i="4"/>
  <c r="FC238" i="4"/>
  <c r="FD238" i="4"/>
  <c r="FE238" i="4"/>
  <c r="FF238" i="4"/>
  <c r="K242" i="4"/>
  <c r="K244" i="4" s="1"/>
  <c r="L242" i="4"/>
  <c r="L244" i="4" s="1"/>
  <c r="M242" i="4"/>
  <c r="M244" i="4" s="1"/>
  <c r="Q242" i="4"/>
  <c r="Q244" i="4" s="1"/>
  <c r="R242" i="4"/>
  <c r="R244" i="4" s="1"/>
  <c r="S242" i="4"/>
  <c r="S244" i="4" s="1"/>
  <c r="Z242" i="4"/>
  <c r="EX242" i="4"/>
  <c r="EY242" i="4"/>
  <c r="EZ242" i="4"/>
  <c r="FB242" i="4"/>
  <c r="FC242" i="4"/>
  <c r="FD242" i="4"/>
  <c r="FE242" i="4"/>
  <c r="FF242" i="4"/>
  <c r="W243" i="4"/>
  <c r="AF243" i="4"/>
  <c r="FB243" i="4" s="1"/>
  <c r="AK243" i="4"/>
  <c r="AK244" i="4" s="1"/>
  <c r="AK273" i="4" s="1"/>
  <c r="AL243" i="4"/>
  <c r="AO243" i="4"/>
  <c r="AO244" i="4" s="1"/>
  <c r="AP243" i="4"/>
  <c r="AP244" i="4" s="1"/>
  <c r="AQ243" i="4"/>
  <c r="AQ244" i="4" s="1"/>
  <c r="AQ273" i="4" s="1"/>
  <c r="AR243" i="4"/>
  <c r="AU243" i="4"/>
  <c r="AU244" i="4" s="1"/>
  <c r="AV243" i="4"/>
  <c r="AV244" i="4" s="1"/>
  <c r="AW243" i="4"/>
  <c r="AW244" i="4" s="1"/>
  <c r="AX243" i="4"/>
  <c r="BA243" i="4"/>
  <c r="BA244" i="4" s="1"/>
  <c r="BA273" i="4" s="1"/>
  <c r="BB243" i="4"/>
  <c r="BC243" i="4"/>
  <c r="BD243" i="4"/>
  <c r="DM243" i="4"/>
  <c r="FP243" i="4" s="1"/>
  <c r="EV243" i="4"/>
  <c r="EW243" i="4"/>
  <c r="EX243" i="4"/>
  <c r="EY243" i="4"/>
  <c r="EZ243" i="4"/>
  <c r="FA243" i="4"/>
  <c r="BB236" i="4"/>
  <c r="BC236" i="4"/>
  <c r="H244" i="4"/>
  <c r="N244" i="4"/>
  <c r="T244" i="4"/>
  <c r="AC244" i="4"/>
  <c r="AD244" i="4"/>
  <c r="AD273" i="4" s="1"/>
  <c r="AE244" i="4"/>
  <c r="AE273" i="4" s="1"/>
  <c r="BA248" i="4"/>
  <c r="EX248" i="4"/>
  <c r="EY248" i="4"/>
  <c r="EZ248" i="4"/>
  <c r="FA248" i="4"/>
  <c r="FB248" i="4"/>
  <c r="FC248" i="4"/>
  <c r="FD248" i="4"/>
  <c r="FE248" i="4"/>
  <c r="FF248" i="4"/>
  <c r="W249" i="4"/>
  <c r="X249" i="4" s="1"/>
  <c r="Y249" i="4" s="1"/>
  <c r="AC249" i="4"/>
  <c r="AD249" i="4" s="1"/>
  <c r="AE249" i="4" s="1"/>
  <c r="AI249" i="4"/>
  <c r="AJ249" i="4" s="1"/>
  <c r="AK249" i="4" s="1"/>
  <c r="AO249" i="4"/>
  <c r="AP249" i="4" s="1"/>
  <c r="AQ249" i="4" s="1"/>
  <c r="AU249" i="4"/>
  <c r="AV249" i="4" s="1"/>
  <c r="AW249" i="4" s="1"/>
  <c r="BA249" i="4"/>
  <c r="BB249" i="4" s="1"/>
  <c r="BC249" i="4" s="1"/>
  <c r="EX249" i="4"/>
  <c r="EY249" i="4"/>
  <c r="EZ249" i="4"/>
  <c r="FA249" i="4"/>
  <c r="FB249" i="4"/>
  <c r="FC249" i="4"/>
  <c r="FD249" i="4"/>
  <c r="FE249" i="4"/>
  <c r="FF249" i="4"/>
  <c r="K250" i="4"/>
  <c r="L250" i="4"/>
  <c r="M250" i="4"/>
  <c r="Q250" i="4"/>
  <c r="Q321" i="4" s="1"/>
  <c r="R250" i="4"/>
  <c r="S250" i="4"/>
  <c r="W250" i="4"/>
  <c r="W321" i="4" s="1"/>
  <c r="X250" i="4"/>
  <c r="Y250" i="4"/>
  <c r="AC250" i="4"/>
  <c r="AD250" i="4"/>
  <c r="AE250" i="4"/>
  <c r="AI250" i="4"/>
  <c r="AJ250" i="4"/>
  <c r="AK250" i="4"/>
  <c r="AO250" i="4"/>
  <c r="AP250" i="4"/>
  <c r="AQ250" i="4"/>
  <c r="AU250" i="4"/>
  <c r="AV250" i="4"/>
  <c r="AW250" i="4"/>
  <c r="EX250" i="4"/>
  <c r="EY250" i="4"/>
  <c r="EZ250" i="4"/>
  <c r="FA250" i="4"/>
  <c r="FB250" i="4"/>
  <c r="FC250" i="4"/>
  <c r="FD250" i="4"/>
  <c r="FE250" i="4"/>
  <c r="FF250" i="4"/>
  <c r="W251" i="4"/>
  <c r="X251" i="4" s="1"/>
  <c r="AC251" i="4"/>
  <c r="AI251" i="4"/>
  <c r="AJ251" i="4" s="1"/>
  <c r="AK251" i="4" s="1"/>
  <c r="AO251" i="4"/>
  <c r="AU251" i="4"/>
  <c r="AV251" i="4" s="1"/>
  <c r="AW251" i="4" s="1"/>
  <c r="BA251" i="4"/>
  <c r="EX251" i="4"/>
  <c r="EY251" i="4"/>
  <c r="EZ251" i="4"/>
  <c r="FA251" i="4"/>
  <c r="FB251" i="4"/>
  <c r="FC251" i="4"/>
  <c r="FD251" i="4"/>
  <c r="FE251" i="4"/>
  <c r="FF251" i="4"/>
  <c r="AF253" i="4"/>
  <c r="FB253" i="4" s="1"/>
  <c r="AL253" i="4"/>
  <c r="AL254" i="4" s="1"/>
  <c r="AR253" i="4"/>
  <c r="FD253" i="4" s="1"/>
  <c r="AX253" i="4"/>
  <c r="BD253" i="4"/>
  <c r="FF253" i="4" s="1"/>
  <c r="EV253" i="4"/>
  <c r="EV254" i="4" s="1"/>
  <c r="EW253" i="4"/>
  <c r="EW254" i="4" s="1"/>
  <c r="EX253" i="4"/>
  <c r="EY253" i="4"/>
  <c r="EZ253" i="4"/>
  <c r="FA253" i="4"/>
  <c r="H254" i="4"/>
  <c r="EX254" i="4" s="1"/>
  <c r="N254" i="4"/>
  <c r="EY254" i="4" s="1"/>
  <c r="T254" i="4"/>
  <c r="EZ254" i="4" s="1"/>
  <c r="Z254" i="4"/>
  <c r="FA254" i="4" s="1"/>
  <c r="EV256" i="4"/>
  <c r="EW256" i="4"/>
  <c r="EW272" i="4" s="1"/>
  <c r="EX256" i="4"/>
  <c r="EY256" i="4"/>
  <c r="EZ256" i="4"/>
  <c r="FA256" i="4"/>
  <c r="FB256" i="4"/>
  <c r="FC256" i="4"/>
  <c r="FD256" i="4"/>
  <c r="FE256" i="4"/>
  <c r="FF256" i="4"/>
  <c r="Z257" i="4"/>
  <c r="Z260" i="4" s="1"/>
  <c r="AI257" i="4"/>
  <c r="EX257" i="4"/>
  <c r="EY257" i="4"/>
  <c r="EZ257" i="4"/>
  <c r="FB257" i="4"/>
  <c r="FC257" i="4"/>
  <c r="FD257" i="4"/>
  <c r="FE257" i="4"/>
  <c r="FF257" i="4"/>
  <c r="AI258" i="4"/>
  <c r="EX258" i="4"/>
  <c r="EY258" i="4"/>
  <c r="EZ258" i="4"/>
  <c r="FA258" i="4"/>
  <c r="FB258" i="4"/>
  <c r="FC258" i="4"/>
  <c r="FD258" i="4"/>
  <c r="FE258" i="4"/>
  <c r="FF258" i="4"/>
  <c r="AF259" i="4"/>
  <c r="EX259" i="4"/>
  <c r="EY259" i="4"/>
  <c r="EZ259" i="4"/>
  <c r="FA259" i="4"/>
  <c r="FC259" i="4"/>
  <c r="FD259" i="4"/>
  <c r="FE259" i="4"/>
  <c r="FF259" i="4"/>
  <c r="H260" i="4"/>
  <c r="K260" i="4"/>
  <c r="K268" i="4" s="1"/>
  <c r="L260" i="4"/>
  <c r="L268" i="4" s="1"/>
  <c r="M260" i="4"/>
  <c r="M268" i="4" s="1"/>
  <c r="N260" i="4"/>
  <c r="Q260" i="4"/>
  <c r="Q268" i="4" s="1"/>
  <c r="R260" i="4"/>
  <c r="R268" i="4" s="1"/>
  <c r="S260" i="4"/>
  <c r="S268" i="4" s="1"/>
  <c r="T260" i="4"/>
  <c r="W260" i="4"/>
  <c r="W268" i="4" s="1"/>
  <c r="X260" i="4"/>
  <c r="X268" i="4" s="1"/>
  <c r="Y260" i="4"/>
  <c r="Y268" i="4" s="1"/>
  <c r="AC260" i="4"/>
  <c r="AD260" i="4"/>
  <c r="AE260" i="4"/>
  <c r="AJ260" i="4"/>
  <c r="AK260" i="4"/>
  <c r="AL260" i="4"/>
  <c r="AO260" i="4"/>
  <c r="AP260" i="4"/>
  <c r="AQ260" i="4"/>
  <c r="AR260" i="4"/>
  <c r="AU260" i="4"/>
  <c r="AV260" i="4"/>
  <c r="AW260" i="4"/>
  <c r="AX260" i="4"/>
  <c r="BA260" i="4"/>
  <c r="BB260" i="4"/>
  <c r="BC260" i="4"/>
  <c r="BD260" i="4"/>
  <c r="K262" i="4"/>
  <c r="L262" i="4" s="1"/>
  <c r="M262" i="4" s="1"/>
  <c r="Q262" i="4"/>
  <c r="R262" i="4" s="1"/>
  <c r="S262" i="4" s="1"/>
  <c r="W262" i="4"/>
  <c r="X262" i="4" s="1"/>
  <c r="Y262" i="4" s="1"/>
  <c r="AC262" i="4"/>
  <c r="AD262" i="4" s="1"/>
  <c r="AE262" i="4" s="1"/>
  <c r="AI262" i="4"/>
  <c r="AJ262" i="4" s="1"/>
  <c r="AK262" i="4" s="1"/>
  <c r="AU262" i="4"/>
  <c r="AV262" i="4" s="1"/>
  <c r="AW262" i="4" s="1"/>
  <c r="BA262" i="4"/>
  <c r="BB262" i="4" s="1"/>
  <c r="BC262" i="4" s="1"/>
  <c r="EV262" i="4"/>
  <c r="EV266" i="4" s="1"/>
  <c r="EW262" i="4"/>
  <c r="EW266" i="4" s="1"/>
  <c r="EX262" i="4"/>
  <c r="EY262" i="4"/>
  <c r="EZ262" i="4"/>
  <c r="FA262" i="4"/>
  <c r="FB262" i="4"/>
  <c r="FC262" i="4"/>
  <c r="FD262" i="4"/>
  <c r="FE262" i="4"/>
  <c r="FF262" i="4"/>
  <c r="K263" i="4"/>
  <c r="L263" i="4" s="1"/>
  <c r="M263" i="4" s="1"/>
  <c r="Q263" i="4"/>
  <c r="R263" i="4" s="1"/>
  <c r="S263" i="4" s="1"/>
  <c r="W263" i="4"/>
  <c r="X263" i="4" s="1"/>
  <c r="Y263" i="4" s="1"/>
  <c r="AC263" i="4"/>
  <c r="AD263" i="4" s="1"/>
  <c r="AE263" i="4" s="1"/>
  <c r="AI263" i="4"/>
  <c r="AJ263" i="4" s="1"/>
  <c r="AK263" i="4" s="1"/>
  <c r="AO263" i="4"/>
  <c r="AP263" i="4" s="1"/>
  <c r="AQ263" i="4" s="1"/>
  <c r="AU263" i="4"/>
  <c r="AV263" i="4" s="1"/>
  <c r="AW263" i="4" s="1"/>
  <c r="BA263" i="4"/>
  <c r="BB263" i="4" s="1"/>
  <c r="BC263" i="4" s="1"/>
  <c r="EX263" i="4"/>
  <c r="EY263" i="4"/>
  <c r="EZ263" i="4"/>
  <c r="FA263" i="4"/>
  <c r="FB263" i="4"/>
  <c r="FC263" i="4"/>
  <c r="FD263" i="4"/>
  <c r="FE263" i="4"/>
  <c r="FF263" i="4"/>
  <c r="AF264" i="4"/>
  <c r="FB264" i="4" s="1"/>
  <c r="AL264" i="4"/>
  <c r="AL266" i="4" s="1"/>
  <c r="AR264" i="4"/>
  <c r="FD264" i="4" s="1"/>
  <c r="AX264" i="4"/>
  <c r="FE264" i="4" s="1"/>
  <c r="BD264" i="4"/>
  <c r="FF264" i="4" s="1"/>
  <c r="EX264" i="4"/>
  <c r="EY264" i="4"/>
  <c r="EZ264" i="4"/>
  <c r="FA264" i="4"/>
  <c r="EX265" i="4"/>
  <c r="EY265" i="4"/>
  <c r="EZ265" i="4"/>
  <c r="FA265" i="4"/>
  <c r="FB265" i="4"/>
  <c r="FC265" i="4"/>
  <c r="FD265" i="4"/>
  <c r="FE265" i="4"/>
  <c r="FF265" i="4"/>
  <c r="H266" i="4"/>
  <c r="EX266" i="4" s="1"/>
  <c r="N266" i="4"/>
  <c r="T266" i="4"/>
  <c r="Z266" i="4"/>
  <c r="FA266" i="4" s="1"/>
  <c r="K272" i="4"/>
  <c r="L272" i="4"/>
  <c r="M272" i="4"/>
  <c r="N272" i="4"/>
  <c r="Q272" i="4"/>
  <c r="R272" i="4"/>
  <c r="S272" i="4"/>
  <c r="T272" i="4"/>
  <c r="W272" i="4"/>
  <c r="X272" i="4"/>
  <c r="Y272" i="4"/>
  <c r="Z272" i="4"/>
  <c r="AC272" i="4"/>
  <c r="AD272" i="4"/>
  <c r="AE272" i="4"/>
  <c r="AF272" i="4"/>
  <c r="AI272" i="4"/>
  <c r="AJ272" i="4"/>
  <c r="AK272" i="4"/>
  <c r="AL272" i="4"/>
  <c r="AO272" i="4"/>
  <c r="AP272" i="4"/>
  <c r="AQ272" i="4"/>
  <c r="AR272" i="4"/>
  <c r="AU272" i="4"/>
  <c r="AV272" i="4"/>
  <c r="AW272" i="4"/>
  <c r="AX272" i="4"/>
  <c r="BD272" i="4"/>
  <c r="E303" i="4"/>
  <c r="F303" i="4"/>
  <c r="G303" i="4"/>
  <c r="H303" i="4"/>
  <c r="I303" i="4"/>
  <c r="K303" i="4"/>
  <c r="L303" i="4"/>
  <c r="M303" i="4"/>
  <c r="N303" i="4"/>
  <c r="O303" i="4"/>
  <c r="Q303" i="4"/>
  <c r="R303" i="4"/>
  <c r="S303" i="4"/>
  <c r="T303" i="4"/>
  <c r="U303" i="4"/>
  <c r="W303" i="4"/>
  <c r="X303" i="4"/>
  <c r="Y303" i="4"/>
  <c r="Z303" i="4"/>
  <c r="AA303" i="4"/>
  <c r="AC303" i="4"/>
  <c r="AD303" i="4"/>
  <c r="AE303" i="4"/>
  <c r="AF303" i="4"/>
  <c r="AG303" i="4"/>
  <c r="AI303" i="4"/>
  <c r="AJ303" i="4"/>
  <c r="AK303" i="4"/>
  <c r="AL303" i="4"/>
  <c r="AM303" i="4"/>
  <c r="AO303" i="4"/>
  <c r="AP303" i="4"/>
  <c r="AQ303" i="4"/>
  <c r="AR303" i="4"/>
  <c r="AS303" i="4"/>
  <c r="AU303" i="4"/>
  <c r="AV303" i="4"/>
  <c r="AW303" i="4"/>
  <c r="AX303" i="4"/>
  <c r="AY303" i="4"/>
  <c r="BA303" i="4"/>
  <c r="BB303" i="4"/>
  <c r="BC303" i="4"/>
  <c r="BD303" i="4"/>
  <c r="BE303" i="4"/>
  <c r="BG303" i="4"/>
  <c r="BH303" i="4"/>
  <c r="BI303" i="4"/>
  <c r="BJ303" i="4"/>
  <c r="BK303" i="4"/>
  <c r="BM303" i="4"/>
  <c r="BN303" i="4"/>
  <c r="BO303" i="4"/>
  <c r="BP303" i="4"/>
  <c r="BQ303" i="4"/>
  <c r="BS303" i="4"/>
  <c r="BT303" i="4"/>
  <c r="BU303" i="4"/>
  <c r="BV303" i="4"/>
  <c r="BW303" i="4"/>
  <c r="BY303" i="4"/>
  <c r="BZ303" i="4"/>
  <c r="CA303" i="4"/>
  <c r="CB303" i="4"/>
  <c r="CC303" i="4"/>
  <c r="CE303" i="4"/>
  <c r="CF303" i="4"/>
  <c r="CG303" i="4"/>
  <c r="CH303" i="4"/>
  <c r="CI303" i="4"/>
  <c r="CK303" i="4"/>
  <c r="CL303" i="4"/>
  <c r="CM303" i="4"/>
  <c r="CN303" i="4"/>
  <c r="CO303" i="4"/>
  <c r="CQ303" i="4"/>
  <c r="CR303" i="4"/>
  <c r="CS303" i="4"/>
  <c r="CT303" i="4"/>
  <c r="CU303" i="4"/>
  <c r="CW303" i="4"/>
  <c r="CX303" i="4"/>
  <c r="CY303" i="4"/>
  <c r="CZ303" i="4"/>
  <c r="DA303" i="4"/>
  <c r="DC303" i="4"/>
  <c r="DD303" i="4"/>
  <c r="DE303" i="4"/>
  <c r="DF303" i="4"/>
  <c r="DG303" i="4"/>
  <c r="DI303" i="4"/>
  <c r="DJ303" i="4"/>
  <c r="DK303" i="4"/>
  <c r="DL303" i="4"/>
  <c r="DM303" i="4"/>
  <c r="DO303" i="4"/>
  <c r="DP303" i="4"/>
  <c r="DQ303" i="4"/>
  <c r="EV303" i="4"/>
  <c r="EW303" i="4"/>
  <c r="EX303" i="4"/>
  <c r="EY303" i="4"/>
  <c r="EZ303" i="4"/>
  <c r="FA303" i="4"/>
  <c r="FB303" i="4"/>
  <c r="FC303" i="4"/>
  <c r="FD303" i="4"/>
  <c r="FE303" i="4"/>
  <c r="FF303" i="4"/>
  <c r="FG303" i="4"/>
  <c r="FH303" i="4"/>
  <c r="FI303" i="4"/>
  <c r="FJ303" i="4"/>
  <c r="FK303" i="4"/>
  <c r="FL303" i="4"/>
  <c r="FM303" i="4"/>
  <c r="FN303" i="4"/>
  <c r="FO303" i="4"/>
  <c r="FP303" i="4"/>
  <c r="FQ303" i="4"/>
  <c r="FR303" i="4"/>
  <c r="A304" i="4"/>
  <c r="EV306" i="4"/>
  <c r="EW306" i="4"/>
  <c r="EX306" i="4"/>
  <c r="EY306" i="4"/>
  <c r="EZ306" i="4"/>
  <c r="N308" i="4"/>
  <c r="T308" i="4"/>
  <c r="AA308" i="4"/>
  <c r="FA308" i="4" s="1"/>
  <c r="AC308" i="4"/>
  <c r="AF308" i="4" s="1"/>
  <c r="EX308" i="4"/>
  <c r="EY308" i="4"/>
  <c r="EZ308" i="4"/>
  <c r="FB308" i="4"/>
  <c r="FC308" i="4"/>
  <c r="AC309" i="4"/>
  <c r="AS309" i="4"/>
  <c r="AY309" i="4"/>
  <c r="FE309" i="4" s="1"/>
  <c r="BE309" i="4"/>
  <c r="FF309" i="4" s="1"/>
  <c r="EX309" i="4"/>
  <c r="EY309" i="4"/>
  <c r="EZ309" i="4"/>
  <c r="FA309" i="4"/>
  <c r="FB309" i="4"/>
  <c r="FC309" i="4"/>
  <c r="AA310" i="4"/>
  <c r="FA310" i="4" s="1"/>
  <c r="AF310" i="4"/>
  <c r="AS310" i="4"/>
  <c r="FD310" i="4" s="1"/>
  <c r="AY310" i="4"/>
  <c r="FE310" i="4" s="1"/>
  <c r="BE310" i="4"/>
  <c r="FF310" i="4" s="1"/>
  <c r="EX310" i="4"/>
  <c r="EY310" i="4"/>
  <c r="EZ310" i="4"/>
  <c r="FB310" i="4"/>
  <c r="FC310" i="4"/>
  <c r="AA311" i="4"/>
  <c r="FA311" i="4" s="1"/>
  <c r="AG311" i="4"/>
  <c r="FB311" i="4" s="1"/>
  <c r="AM311" i="4"/>
  <c r="AS311" i="4"/>
  <c r="FD311" i="4" s="1"/>
  <c r="AY311" i="4"/>
  <c r="FE311" i="4" s="1"/>
  <c r="BE311" i="4"/>
  <c r="FF311" i="4" s="1"/>
  <c r="EX311" i="4"/>
  <c r="EY311" i="4"/>
  <c r="EZ311" i="4"/>
  <c r="AC312" i="4"/>
  <c r="AE312" i="4" s="1"/>
  <c r="AM312" i="4"/>
  <c r="FC312" i="4" s="1"/>
  <c r="AS312" i="4"/>
  <c r="FD312" i="4" s="1"/>
  <c r="AY312" i="4"/>
  <c r="FE312" i="4" s="1"/>
  <c r="BE312" i="4"/>
  <c r="FF312" i="4" s="1"/>
  <c r="EX312" i="4"/>
  <c r="EY312" i="4"/>
  <c r="EZ312" i="4"/>
  <c r="FA312" i="4"/>
  <c r="FB312" i="4"/>
  <c r="AC313" i="4"/>
  <c r="AE313" i="4" s="1"/>
  <c r="AS313" i="4"/>
  <c r="FD313" i="4" s="1"/>
  <c r="AY313" i="4"/>
  <c r="FE313" i="4" s="1"/>
  <c r="BE313" i="4"/>
  <c r="FF313" i="4" s="1"/>
  <c r="EX313" i="4"/>
  <c r="EY313" i="4"/>
  <c r="EZ313" i="4"/>
  <c r="FA313" i="4"/>
  <c r="FB313" i="4"/>
  <c r="FC313" i="4"/>
  <c r="N314" i="4"/>
  <c r="T314" i="4"/>
  <c r="AA314" i="4"/>
  <c r="FA314" i="4" s="1"/>
  <c r="AC314" i="4"/>
  <c r="AF314" i="4" s="1"/>
  <c r="AL314" i="4"/>
  <c r="AM314" i="4" s="1"/>
  <c r="FC314" i="4" s="1"/>
  <c r="AS314" i="4"/>
  <c r="FD314" i="4" s="1"/>
  <c r="AY314" i="4"/>
  <c r="FE314" i="4" s="1"/>
  <c r="BE314" i="4"/>
  <c r="FF314" i="4" s="1"/>
  <c r="EX314" i="4"/>
  <c r="EY314" i="4"/>
  <c r="EZ314" i="4"/>
  <c r="FB314" i="4"/>
  <c r="I316" i="4"/>
  <c r="K316" i="4"/>
  <c r="L316" i="4"/>
  <c r="M316" i="4"/>
  <c r="O316" i="4"/>
  <c r="Q316" i="4"/>
  <c r="R316" i="4"/>
  <c r="S316" i="4"/>
  <c r="U316" i="4"/>
  <c r="W316" i="4"/>
  <c r="X316" i="4"/>
  <c r="Y316" i="4"/>
  <c r="Z316" i="4"/>
  <c r="AD316" i="4"/>
  <c r="AI316" i="4"/>
  <c r="AJ316" i="4"/>
  <c r="AK316" i="4"/>
  <c r="AO316" i="4"/>
  <c r="AP316" i="4"/>
  <c r="AQ316" i="4"/>
  <c r="AR316" i="4"/>
  <c r="AU316" i="4"/>
  <c r="AV316" i="4"/>
  <c r="AW316" i="4"/>
  <c r="AX316" i="4"/>
  <c r="BA316" i="4"/>
  <c r="BB316" i="4"/>
  <c r="BC316" i="4"/>
  <c r="BD316" i="4"/>
  <c r="EV316" i="4"/>
  <c r="EW316" i="4"/>
  <c r="I318" i="4"/>
  <c r="EX318" i="4" s="1"/>
  <c r="O318" i="4"/>
  <c r="EY318" i="4" s="1"/>
  <c r="U318" i="4"/>
  <c r="AC318" i="4"/>
  <c r="FC318" i="4"/>
  <c r="K319" i="4"/>
  <c r="L319" i="4"/>
  <c r="M319" i="4"/>
  <c r="Q319" i="4"/>
  <c r="R319" i="4"/>
  <c r="S319" i="4"/>
  <c r="W319" i="4"/>
  <c r="X319" i="4"/>
  <c r="Y319" i="4"/>
  <c r="Z319" i="4"/>
  <c r="AC319" i="4"/>
  <c r="AD319" i="4"/>
  <c r="AE319" i="4"/>
  <c r="AF319" i="4"/>
  <c r="AI319" i="4"/>
  <c r="AJ319" i="4"/>
  <c r="AK319" i="4"/>
  <c r="AL319" i="4"/>
  <c r="AO319" i="4"/>
  <c r="AP319" i="4"/>
  <c r="AQ319" i="4"/>
  <c r="AR319" i="4"/>
  <c r="AU319" i="4"/>
  <c r="AV319" i="4"/>
  <c r="AW319" i="4"/>
  <c r="AX319" i="4"/>
  <c r="BA319" i="4"/>
  <c r="BB319" i="4"/>
  <c r="BC319" i="4"/>
  <c r="BD319" i="4"/>
  <c r="EX319" i="4"/>
  <c r="EY319" i="4"/>
  <c r="EZ319" i="4"/>
  <c r="FB319" i="4"/>
  <c r="K320" i="4"/>
  <c r="L320" i="4"/>
  <c r="M320" i="4"/>
  <c r="Q320" i="4"/>
  <c r="R320" i="4"/>
  <c r="S320" i="4"/>
  <c r="W320" i="4"/>
  <c r="X320" i="4"/>
  <c r="Y320" i="4"/>
  <c r="Z320" i="4"/>
  <c r="AC320" i="4"/>
  <c r="AD320" i="4"/>
  <c r="AE320" i="4"/>
  <c r="AF320" i="4"/>
  <c r="AL320" i="4"/>
  <c r="AO320" i="4"/>
  <c r="AP320" i="4"/>
  <c r="AQ320" i="4"/>
  <c r="AR320" i="4"/>
  <c r="AU320" i="4"/>
  <c r="AV320" i="4"/>
  <c r="AW320" i="4"/>
  <c r="AX320" i="4"/>
  <c r="BA320" i="4"/>
  <c r="BB320" i="4"/>
  <c r="BC320" i="4"/>
  <c r="BD320" i="4"/>
  <c r="EX320" i="4"/>
  <c r="EY320" i="4"/>
  <c r="EZ320" i="4"/>
  <c r="FB320" i="4"/>
  <c r="EX321" i="4"/>
  <c r="EY321" i="4"/>
  <c r="EZ321" i="4"/>
  <c r="FB321" i="4"/>
  <c r="AG322" i="4"/>
  <c r="AG318" i="4" s="1"/>
  <c r="EV322" i="4"/>
  <c r="EV318" i="4" s="1"/>
  <c r="EW322" i="4"/>
  <c r="EW318" i="4" s="1"/>
  <c r="EX322" i="4"/>
  <c r="EY322" i="4"/>
  <c r="EZ322" i="4"/>
  <c r="N325" i="4"/>
  <c r="T325" i="4"/>
  <c r="AA325" i="4"/>
  <c r="FA325" i="4" s="1"/>
  <c r="AG325" i="4"/>
  <c r="AS325" i="4"/>
  <c r="FD325" i="4" s="1"/>
  <c r="AY325" i="4"/>
  <c r="FE325" i="4" s="1"/>
  <c r="BE325" i="4"/>
  <c r="FF325" i="4" s="1"/>
  <c r="EX325" i="4"/>
  <c r="EY325" i="4"/>
  <c r="EZ325" i="4"/>
  <c r="FC325" i="4"/>
  <c r="N326" i="4"/>
  <c r="T326" i="4"/>
  <c r="AA326" i="4"/>
  <c r="FA326" i="4" s="1"/>
  <c r="AG326" i="4"/>
  <c r="FB326" i="4" s="1"/>
  <c r="AM326" i="4"/>
  <c r="AS326" i="4"/>
  <c r="FD326" i="4" s="1"/>
  <c r="AY326" i="4"/>
  <c r="BE326" i="4"/>
  <c r="FF326" i="4" s="1"/>
  <c r="EX326" i="4"/>
  <c r="EY326" i="4"/>
  <c r="EZ326" i="4"/>
  <c r="BE327" i="4"/>
  <c r="FF327" i="4" s="1"/>
  <c r="EX327" i="4"/>
  <c r="EY327" i="4"/>
  <c r="EZ327" i="4"/>
  <c r="FA327" i="4"/>
  <c r="FB327" i="4"/>
  <c r="FC327" i="4"/>
  <c r="FD327" i="4"/>
  <c r="FE327" i="4"/>
  <c r="AA328" i="4"/>
  <c r="FA328" i="4" s="1"/>
  <c r="AG328" i="4"/>
  <c r="FB328" i="4" s="1"/>
  <c r="AM328" i="4"/>
  <c r="FC328" i="4" s="1"/>
  <c r="AS328" i="4"/>
  <c r="FD328" i="4" s="1"/>
  <c r="AY328" i="4"/>
  <c r="FE328" i="4" s="1"/>
  <c r="BE328" i="4"/>
  <c r="FF328" i="4" s="1"/>
  <c r="EX328" i="4"/>
  <c r="EY328" i="4"/>
  <c r="EZ328" i="4"/>
  <c r="FF329" i="4"/>
  <c r="AA333" i="4"/>
  <c r="FA333" i="4" s="1"/>
  <c r="AG333" i="4"/>
  <c r="FB333" i="4" s="1"/>
  <c r="AM333" i="4"/>
  <c r="FC333" i="4" s="1"/>
  <c r="AS333" i="4"/>
  <c r="FD333" i="4" s="1"/>
  <c r="AY333" i="4"/>
  <c r="FE333" i="4" s="1"/>
  <c r="BE333" i="4"/>
  <c r="FF333" i="4" s="1"/>
  <c r="EX333" i="4"/>
  <c r="EY333" i="4"/>
  <c r="EZ333" i="4"/>
  <c r="N336" i="4"/>
  <c r="T336" i="4"/>
  <c r="AC336" i="4"/>
  <c r="AG336" i="4" s="1"/>
  <c r="FB336" i="4" s="1"/>
  <c r="AM336" i="4"/>
  <c r="AS336" i="4"/>
  <c r="FD336" i="4" s="1"/>
  <c r="AY336" i="4"/>
  <c r="FE336" i="4" s="1"/>
  <c r="BE336" i="4"/>
  <c r="FF336" i="4" s="1"/>
  <c r="EX336" i="4"/>
  <c r="EY336" i="4"/>
  <c r="EZ336" i="4"/>
  <c r="FA336" i="4"/>
  <c r="N337" i="4"/>
  <c r="T337" i="4"/>
  <c r="AA337" i="4"/>
  <c r="FA337" i="4" s="1"/>
  <c r="AG337" i="4"/>
  <c r="FB337" i="4" s="1"/>
  <c r="AM337" i="4"/>
  <c r="FC337" i="4" s="1"/>
  <c r="AS337" i="4"/>
  <c r="AY337" i="4"/>
  <c r="FE337" i="4" s="1"/>
  <c r="BE337" i="4"/>
  <c r="FF337" i="4" s="1"/>
  <c r="EX337" i="4"/>
  <c r="EY337" i="4"/>
  <c r="EZ337" i="4"/>
  <c r="N338" i="4"/>
  <c r="T338" i="4"/>
  <c r="AF338" i="4"/>
  <c r="AG338" i="4" s="1"/>
  <c r="AM338" i="4"/>
  <c r="FC338" i="4" s="1"/>
  <c r="AS338" i="4"/>
  <c r="FD338" i="4" s="1"/>
  <c r="AY338" i="4"/>
  <c r="FE338" i="4" s="1"/>
  <c r="BD338" i="4"/>
  <c r="BE338" i="4" s="1"/>
  <c r="EX338" i="4"/>
  <c r="EY338" i="4"/>
  <c r="EZ338" i="4"/>
  <c r="FA338" i="4"/>
  <c r="K339" i="4"/>
  <c r="L339" i="4"/>
  <c r="M339" i="4"/>
  <c r="Q339" i="4"/>
  <c r="R339" i="4"/>
  <c r="S339" i="4"/>
  <c r="W339" i="4"/>
  <c r="X339" i="4"/>
  <c r="Y339" i="4"/>
  <c r="Z339" i="4"/>
  <c r="AD339" i="4"/>
  <c r="AE339" i="4"/>
  <c r="AI339" i="4"/>
  <c r="AJ339" i="4"/>
  <c r="AK339" i="4"/>
  <c r="AL339" i="4"/>
  <c r="AO339" i="4"/>
  <c r="AP339" i="4"/>
  <c r="AQ339" i="4"/>
  <c r="AR339" i="4"/>
  <c r="AU339" i="4"/>
  <c r="AV339" i="4"/>
  <c r="AW339" i="4"/>
  <c r="AX339" i="4"/>
  <c r="BA339" i="4"/>
  <c r="BB339" i="4"/>
  <c r="BC339" i="4"/>
  <c r="EV339" i="4"/>
  <c r="EW339" i="4"/>
  <c r="EX339" i="4"/>
  <c r="EY339" i="4"/>
  <c r="EZ339" i="4"/>
  <c r="N341" i="4"/>
  <c r="T341" i="4"/>
  <c r="AA341" i="4"/>
  <c r="FA341" i="4" s="1"/>
  <c r="AG341" i="4"/>
  <c r="FB341" i="4" s="1"/>
  <c r="AM341" i="4"/>
  <c r="FC341" i="4" s="1"/>
  <c r="AS341" i="4"/>
  <c r="FD341" i="4" s="1"/>
  <c r="AY341" i="4"/>
  <c r="FE341" i="4" s="1"/>
  <c r="BE341" i="4"/>
  <c r="FF341" i="4" s="1"/>
  <c r="EW341" i="4"/>
  <c r="EX341" i="4"/>
  <c r="EY341" i="4"/>
  <c r="EZ341" i="4"/>
  <c r="N342" i="4"/>
  <c r="T342" i="4"/>
  <c r="AA342" i="4"/>
  <c r="FA342" i="4" s="1"/>
  <c r="AG342" i="4"/>
  <c r="FB342" i="4" s="1"/>
  <c r="AM342" i="4"/>
  <c r="FC342" i="4" s="1"/>
  <c r="AS342" i="4"/>
  <c r="FD342" i="4" s="1"/>
  <c r="AY342" i="4"/>
  <c r="FE342" i="4" s="1"/>
  <c r="BE342" i="4"/>
  <c r="FF342" i="4" s="1"/>
  <c r="EX342" i="4"/>
  <c r="EY342" i="4"/>
  <c r="EZ342" i="4"/>
  <c r="Y343" i="4"/>
  <c r="AC343" i="4"/>
  <c r="AM343" i="4"/>
  <c r="FC343" i="4" s="1"/>
  <c r="AS343" i="4"/>
  <c r="FD343" i="4" s="1"/>
  <c r="AY343" i="4"/>
  <c r="BE343" i="4"/>
  <c r="FF343" i="4" s="1"/>
  <c r="EX343" i="4"/>
  <c r="EY343" i="4"/>
  <c r="EZ343" i="4"/>
  <c r="N346" i="4"/>
  <c r="T346" i="4"/>
  <c r="AG346" i="4"/>
  <c r="FB346" i="4" s="1"/>
  <c r="AM346" i="4"/>
  <c r="FC346" i="4" s="1"/>
  <c r="AS346" i="4"/>
  <c r="FD346" i="4" s="1"/>
  <c r="AY346" i="4"/>
  <c r="FE346" i="4" s="1"/>
  <c r="BE346" i="4"/>
  <c r="FF346" i="4" s="1"/>
  <c r="EV346" i="4"/>
  <c r="EX346" i="4"/>
  <c r="EY346" i="4"/>
  <c r="EZ346" i="4"/>
  <c r="FA346" i="4"/>
  <c r="K351" i="4"/>
  <c r="O351" i="4" s="1"/>
  <c r="U351" i="4"/>
  <c r="EZ351" i="4" s="1"/>
  <c r="BK351" i="4"/>
  <c r="FG351" i="4" s="1"/>
  <c r="G155" i="5" s="1"/>
  <c r="F156" i="5" s="1"/>
  <c r="BW351" i="4"/>
  <c r="FI351" i="4" s="1"/>
  <c r="I155" i="5" s="1"/>
  <c r="EX351" i="4"/>
  <c r="W352" i="4"/>
  <c r="X351" i="4" s="1"/>
  <c r="AC352" i="4"/>
  <c r="H9" i="4"/>
  <c r="K9" i="4"/>
  <c r="L9" i="4"/>
  <c r="M9" i="4"/>
  <c r="Q9" i="4"/>
  <c r="R9" i="4"/>
  <c r="W9" i="4"/>
  <c r="Y9" i="4"/>
  <c r="AD9" i="4"/>
  <c r="AF9" i="4"/>
  <c r="AI9" i="4"/>
  <c r="AK9" i="4"/>
  <c r="AP9" i="4"/>
  <c r="AR9" i="4"/>
  <c r="AU9" i="4"/>
  <c r="AW9" i="4"/>
  <c r="AX9" i="4"/>
  <c r="BA9" i="4"/>
  <c r="BA13" i="4" s="1"/>
  <c r="BA14" i="4" s="1"/>
  <c r="BC9" i="4"/>
  <c r="BC13" i="4" s="1"/>
  <c r="Z343" i="4"/>
  <c r="AF343" i="4"/>
  <c r="BM233" i="4"/>
  <c r="BN233" i="4"/>
  <c r="BO233" i="4"/>
  <c r="BS233" i="4"/>
  <c r="BT233" i="4"/>
  <c r="BU233" i="4"/>
  <c r="BY233" i="4"/>
  <c r="BZ233" i="4"/>
  <c r="CA233" i="4"/>
  <c r="BH190" i="4"/>
  <c r="BH191" i="4" s="1"/>
  <c r="CH191" i="4"/>
  <c r="BA250" i="4"/>
  <c r="BA321" i="4" s="1"/>
  <c r="BC250" i="4"/>
  <c r="BK120" i="9"/>
  <c r="BQ120" i="9"/>
  <c r="BW120" i="9"/>
  <c r="DJ191" i="4"/>
  <c r="DI402" i="9"/>
  <c r="DJ402" i="9"/>
  <c r="DJ404" i="9" s="1"/>
  <c r="V112" i="5" l="1"/>
  <c r="FW230" i="4"/>
  <c r="FX230" i="4" s="1"/>
  <c r="V96" i="5"/>
  <c r="FW232" i="4"/>
  <c r="FX232" i="4" s="1"/>
  <c r="V97" i="5"/>
  <c r="FW237" i="4"/>
  <c r="FX237" i="4" s="1"/>
  <c r="V85" i="5"/>
  <c r="V111" i="5"/>
  <c r="FW231" i="4"/>
  <c r="FX231" i="4" s="1"/>
  <c r="V95" i="5"/>
  <c r="FW239" i="4"/>
  <c r="FX239" i="4" s="1"/>
  <c r="V88" i="5"/>
  <c r="CX323" i="4"/>
  <c r="FO178" i="4"/>
  <c r="FO175" i="4"/>
  <c r="EA174" i="4"/>
  <c r="DX173" i="4"/>
  <c r="CI27" i="9"/>
  <c r="CO32" i="9" s="1"/>
  <c r="CK27" i="9"/>
  <c r="CQ32" i="9" s="1"/>
  <c r="CL26" i="9"/>
  <c r="CQ36" i="9"/>
  <c r="CN35" i="9"/>
  <c r="CN30" i="9" s="1"/>
  <c r="CO36" i="9"/>
  <c r="FF36" i="9" s="1"/>
  <c r="FV338" i="4"/>
  <c r="U147" i="5"/>
  <c r="FV227" i="4"/>
  <c r="DA120" i="9"/>
  <c r="DA133" i="9"/>
  <c r="CU120" i="9"/>
  <c r="CU133" i="9"/>
  <c r="CO120" i="9"/>
  <c r="CO133" i="9"/>
  <c r="CI120" i="9"/>
  <c r="CI133" i="9"/>
  <c r="CC120" i="9"/>
  <c r="CC133" i="9"/>
  <c r="EK310" i="4"/>
  <c r="FT310" i="4" s="1"/>
  <c r="E51" i="5"/>
  <c r="EB165" i="4"/>
  <c r="BU44" i="4"/>
  <c r="BG58" i="4"/>
  <c r="BZ44" i="4"/>
  <c r="BZ57" i="4"/>
  <c r="CX57" i="4"/>
  <c r="CX44" i="4"/>
  <c r="CX58" i="4"/>
  <c r="BZ58" i="4"/>
  <c r="BU57" i="4"/>
  <c r="BG57" i="4"/>
  <c r="BG44" i="4"/>
  <c r="BJ57" i="4"/>
  <c r="BJ58" i="4"/>
  <c r="BJ44" i="4"/>
  <c r="EX272" i="4"/>
  <c r="AK320" i="4"/>
  <c r="N193" i="4"/>
  <c r="O193" i="4" s="1"/>
  <c r="AF260" i="4"/>
  <c r="AL321" i="4"/>
  <c r="AL322" i="4" s="1"/>
  <c r="M285" i="4"/>
  <c r="FA272" i="4"/>
  <c r="AI244" i="4"/>
  <c r="AI273" i="4" s="1"/>
  <c r="H38" i="4"/>
  <c r="CI39" i="4"/>
  <c r="DY177" i="4"/>
  <c r="FR177" i="4" s="1"/>
  <c r="ED177" i="4"/>
  <c r="AR321" i="4"/>
  <c r="AR322" i="4" s="1"/>
  <c r="AC321" i="4"/>
  <c r="AC322" i="4" s="1"/>
  <c r="L285" i="4"/>
  <c r="EZ272" i="4"/>
  <c r="E193" i="4"/>
  <c r="CO39" i="4"/>
  <c r="CU43" i="4"/>
  <c r="CU366" i="4" s="1"/>
  <c r="DG33" i="4"/>
  <c r="EY272" i="4"/>
  <c r="H18" i="4"/>
  <c r="FS310" i="4"/>
  <c r="EB260" i="4"/>
  <c r="BU58" i="4"/>
  <c r="FB272" i="4"/>
  <c r="EW323" i="4"/>
  <c r="EV323" i="4"/>
  <c r="FF272" i="4"/>
  <c r="FE272" i="4"/>
  <c r="EV260" i="4"/>
  <c r="EV268" i="4" s="1"/>
  <c r="EV272" i="4"/>
  <c r="FD272" i="4"/>
  <c r="FC272" i="4"/>
  <c r="DE366" i="4"/>
  <c r="DG120" i="9"/>
  <c r="DL127" i="9"/>
  <c r="DL129" i="9" s="1"/>
  <c r="DJ130" i="9"/>
  <c r="DD44" i="4"/>
  <c r="DE58" i="4"/>
  <c r="DD57" i="4"/>
  <c r="DD58" i="4"/>
  <c r="DG39" i="4"/>
  <c r="DG43" i="4"/>
  <c r="DG366" i="4" s="1"/>
  <c r="DE44" i="4"/>
  <c r="DI404" i="9"/>
  <c r="DM402" i="9"/>
  <c r="DM125" i="9"/>
  <c r="FR256" i="4"/>
  <c r="FR260" i="4" s="1"/>
  <c r="DY260" i="4"/>
  <c r="K21" i="4"/>
  <c r="H50" i="4"/>
  <c r="H51" i="4" s="1"/>
  <c r="G21" i="4"/>
  <c r="G24" i="4" s="1"/>
  <c r="FE25" i="9"/>
  <c r="FE27" i="9" s="1"/>
  <c r="FE32" i="9" s="1"/>
  <c r="O323" i="4"/>
  <c r="E19" i="4"/>
  <c r="E21" i="4" s="1"/>
  <c r="I323" i="4"/>
  <c r="U323" i="4"/>
  <c r="FD309" i="4"/>
  <c r="AS316" i="4"/>
  <c r="CL25" i="9"/>
  <c r="S94" i="5"/>
  <c r="CU33" i="4"/>
  <c r="CU39" i="4"/>
  <c r="CN44" i="4"/>
  <c r="G250" i="5"/>
  <c r="G249" i="5"/>
  <c r="G173" i="5"/>
  <c r="FG375" i="4"/>
  <c r="CX402" i="9"/>
  <c r="CX404" i="9" s="1"/>
  <c r="CW402" i="9"/>
  <c r="CW404" i="9" s="1"/>
  <c r="CZ402" i="9"/>
  <c r="CZ404" i="9" s="1"/>
  <c r="CY402" i="9"/>
  <c r="CY404" i="9" s="1"/>
  <c r="CS402" i="9"/>
  <c r="CS404" i="9" s="1"/>
  <c r="CR402" i="9"/>
  <c r="CR404" i="9" s="1"/>
  <c r="CQ402" i="9"/>
  <c r="CQ404" i="9" s="1"/>
  <c r="DF402" i="9"/>
  <c r="DF404" i="9" s="1"/>
  <c r="CN402" i="9"/>
  <c r="CN404" i="9" s="1"/>
  <c r="CT402" i="9"/>
  <c r="CT404" i="9" s="1"/>
  <c r="DE402" i="9"/>
  <c r="DE404" i="9" s="1"/>
  <c r="CM402" i="9"/>
  <c r="CM404" i="9" s="1"/>
  <c r="DD402" i="9"/>
  <c r="DD404" i="9" s="1"/>
  <c r="CL402" i="9"/>
  <c r="CL404" i="9" s="1"/>
  <c r="DC402" i="9"/>
  <c r="CK402" i="9"/>
  <c r="CK404" i="9" s="1"/>
  <c r="DA145" i="4"/>
  <c r="FN144" i="4"/>
  <c r="FN145" i="4" s="1"/>
  <c r="CU139" i="4"/>
  <c r="FM138" i="4"/>
  <c r="FM139" i="4" s="1"/>
  <c r="CO43" i="4"/>
  <c r="CO366" i="4" s="1"/>
  <c r="CO33" i="4"/>
  <c r="DQ18" i="4"/>
  <c r="FH375" i="4"/>
  <c r="H250" i="5"/>
  <c r="H249" i="5"/>
  <c r="CN58" i="4"/>
  <c r="CN57" i="4"/>
  <c r="FD95" i="9"/>
  <c r="DG137" i="4"/>
  <c r="FO137" i="4" s="1"/>
  <c r="H173" i="5"/>
  <c r="BW137" i="4"/>
  <c r="FH95" i="9"/>
  <c r="CK323" i="4"/>
  <c r="CK357" i="4" s="1"/>
  <c r="DC366" i="4"/>
  <c r="DF366" i="4"/>
  <c r="DI272" i="4"/>
  <c r="DF58" i="4"/>
  <c r="CI33" i="4"/>
  <c r="CR57" i="4"/>
  <c r="DF57" i="4"/>
  <c r="CR44" i="4"/>
  <c r="CI43" i="4"/>
  <c r="CI366" i="4" s="1"/>
  <c r="CR58" i="4"/>
  <c r="DF44" i="4"/>
  <c r="CE58" i="4"/>
  <c r="CZ44" i="4"/>
  <c r="CE44" i="4"/>
  <c r="CZ58" i="4"/>
  <c r="CZ57" i="4"/>
  <c r="CE57" i="4"/>
  <c r="BV57" i="4"/>
  <c r="BV366" i="4"/>
  <c r="BV58" i="4"/>
  <c r="BV44" i="4"/>
  <c r="CG323" i="4"/>
  <c r="DG264" i="4"/>
  <c r="DF266" i="4"/>
  <c r="DA264" i="4"/>
  <c r="CZ266" i="4"/>
  <c r="CU264" i="4"/>
  <c r="CT266" i="4"/>
  <c r="CO264" i="4"/>
  <c r="CN266" i="4"/>
  <c r="CI264" i="4"/>
  <c r="CH266" i="4"/>
  <c r="CB334" i="4"/>
  <c r="CB347" i="4" s="1"/>
  <c r="AA339" i="4"/>
  <c r="FA339" i="4" s="1"/>
  <c r="AD321" i="4"/>
  <c r="AD322" i="4" s="1"/>
  <c r="DC272" i="4"/>
  <c r="CK254" i="4"/>
  <c r="BS254" i="4"/>
  <c r="BS273" i="4" s="1"/>
  <c r="CG254" i="4"/>
  <c r="CG273" i="4" s="1"/>
  <c r="CF254" i="4"/>
  <c r="CF273" i="4" s="1"/>
  <c r="BO254" i="4"/>
  <c r="BO273" i="4" s="1"/>
  <c r="CW272" i="4"/>
  <c r="CE254" i="4"/>
  <c r="CE273" i="4" s="1"/>
  <c r="BN254" i="4"/>
  <c r="BN273" i="4" s="1"/>
  <c r="BM254" i="4"/>
  <c r="BM273" i="4" s="1"/>
  <c r="CQ272" i="4"/>
  <c r="CK244" i="4"/>
  <c r="CA254" i="4"/>
  <c r="CA273" i="4" s="1"/>
  <c r="BZ254" i="4"/>
  <c r="BZ273" i="4" s="1"/>
  <c r="BI254" i="4"/>
  <c r="DG253" i="4"/>
  <c r="FO253" i="4" s="1"/>
  <c r="O106" i="5" s="1"/>
  <c r="BY254" i="4"/>
  <c r="BY273" i="4" s="1"/>
  <c r="BH254" i="4"/>
  <c r="DA253" i="4"/>
  <c r="FN253" i="4" s="1"/>
  <c r="N106" i="5" s="1"/>
  <c r="BG254" i="4"/>
  <c r="BU254" i="4"/>
  <c r="BU273" i="4" s="1"/>
  <c r="BT254" i="4"/>
  <c r="BT273" i="4" s="1"/>
  <c r="DC285" i="4"/>
  <c r="DC295" i="4" s="1"/>
  <c r="CS323" i="4"/>
  <c r="CW285" i="4"/>
  <c r="CW295" i="4" s="1"/>
  <c r="CM285" i="4"/>
  <c r="CM295" i="4" s="1"/>
  <c r="CL285" i="4"/>
  <c r="CL295" i="4" s="1"/>
  <c r="CQ285" i="4"/>
  <c r="CQ295" i="4" s="1"/>
  <c r="AO262" i="4"/>
  <c r="AP262" i="4" s="1"/>
  <c r="AQ262" i="4" s="1"/>
  <c r="W233" i="4"/>
  <c r="CC232" i="4"/>
  <c r="CB233" i="4"/>
  <c r="CQ58" i="4"/>
  <c r="CQ44" i="4"/>
  <c r="CQ57" i="4"/>
  <c r="BM58" i="4"/>
  <c r="BM44" i="4"/>
  <c r="BM57" i="4"/>
  <c r="BS44" i="4"/>
  <c r="BS58" i="4"/>
  <c r="BS57" i="4"/>
  <c r="BW58" i="4"/>
  <c r="BW44" i="4"/>
  <c r="BW57" i="4"/>
  <c r="CK58" i="4"/>
  <c r="CK44" i="4"/>
  <c r="CK57" i="4"/>
  <c r="BQ58" i="4"/>
  <c r="BQ57" i="4"/>
  <c r="BQ44" i="4"/>
  <c r="DC58" i="4"/>
  <c r="DC44" i="4"/>
  <c r="DC57" i="4"/>
  <c r="BK44" i="4"/>
  <c r="BK58" i="4"/>
  <c r="BK57" i="4"/>
  <c r="CF58" i="4"/>
  <c r="CF44" i="4"/>
  <c r="CF57" i="4"/>
  <c r="CW58" i="4"/>
  <c r="CW44" i="4"/>
  <c r="CW57" i="4"/>
  <c r="BY58" i="4"/>
  <c r="BY44" i="4"/>
  <c r="BY57" i="4"/>
  <c r="CC58" i="4"/>
  <c r="CC44" i="4"/>
  <c r="CC57" i="4"/>
  <c r="DA58" i="4"/>
  <c r="DA44" i="4"/>
  <c r="DA57" i="4"/>
  <c r="BH58" i="4"/>
  <c r="BH44" i="4"/>
  <c r="BH57" i="4"/>
  <c r="BQ138" i="4"/>
  <c r="AV246" i="4"/>
  <c r="AV268" i="4" s="1"/>
  <c r="AV266" i="4" s="1"/>
  <c r="CC133" i="4"/>
  <c r="AQ233" i="4"/>
  <c r="AQ246" i="4" s="1"/>
  <c r="AQ268" i="4" s="1"/>
  <c r="AQ266" i="4" s="1"/>
  <c r="AL316" i="4"/>
  <c r="N246" i="4"/>
  <c r="AI320" i="4"/>
  <c r="BW145" i="4"/>
  <c r="AA21" i="4"/>
  <c r="AJ320" i="4"/>
  <c r="EZ348" i="4"/>
  <c r="EX19" i="4"/>
  <c r="S246" i="4"/>
  <c r="EY348" i="4"/>
  <c r="AO246" i="4"/>
  <c r="AO268" i="4" s="1"/>
  <c r="AO266" i="4" s="1"/>
  <c r="L246" i="4"/>
  <c r="T21" i="4"/>
  <c r="FE260" i="4"/>
  <c r="FC264" i="4"/>
  <c r="AS21" i="4"/>
  <c r="AF244" i="4"/>
  <c r="AF246" i="4" s="1"/>
  <c r="AF268" i="4" s="1"/>
  <c r="FB269" i="4" s="1"/>
  <c r="FN51" i="4"/>
  <c r="BW138" i="4"/>
  <c r="BW139" i="4" s="1"/>
  <c r="CC138" i="4"/>
  <c r="CA139" i="4"/>
  <c r="CA137" i="4"/>
  <c r="CC137" i="4" s="1"/>
  <c r="T246" i="4"/>
  <c r="CC145" i="4"/>
  <c r="BD233" i="4"/>
  <c r="R246" i="4"/>
  <c r="AE246" i="4"/>
  <c r="AE268" i="4" s="1"/>
  <c r="AE266" i="4" s="1"/>
  <c r="BI190" i="4"/>
  <c r="BI191" i="4" s="1"/>
  <c r="AD13" i="4"/>
  <c r="AD14" i="4" s="1"/>
  <c r="AD289" i="4"/>
  <c r="AD293" i="4"/>
  <c r="AC294" i="4"/>
  <c r="AM319" i="4"/>
  <c r="FC319" i="4" s="1"/>
  <c r="AI295" i="4"/>
  <c r="K321" i="4"/>
  <c r="K322" i="4" s="1"/>
  <c r="K285" i="4"/>
  <c r="CO137" i="4"/>
  <c r="FL137" i="4" s="1"/>
  <c r="Y13" i="4"/>
  <c r="Y14" i="4" s="1"/>
  <c r="Y293" i="4"/>
  <c r="X294" i="4"/>
  <c r="Y289" i="4"/>
  <c r="M321" i="4"/>
  <c r="M322" i="4" s="1"/>
  <c r="AO273" i="4"/>
  <c r="FA257" i="4"/>
  <c r="FA260" i="4" s="1"/>
  <c r="FA268" i="4" s="1"/>
  <c r="BB244" i="4"/>
  <c r="BB273" i="4" s="1"/>
  <c r="M246" i="4"/>
  <c r="AY21" i="4"/>
  <c r="AM21" i="4"/>
  <c r="W13" i="4"/>
  <c r="W14" i="4" s="1"/>
  <c r="T294" i="4"/>
  <c r="W289" i="4"/>
  <c r="W293" i="4"/>
  <c r="AD295" i="4"/>
  <c r="FB18" i="4"/>
  <c r="AM170" i="4"/>
  <c r="R13" i="4"/>
  <c r="R14" i="4" s="1"/>
  <c r="R289" i="4"/>
  <c r="R293" i="4"/>
  <c r="Q294" i="4"/>
  <c r="FB316" i="4"/>
  <c r="FB19" i="4"/>
  <c r="AM179" i="4"/>
  <c r="AX13" i="4"/>
  <c r="AX14" i="4" s="1"/>
  <c r="AX295" i="4"/>
  <c r="AX289" i="4"/>
  <c r="AX293" i="4"/>
  <c r="AX294" i="4"/>
  <c r="Q13" i="4"/>
  <c r="Q24" i="4" s="1"/>
  <c r="Q289" i="4"/>
  <c r="Q293" i="4"/>
  <c r="N294" i="4"/>
  <c r="N268" i="4"/>
  <c r="EY269" i="4" s="1"/>
  <c r="AX321" i="4"/>
  <c r="AX322" i="4" s="1"/>
  <c r="AW295" i="4"/>
  <c r="Y295" i="4"/>
  <c r="DC191" i="4"/>
  <c r="N51" i="4"/>
  <c r="AW13" i="4"/>
  <c r="AW14" i="4" s="1"/>
  <c r="AW289" i="4"/>
  <c r="AW293" i="4"/>
  <c r="AW294" i="4"/>
  <c r="M13" i="4"/>
  <c r="M14" i="4" s="1"/>
  <c r="M289" i="4"/>
  <c r="M293" i="4"/>
  <c r="L294" i="4"/>
  <c r="BA272" i="4"/>
  <c r="BB190" i="4"/>
  <c r="DM242" i="4"/>
  <c r="DA138" i="4"/>
  <c r="CZ139" i="4"/>
  <c r="CZ137" i="4"/>
  <c r="DA137" i="4" s="1"/>
  <c r="FN137" i="4" s="1"/>
  <c r="AF13" i="4"/>
  <c r="AF24" i="4" s="1"/>
  <c r="AF295" i="4"/>
  <c r="AF289" i="4"/>
  <c r="AF293" i="4"/>
  <c r="AE294" i="4"/>
  <c r="AU13" i="4"/>
  <c r="AU14" i="4" s="1"/>
  <c r="AU289" i="4"/>
  <c r="AU293" i="4"/>
  <c r="AU294" i="4"/>
  <c r="L289" i="4"/>
  <c r="L293" i="4"/>
  <c r="K294" i="4"/>
  <c r="FC254" i="4"/>
  <c r="AU321" i="4"/>
  <c r="AU322" i="4" s="1"/>
  <c r="AU295" i="4"/>
  <c r="Z233" i="4"/>
  <c r="CO139" i="4"/>
  <c r="CL191" i="4"/>
  <c r="AR289" i="4"/>
  <c r="AR293" i="4"/>
  <c r="AR294" i="4"/>
  <c r="AR295" i="4"/>
  <c r="K13" i="4"/>
  <c r="K14" i="4" s="1"/>
  <c r="K289" i="4"/>
  <c r="K293" i="4"/>
  <c r="H294" i="4"/>
  <c r="AG316" i="4"/>
  <c r="AU246" i="4"/>
  <c r="AU268" i="4" s="1"/>
  <c r="AU266" i="4" s="1"/>
  <c r="AP13" i="4"/>
  <c r="AP14" i="4" s="1"/>
  <c r="AP293" i="4"/>
  <c r="AP294" i="4"/>
  <c r="AP289" i="4"/>
  <c r="H293" i="4"/>
  <c r="H295" i="4"/>
  <c r="AQ321" i="4"/>
  <c r="AQ322" i="4" s="1"/>
  <c r="AP295" i="4"/>
  <c r="CW191" i="4"/>
  <c r="AK289" i="4"/>
  <c r="CI145" i="4"/>
  <c r="DG138" i="4"/>
  <c r="DF139" i="4"/>
  <c r="AK13" i="4"/>
  <c r="AK14" i="4" s="1"/>
  <c r="AK293" i="4"/>
  <c r="AK294" i="4"/>
  <c r="AO321" i="4"/>
  <c r="AO322" i="4" s="1"/>
  <c r="AI289" i="4"/>
  <c r="AI294" i="4"/>
  <c r="CI138" i="4"/>
  <c r="FK138" i="4" s="1"/>
  <c r="FK139" i="4" s="1"/>
  <c r="CH139" i="4"/>
  <c r="BM188" i="4"/>
  <c r="BS188" i="4" s="1"/>
  <c r="BN188" i="4"/>
  <c r="BO188" i="4"/>
  <c r="AI13" i="4"/>
  <c r="AI14" i="4" s="1"/>
  <c r="AI293" i="4"/>
  <c r="AF294" i="4"/>
  <c r="AS339" i="4"/>
  <c r="FD339" i="4" s="1"/>
  <c r="AK321" i="4"/>
  <c r="AK295" i="4"/>
  <c r="N290" i="4"/>
  <c r="M288" i="4"/>
  <c r="T319" i="4"/>
  <c r="Z268" i="4"/>
  <c r="FA269" i="4" s="1"/>
  <c r="H268" i="4"/>
  <c r="EX269" i="4" s="1"/>
  <c r="BB248" i="4"/>
  <c r="T268" i="4"/>
  <c r="EZ269" i="4" s="1"/>
  <c r="BA20" i="4"/>
  <c r="BA21" i="4" s="1"/>
  <c r="BA24" i="4" s="1"/>
  <c r="BD339" i="4"/>
  <c r="EX316" i="4"/>
  <c r="EX323" i="4" s="1"/>
  <c r="FE326" i="4"/>
  <c r="FC260" i="4"/>
  <c r="BA246" i="4"/>
  <c r="BA268" i="4" s="1"/>
  <c r="BA266" i="4" s="1"/>
  <c r="EY273" i="4"/>
  <c r="H246" i="4"/>
  <c r="BA322" i="4"/>
  <c r="T339" i="4"/>
  <c r="N339" i="4"/>
  <c r="AE321" i="4"/>
  <c r="AE322" i="4" s="1"/>
  <c r="FA233" i="4"/>
  <c r="N316" i="4"/>
  <c r="AS319" i="4"/>
  <c r="FD319" i="4" s="1"/>
  <c r="EZ318" i="4"/>
  <c r="AV273" i="4"/>
  <c r="BC244" i="4"/>
  <c r="BC273" i="4" s="1"/>
  <c r="Q246" i="4"/>
  <c r="F21" i="4"/>
  <c r="AU273" i="4"/>
  <c r="X233" i="4"/>
  <c r="FE20" i="4"/>
  <c r="FE21" i="4" s="1"/>
  <c r="Q322" i="4"/>
  <c r="AF339" i="4"/>
  <c r="FD337" i="4"/>
  <c r="AY320" i="4"/>
  <c r="FE320" i="4" s="1"/>
  <c r="EZ316" i="4"/>
  <c r="AV321" i="4"/>
  <c r="AV322" i="4" s="1"/>
  <c r="X321" i="4"/>
  <c r="X322" i="4" s="1"/>
  <c r="K246" i="4"/>
  <c r="BE319" i="4"/>
  <c r="FF319" i="4" s="1"/>
  <c r="AC339" i="4"/>
  <c r="AA316" i="4"/>
  <c r="FC253" i="4"/>
  <c r="AQ9" i="4"/>
  <c r="BB9" i="4"/>
  <c r="BB13" i="4" s="1"/>
  <c r="BB14" i="4" s="1"/>
  <c r="AV9" i="4"/>
  <c r="N9" i="4"/>
  <c r="AL9" i="4"/>
  <c r="CK266" i="4"/>
  <c r="CE266" i="4"/>
  <c r="AC9" i="4"/>
  <c r="X9" i="4"/>
  <c r="AM339" i="4"/>
  <c r="AC246" i="4"/>
  <c r="AC268" i="4" s="1"/>
  <c r="AC266" i="4" s="1"/>
  <c r="AC273" i="4"/>
  <c r="AR233" i="4"/>
  <c r="FD232" i="4"/>
  <c r="FD233" i="4" s="1"/>
  <c r="O21" i="4"/>
  <c r="EY19" i="4"/>
  <c r="N19" i="4"/>
  <c r="BD9" i="4"/>
  <c r="BD13" i="4" s="1"/>
  <c r="BD14" i="4" s="1"/>
  <c r="FB325" i="4"/>
  <c r="FB322" i="4"/>
  <c r="AS320" i="4"/>
  <c r="FD320" i="4" s="1"/>
  <c r="EY316" i="4"/>
  <c r="EY323" i="4" s="1"/>
  <c r="AM316" i="4"/>
  <c r="FC311" i="4"/>
  <c r="FC316" i="4" s="1"/>
  <c r="AE309" i="4"/>
  <c r="AE316" i="4" s="1"/>
  <c r="AC316" i="4"/>
  <c r="EZ266" i="4"/>
  <c r="X243" i="4"/>
  <c r="X242" i="4" s="1"/>
  <c r="X244" i="4" s="1"/>
  <c r="W242" i="4"/>
  <c r="W244" i="4" s="1"/>
  <c r="EX233" i="4"/>
  <c r="Z9" i="4"/>
  <c r="AO9" i="4"/>
  <c r="AJ9" i="4"/>
  <c r="AE9" i="4"/>
  <c r="AY339" i="4"/>
  <c r="FE339" i="4" s="1"/>
  <c r="BE320" i="4"/>
  <c r="FF320" i="4" s="1"/>
  <c r="N320" i="4"/>
  <c r="EY266" i="4"/>
  <c r="AX254" i="4"/>
  <c r="FE254" i="4" s="1"/>
  <c r="FE253" i="4"/>
  <c r="AP246" i="4"/>
  <c r="AP268" i="4" s="1"/>
  <c r="AP266" i="4" s="1"/>
  <c r="AP273" i="4"/>
  <c r="AX244" i="4"/>
  <c r="FE243" i="4"/>
  <c r="AJ244" i="4"/>
  <c r="FB233" i="4"/>
  <c r="FE233" i="4"/>
  <c r="FA21" i="4"/>
  <c r="S9" i="4"/>
  <c r="T9" i="4"/>
  <c r="W322" i="4"/>
  <c r="T320" i="4"/>
  <c r="AA319" i="4"/>
  <c r="FA319" i="4" s="1"/>
  <c r="AF316" i="4"/>
  <c r="EW260" i="4"/>
  <c r="EW268" i="4" s="1"/>
  <c r="AK253" i="4"/>
  <c r="AW273" i="4"/>
  <c r="AW246" i="4"/>
  <c r="AW268" i="4" s="1"/>
  <c r="AW266" i="4" s="1"/>
  <c r="FA242" i="4"/>
  <c r="Z244" i="4"/>
  <c r="FD21" i="4"/>
  <c r="T316" i="4"/>
  <c r="EY260" i="4"/>
  <c r="FD260" i="4"/>
  <c r="EZ260" i="4"/>
  <c r="AU253" i="4"/>
  <c r="W253" i="4"/>
  <c r="AI233" i="4"/>
  <c r="E51" i="4"/>
  <c r="EZ19" i="4"/>
  <c r="FB259" i="4"/>
  <c r="FB260" i="4" s="1"/>
  <c r="AK246" i="4"/>
  <c r="AK268" i="4" s="1"/>
  <c r="AK266" i="4" s="1"/>
  <c r="AJ233" i="4"/>
  <c r="EZ233" i="4"/>
  <c r="FF260" i="4"/>
  <c r="EX260" i="4"/>
  <c r="EX268" i="4" s="1"/>
  <c r="AI253" i="4"/>
  <c r="Y321" i="4"/>
  <c r="Y322" i="4" s="1"/>
  <c r="R321" i="4"/>
  <c r="R322" i="4" s="1"/>
  <c r="AD246" i="4"/>
  <c r="AD268" i="4" s="1"/>
  <c r="AD266" i="4" s="1"/>
  <c r="FO51" i="4"/>
  <c r="DI51" i="4"/>
  <c r="FM51" i="4"/>
  <c r="AP321" i="4"/>
  <c r="AP322" i="4" s="1"/>
  <c r="AJ321" i="4"/>
  <c r="Z321" i="4"/>
  <c r="Z322" i="4" s="1"/>
  <c r="L321" i="4"/>
  <c r="AI321" i="4"/>
  <c r="EY30" i="4"/>
  <c r="H30" i="4"/>
  <c r="S321" i="4"/>
  <c r="S322" i="4" s="1"/>
  <c r="AW321" i="4"/>
  <c r="E13" i="4"/>
  <c r="E14" i="4" s="1"/>
  <c r="FI20" i="4"/>
  <c r="I14" i="5" s="1"/>
  <c r="Q14" i="5"/>
  <c r="FM20" i="4"/>
  <c r="M14" i="5" s="1"/>
  <c r="FK20" i="4"/>
  <c r="K14" i="5" s="1"/>
  <c r="FJ20" i="4"/>
  <c r="J14" i="5" s="1"/>
  <c r="FN30" i="4"/>
  <c r="N19" i="5" s="1"/>
  <c r="N234" i="5" s="1"/>
  <c r="N235" i="5" s="1"/>
  <c r="BC14" i="4"/>
  <c r="BC24" i="4"/>
  <c r="FN20" i="4"/>
  <c r="N14" i="5" s="1"/>
  <c r="FH20" i="4"/>
  <c r="H14" i="5" s="1"/>
  <c r="AR13" i="4"/>
  <c r="AR14" i="4" s="1"/>
  <c r="FP20" i="4"/>
  <c r="P14" i="5" s="1"/>
  <c r="FO20" i="4"/>
  <c r="O14" i="5" s="1"/>
  <c r="L13" i="4"/>
  <c r="I9" i="4"/>
  <c r="EX9" i="4" s="1"/>
  <c r="F13" i="4"/>
  <c r="F14" i="4" s="1"/>
  <c r="FG20" i="4"/>
  <c r="G14" i="5" s="1"/>
  <c r="FG18" i="4"/>
  <c r="DJ21" i="4"/>
  <c r="EY351" i="4"/>
  <c r="FO50" i="4"/>
  <c r="FL41" i="4"/>
  <c r="L23" i="5" s="1"/>
  <c r="FL38" i="4"/>
  <c r="L22" i="5" s="1"/>
  <c r="L233" i="5" s="1"/>
  <c r="FL19" i="4"/>
  <c r="L12" i="5" s="1"/>
  <c r="FF338" i="4"/>
  <c r="BE339" i="4"/>
  <c r="FB338" i="4"/>
  <c r="AG339" i="4"/>
  <c r="BD321" i="4"/>
  <c r="FL50" i="4"/>
  <c r="FM41" i="4"/>
  <c r="M23" i="5" s="1"/>
  <c r="FM38" i="4"/>
  <c r="M22" i="5" s="1"/>
  <c r="M233" i="5" s="1"/>
  <c r="FG30" i="4"/>
  <c r="FI19" i="4"/>
  <c r="I12" i="5" s="1"/>
  <c r="AD351" i="4"/>
  <c r="FK51" i="4"/>
  <c r="FM50" i="4"/>
  <c r="FM30" i="4"/>
  <c r="M19" i="5" s="1"/>
  <c r="M234" i="5" s="1"/>
  <c r="M235" i="5" s="1"/>
  <c r="FH30" i="4"/>
  <c r="AA343" i="4"/>
  <c r="FB318" i="4"/>
  <c r="AF318" i="4"/>
  <c r="DJ51" i="4"/>
  <c r="FJ51" i="4"/>
  <c r="FI51" i="4"/>
  <c r="FN41" i="4"/>
  <c r="N23" i="5" s="1"/>
  <c r="FO30" i="4"/>
  <c r="O19" i="5" s="1"/>
  <c r="O234" i="5" s="1"/>
  <c r="O235" i="5" s="1"/>
  <c r="FK30" i="4"/>
  <c r="FJ30" i="4"/>
  <c r="FI30" i="4"/>
  <c r="AG343" i="4"/>
  <c r="FB343" i="4" s="1"/>
  <c r="FO19" i="4"/>
  <c r="FN19" i="4"/>
  <c r="N12" i="5" s="1"/>
  <c r="FM19" i="4"/>
  <c r="M12" i="5" s="1"/>
  <c r="FE343" i="4"/>
  <c r="FC336" i="4"/>
  <c r="FC326" i="4"/>
  <c r="N319" i="4"/>
  <c r="FA316" i="4"/>
  <c r="FC266" i="4"/>
  <c r="AL268" i="4"/>
  <c r="FC269" i="4" s="1"/>
  <c r="AA320" i="4"/>
  <c r="FA320" i="4" s="1"/>
  <c r="AY319" i="4"/>
  <c r="AI260" i="4"/>
  <c r="BD254" i="4"/>
  <c r="FF254" i="4" s="1"/>
  <c r="BB251" i="4"/>
  <c r="BA253" i="4"/>
  <c r="AO253" i="4"/>
  <c r="AP251" i="4"/>
  <c r="AD251" i="4"/>
  <c r="AC253" i="4"/>
  <c r="AR266" i="4"/>
  <c r="AR254" i="4"/>
  <c r="AW253" i="4"/>
  <c r="Y251" i="4"/>
  <c r="Y253" i="4" s="1"/>
  <c r="X253" i="4"/>
  <c r="AF254" i="4"/>
  <c r="AV253" i="4"/>
  <c r="AJ253" i="4"/>
  <c r="AX52" i="4"/>
  <c r="AY51" i="4"/>
  <c r="FE51" i="4" s="1"/>
  <c r="AJ52" i="4"/>
  <c r="AK51" i="4"/>
  <c r="AL51" i="4" s="1"/>
  <c r="AM51" i="4" s="1"/>
  <c r="FF243" i="4"/>
  <c r="BD244" i="4"/>
  <c r="AR244" i="4"/>
  <c r="FD243" i="4"/>
  <c r="FC243" i="4"/>
  <c r="AL244" i="4"/>
  <c r="FC233" i="4"/>
  <c r="EY233" i="4"/>
  <c r="FF233" i="4"/>
  <c r="Y233" i="4"/>
  <c r="FF51" i="4"/>
  <c r="BE52" i="4"/>
  <c r="FF52" i="4" s="1"/>
  <c r="FF38" i="4"/>
  <c r="FC21" i="4"/>
  <c r="AG21" i="4"/>
  <c r="H11" i="4"/>
  <c r="BB250" i="4"/>
  <c r="BB321" i="4" s="1"/>
  <c r="BB322" i="4" s="1"/>
  <c r="FN38" i="4"/>
  <c r="N22" i="5" s="1"/>
  <c r="N233" i="5" s="1"/>
  <c r="FO38" i="4"/>
  <c r="O22" i="5" s="1"/>
  <c r="CN323" i="4" l="1"/>
  <c r="FW227" i="4"/>
  <c r="FX227" i="4" s="1"/>
  <c r="FW338" i="4"/>
  <c r="FX338" i="4" s="1"/>
  <c r="V147" i="5"/>
  <c r="BV323" i="4"/>
  <c r="BV347" i="4" s="1"/>
  <c r="EC174" i="4"/>
  <c r="DM127" i="9"/>
  <c r="DO125" i="9"/>
  <c r="DQ125" i="9" s="1"/>
  <c r="CL27" i="9"/>
  <c r="CR32" i="9" s="1"/>
  <c r="CQ35" i="9"/>
  <c r="CQ30" i="9" s="1"/>
  <c r="CM26" i="9"/>
  <c r="CR36" i="9"/>
  <c r="CR35" i="9" s="1"/>
  <c r="CR30" i="9" s="1"/>
  <c r="DV165" i="4"/>
  <c r="EE177" i="4"/>
  <c r="FS177" i="4" s="1"/>
  <c r="FU177" i="4" s="1"/>
  <c r="FV177" i="4" s="1"/>
  <c r="FW177" i="4" s="1"/>
  <c r="FX177" i="4" s="1"/>
  <c r="AK322" i="4"/>
  <c r="CF323" i="4"/>
  <c r="CF357" i="4" s="1"/>
  <c r="DV164" i="4"/>
  <c r="DV163" i="4"/>
  <c r="DV18" i="4"/>
  <c r="F51" i="5" s="1"/>
  <c r="BM323" i="4"/>
  <c r="CU57" i="4"/>
  <c r="H19" i="4"/>
  <c r="FU229" i="4"/>
  <c r="T94" i="5"/>
  <c r="AV208" i="4"/>
  <c r="AR208" i="4"/>
  <c r="AU208" i="4"/>
  <c r="AS207" i="4"/>
  <c r="AQ208" i="4"/>
  <c r="AL208" i="4"/>
  <c r="AI246" i="4"/>
  <c r="AI268" i="4" s="1"/>
  <c r="AI266" i="4" s="1"/>
  <c r="BB208" i="4"/>
  <c r="BE206" i="4"/>
  <c r="AI208" i="4"/>
  <c r="AW208" i="4"/>
  <c r="AS206" i="4"/>
  <c r="AK208" i="4"/>
  <c r="AM206" i="4"/>
  <c r="AO208" i="4"/>
  <c r="DS18" i="4"/>
  <c r="AP208" i="4"/>
  <c r="AY206" i="4"/>
  <c r="EZ323" i="4"/>
  <c r="EZ347" i="4" s="1"/>
  <c r="CU44" i="4"/>
  <c r="CU58" i="4"/>
  <c r="DG44" i="4"/>
  <c r="H193" i="4"/>
  <c r="I193" i="4" s="1"/>
  <c r="AO295" i="4"/>
  <c r="FU310" i="4"/>
  <c r="FV310" i="4" s="1"/>
  <c r="FW310" i="4" s="1"/>
  <c r="FX310" i="4" s="1"/>
  <c r="H13" i="4"/>
  <c r="H14" i="4" s="1"/>
  <c r="AV295" i="4"/>
  <c r="BB272" i="4"/>
  <c r="O9" i="4"/>
  <c r="EY9" i="4" s="1"/>
  <c r="EC260" i="4"/>
  <c r="EE242" i="4"/>
  <c r="FS242" i="4" s="1"/>
  <c r="BC208" i="4"/>
  <c r="EY347" i="4"/>
  <c r="EY349" i="4" s="1"/>
  <c r="EY357" i="4"/>
  <c r="EX347" i="4"/>
  <c r="EX352" i="4" s="1"/>
  <c r="EX357" i="4"/>
  <c r="EV347" i="4"/>
  <c r="EV352" i="4" s="1"/>
  <c r="EW351" i="4" s="1"/>
  <c r="EV357" i="4"/>
  <c r="EW357" i="4"/>
  <c r="EW347" i="4"/>
  <c r="DK130" i="9"/>
  <c r="DG57" i="4"/>
  <c r="DG58" i="4"/>
  <c r="DK285" i="4"/>
  <c r="DK295" i="4" s="1"/>
  <c r="Q32" i="4"/>
  <c r="Q43" i="4" s="1"/>
  <c r="G32" i="4"/>
  <c r="G39" i="4" s="1"/>
  <c r="DM404" i="9"/>
  <c r="DM407" i="9" s="1"/>
  <c r="CM25" i="9"/>
  <c r="DY243" i="4"/>
  <c r="FR243" i="4" s="1"/>
  <c r="CX191" i="4"/>
  <c r="BD322" i="4"/>
  <c r="DG402" i="9"/>
  <c r="DG404" i="9" s="1"/>
  <c r="DG408" i="9" s="1"/>
  <c r="CU402" i="9"/>
  <c r="CU404" i="9" s="1"/>
  <c r="CU408" i="9" s="1"/>
  <c r="O12" i="5"/>
  <c r="CO57" i="4"/>
  <c r="CO44" i="4"/>
  <c r="G174" i="5"/>
  <c r="G192" i="5"/>
  <c r="G194" i="5"/>
  <c r="CO402" i="9"/>
  <c r="CO404" i="9" s="1"/>
  <c r="CO408" i="9" s="1"/>
  <c r="DA402" i="9"/>
  <c r="DA404" i="9" s="1"/>
  <c r="DA408" i="9" s="1"/>
  <c r="DC404" i="9"/>
  <c r="CR191" i="4"/>
  <c r="DG139" i="4"/>
  <c r="FO138" i="4"/>
  <c r="FO139" i="4" s="1"/>
  <c r="CO58" i="4"/>
  <c r="DA139" i="4"/>
  <c r="FN138" i="4"/>
  <c r="FN139" i="4" s="1"/>
  <c r="DD191" i="4"/>
  <c r="DJ272" i="4"/>
  <c r="FM375" i="4"/>
  <c r="M249" i="5"/>
  <c r="M250" i="5"/>
  <c r="O250" i="5"/>
  <c r="O249" i="5"/>
  <c r="L250" i="5"/>
  <c r="L249" i="5"/>
  <c r="O233" i="5"/>
  <c r="O173" i="5"/>
  <c r="O192" i="5" s="1"/>
  <c r="FO375" i="4"/>
  <c r="L173" i="5"/>
  <c r="L174" i="5" s="1"/>
  <c r="FL375" i="4"/>
  <c r="M173" i="5"/>
  <c r="H174" i="5"/>
  <c r="H192" i="5"/>
  <c r="H194" i="5"/>
  <c r="G19" i="5"/>
  <c r="G234" i="5" s="1"/>
  <c r="G235" i="5" s="1"/>
  <c r="G13" i="5"/>
  <c r="CS347" i="4"/>
  <c r="CS357" i="4"/>
  <c r="H19" i="5"/>
  <c r="H234" i="5" s="1"/>
  <c r="H235" i="5" s="1"/>
  <c r="I19" i="5"/>
  <c r="I234" i="5" s="1"/>
  <c r="I235" i="5" s="1"/>
  <c r="J19" i="5"/>
  <c r="J234" i="5" s="1"/>
  <c r="J235" i="5" s="1"/>
  <c r="CL272" i="4"/>
  <c r="CM191" i="4"/>
  <c r="K19" i="5"/>
  <c r="K234" i="5" s="1"/>
  <c r="K235" i="5" s="1"/>
  <c r="CG347" i="4"/>
  <c r="CG357" i="4"/>
  <c r="CX347" i="4"/>
  <c r="CX357" i="4"/>
  <c r="BO187" i="4"/>
  <c r="BU188" i="4"/>
  <c r="BN187" i="4"/>
  <c r="BN190" i="4" s="1"/>
  <c r="BN191" i="4" s="1"/>
  <c r="BT188" i="4"/>
  <c r="BY188" i="4"/>
  <c r="BY187" i="4" s="1"/>
  <c r="BS187" i="4"/>
  <c r="BM187" i="4"/>
  <c r="BM190" i="4" s="1"/>
  <c r="BM191" i="4" s="1"/>
  <c r="CI57" i="4"/>
  <c r="CI58" i="4"/>
  <c r="CI44" i="4"/>
  <c r="DI285" i="4"/>
  <c r="DI295" i="4" s="1"/>
  <c r="DC290" i="4"/>
  <c r="CW290" i="4"/>
  <c r="CQ290" i="4"/>
  <c r="CM290" i="4"/>
  <c r="CL290" i="4"/>
  <c r="DC321" i="4"/>
  <c r="DC322" i="4" s="1"/>
  <c r="CW321" i="4"/>
  <c r="CW322" i="4" s="1"/>
  <c r="CQ321" i="4"/>
  <c r="CQ322" i="4" s="1"/>
  <c r="CL321" i="4"/>
  <c r="CL322" i="4" s="1"/>
  <c r="Z246" i="4"/>
  <c r="W246" i="4"/>
  <c r="CC329" i="4"/>
  <c r="FJ329" i="4" s="1"/>
  <c r="FJ334" i="4" s="1"/>
  <c r="J144" i="5" s="1"/>
  <c r="J143" i="5" s="1"/>
  <c r="BZ334" i="4"/>
  <c r="FM264" i="4"/>
  <c r="FM266" i="4" s="1"/>
  <c r="M119" i="5" s="1"/>
  <c r="M253" i="5" s="1"/>
  <c r="CU266" i="4"/>
  <c r="BH323" i="4"/>
  <c r="FN264" i="4"/>
  <c r="FN266" i="4" s="1"/>
  <c r="N119" i="5" s="1"/>
  <c r="N253" i="5" s="1"/>
  <c r="DA266" i="4"/>
  <c r="FK264" i="4"/>
  <c r="FK266" i="4" s="1"/>
  <c r="K119" i="5" s="1"/>
  <c r="K253" i="5" s="1"/>
  <c r="CI266" i="4"/>
  <c r="BY323" i="4"/>
  <c r="CK347" i="4"/>
  <c r="FO264" i="4"/>
  <c r="FO266" i="4" s="1"/>
  <c r="O119" i="5" s="1"/>
  <c r="DG266" i="4"/>
  <c r="FL264" i="4"/>
  <c r="FL266" i="4" s="1"/>
  <c r="L119" i="5" s="1"/>
  <c r="L253" i="5" s="1"/>
  <c r="CO266" i="4"/>
  <c r="DM326" i="4"/>
  <c r="FP326" i="4" s="1"/>
  <c r="P141" i="5" s="1"/>
  <c r="DM327" i="4"/>
  <c r="FP327" i="4" s="1"/>
  <c r="DM328" i="4"/>
  <c r="FP328" i="4" s="1"/>
  <c r="G25" i="4"/>
  <c r="Y243" i="4"/>
  <c r="Y242" i="4" s="1"/>
  <c r="Y244" i="4" s="1"/>
  <c r="Y246" i="4" s="1"/>
  <c r="FP242" i="4"/>
  <c r="Q135" i="5"/>
  <c r="DI321" i="4"/>
  <c r="CM321" i="4"/>
  <c r="CM322" i="4" s="1"/>
  <c r="CN321" i="4"/>
  <c r="CN322" i="4" s="1"/>
  <c r="CK233" i="4"/>
  <c r="CK273" i="4"/>
  <c r="Q14" i="4"/>
  <c r="K24" i="4"/>
  <c r="EX21" i="4"/>
  <c r="FE308" i="4"/>
  <c r="AW24" i="4"/>
  <c r="BK253" i="4"/>
  <c r="FG253" i="4" s="1"/>
  <c r="G106" i="5" s="1"/>
  <c r="BJ254" i="4"/>
  <c r="BK254" i="4" s="1"/>
  <c r="BQ253" i="4"/>
  <c r="FH253" i="4" s="1"/>
  <c r="H106" i="5" s="1"/>
  <c r="BP254" i="4"/>
  <c r="CU253" i="4"/>
  <c r="FM253" i="4" s="1"/>
  <c r="M106" i="5" s="1"/>
  <c r="CT254" i="4"/>
  <c r="CI253" i="4"/>
  <c r="FK253" i="4" s="1"/>
  <c r="K106" i="5" s="1"/>
  <c r="CH254" i="4"/>
  <c r="DO260" i="4"/>
  <c r="CC233" i="4"/>
  <c r="FJ232" i="4"/>
  <c r="CO253" i="4"/>
  <c r="FL253" i="4" s="1"/>
  <c r="L106" i="5" s="1"/>
  <c r="CN254" i="4"/>
  <c r="BW253" i="4"/>
  <c r="FI253" i="4" s="1"/>
  <c r="I106" i="5" s="1"/>
  <c r="BV254" i="4"/>
  <c r="CC253" i="4"/>
  <c r="FJ253" i="4" s="1"/>
  <c r="J106" i="5" s="1"/>
  <c r="CB254" i="4"/>
  <c r="DD285" i="4"/>
  <c r="DD295" i="4" s="1"/>
  <c r="CW254" i="4"/>
  <c r="CW273" i="4" s="1"/>
  <c r="CX285" i="4"/>
  <c r="CX295" i="4" s="1"/>
  <c r="CL254" i="4"/>
  <c r="CL273" i="4" s="1"/>
  <c r="CQ254" i="4"/>
  <c r="CQ273" i="4" s="1"/>
  <c r="CR285" i="4"/>
  <c r="CR295" i="4" s="1"/>
  <c r="DM256" i="4"/>
  <c r="CZ254" i="4"/>
  <c r="DA251" i="4"/>
  <c r="FN251" i="4" s="1"/>
  <c r="BC246" i="4"/>
  <c r="BC268" i="4" s="1"/>
  <c r="BC266" i="4" s="1"/>
  <c r="BE9" i="4"/>
  <c r="FF9" i="4" s="1"/>
  <c r="FF13" i="4" s="1"/>
  <c r="BQ139" i="4"/>
  <c r="BP233" i="4"/>
  <c r="BQ232" i="4"/>
  <c r="BW232" i="4"/>
  <c r="BV233" i="4"/>
  <c r="BV246" i="4" s="1"/>
  <c r="AU24" i="4"/>
  <c r="AK24" i="4"/>
  <c r="U9" i="4"/>
  <c r="EZ9" i="4" s="1"/>
  <c r="EZ13" i="4" s="1"/>
  <c r="E24" i="4"/>
  <c r="AA9" i="4"/>
  <c r="AA13" i="4" s="1"/>
  <c r="AA14" i="4" s="1"/>
  <c r="AM320" i="4"/>
  <c r="FC320" i="4" s="1"/>
  <c r="AI322" i="4"/>
  <c r="FC339" i="4"/>
  <c r="CF246" i="4"/>
  <c r="N13" i="4"/>
  <c r="N14" i="4" s="1"/>
  <c r="AG9" i="4"/>
  <c r="FB9" i="4" s="1"/>
  <c r="AS321" i="4"/>
  <c r="FD321" i="4" s="1"/>
  <c r="AX24" i="4"/>
  <c r="AJ322" i="4"/>
  <c r="AY9" i="4"/>
  <c r="FE9" i="4" s="1"/>
  <c r="FE13" i="4" s="1"/>
  <c r="AF14" i="4"/>
  <c r="W24" i="4"/>
  <c r="FB21" i="4"/>
  <c r="O352" i="4"/>
  <c r="EX270" i="4"/>
  <c r="AF25" i="4"/>
  <c r="AF32" i="4"/>
  <c r="AF33" i="4" s="1"/>
  <c r="Y24" i="4"/>
  <c r="BB24" i="4"/>
  <c r="AP24" i="4"/>
  <c r="BB246" i="4"/>
  <c r="BB268" i="4" s="1"/>
  <c r="BB266" i="4" s="1"/>
  <c r="FA270" i="4"/>
  <c r="AD24" i="4"/>
  <c r="AS322" i="4"/>
  <c r="FD322" i="4" s="1"/>
  <c r="FC268" i="4"/>
  <c r="FC270" i="4" s="1"/>
  <c r="N321" i="4"/>
  <c r="CC139" i="4"/>
  <c r="AS9" i="4"/>
  <c r="R24" i="4"/>
  <c r="M24" i="4"/>
  <c r="X246" i="4"/>
  <c r="FO41" i="4"/>
  <c r="O23" i="5" s="1"/>
  <c r="BT179" i="4"/>
  <c r="BT170" i="4"/>
  <c r="BT163" i="4"/>
  <c r="BP199" i="4"/>
  <c r="Q25" i="4"/>
  <c r="Z13" i="4"/>
  <c r="Z289" i="4"/>
  <c r="Z293" i="4"/>
  <c r="Y294" i="4"/>
  <c r="Z295" i="4"/>
  <c r="AM9" i="4"/>
  <c r="AL294" i="4"/>
  <c r="AL295" i="4"/>
  <c r="AL289" i="4"/>
  <c r="AL293" i="4"/>
  <c r="CY170" i="4"/>
  <c r="CY179" i="4"/>
  <c r="CY163" i="4"/>
  <c r="AI24" i="4"/>
  <c r="BC248" i="4"/>
  <c r="BC190" i="4"/>
  <c r="FF308" i="4"/>
  <c r="BM170" i="4"/>
  <c r="BM179" i="4"/>
  <c r="BM163" i="4"/>
  <c r="BP170" i="4"/>
  <c r="BP179" i="4"/>
  <c r="BP163" i="4"/>
  <c r="CI139" i="4"/>
  <c r="CN179" i="4"/>
  <c r="CN170" i="4"/>
  <c r="CN163" i="4"/>
  <c r="BJ190" i="4"/>
  <c r="BJ191" i="4" s="1"/>
  <c r="BV170" i="4"/>
  <c r="BV179" i="4"/>
  <c r="BV163" i="4"/>
  <c r="CX179" i="4"/>
  <c r="CX170" i="4"/>
  <c r="CX163" i="4"/>
  <c r="BD24" i="4"/>
  <c r="AE13" i="4"/>
  <c r="AE14" i="4" s="1"/>
  <c r="AE289" i="4"/>
  <c r="AE293" i="4"/>
  <c r="AD294" i="4"/>
  <c r="AQ13" i="4"/>
  <c r="AQ293" i="4"/>
  <c r="AQ294" i="4"/>
  <c r="AQ289" i="4"/>
  <c r="BS170" i="4"/>
  <c r="BS179" i="4"/>
  <c r="BS163" i="4"/>
  <c r="CB179" i="4"/>
  <c r="CB170" i="4"/>
  <c r="CB163" i="4"/>
  <c r="CA179" i="4"/>
  <c r="CA170" i="4"/>
  <c r="CA163" i="4"/>
  <c r="T13" i="4"/>
  <c r="T289" i="4"/>
  <c r="T295" i="4"/>
  <c r="S294" i="4"/>
  <c r="T293" i="4"/>
  <c r="AJ13" i="4"/>
  <c r="AJ24" i="4" s="1"/>
  <c r="AJ293" i="4"/>
  <c r="N289" i="4"/>
  <c r="N293" i="4"/>
  <c r="M294" i="4"/>
  <c r="N295" i="4"/>
  <c r="BB187" i="4"/>
  <c r="BB191" i="4"/>
  <c r="AJ295" i="4"/>
  <c r="CU246" i="4"/>
  <c r="AM321" i="4"/>
  <c r="CF170" i="4"/>
  <c r="CF179" i="4"/>
  <c r="CF163" i="4"/>
  <c r="BY179" i="4"/>
  <c r="BY170" i="4"/>
  <c r="BY163" i="4"/>
  <c r="S13" i="4"/>
  <c r="S289" i="4"/>
  <c r="S293" i="4"/>
  <c r="R294" i="4"/>
  <c r="AO13" i="4"/>
  <c r="AO294" i="4"/>
  <c r="AO289" i="4"/>
  <c r="AO293" i="4"/>
  <c r="X13" i="4"/>
  <c r="X293" i="4"/>
  <c r="W294" i="4"/>
  <c r="X289" i="4"/>
  <c r="AV13" i="4"/>
  <c r="AV24" i="4" s="1"/>
  <c r="AV289" i="4"/>
  <c r="AV293" i="4"/>
  <c r="AV294" i="4"/>
  <c r="AJ294" i="4"/>
  <c r="DG190" i="4"/>
  <c r="BJ72" i="4"/>
  <c r="BJ170" i="4"/>
  <c r="BJ179" i="4"/>
  <c r="BJ163" i="4"/>
  <c r="CK170" i="4"/>
  <c r="CK179" i="4"/>
  <c r="CK163" i="4"/>
  <c r="AC13" i="4"/>
  <c r="AC289" i="4"/>
  <c r="AC293" i="4"/>
  <c r="Z294" i="4"/>
  <c r="X295" i="4"/>
  <c r="AA322" i="4"/>
  <c r="FA322" i="4" s="1"/>
  <c r="AJ289" i="4"/>
  <c r="DA190" i="4"/>
  <c r="AC295" i="4"/>
  <c r="T322" i="4"/>
  <c r="CH179" i="4"/>
  <c r="CH170" i="4"/>
  <c r="CH163" i="4"/>
  <c r="AQ295" i="4"/>
  <c r="AE295" i="4"/>
  <c r="L322" i="4"/>
  <c r="N322" i="4" s="1"/>
  <c r="AA321" i="4"/>
  <c r="FA321" i="4" s="1"/>
  <c r="EY268" i="4"/>
  <c r="EY270" i="4" s="1"/>
  <c r="AL13" i="4"/>
  <c r="AL14" i="4" s="1"/>
  <c r="I13" i="4"/>
  <c r="I14" i="4" s="1"/>
  <c r="BE20" i="4"/>
  <c r="FF20" i="4" s="1"/>
  <c r="FF21" i="4" s="1"/>
  <c r="FN52" i="4"/>
  <c r="N251" i="5" s="1"/>
  <c r="FN50" i="4"/>
  <c r="FK50" i="4"/>
  <c r="FL30" i="4"/>
  <c r="DD246" i="4"/>
  <c r="CY246" i="4"/>
  <c r="FO11" i="4"/>
  <c r="FK41" i="4"/>
  <c r="K23" i="5" s="1"/>
  <c r="FL20" i="4"/>
  <c r="L14" i="5" s="1"/>
  <c r="BH273" i="4"/>
  <c r="FH11" i="4"/>
  <c r="FM52" i="4"/>
  <c r="M251" i="5" s="1"/>
  <c r="FJ11" i="4"/>
  <c r="DI246" i="4"/>
  <c r="FA273" i="4"/>
  <c r="EZ21" i="4"/>
  <c r="EX273" i="4"/>
  <c r="FN11" i="4"/>
  <c r="FI11" i="4"/>
  <c r="EZ273" i="4"/>
  <c r="EZ268" i="4"/>
  <c r="EZ270" i="4" s="1"/>
  <c r="CF266" i="4"/>
  <c r="CW266" i="4"/>
  <c r="FK11" i="4"/>
  <c r="AJ246" i="4"/>
  <c r="AJ268" i="4" s="1"/>
  <c r="AJ266" i="4" s="1"/>
  <c r="AJ273" i="4"/>
  <c r="AX273" i="4"/>
  <c r="AX246" i="4"/>
  <c r="AX268" i="4" s="1"/>
  <c r="N21" i="4"/>
  <c r="AF266" i="4"/>
  <c r="FB266" i="4" s="1"/>
  <c r="U352" i="4"/>
  <c r="EY21" i="4"/>
  <c r="DE246" i="4"/>
  <c r="CR246" i="4"/>
  <c r="CZ246" i="4"/>
  <c r="CQ246" i="4"/>
  <c r="CW246" i="4"/>
  <c r="CX246" i="4"/>
  <c r="CS246" i="4"/>
  <c r="DF246" i="4"/>
  <c r="DG246" i="4"/>
  <c r="T321" i="4"/>
  <c r="BH246" i="4"/>
  <c r="FL51" i="4"/>
  <c r="AW322" i="4"/>
  <c r="AY322" i="4" s="1"/>
  <c r="FE322" i="4" s="1"/>
  <c r="AY321" i="4"/>
  <c r="FE321" i="4" s="1"/>
  <c r="FM11" i="4"/>
  <c r="FL11" i="4"/>
  <c r="FL18" i="4"/>
  <c r="L13" i="5" s="1"/>
  <c r="FJ18" i="4"/>
  <c r="DJ246" i="4"/>
  <c r="BC32" i="4"/>
  <c r="BC25" i="4"/>
  <c r="F24" i="4"/>
  <c r="DC246" i="4"/>
  <c r="EX13" i="4"/>
  <c r="FH18" i="4"/>
  <c r="L14" i="4"/>
  <c r="L24" i="4"/>
  <c r="BA25" i="4"/>
  <c r="BA32" i="4"/>
  <c r="AR24" i="4"/>
  <c r="DI21" i="4"/>
  <c r="CL246" i="4"/>
  <c r="BZ246" i="4"/>
  <c r="BT246" i="4"/>
  <c r="BN246" i="4"/>
  <c r="FK18" i="4"/>
  <c r="FI52" i="4"/>
  <c r="I251" i="5" s="1"/>
  <c r="FI50" i="4"/>
  <c r="CT246" i="4"/>
  <c r="AL246" i="4"/>
  <c r="AL273" i="4"/>
  <c r="BD246" i="4"/>
  <c r="BD268" i="4" s="1"/>
  <c r="BD273" i="4"/>
  <c r="FC51" i="4"/>
  <c r="AM52" i="4"/>
  <c r="FC52" i="4" s="1"/>
  <c r="AP253" i="4"/>
  <c r="AQ251" i="4"/>
  <c r="AQ253" i="4" s="1"/>
  <c r="FA343" i="4"/>
  <c r="FK38" i="4"/>
  <c r="K22" i="5" s="1"/>
  <c r="K233" i="5" s="1"/>
  <c r="FE273" i="4"/>
  <c r="FC273" i="4"/>
  <c r="FF273" i="4"/>
  <c r="FG38" i="4"/>
  <c r="G22" i="5" s="1"/>
  <c r="G233" i="5" s="1"/>
  <c r="FB339" i="4"/>
  <c r="FJ38" i="4"/>
  <c r="J22" i="5" s="1"/>
  <c r="J233" i="5" s="1"/>
  <c r="FO52" i="4"/>
  <c r="O251" i="5" s="1"/>
  <c r="BM246" i="4"/>
  <c r="BY246" i="4"/>
  <c r="FB254" i="4"/>
  <c r="AF273" i="4"/>
  <c r="AF322" i="4"/>
  <c r="AF321" i="4" s="1"/>
  <c r="FD266" i="4"/>
  <c r="AR268" i="4"/>
  <c r="FD269" i="4" s="1"/>
  <c r="FD308" i="4"/>
  <c r="FH38" i="4"/>
  <c r="H22" i="5" s="1"/>
  <c r="H233" i="5" s="1"/>
  <c r="DA246" i="4"/>
  <c r="AR246" i="4"/>
  <c r="AR273" i="4"/>
  <c r="FD254" i="4"/>
  <c r="AD253" i="4"/>
  <c r="AE251" i="4"/>
  <c r="AE253" i="4" s="1"/>
  <c r="BB253" i="4"/>
  <c r="BC251" i="4"/>
  <c r="FE319" i="4"/>
  <c r="FH19" i="4"/>
  <c r="H12" i="5" s="1"/>
  <c r="FI38" i="4"/>
  <c r="I22" i="5" s="1"/>
  <c r="I233" i="5" s="1"/>
  <c r="FJ50" i="4"/>
  <c r="FJ52" i="4"/>
  <c r="J251" i="5" s="1"/>
  <c r="BC321" i="4"/>
  <c r="BC322" i="4" s="1"/>
  <c r="FF339" i="4"/>
  <c r="BG246" i="4"/>
  <c r="BG273" i="4"/>
  <c r="BS246" i="4"/>
  <c r="BV357" i="4" l="1"/>
  <c r="CM27" i="9"/>
  <c r="CS32" i="9" s="1"/>
  <c r="CF347" i="4"/>
  <c r="CN26" i="9"/>
  <c r="CS36" i="9"/>
  <c r="CS35" i="9" s="1"/>
  <c r="CS30" i="9" s="1"/>
  <c r="FV229" i="4"/>
  <c r="U94" i="5"/>
  <c r="EG260" i="4"/>
  <c r="H21" i="4"/>
  <c r="H24" i="4" s="1"/>
  <c r="BJ323" i="4"/>
  <c r="BJ357" i="4" s="1"/>
  <c r="FQ18" i="4"/>
  <c r="Q33" i="4"/>
  <c r="AS208" i="4"/>
  <c r="O13" i="4"/>
  <c r="O14" i="4" s="1"/>
  <c r="DK321" i="4"/>
  <c r="DK322" i="4" s="1"/>
  <c r="EZ357" i="4"/>
  <c r="DS328" i="4"/>
  <c r="FQ328" i="4" s="1"/>
  <c r="DS327" i="4"/>
  <c r="FQ327" i="4" s="1"/>
  <c r="DS326" i="4"/>
  <c r="FQ326" i="4" s="1"/>
  <c r="Q39" i="4"/>
  <c r="EE314" i="4"/>
  <c r="AX208" i="4"/>
  <c r="AJ208" i="4"/>
  <c r="ED260" i="4"/>
  <c r="EE256" i="4"/>
  <c r="BE207" i="4"/>
  <c r="BE208" i="4" s="1"/>
  <c r="BA208" i="4"/>
  <c r="DM129" i="9"/>
  <c r="DM130" i="9" s="1"/>
  <c r="DL130" i="9"/>
  <c r="DO127" i="9"/>
  <c r="DM408" i="9"/>
  <c r="AK25" i="4"/>
  <c r="BD25" i="4"/>
  <c r="AP25" i="4"/>
  <c r="BB32" i="4"/>
  <c r="BB39" i="4" s="1"/>
  <c r="AU25" i="4"/>
  <c r="K32" i="4"/>
  <c r="K39" i="4" s="1"/>
  <c r="G43" i="4"/>
  <c r="G58" i="4" s="1"/>
  <c r="W25" i="4"/>
  <c r="AI25" i="4"/>
  <c r="AD32" i="4"/>
  <c r="AD43" i="4" s="1"/>
  <c r="Y25" i="4"/>
  <c r="E32" i="4"/>
  <c r="E39" i="4" s="1"/>
  <c r="AW25" i="4"/>
  <c r="DK272" i="4"/>
  <c r="G33" i="4"/>
  <c r="CN25" i="9"/>
  <c r="P165" i="5"/>
  <c r="BE321" i="4"/>
  <c r="BE322" i="4"/>
  <c r="FF322" i="4" s="1"/>
  <c r="G187" i="5"/>
  <c r="G176" i="5"/>
  <c r="G186" i="5" s="1"/>
  <c r="FK375" i="4"/>
  <c r="K250" i="5"/>
  <c r="K249" i="5"/>
  <c r="FI375" i="4"/>
  <c r="I249" i="5"/>
  <c r="I250" i="5"/>
  <c r="FJ375" i="4"/>
  <c r="J250" i="5"/>
  <c r="J249" i="5"/>
  <c r="FN375" i="4"/>
  <c r="N250" i="5"/>
  <c r="N249" i="5"/>
  <c r="O194" i="5"/>
  <c r="O312" i="5" s="1"/>
  <c r="O253" i="5"/>
  <c r="L194" i="5"/>
  <c r="L312" i="5" s="1"/>
  <c r="L192" i="5"/>
  <c r="O174" i="5"/>
  <c r="O187" i="5" s="1"/>
  <c r="P139" i="5"/>
  <c r="H9" i="5"/>
  <c r="FH290" i="4"/>
  <c r="FH288" i="4"/>
  <c r="L9" i="5"/>
  <c r="L304" i="5" s="1"/>
  <c r="FL288" i="4"/>
  <c r="FL290" i="4"/>
  <c r="K9" i="5"/>
  <c r="K304" i="5" s="1"/>
  <c r="FK288" i="4"/>
  <c r="FK290" i="4"/>
  <c r="M9" i="5"/>
  <c r="M304" i="5" s="1"/>
  <c r="FM288" i="4"/>
  <c r="FM290" i="4"/>
  <c r="O9" i="5"/>
  <c r="O304" i="5" s="1"/>
  <c r="FO288" i="4"/>
  <c r="FO290" i="4"/>
  <c r="DA191" i="4"/>
  <c r="FN190" i="4"/>
  <c r="I9" i="5"/>
  <c r="FI290" i="4"/>
  <c r="FI288" i="4"/>
  <c r="N9" i="5"/>
  <c r="N304" i="5" s="1"/>
  <c r="FN288" i="4"/>
  <c r="FN290" i="4"/>
  <c r="J9" i="5"/>
  <c r="FJ288" i="4"/>
  <c r="FJ290" i="4"/>
  <c r="DG191" i="4"/>
  <c r="FO190" i="4"/>
  <c r="N173" i="5"/>
  <c r="N194" i="5" s="1"/>
  <c r="N312" i="5" s="1"/>
  <c r="H176" i="5"/>
  <c r="H187" i="5"/>
  <c r="I173" i="5"/>
  <c r="M192" i="5"/>
  <c r="M174" i="5"/>
  <c r="M194" i="5"/>
  <c r="M312" i="5" s="1"/>
  <c r="J173" i="5"/>
  <c r="K173" i="5"/>
  <c r="L176" i="5"/>
  <c r="L187" i="5"/>
  <c r="FH254" i="4"/>
  <c r="FH273" i="4" s="1"/>
  <c r="H107" i="5"/>
  <c r="H116" i="5" s="1"/>
  <c r="CO407" i="9"/>
  <c r="FJ254" i="4"/>
  <c r="FJ273" i="4" s="1"/>
  <c r="J107" i="5"/>
  <c r="J116" i="5" s="1"/>
  <c r="DG407" i="9"/>
  <c r="FK254" i="4"/>
  <c r="FK273" i="4" s="1"/>
  <c r="K107" i="5"/>
  <c r="K116" i="5" s="1"/>
  <c r="K118" i="5" s="1"/>
  <c r="FG254" i="4"/>
  <c r="FG273" i="4" s="1"/>
  <c r="G107" i="5"/>
  <c r="G116" i="5" s="1"/>
  <c r="G118" i="5" s="1"/>
  <c r="G180" i="5" s="1"/>
  <c r="FI254" i="4"/>
  <c r="FI273" i="4" s="1"/>
  <c r="I107" i="5"/>
  <c r="I116" i="5" s="1"/>
  <c r="DA407" i="9"/>
  <c r="FM254" i="4"/>
  <c r="FM273" i="4" s="1"/>
  <c r="M107" i="5"/>
  <c r="M116" i="5" s="1"/>
  <c r="M118" i="5" s="1"/>
  <c r="FL254" i="4"/>
  <c r="FL273" i="4" s="1"/>
  <c r="L107" i="5"/>
  <c r="L116" i="5" s="1"/>
  <c r="L118" i="5" s="1"/>
  <c r="L180" i="5" s="1"/>
  <c r="FN254" i="4"/>
  <c r="FN273" i="4" s="1"/>
  <c r="N105" i="5"/>
  <c r="N107" i="5" s="1"/>
  <c r="N116" i="5" s="1"/>
  <c r="N118" i="5" s="1"/>
  <c r="CU407" i="9"/>
  <c r="FJ233" i="4"/>
  <c r="FJ246" i="4" s="1"/>
  <c r="J97" i="5"/>
  <c r="J98" i="5" s="1"/>
  <c r="J100" i="5" s="1"/>
  <c r="L19" i="5"/>
  <c r="L234" i="5" s="1"/>
  <c r="L235" i="5" s="1"/>
  <c r="BY347" i="4"/>
  <c r="BY357" i="4"/>
  <c r="BH347" i="4"/>
  <c r="BH357" i="4"/>
  <c r="CR272" i="4"/>
  <c r="CS191" i="4"/>
  <c r="CM272" i="4"/>
  <c r="CN191" i="4"/>
  <c r="CN347" i="4"/>
  <c r="CN357" i="4"/>
  <c r="H13" i="5"/>
  <c r="J13" i="5"/>
  <c r="CX272" i="4"/>
  <c r="CY191" i="4"/>
  <c r="K13" i="5"/>
  <c r="BM347" i="4"/>
  <c r="BM357" i="4"/>
  <c r="DD272" i="4"/>
  <c r="DE191" i="4"/>
  <c r="CA188" i="4"/>
  <c r="CA187" i="4" s="1"/>
  <c r="BU187" i="4"/>
  <c r="BU191" i="4" s="1"/>
  <c r="BS191" i="4"/>
  <c r="BZ188" i="4"/>
  <c r="BZ187" i="4" s="1"/>
  <c r="BT187" i="4"/>
  <c r="BP187" i="4"/>
  <c r="BP188" i="4" s="1"/>
  <c r="BV188" i="4" s="1"/>
  <c r="DI290" i="4"/>
  <c r="DJ285" i="4"/>
  <c r="DJ295" i="4" s="1"/>
  <c r="DD290" i="4"/>
  <c r="CX290" i="4"/>
  <c r="CR290" i="4"/>
  <c r="DD321" i="4"/>
  <c r="DD322" i="4" s="1"/>
  <c r="CX321" i="4"/>
  <c r="CX322" i="4" s="1"/>
  <c r="CR321" i="4"/>
  <c r="CR322" i="4" s="1"/>
  <c r="Y32" i="4"/>
  <c r="Y33" i="4" s="1"/>
  <c r="DI322" i="4"/>
  <c r="AW32" i="4"/>
  <c r="AW39" i="4" s="1"/>
  <c r="BE316" i="4"/>
  <c r="CH323" i="4"/>
  <c r="BE13" i="4"/>
  <c r="BE14" i="4" s="1"/>
  <c r="BU323" i="4"/>
  <c r="CC334" i="4"/>
  <c r="CI306" i="4"/>
  <c r="CE323" i="4"/>
  <c r="AY316" i="4"/>
  <c r="EW352" i="4"/>
  <c r="FB13" i="4"/>
  <c r="AP32" i="4"/>
  <c r="AP39" i="4" s="1"/>
  <c r="AD25" i="4"/>
  <c r="CO322" i="4"/>
  <c r="AG13" i="4"/>
  <c r="AG14" i="4" s="1"/>
  <c r="CO321" i="4"/>
  <c r="FL321" i="4" s="1"/>
  <c r="E25" i="4"/>
  <c r="DJ321" i="4"/>
  <c r="I24" i="4"/>
  <c r="I32" i="4" s="1"/>
  <c r="CC254" i="4"/>
  <c r="CC273" i="4" s="1"/>
  <c r="CB273" i="4"/>
  <c r="K25" i="4"/>
  <c r="BW254" i="4"/>
  <c r="BW273" i="4" s="1"/>
  <c r="BV273" i="4"/>
  <c r="BQ254" i="4"/>
  <c r="BP273" i="4"/>
  <c r="CO254" i="4"/>
  <c r="CO273" i="4" s="1"/>
  <c r="CN273" i="4"/>
  <c r="CI254" i="4"/>
  <c r="CI273" i="4" s="1"/>
  <c r="CH273" i="4"/>
  <c r="DA254" i="4"/>
  <c r="DA273" i="4" s="1"/>
  <c r="CZ273" i="4"/>
  <c r="CU254" i="4"/>
  <c r="CU273" i="4" s="1"/>
  <c r="CT273" i="4"/>
  <c r="BK268" i="4"/>
  <c r="BK273" i="4"/>
  <c r="CM254" i="4"/>
  <c r="CM273" i="4" s="1"/>
  <c r="DC266" i="4"/>
  <c r="DF191" i="4"/>
  <c r="BW233" i="4"/>
  <c r="BW246" i="4" s="1"/>
  <c r="FI232" i="4"/>
  <c r="BQ233" i="4"/>
  <c r="BQ246" i="4" s="1"/>
  <c r="FH232" i="4"/>
  <c r="DM260" i="4"/>
  <c r="FP256" i="4"/>
  <c r="CY323" i="4"/>
  <c r="DE285" i="4"/>
  <c r="DE295" i="4" s="1"/>
  <c r="CX254" i="4"/>
  <c r="CX273" i="4" s="1"/>
  <c r="CY285" i="4"/>
  <c r="CY295" i="4" s="1"/>
  <c r="CS285" i="4"/>
  <c r="CS295" i="4" s="1"/>
  <c r="CR254" i="4"/>
  <c r="CR273" i="4" s="1"/>
  <c r="DC254" i="4"/>
  <c r="DC273" i="4" s="1"/>
  <c r="BC253" i="4"/>
  <c r="AU32" i="4"/>
  <c r="AU33" i="4" s="1"/>
  <c r="U13" i="4"/>
  <c r="U14" i="4" s="1"/>
  <c r="W32" i="4"/>
  <c r="W39" i="4" s="1"/>
  <c r="BE21" i="4"/>
  <c r="N24" i="4"/>
  <c r="AK32" i="4"/>
  <c r="AK33" i="4" s="1"/>
  <c r="N318" i="4"/>
  <c r="AY13" i="4"/>
  <c r="AJ14" i="4"/>
  <c r="FL21" i="4"/>
  <c r="T318" i="4"/>
  <c r="AA24" i="4"/>
  <c r="AA32" i="4" s="1"/>
  <c r="AA318" i="4"/>
  <c r="FA318" i="4" s="1"/>
  <c r="AE24" i="4"/>
  <c r="FA9" i="4"/>
  <c r="BB25" i="4"/>
  <c r="AL24" i="4"/>
  <c r="AX25" i="4"/>
  <c r="AX32" i="4"/>
  <c r="CE246" i="4"/>
  <c r="AV14" i="4"/>
  <c r="AF39" i="4"/>
  <c r="AF43" i="4"/>
  <c r="AF44" i="4" s="1"/>
  <c r="AY318" i="4"/>
  <c r="FE318" i="4" s="1"/>
  <c r="BD32" i="4"/>
  <c r="BD43" i="4" s="1"/>
  <c r="BD306" i="4" s="1"/>
  <c r="BD323" i="4" s="1"/>
  <c r="M25" i="4"/>
  <c r="M32" i="4"/>
  <c r="R32" i="4"/>
  <c r="R25" i="4"/>
  <c r="AS13" i="4"/>
  <c r="FD9" i="4"/>
  <c r="FD268" i="4"/>
  <c r="FD270" i="4" s="1"/>
  <c r="AS318" i="4"/>
  <c r="FD318" i="4" s="1"/>
  <c r="FK52" i="4"/>
  <c r="K251" i="5" s="1"/>
  <c r="S14" i="4"/>
  <c r="S24" i="4"/>
  <c r="CK191" i="4"/>
  <c r="AM13" i="4"/>
  <c r="FC9" i="4"/>
  <c r="BW179" i="4"/>
  <c r="BW163" i="4"/>
  <c r="BW170" i="4"/>
  <c r="DG179" i="4"/>
  <c r="BZ179" i="4"/>
  <c r="BZ163" i="4"/>
  <c r="BZ170" i="4"/>
  <c r="BO163" i="4"/>
  <c r="BO179" i="4"/>
  <c r="BO170" i="4"/>
  <c r="CL179" i="4"/>
  <c r="CL170" i="4"/>
  <c r="CL163" i="4"/>
  <c r="DF163" i="4"/>
  <c r="DF179" i="4"/>
  <c r="CW179" i="4"/>
  <c r="CW170" i="4"/>
  <c r="CW163" i="4"/>
  <c r="DC163" i="4"/>
  <c r="DC179" i="4"/>
  <c r="CE170" i="4"/>
  <c r="CE179" i="4"/>
  <c r="CE163" i="4"/>
  <c r="FC321" i="4"/>
  <c r="AM322" i="4"/>
  <c r="FC322" i="4" s="1"/>
  <c r="CR179" i="4"/>
  <c r="CR163" i="4"/>
  <c r="CR170" i="4"/>
  <c r="DD179" i="4"/>
  <c r="DD163" i="4"/>
  <c r="X14" i="4"/>
  <c r="X24" i="4"/>
  <c r="BB188" i="4"/>
  <c r="AQ14" i="4"/>
  <c r="AQ24" i="4"/>
  <c r="CK199" i="4"/>
  <c r="CM170" i="4"/>
  <c r="CM179" i="4"/>
  <c r="CM163" i="4"/>
  <c r="CT170" i="4"/>
  <c r="CT179" i="4"/>
  <c r="CT163" i="4"/>
  <c r="DE179" i="4"/>
  <c r="DE163" i="4"/>
  <c r="CG170" i="4"/>
  <c r="CG179" i="4"/>
  <c r="CG163" i="4"/>
  <c r="BI72" i="4"/>
  <c r="BI70" i="4" s="1"/>
  <c r="BI74" i="4" s="1"/>
  <c r="BI75" i="4" s="1"/>
  <c r="BI179" i="4"/>
  <c r="BI170" i="4"/>
  <c r="BI163" i="4"/>
  <c r="AI32" i="4"/>
  <c r="AI33" i="4" s="1"/>
  <c r="BJ70" i="4"/>
  <c r="DI13" i="4"/>
  <c r="BH170" i="4"/>
  <c r="BH179" i="4"/>
  <c r="CS170" i="4"/>
  <c r="CS179" i="4"/>
  <c r="CS163" i="4"/>
  <c r="EX348" i="4"/>
  <c r="EX349" i="4" s="1"/>
  <c r="I352" i="4"/>
  <c r="AO14" i="4"/>
  <c r="AO24" i="4"/>
  <c r="T14" i="4"/>
  <c r="T24" i="4"/>
  <c r="BO190" i="4"/>
  <c r="BO191" i="4" s="1"/>
  <c r="BU179" i="4"/>
  <c r="BU170" i="4"/>
  <c r="BU163" i="4"/>
  <c r="DJ13" i="4"/>
  <c r="CQ179" i="4"/>
  <c r="CQ170" i="4"/>
  <c r="CQ163" i="4"/>
  <c r="CZ170" i="4"/>
  <c r="CZ179" i="4"/>
  <c r="CZ163" i="4"/>
  <c r="CN199" i="4"/>
  <c r="BG179" i="4"/>
  <c r="BG170" i="4"/>
  <c r="BC187" i="4"/>
  <c r="BC188" i="4" s="1"/>
  <c r="BC191" i="4"/>
  <c r="Z24" i="4"/>
  <c r="Z14" i="4"/>
  <c r="CQ191" i="4"/>
  <c r="BN179" i="4"/>
  <c r="BN170" i="4"/>
  <c r="BN163" i="4"/>
  <c r="AC14" i="4"/>
  <c r="AC24" i="4"/>
  <c r="BC272" i="4"/>
  <c r="BD190" i="4"/>
  <c r="FH21" i="4"/>
  <c r="FM18" i="4"/>
  <c r="FO18" i="4"/>
  <c r="FN18" i="4"/>
  <c r="FP41" i="4"/>
  <c r="P23" i="5" s="1"/>
  <c r="BT199" i="4"/>
  <c r="EZ14" i="4"/>
  <c r="FL52" i="4"/>
  <c r="L251" i="5" s="1"/>
  <c r="CA246" i="4"/>
  <c r="CK246" i="4"/>
  <c r="CG246" i="4"/>
  <c r="BI273" i="4"/>
  <c r="CM246" i="4"/>
  <c r="BU246" i="4"/>
  <c r="BO246" i="4"/>
  <c r="CC246" i="4"/>
  <c r="FE316" i="4"/>
  <c r="EZ24" i="4"/>
  <c r="FF14" i="4"/>
  <c r="CG266" i="4"/>
  <c r="AX266" i="4"/>
  <c r="FE269" i="4"/>
  <c r="EY352" i="4"/>
  <c r="AV32" i="4"/>
  <c r="AV25" i="4"/>
  <c r="CX266" i="4"/>
  <c r="DD323" i="4"/>
  <c r="FF316" i="4"/>
  <c r="FD316" i="4"/>
  <c r="FF24" i="4"/>
  <c r="AJ25" i="4"/>
  <c r="AJ32" i="4"/>
  <c r="BI246" i="4"/>
  <c r="FE24" i="4"/>
  <c r="EX24" i="4"/>
  <c r="Q57" i="4"/>
  <c r="Q44" i="4"/>
  <c r="Q306" i="4"/>
  <c r="Q323" i="4" s="1"/>
  <c r="Q265" i="4"/>
  <c r="Q264" i="4" s="1"/>
  <c r="FE14" i="4"/>
  <c r="EX14" i="4"/>
  <c r="BM199" i="4"/>
  <c r="FI18" i="4"/>
  <c r="I13" i="5" s="1"/>
  <c r="CH246" i="4"/>
  <c r="FI9" i="4"/>
  <c r="BA33" i="4"/>
  <c r="BA43" i="4"/>
  <c r="BA306" i="4" s="1"/>
  <c r="BA323" i="4" s="1"/>
  <c r="BA39" i="4"/>
  <c r="EY13" i="4"/>
  <c r="BC39" i="4"/>
  <c r="BC33" i="4"/>
  <c r="BC43" i="4"/>
  <c r="BC306" i="4" s="1"/>
  <c r="BC323" i="4" s="1"/>
  <c r="BJ246" i="4"/>
  <c r="L32" i="4"/>
  <c r="L25" i="4"/>
  <c r="F25" i="4"/>
  <c r="F32" i="4"/>
  <c r="AR25" i="4"/>
  <c r="AR32" i="4"/>
  <c r="BP246" i="4"/>
  <c r="BP268" i="4"/>
  <c r="FJ19" i="4"/>
  <c r="FG19" i="4"/>
  <c r="CN246" i="4"/>
  <c r="CB246" i="4"/>
  <c r="CA199" i="4"/>
  <c r="BD266" i="4"/>
  <c r="FF266" i="4" s="1"/>
  <c r="FF268" i="4" s="1"/>
  <c r="FF269" i="4"/>
  <c r="FG11" i="4"/>
  <c r="FD273" i="4"/>
  <c r="BV199" i="4"/>
  <c r="CF199" i="4"/>
  <c r="AM30" i="4"/>
  <c r="BJ199" i="4"/>
  <c r="FB268" i="4"/>
  <c r="FB270" i="4" s="1"/>
  <c r="FB273" i="4"/>
  <c r="FK19" i="4"/>
  <c r="FW229" i="4" l="1"/>
  <c r="FX229" i="4" s="1"/>
  <c r="V94" i="5"/>
  <c r="ED175" i="4"/>
  <c r="ED174" i="4"/>
  <c r="CN27" i="9"/>
  <c r="CT32" i="9" s="1"/>
  <c r="CQ26" i="9"/>
  <c r="CT36" i="9"/>
  <c r="CO26" i="9"/>
  <c r="FF26" i="9" s="1"/>
  <c r="DW18" i="4"/>
  <c r="G51" i="5" s="1"/>
  <c r="EC165" i="4"/>
  <c r="EE327" i="4"/>
  <c r="FS327" i="4" s="1"/>
  <c r="EK327" i="4"/>
  <c r="FT327" i="4" s="1"/>
  <c r="EE328" i="4"/>
  <c r="FS328" i="4" s="1"/>
  <c r="EK328" i="4"/>
  <c r="FT328" i="4" s="1"/>
  <c r="EH260" i="4"/>
  <c r="EE326" i="4"/>
  <c r="FS326" i="4" s="1"/>
  <c r="EK326" i="4"/>
  <c r="FT326" i="4" s="1"/>
  <c r="BJ347" i="4"/>
  <c r="O24" i="4"/>
  <c r="O25" i="4" s="1"/>
  <c r="AM207" i="4"/>
  <c r="AM208" i="4" s="1"/>
  <c r="H25" i="4"/>
  <c r="H32" i="4"/>
  <c r="H43" i="4" s="1"/>
  <c r="DY327" i="4"/>
  <c r="FR327" i="4" s="1"/>
  <c r="Q139" i="5"/>
  <c r="Q141" i="5"/>
  <c r="AY207" i="4"/>
  <c r="AY208" i="4" s="1"/>
  <c r="DY326" i="4"/>
  <c r="FR326" i="4" s="1"/>
  <c r="DY328" i="4"/>
  <c r="FR328" i="4" s="1"/>
  <c r="K33" i="4"/>
  <c r="K43" i="4"/>
  <c r="K44" i="4" s="1"/>
  <c r="EE260" i="4"/>
  <c r="FS256" i="4"/>
  <c r="FS260" i="4" s="1"/>
  <c r="FS314" i="4"/>
  <c r="BB43" i="4"/>
  <c r="BB306" i="4" s="1"/>
  <c r="BB323" i="4" s="1"/>
  <c r="G44" i="4"/>
  <c r="DP127" i="9"/>
  <c r="AD39" i="4"/>
  <c r="BB33" i="4"/>
  <c r="G57" i="4"/>
  <c r="E43" i="4"/>
  <c r="E58" i="4" s="1"/>
  <c r="AD33" i="4"/>
  <c r="AE25" i="4"/>
  <c r="CQ25" i="9"/>
  <c r="DL285" i="4"/>
  <c r="DL321" i="4"/>
  <c r="DL322" i="4" s="1"/>
  <c r="E33" i="4"/>
  <c r="AL32" i="4"/>
  <c r="AL39" i="4" s="1"/>
  <c r="N32" i="4"/>
  <c r="N39" i="4" s="1"/>
  <c r="DM249" i="4"/>
  <c r="FP249" i="4" s="1"/>
  <c r="CO25" i="9"/>
  <c r="FF25" i="9" s="1"/>
  <c r="DI116" i="4"/>
  <c r="DJ24" i="4"/>
  <c r="DJ116" i="4"/>
  <c r="FG268" i="4"/>
  <c r="O176" i="5"/>
  <c r="O186" i="5" s="1"/>
  <c r="FP260" i="4"/>
  <c r="P109" i="5"/>
  <c r="P114" i="5" s="1"/>
  <c r="I25" i="4"/>
  <c r="G9" i="5"/>
  <c r="FG288" i="4"/>
  <c r="FG290" i="4"/>
  <c r="FO191" i="4"/>
  <c r="FO193" i="4"/>
  <c r="FI179" i="4"/>
  <c r="FI363" i="4"/>
  <c r="FI289" i="4"/>
  <c r="FI173" i="4"/>
  <c r="FI293" i="4"/>
  <c r="FI372" i="4"/>
  <c r="FN191" i="4"/>
  <c r="FN193" i="4"/>
  <c r="K174" i="5"/>
  <c r="K192" i="5"/>
  <c r="J174" i="5"/>
  <c r="J192" i="5"/>
  <c r="J194" i="5"/>
  <c r="M180" i="5"/>
  <c r="M187" i="5"/>
  <c r="M176" i="5"/>
  <c r="L186" i="5"/>
  <c r="H186" i="5"/>
  <c r="I174" i="5"/>
  <c r="I192" i="5"/>
  <c r="I194" i="5"/>
  <c r="N192" i="5"/>
  <c r="N174" i="5"/>
  <c r="K194" i="5"/>
  <c r="K312" i="5" s="1"/>
  <c r="J118" i="5"/>
  <c r="FH233" i="4"/>
  <c r="FH246" i="4" s="1"/>
  <c r="H97" i="5"/>
  <c r="H98" i="5" s="1"/>
  <c r="H100" i="5" s="1"/>
  <c r="H118" i="5" s="1"/>
  <c r="H180" i="5" s="1"/>
  <c r="FI233" i="4"/>
  <c r="FI246" i="4" s="1"/>
  <c r="I97" i="5"/>
  <c r="I98" i="5" s="1"/>
  <c r="I100" i="5" s="1"/>
  <c r="I118" i="5" s="1"/>
  <c r="CS272" i="4"/>
  <c r="CT191" i="4"/>
  <c r="CY347" i="4"/>
  <c r="CY357" i="4"/>
  <c r="BU347" i="4"/>
  <c r="BU357" i="4"/>
  <c r="FG21" i="4"/>
  <c r="G12" i="5"/>
  <c r="FJ21" i="4"/>
  <c r="J12" i="5"/>
  <c r="I8" i="5"/>
  <c r="FI163" i="4"/>
  <c r="FI170" i="4"/>
  <c r="FK21" i="4"/>
  <c r="K12" i="5"/>
  <c r="FN21" i="4"/>
  <c r="N13" i="5"/>
  <c r="FO21" i="4"/>
  <c r="O13" i="5"/>
  <c r="DD347" i="4"/>
  <c r="DD357" i="4"/>
  <c r="CE347" i="4"/>
  <c r="CE357" i="4"/>
  <c r="FM21" i="4"/>
  <c r="M13" i="5"/>
  <c r="CY272" i="4"/>
  <c r="CZ191" i="4"/>
  <c r="CH347" i="4"/>
  <c r="CH357" i="4"/>
  <c r="CB188" i="4"/>
  <c r="CB187" i="4" s="1"/>
  <c r="CB191" i="4" s="1"/>
  <c r="BV187" i="4"/>
  <c r="BV191" i="4" s="1"/>
  <c r="BE24" i="4"/>
  <c r="BE25" i="4" s="1"/>
  <c r="DJ290" i="4"/>
  <c r="DE290" i="4"/>
  <c r="CY290" i="4"/>
  <c r="CS290" i="4"/>
  <c r="Y39" i="4"/>
  <c r="AW43" i="4"/>
  <c r="AW44" i="4" s="1"/>
  <c r="Y43" i="4"/>
  <c r="Y58" i="4" s="1"/>
  <c r="AW33" i="4"/>
  <c r="BI323" i="4"/>
  <c r="FK306" i="4"/>
  <c r="FK323" i="4" s="1"/>
  <c r="CI323" i="4"/>
  <c r="DI323" i="4"/>
  <c r="DI357" i="4" s="1"/>
  <c r="CW323" i="4"/>
  <c r="BG323" i="4"/>
  <c r="DC323" i="4"/>
  <c r="W33" i="4"/>
  <c r="FB24" i="4"/>
  <c r="FB14" i="4"/>
  <c r="AP33" i="4"/>
  <c r="AP43" i="4"/>
  <c r="AP44" i="4" s="1"/>
  <c r="AI43" i="4"/>
  <c r="AI58" i="4" s="1"/>
  <c r="CO318" i="4"/>
  <c r="AG24" i="4"/>
  <c r="FL322" i="4"/>
  <c r="CT321" i="4"/>
  <c r="CS321" i="4"/>
  <c r="CS322" i="4" s="1"/>
  <c r="DE321" i="4"/>
  <c r="DF321" i="4"/>
  <c r="DF322" i="4" s="1"/>
  <c r="CY321" i="4"/>
  <c r="CZ321" i="4"/>
  <c r="CZ322" i="4" s="1"/>
  <c r="AU39" i="4"/>
  <c r="AU43" i="4"/>
  <c r="AU57" i="4" s="1"/>
  <c r="BQ268" i="4"/>
  <c r="BQ273" i="4"/>
  <c r="DE272" i="4"/>
  <c r="W43" i="4"/>
  <c r="W265" i="4" s="1"/>
  <c r="W264" i="4" s="1"/>
  <c r="BD39" i="4"/>
  <c r="DQ260" i="4"/>
  <c r="DJ323" i="4"/>
  <c r="CY254" i="4"/>
  <c r="CY273" i="4" s="1"/>
  <c r="CT323" i="4"/>
  <c r="CS254" i="4"/>
  <c r="CS273" i="4" s="1"/>
  <c r="CM323" i="4"/>
  <c r="DD254" i="4"/>
  <c r="DD273" i="4" s="1"/>
  <c r="AI39" i="4"/>
  <c r="U24" i="4"/>
  <c r="U32" i="4" s="1"/>
  <c r="U43" i="4" s="1"/>
  <c r="EZ47" i="4" s="1"/>
  <c r="AF58" i="4"/>
  <c r="AL25" i="4"/>
  <c r="AF57" i="4"/>
  <c r="AF306" i="4"/>
  <c r="AF323" i="4" s="1"/>
  <c r="AK39" i="4"/>
  <c r="AA25" i="4"/>
  <c r="N25" i="4"/>
  <c r="AK43" i="4"/>
  <c r="AK58" i="4" s="1"/>
  <c r="AE32" i="4"/>
  <c r="AY14" i="4"/>
  <c r="AY24" i="4"/>
  <c r="AY25" i="4" s="1"/>
  <c r="DG163" i="4"/>
  <c r="FO9" i="4"/>
  <c r="BD33" i="4"/>
  <c r="FA13" i="4"/>
  <c r="CM199" i="4"/>
  <c r="BG199" i="4"/>
  <c r="FL9" i="4"/>
  <c r="AX43" i="4"/>
  <c r="AX39" i="4"/>
  <c r="AX33" i="4"/>
  <c r="EX25" i="4"/>
  <c r="FA45" i="4"/>
  <c r="Q23" i="5"/>
  <c r="DI14" i="4"/>
  <c r="DI24" i="4"/>
  <c r="FD13" i="4"/>
  <c r="AS14" i="4"/>
  <c r="AS24" i="4"/>
  <c r="AS25" i="4" s="1"/>
  <c r="R39" i="4"/>
  <c r="R33" i="4"/>
  <c r="R43" i="4"/>
  <c r="R265" i="4" s="1"/>
  <c r="R264" i="4" s="1"/>
  <c r="M33" i="4"/>
  <c r="M43" i="4"/>
  <c r="M39" i="4"/>
  <c r="DJ14" i="4"/>
  <c r="BJ273" i="4"/>
  <c r="EZ32" i="4"/>
  <c r="BJ268" i="4"/>
  <c r="CB199" i="4"/>
  <c r="T25" i="4"/>
  <c r="T32" i="4"/>
  <c r="CG188" i="4"/>
  <c r="CA191" i="4"/>
  <c r="BT191" i="4"/>
  <c r="FG9" i="4"/>
  <c r="BK163" i="4"/>
  <c r="BK170" i="4"/>
  <c r="BK179" i="4"/>
  <c r="BS199" i="4"/>
  <c r="FC13" i="4"/>
  <c r="S25" i="4"/>
  <c r="S32" i="4"/>
  <c r="CH199" i="4"/>
  <c r="CF188" i="4"/>
  <c r="CF187" i="4" s="1"/>
  <c r="BK70" i="4"/>
  <c r="FG70" i="4" s="1"/>
  <c r="BJ74" i="4"/>
  <c r="X32" i="4"/>
  <c r="X25" i="4"/>
  <c r="BK72" i="4"/>
  <c r="FG72" i="4" s="1"/>
  <c r="BQ163" i="4"/>
  <c r="BQ170" i="4"/>
  <c r="BQ179" i="4"/>
  <c r="CU163" i="4"/>
  <c r="CU170" i="4"/>
  <c r="CU179" i="4"/>
  <c r="BD187" i="4"/>
  <c r="BD191" i="4"/>
  <c r="BE190" i="4"/>
  <c r="AM14" i="4"/>
  <c r="AM24" i="4"/>
  <c r="AM25" i="4" s="1"/>
  <c r="AQ25" i="4"/>
  <c r="AQ32" i="4"/>
  <c r="CO190" i="4"/>
  <c r="BY199" i="4"/>
  <c r="AO25" i="4"/>
  <c r="AO32" i="4"/>
  <c r="DA163" i="4"/>
  <c r="DA170" i="4"/>
  <c r="DA179" i="4"/>
  <c r="CO163" i="4"/>
  <c r="CO170" i="4"/>
  <c r="CO179" i="4"/>
  <c r="EZ352" i="4"/>
  <c r="EZ349" i="4"/>
  <c r="CI163" i="4"/>
  <c r="CI179" i="4"/>
  <c r="CI170" i="4"/>
  <c r="AC25" i="4"/>
  <c r="AC32" i="4"/>
  <c r="FJ9" i="4"/>
  <c r="FJ7" i="4" s="1"/>
  <c r="CC163" i="4"/>
  <c r="CC170" i="4"/>
  <c r="CC179" i="4"/>
  <c r="CE188" i="4"/>
  <c r="BY191" i="4"/>
  <c r="CY199" i="4"/>
  <c r="BP190" i="4"/>
  <c r="BP191" i="4" s="1"/>
  <c r="CX199" i="4"/>
  <c r="CU190" i="4"/>
  <c r="Z25" i="4"/>
  <c r="Z32" i="4"/>
  <c r="FI21" i="4"/>
  <c r="FN9" i="4"/>
  <c r="EX32" i="4"/>
  <c r="FM9" i="4"/>
  <c r="CS199" i="4"/>
  <c r="DC199" i="4"/>
  <c r="FE266" i="4"/>
  <c r="FE268" i="4" s="1"/>
  <c r="FE270" i="4" s="1"/>
  <c r="DD266" i="4"/>
  <c r="CY266" i="4"/>
  <c r="DE323" i="4"/>
  <c r="EZ25" i="4"/>
  <c r="AV39" i="4"/>
  <c r="AV33" i="4"/>
  <c r="AV43" i="4"/>
  <c r="DF323" i="4"/>
  <c r="FF25" i="4"/>
  <c r="AJ43" i="4"/>
  <c r="AJ33" i="4"/>
  <c r="AJ39" i="4"/>
  <c r="CL266" i="4"/>
  <c r="FF270" i="4"/>
  <c r="CC199" i="4"/>
  <c r="FE25" i="4"/>
  <c r="DI266" i="4"/>
  <c r="CR323" i="4"/>
  <c r="BD57" i="4"/>
  <c r="BD44" i="4"/>
  <c r="BD58" i="4"/>
  <c r="CI246" i="4"/>
  <c r="Q352" i="4"/>
  <c r="R351" i="4" s="1"/>
  <c r="BU199" i="4"/>
  <c r="CQ199" i="4"/>
  <c r="BN199" i="4"/>
  <c r="FH9" i="4"/>
  <c r="FI7" i="4" s="1"/>
  <c r="FI13" i="4"/>
  <c r="FK9" i="4"/>
  <c r="F33" i="4"/>
  <c r="F39" i="4"/>
  <c r="F43" i="4"/>
  <c r="BC57" i="4"/>
  <c r="BC44" i="4"/>
  <c r="BC58" i="4"/>
  <c r="L33" i="4"/>
  <c r="L39" i="4"/>
  <c r="L43" i="4"/>
  <c r="AR33" i="4"/>
  <c r="AR39" i="4"/>
  <c r="AR43" i="4"/>
  <c r="BA44" i="4"/>
  <c r="BA57" i="4"/>
  <c r="BA58" i="4"/>
  <c r="BA265" i="4"/>
  <c r="FG246" i="4"/>
  <c r="AD57" i="4"/>
  <c r="AD44" i="4"/>
  <c r="AD306" i="4"/>
  <c r="AD323" i="4" s="1"/>
  <c r="AD58" i="4"/>
  <c r="EY14" i="4"/>
  <c r="EY24" i="4"/>
  <c r="CO246" i="4"/>
  <c r="AA33" i="4"/>
  <c r="AA43" i="4"/>
  <c r="FA47" i="4" s="1"/>
  <c r="AA39" i="4"/>
  <c r="FH268" i="4"/>
  <c r="FC30" i="4"/>
  <c r="FB45" i="4"/>
  <c r="FF321" i="4"/>
  <c r="FF318" i="4"/>
  <c r="EZ45" i="4"/>
  <c r="I33" i="4"/>
  <c r="I43" i="4"/>
  <c r="EX47" i="4" s="1"/>
  <c r="I39" i="4"/>
  <c r="AY30" i="4"/>
  <c r="AS30" i="4"/>
  <c r="CQ27" i="9" l="1"/>
  <c r="CW32" i="9" s="1"/>
  <c r="CT35" i="9"/>
  <c r="CT30" i="9" s="1"/>
  <c r="CU36" i="9"/>
  <c r="FG36" i="9" s="1"/>
  <c r="CR26" i="9"/>
  <c r="CW36" i="9"/>
  <c r="FK7" i="4"/>
  <c r="DX164" i="4"/>
  <c r="DW165" i="4"/>
  <c r="FN7" i="4"/>
  <c r="FL7" i="4"/>
  <c r="FO7" i="4"/>
  <c r="FM7" i="4"/>
  <c r="DW164" i="4"/>
  <c r="DW163" i="4"/>
  <c r="H39" i="4"/>
  <c r="EK242" i="4"/>
  <c r="FT242" i="4" s="1"/>
  <c r="FU242" i="4" s="1"/>
  <c r="EK314" i="4"/>
  <c r="FT314" i="4" s="1"/>
  <c r="T135" i="5" s="1"/>
  <c r="EI260" i="4"/>
  <c r="O32" i="4"/>
  <c r="O39" i="4" s="1"/>
  <c r="H33" i="4"/>
  <c r="R139" i="5"/>
  <c r="DQ127" i="9"/>
  <c r="K306" i="4"/>
  <c r="K323" i="4" s="1"/>
  <c r="K265" i="4"/>
  <c r="L265" i="4" s="1"/>
  <c r="K57" i="4"/>
  <c r="BE306" i="4"/>
  <c r="BE323" i="4" s="1"/>
  <c r="E44" i="4"/>
  <c r="BB57" i="4"/>
  <c r="BB44" i="4"/>
  <c r="EE243" i="4"/>
  <c r="FS243" i="4" s="1"/>
  <c r="BB58" i="4"/>
  <c r="S135" i="5"/>
  <c r="E57" i="4"/>
  <c r="AL33" i="4"/>
  <c r="AL43" i="4"/>
  <c r="AL306" i="4" s="1"/>
  <c r="AL323" i="4" s="1"/>
  <c r="CR25" i="9"/>
  <c r="CO27" i="9"/>
  <c r="CU32" i="9" s="1"/>
  <c r="DL272" i="4"/>
  <c r="DM248" i="4"/>
  <c r="FP248" i="4" s="1"/>
  <c r="DM253" i="4"/>
  <c r="FP253" i="4" s="1"/>
  <c r="P106" i="5" s="1"/>
  <c r="DJ25" i="4"/>
  <c r="N33" i="4"/>
  <c r="N43" i="4"/>
  <c r="N58" i="4" s="1"/>
  <c r="Q165" i="5"/>
  <c r="FF27" i="9"/>
  <c r="FF32" i="9" s="1"/>
  <c r="DI202" i="4"/>
  <c r="DJ202" i="4"/>
  <c r="DJ32" i="4"/>
  <c r="FG270" i="4"/>
  <c r="FG73" i="4"/>
  <c r="R141" i="5"/>
  <c r="FH270" i="4"/>
  <c r="FJ173" i="4"/>
  <c r="FJ289" i="4"/>
  <c r="FJ363" i="4"/>
  <c r="FJ293" i="4"/>
  <c r="FJ179" i="4"/>
  <c r="FJ372" i="4"/>
  <c r="FO293" i="4"/>
  <c r="FO289" i="4"/>
  <c r="FO173" i="4"/>
  <c r="FO179" i="4"/>
  <c r="FO372" i="4"/>
  <c r="FO363" i="4"/>
  <c r="FG293" i="4"/>
  <c r="FG289" i="4"/>
  <c r="FG363" i="4"/>
  <c r="FG179" i="4"/>
  <c r="FG173" i="4"/>
  <c r="FG372" i="4"/>
  <c r="CU191" i="4"/>
  <c r="FM190" i="4"/>
  <c r="FN289" i="4"/>
  <c r="FN173" i="4"/>
  <c r="FN179" i="4"/>
  <c r="FN293" i="4"/>
  <c r="FN372" i="4"/>
  <c r="FN363" i="4"/>
  <c r="FK293" i="4"/>
  <c r="FK372" i="4"/>
  <c r="FK173" i="4"/>
  <c r="FK289" i="4"/>
  <c r="FK179" i="4"/>
  <c r="FK363" i="4"/>
  <c r="FH179" i="4"/>
  <c r="FH363" i="4"/>
  <c r="FH289" i="4"/>
  <c r="FH173" i="4"/>
  <c r="FH293" i="4"/>
  <c r="FH372" i="4"/>
  <c r="FK347" i="4"/>
  <c r="K137" i="5"/>
  <c r="K298" i="5" s="1"/>
  <c r="FK357" i="4"/>
  <c r="CO191" i="4"/>
  <c r="FL190" i="4"/>
  <c r="FL173" i="4"/>
  <c r="FL363" i="4"/>
  <c r="FL372" i="4"/>
  <c r="FL179" i="4"/>
  <c r="FL289" i="4"/>
  <c r="FL293" i="4"/>
  <c r="FM173" i="4"/>
  <c r="FM179" i="4"/>
  <c r="FM372" i="4"/>
  <c r="FM363" i="4"/>
  <c r="FM293" i="4"/>
  <c r="FM289" i="4"/>
  <c r="I207" i="5"/>
  <c r="H183" i="5"/>
  <c r="N180" i="5"/>
  <c r="N187" i="5"/>
  <c r="N176" i="5"/>
  <c r="J180" i="5"/>
  <c r="J187" i="5"/>
  <c r="J176" i="5"/>
  <c r="I176" i="5"/>
  <c r="I187" i="5"/>
  <c r="I180" i="5"/>
  <c r="M186" i="5"/>
  <c r="K180" i="5"/>
  <c r="K187" i="5"/>
  <c r="K176" i="5"/>
  <c r="DI25" i="4"/>
  <c r="DF347" i="4"/>
  <c r="DF357" i="4"/>
  <c r="DC347" i="4"/>
  <c r="DC357" i="4"/>
  <c r="I10" i="5"/>
  <c r="K8" i="5"/>
  <c r="FK163" i="4"/>
  <c r="FK170" i="4"/>
  <c r="DE347" i="4"/>
  <c r="DE357" i="4"/>
  <c r="J8" i="5"/>
  <c r="FJ163" i="4"/>
  <c r="FJ170" i="4"/>
  <c r="BG347" i="4"/>
  <c r="BG357" i="4"/>
  <c r="DJ347" i="4"/>
  <c r="DJ357" i="4"/>
  <c r="CW347" i="4"/>
  <c r="CW357" i="4"/>
  <c r="FL13" i="4"/>
  <c r="FL24" i="4" s="1"/>
  <c r="FL25" i="4" s="1"/>
  <c r="L8" i="5"/>
  <c r="FL163" i="4"/>
  <c r="FL170" i="4"/>
  <c r="H8" i="5"/>
  <c r="FH163" i="4"/>
  <c r="FH170" i="4"/>
  <c r="FN13" i="4"/>
  <c r="N8" i="5"/>
  <c r="FN170" i="4"/>
  <c r="FN163" i="4"/>
  <c r="G8" i="5"/>
  <c r="G207" i="5" s="1"/>
  <c r="FG163" i="4"/>
  <c r="FG170" i="4"/>
  <c r="FM13" i="4"/>
  <c r="M8" i="5"/>
  <c r="FM170" i="4"/>
  <c r="FM163" i="4"/>
  <c r="CM347" i="4"/>
  <c r="CM357" i="4"/>
  <c r="CI347" i="4"/>
  <c r="CI357" i="4"/>
  <c r="CT347" i="4"/>
  <c r="CT357" i="4"/>
  <c r="FO13" i="4"/>
  <c r="O8" i="5"/>
  <c r="FO170" i="4"/>
  <c r="FO163" i="4"/>
  <c r="CR347" i="4"/>
  <c r="CR357" i="4"/>
  <c r="BI347" i="4"/>
  <c r="BI357" i="4"/>
  <c r="BW187" i="4"/>
  <c r="CC187" i="4"/>
  <c r="CG187" i="4"/>
  <c r="CG191" i="4" s="1"/>
  <c r="CE187" i="4"/>
  <c r="Y306" i="4"/>
  <c r="Y323" i="4" s="1"/>
  <c r="Y44" i="4"/>
  <c r="U33" i="4"/>
  <c r="Y57" i="4"/>
  <c r="AI306" i="4"/>
  <c r="AI323" i="4" s="1"/>
  <c r="AI57" i="4"/>
  <c r="AI265" i="4"/>
  <c r="AI264" i="4" s="1"/>
  <c r="AW57" i="4"/>
  <c r="AI44" i="4"/>
  <c r="AW58" i="4"/>
  <c r="AW306" i="4"/>
  <c r="AW323" i="4" s="1"/>
  <c r="DI347" i="4"/>
  <c r="U39" i="4"/>
  <c r="FB32" i="4"/>
  <c r="FB25" i="4"/>
  <c r="BK306" i="4"/>
  <c r="BK323" i="4" s="1"/>
  <c r="DG306" i="4"/>
  <c r="FO306" i="4" s="1"/>
  <c r="BT323" i="4"/>
  <c r="BO323" i="4"/>
  <c r="BZ323" i="4"/>
  <c r="BZ357" i="4" s="1"/>
  <c r="CC306" i="4"/>
  <c r="AP306" i="4"/>
  <c r="AP323" i="4" s="1"/>
  <c r="AP57" i="4"/>
  <c r="AP58" i="4"/>
  <c r="AU306" i="4"/>
  <c r="AU323" i="4" s="1"/>
  <c r="AU265" i="4"/>
  <c r="AV265" i="4" s="1"/>
  <c r="AU44" i="4"/>
  <c r="FL318" i="4"/>
  <c r="L136" i="5" s="1"/>
  <c r="AG32" i="4"/>
  <c r="AG25" i="4"/>
  <c r="AU58" i="4"/>
  <c r="DE322" i="4"/>
  <c r="DG322" i="4" s="1"/>
  <c r="DG321" i="4"/>
  <c r="FO321" i="4" s="1"/>
  <c r="CU321" i="4"/>
  <c r="FM321" i="4" s="1"/>
  <c r="CT322" i="4"/>
  <c r="CU322" i="4" s="1"/>
  <c r="CY322" i="4"/>
  <c r="DA322" i="4" s="1"/>
  <c r="DA321" i="4"/>
  <c r="FN321" i="4" s="1"/>
  <c r="W58" i="4"/>
  <c r="W306" i="4"/>
  <c r="W323" i="4" s="1"/>
  <c r="W57" i="4"/>
  <c r="W44" i="4"/>
  <c r="EZ43" i="4"/>
  <c r="EX45" i="4"/>
  <c r="EX46" i="4" s="1"/>
  <c r="U25" i="4"/>
  <c r="BP323" i="4"/>
  <c r="DE254" i="4"/>
  <c r="DE273" i="4" s="1"/>
  <c r="AK57" i="4"/>
  <c r="AK44" i="4"/>
  <c r="EX43" i="4"/>
  <c r="EZ39" i="4"/>
  <c r="EX39" i="4"/>
  <c r="EX33" i="4"/>
  <c r="AK306" i="4"/>
  <c r="AK323" i="4" s="1"/>
  <c r="FG13" i="4"/>
  <c r="AE43" i="4"/>
  <c r="AE33" i="4"/>
  <c r="AE39" i="4"/>
  <c r="CE199" i="4"/>
  <c r="DE199" i="4"/>
  <c r="FA14" i="4"/>
  <c r="FA24" i="4"/>
  <c r="DD199" i="4"/>
  <c r="AX58" i="4"/>
  <c r="AX306" i="4"/>
  <c r="AX323" i="4" s="1"/>
  <c r="AX44" i="4"/>
  <c r="AX57" i="4"/>
  <c r="EZ33" i="4"/>
  <c r="DA199" i="4"/>
  <c r="FD14" i="4"/>
  <c r="FD24" i="4"/>
  <c r="M44" i="4"/>
  <c r="M58" i="4"/>
  <c r="M306" i="4"/>
  <c r="M323" i="4" s="1"/>
  <c r="M57" i="4"/>
  <c r="R57" i="4"/>
  <c r="R44" i="4"/>
  <c r="R306" i="4"/>
  <c r="AM32" i="4"/>
  <c r="AM43" i="4" s="1"/>
  <c r="FC47" i="4" s="1"/>
  <c r="AC39" i="4"/>
  <c r="AC43" i="4"/>
  <c r="AC33" i="4"/>
  <c r="S33" i="4"/>
  <c r="S39" i="4"/>
  <c r="S43" i="4"/>
  <c r="BW190" i="4"/>
  <c r="AO39" i="4"/>
  <c r="AO33" i="4"/>
  <c r="AO43" i="4"/>
  <c r="BD188" i="4"/>
  <c r="BE187" i="4"/>
  <c r="T43" i="4"/>
  <c r="T33" i="4"/>
  <c r="T39" i="4"/>
  <c r="FC14" i="4"/>
  <c r="FC24" i="4"/>
  <c r="FC32" i="4" s="1"/>
  <c r="CL199" i="4"/>
  <c r="CF191" i="4"/>
  <c r="BZ199" i="4"/>
  <c r="DI32" i="4"/>
  <c r="Z33" i="4"/>
  <c r="Z39" i="4"/>
  <c r="Z43" i="4"/>
  <c r="AQ39" i="4"/>
  <c r="AQ43" i="4"/>
  <c r="AQ33" i="4"/>
  <c r="CW199" i="4"/>
  <c r="BZ191" i="4"/>
  <c r="BW199" i="4"/>
  <c r="FJ13" i="4"/>
  <c r="BO199" i="4"/>
  <c r="X39" i="4"/>
  <c r="X33" i="4"/>
  <c r="X43" i="4"/>
  <c r="BJ75" i="4"/>
  <c r="BK74" i="4"/>
  <c r="BK75" i="4" s="1"/>
  <c r="CU199" i="4"/>
  <c r="CM266" i="4"/>
  <c r="AJ58" i="4"/>
  <c r="AJ306" i="4"/>
  <c r="AJ323" i="4" s="1"/>
  <c r="AJ44" i="4"/>
  <c r="AJ57" i="4"/>
  <c r="CQ266" i="4"/>
  <c r="AV58" i="4"/>
  <c r="AV306" i="4"/>
  <c r="AV323" i="4" s="1"/>
  <c r="AV44" i="4"/>
  <c r="AV57" i="4"/>
  <c r="DE266" i="4"/>
  <c r="CG199" i="4"/>
  <c r="CO199" i="4"/>
  <c r="FI14" i="4"/>
  <c r="FH13" i="4"/>
  <c r="FK13" i="4"/>
  <c r="BI199" i="4"/>
  <c r="FI24" i="4"/>
  <c r="EY25" i="4"/>
  <c r="EY32" i="4"/>
  <c r="AD352" i="4"/>
  <c r="AE351" i="4" s="1"/>
  <c r="F44" i="4"/>
  <c r="F58" i="4"/>
  <c r="F57" i="4"/>
  <c r="BA264" i="4"/>
  <c r="BB265" i="4"/>
  <c r="AR44" i="4"/>
  <c r="AR57" i="4"/>
  <c r="AR306" i="4"/>
  <c r="AR323" i="4" s="1"/>
  <c r="L57" i="4"/>
  <c r="L306" i="4"/>
  <c r="L323" i="4" s="1"/>
  <c r="L44" i="4"/>
  <c r="EZ54" i="4"/>
  <c r="EZ55" i="4"/>
  <c r="EZ46" i="4"/>
  <c r="U58" i="4"/>
  <c r="U44" i="4"/>
  <c r="U57" i="4"/>
  <c r="FE30" i="4"/>
  <c r="AY32" i="4"/>
  <c r="I44" i="4"/>
  <c r="I57" i="4"/>
  <c r="I58" i="4"/>
  <c r="FA46" i="4"/>
  <c r="FA54" i="4"/>
  <c r="FA55" i="4"/>
  <c r="FD30" i="4"/>
  <c r="AS32" i="4"/>
  <c r="BK199" i="4"/>
  <c r="FB46" i="4"/>
  <c r="FB54" i="4"/>
  <c r="FB55" i="4"/>
  <c r="AA44" i="4"/>
  <c r="AA57" i="4"/>
  <c r="AA58" i="4"/>
  <c r="AA306" i="4"/>
  <c r="AA323" i="4" s="1"/>
  <c r="H44" i="4"/>
  <c r="H57" i="4"/>
  <c r="H58" i="4"/>
  <c r="CR27" i="9" l="1"/>
  <c r="CX32" i="9" s="1"/>
  <c r="CW35" i="9"/>
  <c r="CW30" i="9" s="1"/>
  <c r="CS26" i="9"/>
  <c r="CX36" i="9"/>
  <c r="CX35" i="9" s="1"/>
  <c r="CX30" i="9" s="1"/>
  <c r="CU31" i="9"/>
  <c r="FG31" i="9" s="1"/>
  <c r="CU35" i="9"/>
  <c r="H51" i="5"/>
  <c r="DY18" i="4"/>
  <c r="EK256" i="4"/>
  <c r="EJ260" i="4"/>
  <c r="FV242" i="4"/>
  <c r="FU314" i="4"/>
  <c r="U135" i="5" s="1"/>
  <c r="FM14" i="4"/>
  <c r="FN14" i="4"/>
  <c r="O33" i="4"/>
  <c r="O43" i="4"/>
  <c r="EY47" i="4" s="1"/>
  <c r="FU327" i="4"/>
  <c r="DS263" i="4"/>
  <c r="FQ263" i="4" s="1"/>
  <c r="FU326" i="4"/>
  <c r="T141" i="5"/>
  <c r="K264" i="4"/>
  <c r="FF306" i="4"/>
  <c r="FF323" i="4" s="1"/>
  <c r="FF347" i="4" s="1"/>
  <c r="AL44" i="4"/>
  <c r="AL57" i="4"/>
  <c r="DR127" i="9"/>
  <c r="DS125" i="9"/>
  <c r="DS127" i="9" s="1"/>
  <c r="DI199" i="4"/>
  <c r="BE30" i="4"/>
  <c r="FF30" i="4" s="1"/>
  <c r="FF32" i="4" s="1"/>
  <c r="AL58" i="4"/>
  <c r="CS25" i="9"/>
  <c r="N57" i="4"/>
  <c r="N44" i="4"/>
  <c r="P102" i="5"/>
  <c r="P122" i="5"/>
  <c r="DM252" i="4"/>
  <c r="FP252" i="4" s="1"/>
  <c r="P104" i="5" s="1"/>
  <c r="K289" i="5"/>
  <c r="K291" i="5" s="1"/>
  <c r="N289" i="5"/>
  <c r="N291" i="5" s="1"/>
  <c r="M289" i="5"/>
  <c r="M300" i="5" s="1"/>
  <c r="L289" i="5"/>
  <c r="L291" i="5" s="1"/>
  <c r="R352" i="4"/>
  <c r="S351" i="4" s="1"/>
  <c r="R323" i="4"/>
  <c r="R165" i="5"/>
  <c r="T139" i="5"/>
  <c r="S139" i="5"/>
  <c r="O289" i="5"/>
  <c r="FO14" i="4"/>
  <c r="DJ43" i="4"/>
  <c r="DJ199" i="4"/>
  <c r="DJ39" i="4"/>
  <c r="DJ33" i="4"/>
  <c r="FM24" i="4"/>
  <c r="M15" i="5" s="1"/>
  <c r="S141" i="5"/>
  <c r="FL191" i="4"/>
  <c r="FL193" i="4"/>
  <c r="I15" i="5"/>
  <c r="I35" i="5" s="1"/>
  <c r="FI202" i="4"/>
  <c r="BW191" i="4"/>
  <c r="FI190" i="4"/>
  <c r="FI191" i="4" s="1"/>
  <c r="K164" i="5"/>
  <c r="K167" i="5" s="1"/>
  <c r="K153" i="5"/>
  <c r="K256" i="5" s="1"/>
  <c r="FM191" i="4"/>
  <c r="FM193" i="4"/>
  <c r="FL14" i="4"/>
  <c r="CC188" i="4"/>
  <c r="FJ187" i="4"/>
  <c r="L15" i="5"/>
  <c r="FL202" i="4"/>
  <c r="BW188" i="4"/>
  <c r="FI187" i="4"/>
  <c r="I34" i="5"/>
  <c r="I218" i="5"/>
  <c r="H210" i="5"/>
  <c r="H207" i="5"/>
  <c r="L183" i="5"/>
  <c r="L310" i="5" s="1"/>
  <c r="M210" i="5"/>
  <c r="M207" i="5"/>
  <c r="J210" i="5"/>
  <c r="J207" i="5"/>
  <c r="L182" i="5"/>
  <c r="L210" i="5"/>
  <c r="L207" i="5"/>
  <c r="I210" i="5"/>
  <c r="M183" i="5"/>
  <c r="M310" i="5" s="1"/>
  <c r="N210" i="5"/>
  <c r="N207" i="5"/>
  <c r="O182" i="5"/>
  <c r="O210" i="5"/>
  <c r="O207" i="5"/>
  <c r="K210" i="5"/>
  <c r="K207" i="5"/>
  <c r="K183" i="5"/>
  <c r="K310" i="5" s="1"/>
  <c r="K186" i="5"/>
  <c r="K182" i="5"/>
  <c r="I186" i="5"/>
  <c r="I183" i="5"/>
  <c r="I182" i="5"/>
  <c r="J183" i="5"/>
  <c r="J186" i="5"/>
  <c r="J182" i="5"/>
  <c r="M182" i="5"/>
  <c r="I33" i="5"/>
  <c r="G183" i="5"/>
  <c r="H182" i="5"/>
  <c r="N183" i="5"/>
  <c r="N310" i="5" s="1"/>
  <c r="N186" i="5"/>
  <c r="N182" i="5"/>
  <c r="G10" i="5"/>
  <c r="G182" i="5"/>
  <c r="N10" i="5"/>
  <c r="FN24" i="4"/>
  <c r="FN202" i="4" s="1"/>
  <c r="DI43" i="4"/>
  <c r="FL32" i="4"/>
  <c r="FL39" i="4" s="1"/>
  <c r="BK347" i="4"/>
  <c r="BK357" i="4"/>
  <c r="J10" i="5"/>
  <c r="J33" i="5"/>
  <c r="BP347" i="4"/>
  <c r="BP357" i="4"/>
  <c r="BO347" i="4"/>
  <c r="BO357" i="4"/>
  <c r="K10" i="5"/>
  <c r="K33" i="5"/>
  <c r="K290" i="5" s="1"/>
  <c r="L10" i="5"/>
  <c r="L33" i="5"/>
  <c r="BT347" i="4"/>
  <c r="BT357" i="4"/>
  <c r="FO24" i="4"/>
  <c r="O33" i="5"/>
  <c r="O10" i="5"/>
  <c r="N33" i="5"/>
  <c r="M33" i="5"/>
  <c r="M10" i="5"/>
  <c r="H10" i="5"/>
  <c r="H33" i="5"/>
  <c r="CI187" i="4"/>
  <c r="CE191" i="4"/>
  <c r="AJ265" i="4"/>
  <c r="AJ264" i="4" s="1"/>
  <c r="FB33" i="4"/>
  <c r="FB43" i="4"/>
  <c r="FB39" i="4"/>
  <c r="FG306" i="4"/>
  <c r="FG323" i="4" s="1"/>
  <c r="FJ306" i="4"/>
  <c r="FJ323" i="4" s="1"/>
  <c r="CC323" i="4"/>
  <c r="BZ347" i="4"/>
  <c r="BW306" i="4"/>
  <c r="BS323" i="4"/>
  <c r="CZ323" i="4"/>
  <c r="DA306" i="4"/>
  <c r="FN306" i="4" s="1"/>
  <c r="BN323" i="4"/>
  <c r="BQ306" i="4"/>
  <c r="CU306" i="4"/>
  <c r="FM306" i="4" s="1"/>
  <c r="CQ323" i="4"/>
  <c r="CL323" i="4"/>
  <c r="CO306" i="4"/>
  <c r="AU264" i="4"/>
  <c r="W351" i="4"/>
  <c r="AA351" i="4" s="1"/>
  <c r="FA351" i="4" s="1"/>
  <c r="EX55" i="4"/>
  <c r="EZ44" i="4"/>
  <c r="EZ57" i="4"/>
  <c r="EX58" i="4"/>
  <c r="EX54" i="4"/>
  <c r="EZ58" i="4"/>
  <c r="EX57" i="4"/>
  <c r="AG43" i="4"/>
  <c r="AG33" i="4"/>
  <c r="AG39" i="4"/>
  <c r="CU318" i="4"/>
  <c r="FM322" i="4"/>
  <c r="DA318" i="4"/>
  <c r="FN322" i="4"/>
  <c r="DG318" i="4"/>
  <c r="FO322" i="4"/>
  <c r="DJ266" i="4"/>
  <c r="DF254" i="4"/>
  <c r="DG251" i="4"/>
  <c r="FO251" i="4" s="1"/>
  <c r="EX44" i="4"/>
  <c r="FG24" i="4"/>
  <c r="FG202" i="4" s="1"/>
  <c r="FG14" i="4"/>
  <c r="AE44" i="4"/>
  <c r="AE306" i="4"/>
  <c r="AE323" i="4" s="1"/>
  <c r="AE57" i="4"/>
  <c r="AE58" i="4"/>
  <c r="AM33" i="4"/>
  <c r="FA32" i="4"/>
  <c r="FA25" i="4"/>
  <c r="AY306" i="4"/>
  <c r="AY323" i="4" s="1"/>
  <c r="DG199" i="4"/>
  <c r="AM39" i="4"/>
  <c r="FD25" i="4"/>
  <c r="DI33" i="4"/>
  <c r="CI199" i="4"/>
  <c r="Z44" i="4"/>
  <c r="Z58" i="4"/>
  <c r="Z306" i="4"/>
  <c r="Z323" i="4" s="1"/>
  <c r="Z57" i="4"/>
  <c r="CR199" i="4"/>
  <c r="X58" i="4"/>
  <c r="X57" i="4"/>
  <c r="X265" i="4"/>
  <c r="X306" i="4"/>
  <c r="X323" i="4" s="1"/>
  <c r="X44" i="4"/>
  <c r="S44" i="4"/>
  <c r="S306" i="4"/>
  <c r="S323" i="4" s="1"/>
  <c r="S57" i="4"/>
  <c r="S265" i="4"/>
  <c r="S264" i="4" s="1"/>
  <c r="T58" i="4"/>
  <c r="T57" i="4"/>
  <c r="T44" i="4"/>
  <c r="CC190" i="4"/>
  <c r="AQ44" i="4"/>
  <c r="AQ57" i="4"/>
  <c r="AQ306" i="4"/>
  <c r="AQ323" i="4" s="1"/>
  <c r="AQ58" i="4"/>
  <c r="CT199" i="4"/>
  <c r="AO265" i="4"/>
  <c r="AO306" i="4"/>
  <c r="AO323" i="4" s="1"/>
  <c r="AO58" i="4"/>
  <c r="AO57" i="4"/>
  <c r="AO44" i="4"/>
  <c r="AC57" i="4"/>
  <c r="AC306" i="4"/>
  <c r="AC323" i="4" s="1"/>
  <c r="AC265" i="4"/>
  <c r="AC44" i="4"/>
  <c r="AC58" i="4"/>
  <c r="BH199" i="4"/>
  <c r="DI39" i="4"/>
  <c r="FC25" i="4"/>
  <c r="DF199" i="4"/>
  <c r="FJ14" i="4"/>
  <c r="FJ24" i="4"/>
  <c r="CZ199" i="4"/>
  <c r="CR266" i="4"/>
  <c r="BG352" i="4"/>
  <c r="AM306" i="4"/>
  <c r="AM323" i="4" s="1"/>
  <c r="FK14" i="4"/>
  <c r="FI25" i="4"/>
  <c r="FI32" i="4"/>
  <c r="FI199" i="4" s="1"/>
  <c r="FH14" i="4"/>
  <c r="FH24" i="4"/>
  <c r="BQ199" i="4"/>
  <c r="FK24" i="4"/>
  <c r="BC265" i="4"/>
  <c r="BC264" i="4" s="1"/>
  <c r="BB264" i="4"/>
  <c r="EY45" i="4"/>
  <c r="EY33" i="4"/>
  <c r="EY43" i="4"/>
  <c r="EY39" i="4"/>
  <c r="K352" i="4"/>
  <c r="L351" i="4" s="1"/>
  <c r="L264" i="4"/>
  <c r="M265" i="4"/>
  <c r="M264" i="4" s="1"/>
  <c r="N306" i="4"/>
  <c r="N323" i="4" s="1"/>
  <c r="AW265" i="4"/>
  <c r="AW264" i="4" s="1"/>
  <c r="AV264" i="4"/>
  <c r="AY33" i="4"/>
  <c r="AY43" i="4"/>
  <c r="FE47" i="4" s="1"/>
  <c r="AY39" i="4"/>
  <c r="FE32" i="4"/>
  <c r="AM44" i="4"/>
  <c r="AM57" i="4"/>
  <c r="AM58" i="4"/>
  <c r="FA306" i="4"/>
  <c r="FA323" i="4" s="1"/>
  <c r="AS33" i="4"/>
  <c r="AS43" i="4"/>
  <c r="FD47" i="4" s="1"/>
  <c r="AS39" i="4"/>
  <c r="FC45" i="4"/>
  <c r="FJ54" i="4"/>
  <c r="FJ55" i="4"/>
  <c r="FD32" i="4"/>
  <c r="FC33" i="4"/>
  <c r="FC43" i="4"/>
  <c r="FC39" i="4"/>
  <c r="CU30" i="9" l="1"/>
  <c r="FG30" i="9" s="1"/>
  <c r="FG35" i="9"/>
  <c r="CS27" i="9"/>
  <c r="CY32" i="9" s="1"/>
  <c r="CT26" i="9"/>
  <c r="CY36" i="9"/>
  <c r="CY35" i="9" s="1"/>
  <c r="CY30" i="9" s="1"/>
  <c r="FV326" i="4"/>
  <c r="U141" i="5"/>
  <c r="FV327" i="4"/>
  <c r="DY162" i="4"/>
  <c r="DY165" i="4" s="1"/>
  <c r="FR18" i="4"/>
  <c r="R13" i="5" s="1"/>
  <c r="I51" i="5"/>
  <c r="FV314" i="4"/>
  <c r="V135" i="5" s="1"/>
  <c r="FW242" i="4"/>
  <c r="FT256" i="4"/>
  <c r="FT260" i="4" s="1"/>
  <c r="EK260" i="4"/>
  <c r="O58" i="4"/>
  <c r="O57" i="4"/>
  <c r="O44" i="4"/>
  <c r="DS249" i="4"/>
  <c r="FQ249" i="4" s="1"/>
  <c r="DS250" i="4"/>
  <c r="FQ250" i="4" s="1"/>
  <c r="DR285" i="4"/>
  <c r="DS262" i="4"/>
  <c r="T165" i="5"/>
  <c r="FF357" i="4"/>
  <c r="BE32" i="4"/>
  <c r="BE43" i="4" s="1"/>
  <c r="BE44" i="4" s="1"/>
  <c r="FA347" i="4"/>
  <c r="FA352" i="4" s="1"/>
  <c r="FA357" i="4"/>
  <c r="CT25" i="9"/>
  <c r="L300" i="5"/>
  <c r="DK266" i="4"/>
  <c r="N300" i="5"/>
  <c r="N292" i="5"/>
  <c r="M292" i="5"/>
  <c r="M291" i="5"/>
  <c r="K300" i="5"/>
  <c r="L290" i="5"/>
  <c r="K292" i="5"/>
  <c r="L292" i="5"/>
  <c r="M290" i="5"/>
  <c r="N290" i="5"/>
  <c r="O290" i="5"/>
  <c r="S165" i="5"/>
  <c r="FU328" i="4"/>
  <c r="FV328" i="4" s="1"/>
  <c r="L199" i="5"/>
  <c r="L293" i="5"/>
  <c r="L294" i="5" s="1"/>
  <c r="O291" i="5"/>
  <c r="O292" i="5"/>
  <c r="O300" i="5"/>
  <c r="M219" i="5"/>
  <c r="M293" i="5"/>
  <c r="M294" i="5" s="1"/>
  <c r="DJ57" i="4"/>
  <c r="DJ366" i="4"/>
  <c r="DJ44" i="4"/>
  <c r="DJ58" i="4"/>
  <c r="FM32" i="4"/>
  <c r="FM199" i="4" s="1"/>
  <c r="FM25" i="4"/>
  <c r="FO32" i="4"/>
  <c r="FO199" i="4" s="1"/>
  <c r="FM202" i="4"/>
  <c r="L232" i="5"/>
  <c r="I219" i="5"/>
  <c r="M232" i="5"/>
  <c r="I232" i="5"/>
  <c r="I236" i="5" s="1"/>
  <c r="I200" i="5" s="1"/>
  <c r="I199" i="5"/>
  <c r="R109" i="5"/>
  <c r="R114" i="5" s="1"/>
  <c r="Q109" i="5"/>
  <c r="Q114" i="5" s="1"/>
  <c r="I17" i="5"/>
  <c r="I184" i="5" s="1"/>
  <c r="FN25" i="4"/>
  <c r="FL33" i="4"/>
  <c r="FL43" i="4"/>
  <c r="FL366" i="4" s="1"/>
  <c r="FN32" i="4"/>
  <c r="FN199" i="4" s="1"/>
  <c r="M199" i="5"/>
  <c r="M35" i="5"/>
  <c r="N15" i="5"/>
  <c r="M17" i="5"/>
  <c r="FO25" i="4"/>
  <c r="K15" i="5"/>
  <c r="K232" i="5" s="1"/>
  <c r="K236" i="5" s="1"/>
  <c r="FK202" i="4"/>
  <c r="CC191" i="4"/>
  <c r="FJ190" i="4"/>
  <c r="FJ191" i="4" s="1"/>
  <c r="K193" i="5"/>
  <c r="K205" i="5" s="1"/>
  <c r="K188" i="5"/>
  <c r="K181" i="5"/>
  <c r="FG347" i="4"/>
  <c r="FG352" i="4" s="1"/>
  <c r="G137" i="5"/>
  <c r="FG357" i="4"/>
  <c r="FI188" i="4"/>
  <c r="FI193" i="4"/>
  <c r="H15" i="5"/>
  <c r="I211" i="5" s="1"/>
  <c r="FH202" i="4"/>
  <c r="O15" i="5"/>
  <c r="FO202" i="4"/>
  <c r="CI188" i="4"/>
  <c r="FK187" i="4"/>
  <c r="FJ188" i="4"/>
  <c r="L20" i="5"/>
  <c r="FL199" i="4"/>
  <c r="L219" i="5"/>
  <c r="CI190" i="4"/>
  <c r="M211" i="5"/>
  <c r="J15" i="5"/>
  <c r="J232" i="5" s="1"/>
  <c r="J236" i="5" s="1"/>
  <c r="J200" i="5" s="1"/>
  <c r="FJ202" i="4"/>
  <c r="L35" i="5"/>
  <c r="FJ357" i="4"/>
  <c r="J137" i="5"/>
  <c r="L17" i="5"/>
  <c r="H34" i="5"/>
  <c r="H218" i="5"/>
  <c r="M34" i="5"/>
  <c r="M218" i="5"/>
  <c r="N34" i="5"/>
  <c r="N218" i="5"/>
  <c r="O34" i="5"/>
  <c r="O218" i="5"/>
  <c r="L34" i="5"/>
  <c r="L218" i="5"/>
  <c r="K34" i="5"/>
  <c r="K218" i="5"/>
  <c r="J34" i="5"/>
  <c r="J218" i="5"/>
  <c r="G34" i="5"/>
  <c r="G218" i="5"/>
  <c r="DI366" i="4"/>
  <c r="DI58" i="4"/>
  <c r="DI44" i="4"/>
  <c r="DI57" i="4"/>
  <c r="FO254" i="4"/>
  <c r="FO273" i="4" s="1"/>
  <c r="O105" i="5"/>
  <c r="O107" i="5" s="1"/>
  <c r="O116" i="5" s="1"/>
  <c r="O118" i="5" s="1"/>
  <c r="O180" i="5" s="1"/>
  <c r="G15" i="5"/>
  <c r="CZ347" i="4"/>
  <c r="CZ357" i="4"/>
  <c r="I20" i="5"/>
  <c r="BS347" i="4"/>
  <c r="BS357" i="4"/>
  <c r="CL347" i="4"/>
  <c r="CL357" i="4"/>
  <c r="CQ347" i="4"/>
  <c r="CQ357" i="4"/>
  <c r="CC347" i="4"/>
  <c r="CC357" i="4"/>
  <c r="BN347" i="4"/>
  <c r="BN357" i="4"/>
  <c r="AK265" i="4"/>
  <c r="AK264" i="4" s="1"/>
  <c r="FB57" i="4"/>
  <c r="FB58" i="4"/>
  <c r="FB44" i="4"/>
  <c r="FJ347" i="4"/>
  <c r="FH306" i="4"/>
  <c r="FH323" i="4" s="1"/>
  <c r="BQ323" i="4"/>
  <c r="FI306" i="4"/>
  <c r="FI323" i="4" s="1"/>
  <c r="BW323" i="4"/>
  <c r="BH351" i="4"/>
  <c r="BH352" i="4" s="1"/>
  <c r="BG353" i="4"/>
  <c r="FL306" i="4"/>
  <c r="FL323" i="4" s="1"/>
  <c r="CO323" i="4"/>
  <c r="FB47" i="4"/>
  <c r="AG57" i="4"/>
  <c r="AG44" i="4"/>
  <c r="AG58" i="4"/>
  <c r="AG306" i="4"/>
  <c r="AG323" i="4" s="1"/>
  <c r="FO318" i="4"/>
  <c r="DG323" i="4"/>
  <c r="FN318" i="4"/>
  <c r="DA323" i="4"/>
  <c r="FM318" i="4"/>
  <c r="CU323" i="4"/>
  <c r="DG254" i="4"/>
  <c r="DG273" i="4" s="1"/>
  <c r="DF273" i="4"/>
  <c r="DI254" i="4"/>
  <c r="FG25" i="4"/>
  <c r="FG32" i="4"/>
  <c r="FG199" i="4" s="1"/>
  <c r="AE352" i="4"/>
  <c r="AF351" i="4" s="1"/>
  <c r="AF352" i="4" s="1"/>
  <c r="AI351" i="4" s="1"/>
  <c r="AI352" i="4" s="1"/>
  <c r="AJ351" i="4" s="1"/>
  <c r="AJ352" i="4" s="1"/>
  <c r="AK351" i="4" s="1"/>
  <c r="AK352" i="4" s="1"/>
  <c r="AL351" i="4" s="1"/>
  <c r="FE306" i="4"/>
  <c r="FE323" i="4" s="1"/>
  <c r="FA43" i="4"/>
  <c r="FA39" i="4"/>
  <c r="FA33" i="4"/>
  <c r="AS306" i="4"/>
  <c r="AS323" i="4" s="1"/>
  <c r="X352" i="4"/>
  <c r="Y351" i="4" s="1"/>
  <c r="Y352" i="4" s="1"/>
  <c r="Z351" i="4" s="1"/>
  <c r="FJ32" i="4"/>
  <c r="FJ25" i="4"/>
  <c r="AP265" i="4"/>
  <c r="AO264" i="4"/>
  <c r="X264" i="4"/>
  <c r="Y265" i="4"/>
  <c r="Y264" i="4" s="1"/>
  <c r="AC264" i="4"/>
  <c r="AD265" i="4"/>
  <c r="AC351" i="4"/>
  <c r="AG351" i="4" s="1"/>
  <c r="FB351" i="4" s="1"/>
  <c r="FG54" i="4"/>
  <c r="T306" i="4"/>
  <c r="T323" i="4" s="1"/>
  <c r="FF348" i="4"/>
  <c r="FF349" i="4" s="1"/>
  <c r="CS266" i="4"/>
  <c r="FC306" i="4"/>
  <c r="FC323" i="4" s="1"/>
  <c r="L352" i="4"/>
  <c r="M351" i="4" s="1"/>
  <c r="M352" i="4" s="1"/>
  <c r="N351" i="4" s="1"/>
  <c r="FH25" i="4"/>
  <c r="FH32" i="4"/>
  <c r="FH199" i="4" s="1"/>
  <c r="FI43" i="4"/>
  <c r="FI33" i="4"/>
  <c r="FI39" i="4"/>
  <c r="FK25" i="4"/>
  <c r="FK32" i="4"/>
  <c r="FK199" i="4" s="1"/>
  <c r="FE348" i="4"/>
  <c r="EY54" i="4"/>
  <c r="EY55" i="4"/>
  <c r="EY46" i="4"/>
  <c r="EY44" i="4"/>
  <c r="EY58" i="4"/>
  <c r="EY57" i="4"/>
  <c r="FD33" i="4"/>
  <c r="FD43" i="4"/>
  <c r="FD39" i="4"/>
  <c r="FF33" i="4"/>
  <c r="FF43" i="4"/>
  <c r="FF39" i="4"/>
  <c r="AS44" i="4"/>
  <c r="AS57" i="4"/>
  <c r="AS58" i="4"/>
  <c r="FE33" i="4"/>
  <c r="FE39" i="4"/>
  <c r="FE43" i="4"/>
  <c r="FD45" i="4"/>
  <c r="FC55" i="4"/>
  <c r="FC46" i="4"/>
  <c r="FC54" i="4"/>
  <c r="FC44" i="4"/>
  <c r="FC58" i="4"/>
  <c r="FC57" i="4"/>
  <c r="FF45" i="4"/>
  <c r="FE45" i="4"/>
  <c r="AY44" i="4"/>
  <c r="AY58" i="4"/>
  <c r="AY57" i="4"/>
  <c r="FW327" i="4" l="1"/>
  <c r="FX327" i="4" s="1"/>
  <c r="V139" i="5"/>
  <c r="FW326" i="4"/>
  <c r="FX326" i="4" s="1"/>
  <c r="V141" i="5"/>
  <c r="V165" i="5" s="1"/>
  <c r="I221" i="5"/>
  <c r="I41" i="5"/>
  <c r="I248" i="5" s="1"/>
  <c r="L38" i="5"/>
  <c r="L41" i="5"/>
  <c r="L248" i="5" s="1"/>
  <c r="CT27" i="9"/>
  <c r="CZ32" i="9" s="1"/>
  <c r="CU26" i="9"/>
  <c r="FG26" i="9" s="1"/>
  <c r="CZ36" i="9"/>
  <c r="CZ35" i="9" s="1"/>
  <c r="CZ30" i="9" s="1"/>
  <c r="CW26" i="9"/>
  <c r="U139" i="5"/>
  <c r="U165" i="5"/>
  <c r="EA285" i="4"/>
  <c r="K51" i="5"/>
  <c r="FR162" i="4"/>
  <c r="DY169" i="4"/>
  <c r="DW191" i="4"/>
  <c r="DW285" i="4"/>
  <c r="DW321" i="4"/>
  <c r="DW322" i="4" s="1"/>
  <c r="M236" i="5"/>
  <c r="M200" i="5" s="1"/>
  <c r="L236" i="5"/>
  <c r="L200" i="5" s="1"/>
  <c r="FW314" i="4"/>
  <c r="FX242" i="4"/>
  <c r="FX314" i="4" s="1"/>
  <c r="EK243" i="4"/>
  <c r="FT243" i="4" s="1"/>
  <c r="FU243" i="4" s="1"/>
  <c r="FV243" i="4" s="1"/>
  <c r="FW243" i="4" s="1"/>
  <c r="FX243" i="4" s="1"/>
  <c r="K313" i="5"/>
  <c r="DV285" i="4"/>
  <c r="BE57" i="4"/>
  <c r="FQ262" i="4"/>
  <c r="DS285" i="4"/>
  <c r="FQ285" i="4" s="1"/>
  <c r="DR290" i="4"/>
  <c r="DR295" i="4"/>
  <c r="DS248" i="4"/>
  <c r="DR272" i="4"/>
  <c r="BE58" i="4"/>
  <c r="BE39" i="4"/>
  <c r="BE33" i="4"/>
  <c r="FC347" i="4"/>
  <c r="FC357" i="4"/>
  <c r="FE347" i="4"/>
  <c r="FE349" i="4" s="1"/>
  <c r="FE357" i="4"/>
  <c r="CW25" i="9"/>
  <c r="CU25" i="9"/>
  <c r="DL266" i="4"/>
  <c r="DK254" i="4"/>
  <c r="DK273" i="4" s="1"/>
  <c r="DL254" i="4"/>
  <c r="O293" i="5"/>
  <c r="O294" i="5" s="1"/>
  <c r="FO33" i="4"/>
  <c r="FW328" i="4"/>
  <c r="FX328" i="4" s="1"/>
  <c r="S109" i="5"/>
  <c r="S114" i="5" s="1"/>
  <c r="T109" i="5"/>
  <c r="T114" i="5" s="1"/>
  <c r="L185" i="5"/>
  <c r="L311" i="5" s="1"/>
  <c r="M306" i="5"/>
  <c r="N219" i="5"/>
  <c r="N293" i="5"/>
  <c r="N294" i="5" s="1"/>
  <c r="K185" i="5"/>
  <c r="K311" i="5" s="1"/>
  <c r="L306" i="5"/>
  <c r="FM43" i="4"/>
  <c r="FM58" i="4" s="1"/>
  <c r="M28" i="5" s="1"/>
  <c r="FM33" i="4"/>
  <c r="L211" i="5"/>
  <c r="K293" i="5"/>
  <c r="K294" i="5" s="1"/>
  <c r="O20" i="5"/>
  <c r="FO39" i="4"/>
  <c r="M20" i="5"/>
  <c r="FO43" i="4"/>
  <c r="K219" i="5"/>
  <c r="M202" i="5"/>
  <c r="M220" i="5"/>
  <c r="O199" i="5"/>
  <c r="I37" i="5"/>
  <c r="I202" i="5"/>
  <c r="I220" i="5"/>
  <c r="FL44" i="4"/>
  <c r="FL58" i="4"/>
  <c r="L28" i="5" s="1"/>
  <c r="FN43" i="4"/>
  <c r="N24" i="5" s="1"/>
  <c r="FL57" i="4"/>
  <c r="L27" i="5" s="1"/>
  <c r="FN323" i="4"/>
  <c r="FN347" i="4" s="1"/>
  <c r="N136" i="5"/>
  <c r="L24" i="5"/>
  <c r="FM323" i="4"/>
  <c r="FM347" i="4" s="1"/>
  <c r="M136" i="5"/>
  <c r="FO323" i="4"/>
  <c r="FO347" i="4" s="1"/>
  <c r="O136" i="5"/>
  <c r="M37" i="5"/>
  <c r="N199" i="5"/>
  <c r="H185" i="5"/>
  <c r="M212" i="5"/>
  <c r="N20" i="5"/>
  <c r="N211" i="5"/>
  <c r="FN33" i="4"/>
  <c r="N35" i="5"/>
  <c r="N17" i="5"/>
  <c r="H232" i="5"/>
  <c r="H236" i="5" s="1"/>
  <c r="H200" i="5" s="1"/>
  <c r="H17" i="5"/>
  <c r="I212" i="5" s="1"/>
  <c r="N232" i="5"/>
  <c r="H199" i="5"/>
  <c r="K17" i="5"/>
  <c r="M184" i="5"/>
  <c r="O211" i="5"/>
  <c r="O232" i="5"/>
  <c r="O219" i="5"/>
  <c r="FJ193" i="4"/>
  <c r="J35" i="5"/>
  <c r="H35" i="5"/>
  <c r="J17" i="5"/>
  <c r="J212" i="5" s="1"/>
  <c r="L184" i="5"/>
  <c r="L221" i="5"/>
  <c r="L37" i="5"/>
  <c r="L220" i="5"/>
  <c r="L202" i="5"/>
  <c r="J199" i="5"/>
  <c r="J219" i="5"/>
  <c r="G164" i="5"/>
  <c r="G167" i="5" s="1"/>
  <c r="G153" i="5"/>
  <c r="G156" i="5" s="1"/>
  <c r="FI347" i="4"/>
  <c r="FI352" i="4" s="1"/>
  <c r="FI357" i="4"/>
  <c r="I137" i="5"/>
  <c r="FK188" i="4"/>
  <c r="FH347" i="4"/>
  <c r="FH357" i="4"/>
  <c r="H137" i="5"/>
  <c r="K35" i="5"/>
  <c r="J211" i="5"/>
  <c r="CI191" i="4"/>
  <c r="FK190" i="4"/>
  <c r="FK191" i="4" s="1"/>
  <c r="I24" i="5"/>
  <c r="I222" i="5" s="1"/>
  <c r="FI366" i="4"/>
  <c r="J20" i="5"/>
  <c r="FJ199" i="4"/>
  <c r="O17" i="5"/>
  <c r="K199" i="5"/>
  <c r="J164" i="5"/>
  <c r="J167" i="5" s="1"/>
  <c r="J188" i="5" s="1"/>
  <c r="J153" i="5"/>
  <c r="J256" i="5" s="1"/>
  <c r="FL347" i="4"/>
  <c r="L137" i="5"/>
  <c r="FL357" i="4"/>
  <c r="O35" i="5"/>
  <c r="K200" i="5"/>
  <c r="K211" i="5"/>
  <c r="H219" i="5"/>
  <c r="G219" i="5"/>
  <c r="G232" i="5"/>
  <c r="G236" i="5" s="1"/>
  <c r="G200" i="5" s="1"/>
  <c r="H211" i="5"/>
  <c r="G17" i="5"/>
  <c r="G199" i="5"/>
  <c r="FO268" i="4"/>
  <c r="FO270" i="4" s="1"/>
  <c r="DG347" i="4"/>
  <c r="DG357" i="4"/>
  <c r="I38" i="5"/>
  <c r="BW347" i="4"/>
  <c r="BW357" i="4"/>
  <c r="K20" i="5"/>
  <c r="BQ347" i="4"/>
  <c r="BQ357" i="4"/>
  <c r="G35" i="5"/>
  <c r="G20" i="5"/>
  <c r="DA347" i="4"/>
  <c r="DA357" i="4"/>
  <c r="H20" i="5"/>
  <c r="CU347" i="4"/>
  <c r="CU357" i="4"/>
  <c r="CO347" i="4"/>
  <c r="CO357" i="4"/>
  <c r="BI351" i="4"/>
  <c r="BI352" i="4" s="1"/>
  <c r="BH353" i="4"/>
  <c r="FB306" i="4"/>
  <c r="FB323" i="4" s="1"/>
  <c r="FG43" i="4"/>
  <c r="FG366" i="4" s="1"/>
  <c r="FG39" i="4"/>
  <c r="DI268" i="4"/>
  <c r="DI273" i="4"/>
  <c r="DJ254" i="4"/>
  <c r="DJ273" i="4" s="1"/>
  <c r="AL352" i="4"/>
  <c r="FG33" i="4"/>
  <c r="AM351" i="4"/>
  <c r="FC351" i="4" s="1"/>
  <c r="FA57" i="4"/>
  <c r="FA58" i="4"/>
  <c r="FA44" i="4"/>
  <c r="FD348" i="4"/>
  <c r="FD306" i="4"/>
  <c r="FD323" i="4" s="1"/>
  <c r="FG55" i="4"/>
  <c r="Z352" i="4"/>
  <c r="FJ39" i="4"/>
  <c r="FJ33" i="4"/>
  <c r="FJ43" i="4"/>
  <c r="S352" i="4"/>
  <c r="T351" i="4" s="1"/>
  <c r="AD264" i="4"/>
  <c r="AE265" i="4"/>
  <c r="AE264" i="4" s="1"/>
  <c r="AP264" i="4"/>
  <c r="AQ265" i="4"/>
  <c r="AQ264" i="4" s="1"/>
  <c r="N352" i="4"/>
  <c r="BS352" i="4"/>
  <c r="FL54" i="4"/>
  <c r="FL55" i="4"/>
  <c r="FH33" i="4"/>
  <c r="FH39" i="4"/>
  <c r="FH43" i="4"/>
  <c r="FI58" i="4"/>
  <c r="FI44" i="4"/>
  <c r="FI57" i="4"/>
  <c r="I27" i="5" s="1"/>
  <c r="FK33" i="4"/>
  <c r="FK43" i="4"/>
  <c r="FK39" i="4"/>
  <c r="FI54" i="4"/>
  <c r="FI55" i="4"/>
  <c r="FD54" i="4"/>
  <c r="FD55" i="4"/>
  <c r="FD46" i="4"/>
  <c r="FD58" i="4"/>
  <c r="FD44" i="4"/>
  <c r="FD57" i="4"/>
  <c r="FE44" i="4"/>
  <c r="FE57" i="4"/>
  <c r="FE58" i="4"/>
  <c r="AA352" i="4"/>
  <c r="FA348" i="4"/>
  <c r="FA349" i="4" s="1"/>
  <c r="FF44" i="4"/>
  <c r="FF57" i="4"/>
  <c r="FF58" i="4"/>
  <c r="FF46" i="4"/>
  <c r="FF54" i="4"/>
  <c r="FF55" i="4"/>
  <c r="FE54" i="4"/>
  <c r="FE55" i="4"/>
  <c r="FE46" i="4"/>
  <c r="M221" i="5" l="1"/>
  <c r="M41" i="5"/>
  <c r="M248" i="5" s="1"/>
  <c r="K221" i="5"/>
  <c r="K41" i="5"/>
  <c r="K248" i="5" s="1"/>
  <c r="O221" i="5"/>
  <c r="O41" i="5"/>
  <c r="O248" i="5" s="1"/>
  <c r="H221" i="5"/>
  <c r="H41" i="5"/>
  <c r="H248" i="5" s="1"/>
  <c r="J221" i="5"/>
  <c r="J41" i="5"/>
  <c r="J248" i="5" s="1"/>
  <c r="N221" i="5"/>
  <c r="N41" i="5"/>
  <c r="N248" i="5" s="1"/>
  <c r="G221" i="5"/>
  <c r="G41" i="5"/>
  <c r="G248" i="5" s="1"/>
  <c r="CU27" i="9"/>
  <c r="DA32" i="9" s="1"/>
  <c r="CW27" i="9"/>
  <c r="DC32" i="9" s="1"/>
  <c r="CX26" i="9"/>
  <c r="DC36" i="9"/>
  <c r="DA36" i="9"/>
  <c r="FR169" i="4"/>
  <c r="FR164" i="4"/>
  <c r="EA272" i="4"/>
  <c r="EA290" i="4"/>
  <c r="EA295" i="4"/>
  <c r="DV272" i="4"/>
  <c r="DY249" i="4"/>
  <c r="FR249" i="4" s="1"/>
  <c r="L51" i="5"/>
  <c r="DW290" i="4"/>
  <c r="DW295" i="4"/>
  <c r="DX191" i="4"/>
  <c r="N236" i="5"/>
  <c r="N200" i="5" s="1"/>
  <c r="O236" i="5"/>
  <c r="O200" i="5" s="1"/>
  <c r="DP266" i="4"/>
  <c r="DO266" i="4"/>
  <c r="FQ248" i="4"/>
  <c r="DS272" i="4"/>
  <c r="DS253" i="4"/>
  <c r="FQ253" i="4" s="1"/>
  <c r="FD357" i="4"/>
  <c r="FD347" i="4"/>
  <c r="FD349" i="4" s="1"/>
  <c r="FB347" i="4"/>
  <c r="FB352" i="4" s="1"/>
  <c r="FB357" i="4"/>
  <c r="FG25" i="9"/>
  <c r="CX25" i="9"/>
  <c r="DL268" i="4"/>
  <c r="DL270" i="4" s="1"/>
  <c r="DK268" i="4"/>
  <c r="DK270" i="4" s="1"/>
  <c r="M295" i="5"/>
  <c r="L298" i="5"/>
  <c r="M24" i="5"/>
  <c r="L295" i="5"/>
  <c r="FM44" i="4"/>
  <c r="O38" i="5"/>
  <c r="U109" i="5"/>
  <c r="U114" i="5" s="1"/>
  <c r="FM366" i="4"/>
  <c r="FM57" i="4"/>
  <c r="M27" i="5" s="1"/>
  <c r="N212" i="5"/>
  <c r="N306" i="5"/>
  <c r="L222" i="5"/>
  <c r="O37" i="5"/>
  <c r="O306" i="5"/>
  <c r="K37" i="5"/>
  <c r="K306" i="5"/>
  <c r="FO366" i="4"/>
  <c r="O24" i="5"/>
  <c r="FO57" i="4"/>
  <c r="O27" i="5" s="1"/>
  <c r="FO44" i="4"/>
  <c r="FO58" i="4"/>
  <c r="M38" i="5"/>
  <c r="N137" i="5"/>
  <c r="FN357" i="4"/>
  <c r="FN58" i="4"/>
  <c r="N28" i="5" s="1"/>
  <c r="N220" i="5"/>
  <c r="L39" i="5"/>
  <c r="L129" i="5"/>
  <c r="L133" i="5" s="1"/>
  <c r="O137" i="5"/>
  <c r="L201" i="5"/>
  <c r="N184" i="5"/>
  <c r="FO357" i="4"/>
  <c r="N39" i="5"/>
  <c r="FN57" i="4"/>
  <c r="N27" i="5" s="1"/>
  <c r="FN44" i="4"/>
  <c r="N37" i="5"/>
  <c r="N202" i="5"/>
  <c r="FN366" i="4"/>
  <c r="J220" i="5"/>
  <c r="FM357" i="4"/>
  <c r="J202" i="5"/>
  <c r="M137" i="5"/>
  <c r="H184" i="5"/>
  <c r="G185" i="5"/>
  <c r="N185" i="5"/>
  <c r="N311" i="5" s="1"/>
  <c r="O202" i="5"/>
  <c r="O184" i="5"/>
  <c r="J184" i="5"/>
  <c r="O212" i="5"/>
  <c r="J37" i="5"/>
  <c r="N38" i="5"/>
  <c r="H212" i="5"/>
  <c r="H203" i="5"/>
  <c r="O220" i="5"/>
  <c r="H37" i="5"/>
  <c r="N201" i="5"/>
  <c r="H202" i="5"/>
  <c r="M185" i="5"/>
  <c r="M311" i="5" s="1"/>
  <c r="K203" i="5"/>
  <c r="N222" i="5"/>
  <c r="L212" i="5"/>
  <c r="K220" i="5"/>
  <c r="K202" i="5"/>
  <c r="K184" i="5"/>
  <c r="J185" i="5"/>
  <c r="H220" i="5"/>
  <c r="I201" i="5"/>
  <c r="N129" i="5"/>
  <c r="J203" i="5"/>
  <c r="FK193" i="4"/>
  <c r="I185" i="5"/>
  <c r="K212" i="5"/>
  <c r="I129" i="5"/>
  <c r="I133" i="5" s="1"/>
  <c r="I39" i="5"/>
  <c r="L164" i="5"/>
  <c r="L167" i="5" s="1"/>
  <c r="L153" i="5"/>
  <c r="L256" i="5" s="1"/>
  <c r="L203" i="5"/>
  <c r="I164" i="5"/>
  <c r="I167" i="5" s="1"/>
  <c r="I153" i="5"/>
  <c r="I203" i="5"/>
  <c r="K24" i="5"/>
  <c r="K129" i="5" s="1"/>
  <c r="K133" i="5" s="1"/>
  <c r="FK366" i="4"/>
  <c r="J38" i="5"/>
  <c r="J193" i="5"/>
  <c r="J205" i="5" s="1"/>
  <c r="J181" i="5"/>
  <c r="K214" i="5"/>
  <c r="H164" i="5"/>
  <c r="H167" i="5" s="1"/>
  <c r="H153" i="5"/>
  <c r="H256" i="5" s="1"/>
  <c r="H24" i="5"/>
  <c r="H129" i="5" s="1"/>
  <c r="H133" i="5" s="1"/>
  <c r="FH366" i="4"/>
  <c r="J24" i="5"/>
  <c r="J39" i="5" s="1"/>
  <c r="FJ366" i="4"/>
  <c r="G188" i="5"/>
  <c r="G181" i="5"/>
  <c r="G193" i="5"/>
  <c r="G205" i="5" s="1"/>
  <c r="G37" i="5"/>
  <c r="L206" i="5"/>
  <c r="M213" i="5"/>
  <c r="M206" i="5"/>
  <c r="G203" i="5"/>
  <c r="G220" i="5"/>
  <c r="M191" i="5"/>
  <c r="L179" i="5"/>
  <c r="L309" i="5" s="1"/>
  <c r="M178" i="5"/>
  <c r="K179" i="5"/>
  <c r="K309" i="5" s="1"/>
  <c r="L178" i="5"/>
  <c r="L191" i="5"/>
  <c r="G202" i="5"/>
  <c r="G184" i="5"/>
  <c r="H38" i="5"/>
  <c r="K38" i="5"/>
  <c r="G38" i="5"/>
  <c r="G24" i="5"/>
  <c r="G222" i="5" s="1"/>
  <c r="I28" i="5"/>
  <c r="BT351" i="4"/>
  <c r="BT352" i="4" s="1"/>
  <c r="BS353" i="4"/>
  <c r="BJ351" i="4"/>
  <c r="BJ352" i="4" s="1"/>
  <c r="BI353" i="4"/>
  <c r="FG57" i="4"/>
  <c r="G27" i="5" s="1"/>
  <c r="FG58" i="4"/>
  <c r="FG44" i="4"/>
  <c r="DM251" i="4"/>
  <c r="FP251" i="4" s="1"/>
  <c r="P105" i="5" s="1"/>
  <c r="FC352" i="4"/>
  <c r="FJ44" i="4"/>
  <c r="FJ58" i="4"/>
  <c r="FJ57" i="4"/>
  <c r="J27" i="5" s="1"/>
  <c r="T352" i="4"/>
  <c r="BK352" i="4"/>
  <c r="BK353" i="4" s="1"/>
  <c r="FC348" i="4"/>
  <c r="FC349" i="4" s="1"/>
  <c r="AM352" i="4"/>
  <c r="AO351" i="4" s="1"/>
  <c r="FK44" i="4"/>
  <c r="FK58" i="4"/>
  <c r="K28" i="5" s="1"/>
  <c r="K295" i="5" s="1"/>
  <c r="FK57" i="4"/>
  <c r="K27" i="5" s="1"/>
  <c r="FH44" i="4"/>
  <c r="FH57" i="4"/>
  <c r="H27" i="5" s="1"/>
  <c r="FH58" i="4"/>
  <c r="FH54" i="4"/>
  <c r="FH55" i="4"/>
  <c r="FK54" i="4"/>
  <c r="FK55" i="4"/>
  <c r="DA31" i="9" l="1"/>
  <c r="FH31" i="9" s="1"/>
  <c r="FH36" i="9"/>
  <c r="DA35" i="9"/>
  <c r="CX27" i="9"/>
  <c r="DD32" i="9" s="1"/>
  <c r="DC35" i="9"/>
  <c r="DC30" i="9" s="1"/>
  <c r="CY26" i="9"/>
  <c r="DD36" i="9"/>
  <c r="DD35" i="9" s="1"/>
  <c r="DD30" i="9" s="1"/>
  <c r="EE249" i="4"/>
  <c r="FS249" i="4" s="1"/>
  <c r="DX272" i="4"/>
  <c r="M51" i="5"/>
  <c r="DW272" i="4"/>
  <c r="DQ266" i="4"/>
  <c r="FQ272" i="4"/>
  <c r="Q102" i="5"/>
  <c r="Q122" i="5"/>
  <c r="DS252" i="4"/>
  <c r="FQ252" i="4" s="1"/>
  <c r="Q104" i="5" s="1"/>
  <c r="DS265" i="4"/>
  <c r="FQ265" i="4" s="1"/>
  <c r="FO59" i="4"/>
  <c r="FG27" i="9"/>
  <c r="FG32" i="9" s="1"/>
  <c r="CY25" i="9"/>
  <c r="DP254" i="4"/>
  <c r="DP268" i="4" s="1"/>
  <c r="M222" i="5"/>
  <c r="M39" i="5"/>
  <c r="M129" i="5"/>
  <c r="M133" i="5" s="1"/>
  <c r="M201" i="5"/>
  <c r="Q106" i="5"/>
  <c r="FU260" i="4"/>
  <c r="V109" i="5"/>
  <c r="V114" i="5" s="1"/>
  <c r="N191" i="5"/>
  <c r="N295" i="5"/>
  <c r="N203" i="5"/>
  <c r="N298" i="5"/>
  <c r="M164" i="5"/>
  <c r="M167" i="5" s="1"/>
  <c r="M214" i="5" s="1"/>
  <c r="M298" i="5"/>
  <c r="O203" i="5"/>
  <c r="O298" i="5"/>
  <c r="O201" i="5"/>
  <c r="M179" i="5"/>
  <c r="M309" i="5" s="1"/>
  <c r="O28" i="5"/>
  <c r="O129" i="5"/>
  <c r="O133" i="5" s="1"/>
  <c r="O222" i="5"/>
  <c r="O39" i="5"/>
  <c r="N213" i="5"/>
  <c r="N164" i="5"/>
  <c r="N167" i="5" s="1"/>
  <c r="N181" i="5" s="1"/>
  <c r="N153" i="5"/>
  <c r="N256" i="5" s="1"/>
  <c r="N133" i="5"/>
  <c r="N178" i="5"/>
  <c r="N206" i="5"/>
  <c r="I156" i="5"/>
  <c r="I256" i="5"/>
  <c r="O153" i="5"/>
  <c r="O256" i="5" s="1"/>
  <c r="O164" i="5"/>
  <c r="O167" i="5" s="1"/>
  <c r="M203" i="5"/>
  <c r="M153" i="5"/>
  <c r="M256" i="5" s="1"/>
  <c r="J201" i="5"/>
  <c r="H201" i="5"/>
  <c r="K39" i="5"/>
  <c r="K222" i="5"/>
  <c r="J222" i="5"/>
  <c r="H222" i="5"/>
  <c r="K201" i="5"/>
  <c r="H39" i="5"/>
  <c r="I214" i="5"/>
  <c r="I193" i="5"/>
  <c r="I205" i="5" s="1"/>
  <c r="I181" i="5"/>
  <c r="I188" i="5"/>
  <c r="J214" i="5"/>
  <c r="J129" i="5"/>
  <c r="H214" i="5"/>
  <c r="H193" i="5"/>
  <c r="H205" i="5" s="1"/>
  <c r="H188" i="5"/>
  <c r="H181" i="5"/>
  <c r="L214" i="5"/>
  <c r="L193" i="5"/>
  <c r="L205" i="5" s="1"/>
  <c r="L181" i="5"/>
  <c r="L188" i="5"/>
  <c r="I206" i="5"/>
  <c r="K206" i="5"/>
  <c r="L213" i="5"/>
  <c r="I178" i="5"/>
  <c r="H179" i="5"/>
  <c r="I191" i="5"/>
  <c r="J179" i="5"/>
  <c r="K191" i="5"/>
  <c r="K178" i="5"/>
  <c r="G39" i="5"/>
  <c r="G129" i="5"/>
  <c r="G133" i="5" s="1"/>
  <c r="H28" i="5"/>
  <c r="I213" i="5" s="1"/>
  <c r="J28" i="5"/>
  <c r="G28" i="5"/>
  <c r="G206" i="5" s="1"/>
  <c r="BM351" i="4"/>
  <c r="BJ353" i="4"/>
  <c r="BU351" i="4"/>
  <c r="BU352" i="4" s="1"/>
  <c r="BT353" i="4"/>
  <c r="FB348" i="4"/>
  <c r="FB349" i="4" s="1"/>
  <c r="AG352" i="4"/>
  <c r="BW352" i="4"/>
  <c r="BW353" i="4" s="1"/>
  <c r="CE352" i="4"/>
  <c r="CI351" i="4"/>
  <c r="FK351" i="4" s="1"/>
  <c r="CQ268" i="4"/>
  <c r="CQ270" i="4" s="1"/>
  <c r="AS351" i="4"/>
  <c r="AO352" i="4"/>
  <c r="AP351" i="4" s="1"/>
  <c r="AP352" i="4" s="1"/>
  <c r="AQ351" i="4" s="1"/>
  <c r="AQ352" i="4" s="1"/>
  <c r="AR351" i="4" s="1"/>
  <c r="AR352" i="4" s="1"/>
  <c r="CY27" i="9" l="1"/>
  <c r="DE32" i="9" s="1"/>
  <c r="DA30" i="9"/>
  <c r="FH30" i="9" s="1"/>
  <c r="FH35" i="9"/>
  <c r="CZ26" i="9"/>
  <c r="DE36" i="9"/>
  <c r="DE35" i="9" s="1"/>
  <c r="DE30" i="9" s="1"/>
  <c r="EK249" i="4"/>
  <c r="FT249" i="4" s="1"/>
  <c r="ED18" i="4"/>
  <c r="EE162" i="4"/>
  <c r="EE165" i="4" s="1"/>
  <c r="L313" i="5"/>
  <c r="CZ25" i="9"/>
  <c r="FV260" i="4"/>
  <c r="J133" i="5"/>
  <c r="J305" i="5"/>
  <c r="M188" i="5"/>
  <c r="M181" i="5"/>
  <c r="M193" i="5"/>
  <c r="M205" i="5" s="1"/>
  <c r="O178" i="5"/>
  <c r="O295" i="5"/>
  <c r="N179" i="5"/>
  <c r="N309" i="5" s="1"/>
  <c r="O213" i="5"/>
  <c r="O191" i="5"/>
  <c r="O206" i="5"/>
  <c r="O214" i="5"/>
  <c r="N188" i="5"/>
  <c r="N193" i="5"/>
  <c r="N205" i="5" s="1"/>
  <c r="N214" i="5"/>
  <c r="O181" i="5"/>
  <c r="O193" i="5"/>
  <c r="O205" i="5" s="1"/>
  <c r="O188" i="5"/>
  <c r="FK352" i="4"/>
  <c r="K155" i="5"/>
  <c r="K156" i="5" s="1"/>
  <c r="J213" i="5"/>
  <c r="J206" i="5"/>
  <c r="H213" i="5"/>
  <c r="H206" i="5"/>
  <c r="K213" i="5"/>
  <c r="G191" i="5"/>
  <c r="G178" i="5"/>
  <c r="H178" i="5"/>
  <c r="G179" i="5"/>
  <c r="H191" i="5"/>
  <c r="J178" i="5"/>
  <c r="J191" i="5"/>
  <c r="I179" i="5"/>
  <c r="BQ351" i="4"/>
  <c r="BM352" i="4"/>
  <c r="BV351" i="4"/>
  <c r="BV352" i="4" s="1"/>
  <c r="BU353" i="4"/>
  <c r="CF351" i="4"/>
  <c r="CF352" i="4" s="1"/>
  <c r="CE353" i="4"/>
  <c r="CR268" i="4"/>
  <c r="CR270" i="4" s="1"/>
  <c r="FD351" i="4"/>
  <c r="FD352" i="4" s="1"/>
  <c r="AS352" i="4"/>
  <c r="AU351" i="4" s="1"/>
  <c r="CI352" i="4"/>
  <c r="CI353" i="4" s="1"/>
  <c r="CZ27" i="9" l="1"/>
  <c r="DF32" i="9" s="1"/>
  <c r="DF36" i="9"/>
  <c r="DF35" i="9" s="1"/>
  <c r="DF30" i="9" s="1"/>
  <c r="DA26" i="9"/>
  <c r="FH26" i="9" s="1"/>
  <c r="DC26" i="9"/>
  <c r="DW266" i="4"/>
  <c r="DY252" i="4"/>
  <c r="FR252" i="4" s="1"/>
  <c r="R104" i="5" s="1"/>
  <c r="DX266" i="4"/>
  <c r="EG18" i="4"/>
  <c r="Q51" i="5" s="1"/>
  <c r="EE169" i="4"/>
  <c r="FS162" i="4"/>
  <c r="N51" i="5"/>
  <c r="EE18" i="4"/>
  <c r="EE252" i="4"/>
  <c r="FS252" i="4" s="1"/>
  <c r="S104" i="5" s="1"/>
  <c r="O313" i="5"/>
  <c r="N313" i="5"/>
  <c r="M313" i="5"/>
  <c r="DA25" i="9"/>
  <c r="FH25" i="9" s="1"/>
  <c r="DC25" i="9"/>
  <c r="DY248" i="4"/>
  <c r="FR248" i="4" s="1"/>
  <c r="DS264" i="4"/>
  <c r="DR266" i="4"/>
  <c r="DY253" i="4"/>
  <c r="FR253" i="4" s="1"/>
  <c r="FW260" i="4"/>
  <c r="FX260" i="4"/>
  <c r="BY351" i="4"/>
  <c r="BV353" i="4"/>
  <c r="BN351" i="4"/>
  <c r="BN352" i="4" s="1"/>
  <c r="BM353" i="4"/>
  <c r="CG351" i="4"/>
  <c r="CG352" i="4" s="1"/>
  <c r="CF353" i="4"/>
  <c r="FH351" i="4"/>
  <c r="BQ352" i="4"/>
  <c r="BQ353" i="4" s="1"/>
  <c r="CS268" i="4"/>
  <c r="CS270" i="4" s="1"/>
  <c r="AY351" i="4"/>
  <c r="AU352" i="4"/>
  <c r="AV351" i="4" s="1"/>
  <c r="AV352" i="4" s="1"/>
  <c r="AW351" i="4" s="1"/>
  <c r="AW352" i="4" s="1"/>
  <c r="AX351" i="4" s="1"/>
  <c r="AX352" i="4" s="1"/>
  <c r="EK252" i="4" l="1"/>
  <c r="FT252" i="4" s="1"/>
  <c r="DC27" i="9"/>
  <c r="DI32" i="9" s="1"/>
  <c r="DD26" i="9"/>
  <c r="DI36" i="9"/>
  <c r="DG36" i="9"/>
  <c r="FI36" i="9" s="1"/>
  <c r="FS169" i="4"/>
  <c r="FS164" i="4"/>
  <c r="EH18" i="4"/>
  <c r="R51" i="5" s="1"/>
  <c r="O51" i="5"/>
  <c r="FS18" i="4"/>
  <c r="S13" i="5" s="1"/>
  <c r="DA27" i="9"/>
  <c r="DG32" i="9" s="1"/>
  <c r="DD25" i="9"/>
  <c r="FQ264" i="4"/>
  <c r="FQ266" i="4" s="1"/>
  <c r="DS266" i="4"/>
  <c r="R102" i="5"/>
  <c r="R122" i="5"/>
  <c r="DR254" i="4"/>
  <c r="DS254" i="4" s="1"/>
  <c r="DS251" i="4"/>
  <c r="R106" i="5"/>
  <c r="FH27" i="9"/>
  <c r="FH32" i="9" s="1"/>
  <c r="FH352" i="4"/>
  <c r="H155" i="5"/>
  <c r="H156" i="5" s="1"/>
  <c r="CH351" i="4"/>
  <c r="CH352" i="4" s="1"/>
  <c r="CG353" i="4"/>
  <c r="BO351" i="4"/>
  <c r="BO352" i="4" s="1"/>
  <c r="BN353" i="4"/>
  <c r="CC351" i="4"/>
  <c r="FJ351" i="4" s="1"/>
  <c r="BY352" i="4"/>
  <c r="FE351" i="4"/>
  <c r="FE352" i="4" s="1"/>
  <c r="AY352" i="4"/>
  <c r="BA351" i="4" s="1"/>
  <c r="U104" i="5" l="1"/>
  <c r="T104" i="5"/>
  <c r="DD27" i="9"/>
  <c r="DJ32" i="9" s="1"/>
  <c r="DG31" i="9"/>
  <c r="FI31" i="9" s="1"/>
  <c r="DG35" i="9"/>
  <c r="DI35" i="9"/>
  <c r="DI30" i="9" s="1"/>
  <c r="DE26" i="9"/>
  <c r="DJ36" i="9"/>
  <c r="DJ35" i="9" s="1"/>
  <c r="DJ30" i="9" s="1"/>
  <c r="EI18" i="4"/>
  <c r="S51" i="5" s="1"/>
  <c r="FQ251" i="4"/>
  <c r="FQ254" i="4" s="1"/>
  <c r="FQ268" i="4" s="1"/>
  <c r="FQ270" i="4" s="1"/>
  <c r="DW254" i="4"/>
  <c r="DE25" i="9"/>
  <c r="DR268" i="4"/>
  <c r="DR270" i="4" s="1"/>
  <c r="DR273" i="4"/>
  <c r="DS268" i="4"/>
  <c r="DS270" i="4" s="1"/>
  <c r="FJ352" i="4"/>
  <c r="J155" i="5"/>
  <c r="J156" i="5" s="1"/>
  <c r="CC352" i="4"/>
  <c r="CC353" i="4" s="1"/>
  <c r="BZ351" i="4"/>
  <c r="BZ352" i="4" s="1"/>
  <c r="BY353" i="4"/>
  <c r="BP351" i="4"/>
  <c r="BP352" i="4" s="1"/>
  <c r="BP353" i="4" s="1"/>
  <c r="BO353" i="4"/>
  <c r="CH353" i="4"/>
  <c r="CW268" i="4"/>
  <c r="CW270" i="4" s="1"/>
  <c r="CT268" i="4"/>
  <c r="CT270" i="4" s="1"/>
  <c r="BE351" i="4"/>
  <c r="BA352" i="4"/>
  <c r="BB351" i="4" s="1"/>
  <c r="BB352" i="4" s="1"/>
  <c r="BC351" i="4" s="1"/>
  <c r="BC352" i="4" s="1"/>
  <c r="BD351" i="4" s="1"/>
  <c r="BD352" i="4" s="1"/>
  <c r="DG30" i="9" l="1"/>
  <c r="FI30" i="9" s="1"/>
  <c r="FI35" i="9"/>
  <c r="DE27" i="9"/>
  <c r="DK32" i="9" s="1"/>
  <c r="DF26" i="9"/>
  <c r="DK36" i="9"/>
  <c r="DK35" i="9" s="1"/>
  <c r="DK30" i="9" s="1"/>
  <c r="Q105" i="5"/>
  <c r="DW273" i="4"/>
  <c r="EK162" i="4"/>
  <c r="EK165" i="4" s="1"/>
  <c r="EJ18" i="4"/>
  <c r="EG322" i="4"/>
  <c r="DV254" i="4"/>
  <c r="DV266" i="4" s="1"/>
  <c r="DV264" i="4" s="1"/>
  <c r="DF25" i="9"/>
  <c r="EE253" i="4"/>
  <c r="FS253" i="4" s="1"/>
  <c r="CO351" i="4"/>
  <c r="FL351" i="4" s="1"/>
  <c r="CK352" i="4"/>
  <c r="CA351" i="4"/>
  <c r="CA352" i="4" s="1"/>
  <c r="BZ353" i="4"/>
  <c r="CX268" i="4"/>
  <c r="CX270" i="4" s="1"/>
  <c r="CU268" i="4"/>
  <c r="CU270" i="4" s="1"/>
  <c r="BE352" i="4"/>
  <c r="FF351" i="4"/>
  <c r="FF352" i="4" s="1"/>
  <c r="V104" i="5" l="1"/>
  <c r="DF27" i="9"/>
  <c r="DL36" i="9"/>
  <c r="DM36" i="9" s="1"/>
  <c r="FJ36" i="9" s="1"/>
  <c r="DG26" i="9"/>
  <c r="FI26" i="9" s="1"/>
  <c r="DI26" i="9"/>
  <c r="EK18" i="4"/>
  <c r="T51" i="5"/>
  <c r="FT162" i="4"/>
  <c r="FT164" i="4" s="1"/>
  <c r="EK169" i="4"/>
  <c r="EE248" i="4"/>
  <c r="FS248" i="4" s="1"/>
  <c r="S122" i="5" s="1"/>
  <c r="EH322" i="4"/>
  <c r="DY251" i="4"/>
  <c r="FR251" i="4" s="1"/>
  <c r="R105" i="5" s="1"/>
  <c r="DG25" i="9"/>
  <c r="DI25" i="9"/>
  <c r="S106" i="5"/>
  <c r="FL352" i="4"/>
  <c r="L155" i="5"/>
  <c r="L156" i="5" s="1"/>
  <c r="CB351" i="4"/>
  <c r="CB352" i="4" s="1"/>
  <c r="CB353" i="4" s="1"/>
  <c r="CA353" i="4"/>
  <c r="CL351" i="4"/>
  <c r="CK353" i="4"/>
  <c r="CY268" i="4"/>
  <c r="CY270" i="4" s="1"/>
  <c r="DG27" i="9" l="1"/>
  <c r="DM31" i="9"/>
  <c r="FJ31" i="9" s="1"/>
  <c r="DI27" i="9"/>
  <c r="DJ26" i="9"/>
  <c r="DO36" i="9"/>
  <c r="FT18" i="4"/>
  <c r="T13" i="5" s="1"/>
  <c r="U51" i="5"/>
  <c r="FU18" i="4"/>
  <c r="FT169" i="4"/>
  <c r="EA254" i="4"/>
  <c r="EA273" i="4" s="1"/>
  <c r="S102" i="5"/>
  <c r="EI322" i="4"/>
  <c r="EH190" i="4"/>
  <c r="DJ25" i="9"/>
  <c r="FI25" i="9"/>
  <c r="FI27" i="9" s="1"/>
  <c r="FI32" i="9" s="1"/>
  <c r="EE251" i="4" l="1"/>
  <c r="FS251" i="4" s="1"/>
  <c r="S105" i="5" s="1"/>
  <c r="DJ27" i="9"/>
  <c r="DP32" i="9" s="1"/>
  <c r="DK26" i="9"/>
  <c r="DP36" i="9"/>
  <c r="DP35" i="9" s="1"/>
  <c r="DP30" i="9" s="1"/>
  <c r="EA266" i="4"/>
  <c r="EA264" i="4" s="1"/>
  <c r="EK251" i="4"/>
  <c r="FT251" i="4" s="1"/>
  <c r="U13" i="5"/>
  <c r="EI190" i="4"/>
  <c r="EK253" i="4"/>
  <c r="FT253" i="4" s="1"/>
  <c r="EJ322" i="4"/>
  <c r="EK322" i="4" s="1"/>
  <c r="FT322" i="4" s="1"/>
  <c r="DK25" i="9"/>
  <c r="DC268" i="4"/>
  <c r="DC270" i="4" s="1"/>
  <c r="CZ268" i="4"/>
  <c r="CZ270" i="4" s="1"/>
  <c r="DK27" i="9" l="1"/>
  <c r="DL26" i="9"/>
  <c r="DQ36" i="9"/>
  <c r="FV18" i="4"/>
  <c r="V13" i="5" s="1"/>
  <c r="T106" i="5"/>
  <c r="U106" i="5"/>
  <c r="EK248" i="4"/>
  <c r="FT248" i="4" s="1"/>
  <c r="EJ190" i="4"/>
  <c r="DL25" i="9"/>
  <c r="T105" i="5"/>
  <c r="DL37" i="9"/>
  <c r="DL32" i="9" s="1"/>
  <c r="DD268" i="4"/>
  <c r="DD270" i="4" s="1"/>
  <c r="DA268" i="4"/>
  <c r="DA270" i="4" s="1"/>
  <c r="DL27" i="9" l="1"/>
  <c r="DR32" i="9" s="1"/>
  <c r="DR36" i="9"/>
  <c r="DR35" i="9" s="1"/>
  <c r="DR30" i="9" s="1"/>
  <c r="DO26" i="9"/>
  <c r="DM26" i="9"/>
  <c r="FJ26" i="9" s="1"/>
  <c r="DL35" i="9"/>
  <c r="DL30" i="9" s="1"/>
  <c r="DM37" i="9"/>
  <c r="DM32" i="9" s="1"/>
  <c r="U105" i="5"/>
  <c r="FX18" i="4"/>
  <c r="FZ18" i="4" s="1"/>
  <c r="FW18" i="4"/>
  <c r="T122" i="5"/>
  <c r="T102" i="5"/>
  <c r="FU190" i="4"/>
  <c r="V106" i="5"/>
  <c r="FU322" i="4"/>
  <c r="DM25" i="9"/>
  <c r="FJ25" i="9" s="1"/>
  <c r="DO25" i="9"/>
  <c r="DM9" i="9"/>
  <c r="DR19" i="9"/>
  <c r="DL89" i="4"/>
  <c r="DL115" i="4" s="1"/>
  <c r="DL14" i="9"/>
  <c r="DL10" i="9"/>
  <c r="DL19" i="9"/>
  <c r="DE268" i="4"/>
  <c r="DE270" i="4" s="1"/>
  <c r="V105" i="5" l="1"/>
  <c r="DO27" i="9"/>
  <c r="DP26" i="9"/>
  <c r="DU36" i="9"/>
  <c r="DS36" i="9"/>
  <c r="DM35" i="9"/>
  <c r="DO37" i="9"/>
  <c r="DO32" i="9" s="1"/>
  <c r="GH18" i="4"/>
  <c r="U102" i="5"/>
  <c r="U122" i="5"/>
  <c r="DM27" i="9"/>
  <c r="FV322" i="4"/>
  <c r="FV190" i="4"/>
  <c r="DP25" i="9"/>
  <c r="DP14" i="9"/>
  <c r="DR20" i="9"/>
  <c r="DL39" i="9"/>
  <c r="DR38" i="9"/>
  <c r="DO89" i="4"/>
  <c r="DL15" i="9"/>
  <c r="DL294" i="4"/>
  <c r="DL295" i="4"/>
  <c r="DL38" i="9"/>
  <c r="DL9" i="4"/>
  <c r="DL20" i="9"/>
  <c r="FJ27" i="9"/>
  <c r="DM10" i="9"/>
  <c r="DM19" i="9"/>
  <c r="DM89" i="4"/>
  <c r="DO19" i="9"/>
  <c r="DO14" i="9"/>
  <c r="V122" i="5" l="1"/>
  <c r="V102" i="5"/>
  <c r="DM30" i="9"/>
  <c r="FJ30" i="9" s="1"/>
  <c r="FJ35" i="9"/>
  <c r="DS31" i="9"/>
  <c r="FK31" i="9" s="1"/>
  <c r="FK36" i="9"/>
  <c r="DP27" i="9"/>
  <c r="DV32" i="9" s="1"/>
  <c r="DQ26" i="9"/>
  <c r="DV36" i="9"/>
  <c r="DV35" i="9" s="1"/>
  <c r="DV30" i="9" s="1"/>
  <c r="DO35" i="9"/>
  <c r="DO30" i="9" s="1"/>
  <c r="DQ25" i="9"/>
  <c r="FW190" i="4"/>
  <c r="FW322" i="4"/>
  <c r="FX322" i="4"/>
  <c r="DO115" i="4"/>
  <c r="DP15" i="9"/>
  <c r="DO38" i="9"/>
  <c r="DM20" i="9"/>
  <c r="DL179" i="4"/>
  <c r="DL173" i="4"/>
  <c r="DL293" i="4"/>
  <c r="DL289" i="4"/>
  <c r="DL363" i="4"/>
  <c r="DL170" i="4"/>
  <c r="DL372" i="4"/>
  <c r="DL163" i="4"/>
  <c r="DM38" i="9"/>
  <c r="FP89" i="4"/>
  <c r="DM115" i="4"/>
  <c r="DM9" i="4"/>
  <c r="DO15" i="9"/>
  <c r="DO20" i="9"/>
  <c r="DO9" i="4"/>
  <c r="DI270" i="4"/>
  <c r="DF268" i="4"/>
  <c r="DF270" i="4" s="1"/>
  <c r="DQ27" i="9" l="1"/>
  <c r="DW32" i="9" s="1"/>
  <c r="DR26" i="9"/>
  <c r="DW36" i="9"/>
  <c r="DW35" i="9" s="1"/>
  <c r="DW30" i="9" s="1"/>
  <c r="DR25" i="9"/>
  <c r="DU25" i="9" s="1"/>
  <c r="FX190" i="4"/>
  <c r="DO170" i="4"/>
  <c r="DO179" i="4"/>
  <c r="DO163" i="4"/>
  <c r="DO173" i="4"/>
  <c r="DM170" i="4"/>
  <c r="DM163" i="4"/>
  <c r="FP115" i="4"/>
  <c r="FP103" i="4" s="1"/>
  <c r="DM103" i="4"/>
  <c r="DP89" i="4"/>
  <c r="DJ268" i="4"/>
  <c r="DJ270" i="4" s="1"/>
  <c r="DG268" i="4"/>
  <c r="DG270" i="4" s="1"/>
  <c r="DX36" i="9" l="1"/>
  <c r="DU26" i="9"/>
  <c r="EA36" i="9" s="1"/>
  <c r="DS26" i="9"/>
  <c r="DW19" i="9"/>
  <c r="DQ37" i="9"/>
  <c r="DQ32" i="9" s="1"/>
  <c r="DS25" i="9"/>
  <c r="DV25" i="9" s="1"/>
  <c r="DW25" i="9" s="1"/>
  <c r="DR27" i="9"/>
  <c r="DX32" i="9" s="1"/>
  <c r="DP115" i="4"/>
  <c r="DS9" i="9"/>
  <c r="DR14" i="9"/>
  <c r="DQ89" i="4"/>
  <c r="DQ115" i="4" s="1"/>
  <c r="EA19" i="9"/>
  <c r="DW20" i="9"/>
  <c r="DQ14" i="9"/>
  <c r="DP9" i="4"/>
  <c r="DQ19" i="9"/>
  <c r="DV10" i="4" l="1"/>
  <c r="DW38" i="9"/>
  <c r="FK26" i="9"/>
  <c r="DV26" i="9"/>
  <c r="DV27" i="9" s="1"/>
  <c r="EB32" i="9" s="1"/>
  <c r="EA35" i="9"/>
  <c r="EA30" i="9" s="1"/>
  <c r="DX35" i="9"/>
  <c r="DX30" i="9" s="1"/>
  <c r="DY36" i="9"/>
  <c r="DU27" i="9"/>
  <c r="EA32" i="9" s="1"/>
  <c r="DQ35" i="9"/>
  <c r="DQ30" i="9" s="1"/>
  <c r="DS37" i="9"/>
  <c r="FK25" i="9"/>
  <c r="DX25" i="9"/>
  <c r="DS27" i="9"/>
  <c r="FK9" i="9"/>
  <c r="DV14" i="9"/>
  <c r="DU37" i="9"/>
  <c r="DS19" i="9"/>
  <c r="DS10" i="9"/>
  <c r="DU14" i="9"/>
  <c r="DU19" i="9"/>
  <c r="DO362" i="4"/>
  <c r="DO371" i="4"/>
  <c r="DS89" i="4"/>
  <c r="FQ89" i="4" s="1"/>
  <c r="DS115" i="4"/>
  <c r="FQ115" i="4" s="1"/>
  <c r="DR15" i="9"/>
  <c r="DP293" i="4"/>
  <c r="DQ38" i="9"/>
  <c r="DO284" i="4"/>
  <c r="DO294" i="4" s="1"/>
  <c r="DP320" i="4"/>
  <c r="DP13" i="4"/>
  <c r="DP163" i="4"/>
  <c r="DP170" i="4"/>
  <c r="DP179" i="4"/>
  <c r="DP173" i="4"/>
  <c r="DQ15" i="9"/>
  <c r="DQ9" i="4"/>
  <c r="DQ20" i="9"/>
  <c r="DP362" i="4"/>
  <c r="DP363" i="4" s="1"/>
  <c r="DO334" i="4"/>
  <c r="BG268" i="4"/>
  <c r="FK27" i="9" l="1"/>
  <c r="FK32" i="9" s="1"/>
  <c r="DY31" i="9"/>
  <c r="FL31" i="9" s="1"/>
  <c r="FL36" i="9"/>
  <c r="DW26" i="9"/>
  <c r="EB36" i="9"/>
  <c r="DS35" i="9"/>
  <c r="DS32" i="9"/>
  <c r="DU32" i="9"/>
  <c r="DU35" i="9"/>
  <c r="DU30" i="9" s="1"/>
  <c r="EA25" i="9"/>
  <c r="DU38" i="9"/>
  <c r="EA38" i="9"/>
  <c r="DS9" i="4"/>
  <c r="DS170" i="4" s="1"/>
  <c r="DW10" i="4"/>
  <c r="FK10" i="9"/>
  <c r="FQ295" i="4" s="1"/>
  <c r="DS20" i="9"/>
  <c r="DV15" i="9"/>
  <c r="FQ103" i="4"/>
  <c r="DT37" i="9"/>
  <c r="FK37" i="9"/>
  <c r="DS38" i="9"/>
  <c r="DS103" i="4"/>
  <c r="DO372" i="4"/>
  <c r="DO363" i="4"/>
  <c r="DO289" i="4"/>
  <c r="DP116" i="4"/>
  <c r="DQ13" i="4"/>
  <c r="DQ170" i="4"/>
  <c r="DQ163" i="4"/>
  <c r="DP284" i="4"/>
  <c r="DU89" i="4"/>
  <c r="DU10" i="9"/>
  <c r="DQ362" i="4"/>
  <c r="DQ363" i="4" s="1"/>
  <c r="BH268" i="4"/>
  <c r="BM268" i="4"/>
  <c r="BS268" i="4"/>
  <c r="DQ371" i="4" l="1"/>
  <c r="DQ372" i="4" s="1"/>
  <c r="DS30" i="9"/>
  <c r="FK30" i="9" s="1"/>
  <c r="FK35" i="9"/>
  <c r="EB35" i="9"/>
  <c r="EB30" i="9" s="1"/>
  <c r="DX26" i="9"/>
  <c r="EC36" i="9"/>
  <c r="DW27" i="9"/>
  <c r="FQ9" i="4"/>
  <c r="FQ289" i="4" s="1"/>
  <c r="FQ294" i="4"/>
  <c r="DS163" i="4"/>
  <c r="DU9" i="4"/>
  <c r="EA20" i="9"/>
  <c r="DU20" i="9"/>
  <c r="DU15" i="9"/>
  <c r="DS362" i="4"/>
  <c r="DS325" i="4"/>
  <c r="DS308" i="4"/>
  <c r="FQ308" i="4" s="1"/>
  <c r="DP334" i="4"/>
  <c r="DP371" i="4"/>
  <c r="DP294" i="4"/>
  <c r="DP289" i="4"/>
  <c r="DY25" i="9"/>
  <c r="EB25" i="9" s="1"/>
  <c r="EH35" i="9" s="1"/>
  <c r="DU115" i="4"/>
  <c r="DQ334" i="4"/>
  <c r="BT268" i="4"/>
  <c r="BN268" i="4"/>
  <c r="EA10" i="4" l="1"/>
  <c r="ED36" i="9"/>
  <c r="DY26" i="9"/>
  <c r="DY27" i="9" s="1"/>
  <c r="EA26" i="9"/>
  <c r="EG36" i="9" s="1"/>
  <c r="DX27" i="9"/>
  <c r="FQ170" i="4"/>
  <c r="Q8" i="5"/>
  <c r="FQ163" i="4"/>
  <c r="FQ293" i="4"/>
  <c r="DU10" i="4"/>
  <c r="DU13" i="4"/>
  <c r="DU116" i="4" s="1"/>
  <c r="DU170" i="4"/>
  <c r="DU179" i="4"/>
  <c r="DU173" i="4"/>
  <c r="DU163" i="4"/>
  <c r="DS363" i="4"/>
  <c r="FQ362" i="4"/>
  <c r="FQ363" i="4" s="1"/>
  <c r="DS334" i="4"/>
  <c r="FQ325" i="4"/>
  <c r="FQ334" i="4" s="1"/>
  <c r="DP372" i="4"/>
  <c r="DS371" i="4"/>
  <c r="DR320" i="4"/>
  <c r="EC25" i="9"/>
  <c r="EI35" i="9" s="1"/>
  <c r="E46" i="5"/>
  <c r="DQ320" i="4"/>
  <c r="DQ284" i="4"/>
  <c r="FL25" i="9"/>
  <c r="DV320" i="4"/>
  <c r="DY37" i="9"/>
  <c r="BI268" i="4"/>
  <c r="BU268" i="4"/>
  <c r="EB26" i="9" l="1"/>
  <c r="EE36" i="9"/>
  <c r="FM36" i="9" s="1"/>
  <c r="EA27" i="9"/>
  <c r="FL26" i="9"/>
  <c r="FL27" i="9" s="1"/>
  <c r="DY32" i="9"/>
  <c r="DY35" i="9"/>
  <c r="DU14" i="4"/>
  <c r="DU24" i="4"/>
  <c r="DU320" i="4"/>
  <c r="DU284" i="4"/>
  <c r="DS372" i="4"/>
  <c r="FQ371" i="4"/>
  <c r="FQ372" i="4" s="1"/>
  <c r="FL37" i="9"/>
  <c r="DZ37" i="9"/>
  <c r="DY38" i="9"/>
  <c r="ED25" i="9"/>
  <c r="F46" i="5"/>
  <c r="DQ294" i="4"/>
  <c r="DQ289" i="4"/>
  <c r="DY89" i="4"/>
  <c r="DV170" i="4"/>
  <c r="DY9" i="9"/>
  <c r="BO268" i="4"/>
  <c r="EB14" i="9" l="1"/>
  <c r="DY431" i="9"/>
  <c r="EE31" i="9"/>
  <c r="FM31" i="9" s="1"/>
  <c r="DY30" i="9"/>
  <c r="FL30" i="9" s="1"/>
  <c r="FL35" i="9"/>
  <c r="EG25" i="9"/>
  <c r="EJ35" i="9"/>
  <c r="EH36" i="9"/>
  <c r="EH37" i="9" s="1"/>
  <c r="EC26" i="9"/>
  <c r="EI36" i="9" s="1"/>
  <c r="EI37" i="9" s="1"/>
  <c r="EB27" i="9"/>
  <c r="F71" i="5"/>
  <c r="DU25" i="4"/>
  <c r="DU202" i="4"/>
  <c r="DY19" i="9"/>
  <c r="DU289" i="4"/>
  <c r="DU294" i="4"/>
  <c r="EB89" i="4"/>
  <c r="EB115" i="4" s="1"/>
  <c r="EE25" i="9"/>
  <c r="F47" i="5"/>
  <c r="F48" i="5" s="1"/>
  <c r="F72" i="5" s="1"/>
  <c r="FL9" i="9"/>
  <c r="BY268" i="4"/>
  <c r="BY270" i="4" s="1"/>
  <c r="FL19" i="9" l="1"/>
  <c r="EH25" i="9"/>
  <c r="EI25" i="9" s="1"/>
  <c r="EH32" i="9"/>
  <c r="EC27" i="9"/>
  <c r="EI32" i="9" s="1"/>
  <c r="FM25" i="9"/>
  <c r="FL32" i="9"/>
  <c r="DV321" i="4"/>
  <c r="E47" i="5"/>
  <c r="E48" i="5" s="1"/>
  <c r="E72" i="5" s="1"/>
  <c r="FR89" i="4"/>
  <c r="DY115" i="4"/>
  <c r="DY103" i="4" s="1"/>
  <c r="BZ268" i="4"/>
  <c r="BZ270" i="4" s="1"/>
  <c r="EJ25" i="9" l="1"/>
  <c r="DU283" i="4"/>
  <c r="DV319" i="4"/>
  <c r="DU321" i="4"/>
  <c r="DU285" i="4"/>
  <c r="DU319" i="4"/>
  <c r="L46" i="5"/>
  <c r="FR115" i="4"/>
  <c r="FR103" i="4" s="1"/>
  <c r="DU254" i="4"/>
  <c r="FI268" i="4"/>
  <c r="FI270" i="4" s="1"/>
  <c r="BW268" i="4"/>
  <c r="BV268" i="4"/>
  <c r="CA268" i="4"/>
  <c r="CA270" i="4" s="1"/>
  <c r="EB284" i="4" l="1"/>
  <c r="EB294" i="4" s="1"/>
  <c r="EB320" i="4"/>
  <c r="DU288" i="4"/>
  <c r="DU287" i="4" s="1"/>
  <c r="DU322" i="4"/>
  <c r="DV322" i="4"/>
  <c r="EK25" i="9"/>
  <c r="EL35" i="9" s="1"/>
  <c r="DU293" i="4"/>
  <c r="DU290" i="4"/>
  <c r="DU295" i="4"/>
  <c r="CE268" i="4"/>
  <c r="CE270" i="4" s="1"/>
  <c r="FO35" i="9" l="1"/>
  <c r="FN25" i="9"/>
  <c r="EL25" i="9" s="1"/>
  <c r="FO25" i="9" s="1"/>
  <c r="FP35" i="9" s="1"/>
  <c r="EB289" i="4"/>
  <c r="L47" i="5"/>
  <c r="L48" i="5" s="1"/>
  <c r="CF268" i="4"/>
  <c r="CF270" i="4" s="1"/>
  <c r="EH39" i="9" l="1"/>
  <c r="EH38" i="9"/>
  <c r="EB285" i="4"/>
  <c r="EB295" i="4" s="1"/>
  <c r="EB321" i="4"/>
  <c r="L72" i="5"/>
  <c r="EB254" i="4"/>
  <c r="FJ268" i="4"/>
  <c r="FJ270" i="4" s="1"/>
  <c r="CC268" i="4"/>
  <c r="CC270" i="4" s="1"/>
  <c r="CB268" i="4"/>
  <c r="CB270" i="4" s="1"/>
  <c r="CG268" i="4"/>
  <c r="CG270" i="4" s="1"/>
  <c r="EB290" i="4" l="1"/>
  <c r="EI39" i="9"/>
  <c r="EH89" i="4"/>
  <c r="EH90" i="4" s="1"/>
  <c r="EH19" i="9"/>
  <c r="EH10" i="9"/>
  <c r="EH1" i="9" s="1"/>
  <c r="CK268" i="4"/>
  <c r="CK270" i="4" s="1"/>
  <c r="EH115" i="4" l="1"/>
  <c r="EH116" i="4" s="1"/>
  <c r="EH13" i="4" s="1"/>
  <c r="EH9" i="4"/>
  <c r="EH20" i="9"/>
  <c r="EI89" i="4"/>
  <c r="EI90" i="4" s="1"/>
  <c r="EI14" i="9"/>
  <c r="EI10" i="9"/>
  <c r="EI1" i="9" s="1"/>
  <c r="CI268" i="4"/>
  <c r="CI270" i="4" s="1"/>
  <c r="FK268" i="4"/>
  <c r="FK270" i="4" s="1"/>
  <c r="CH268" i="4"/>
  <c r="CH270" i="4" s="1"/>
  <c r="EH117" i="4" l="1"/>
  <c r="EI9" i="4"/>
  <c r="EI15" i="9"/>
  <c r="EH11" i="4"/>
  <c r="EH14" i="4"/>
  <c r="EH371" i="4"/>
  <c r="EH91" i="4"/>
  <c r="EH170" i="4"/>
  <c r="R46" i="5"/>
  <c r="EH163" i="4"/>
  <c r="EH284" i="4"/>
  <c r="EI115" i="4"/>
  <c r="EI116" i="4" s="1"/>
  <c r="EH283" i="4"/>
  <c r="CL352" i="4"/>
  <c r="EI117" i="4" l="1"/>
  <c r="EI13" i="4"/>
  <c r="EI14" i="4" s="1"/>
  <c r="EH294" i="4"/>
  <c r="EH288" i="4"/>
  <c r="EH293" i="4"/>
  <c r="R47" i="5"/>
  <c r="R48" i="5" s="1"/>
  <c r="R72" i="5" s="1"/>
  <c r="EH285" i="4"/>
  <c r="S46" i="5"/>
  <c r="S71" i="5" s="1"/>
  <c r="EI170" i="4"/>
  <c r="EI91" i="4"/>
  <c r="EI163" i="4"/>
  <c r="EI371" i="4"/>
  <c r="EI334" i="4" s="1"/>
  <c r="EI284" i="4"/>
  <c r="CM351" i="4"/>
  <c r="CM352" i="4" s="1"/>
  <c r="CL353" i="4"/>
  <c r="CL268" i="4"/>
  <c r="CL270" i="4" s="1"/>
  <c r="EI11" i="4" l="1"/>
  <c r="EI285" i="4" s="1"/>
  <c r="EH334" i="4"/>
  <c r="EH295" i="4"/>
  <c r="EH368" i="4"/>
  <c r="EI294" i="4"/>
  <c r="EI320" i="4"/>
  <c r="CN351" i="4"/>
  <c r="CN352" i="4" s="1"/>
  <c r="CM353" i="4"/>
  <c r="CM268" i="4"/>
  <c r="CM270" i="4" s="1"/>
  <c r="S47" i="5" l="1"/>
  <c r="S48" i="5" s="1"/>
  <c r="S72" i="5" s="1"/>
  <c r="EI283" i="4"/>
  <c r="EI293" i="4" s="1"/>
  <c r="EH254" i="4"/>
  <c r="EI295" i="4"/>
  <c r="CQ351" i="4"/>
  <c r="CN353" i="4"/>
  <c r="EI319" i="4" l="1"/>
  <c r="EI321" i="4"/>
  <c r="EI254" i="4"/>
  <c r="CU351" i="4"/>
  <c r="CQ352" i="4"/>
  <c r="CO352" i="4"/>
  <c r="CO353" i="4" s="1"/>
  <c r="EI368" i="4" l="1"/>
  <c r="CU352" i="4"/>
  <c r="CU353" i="4" s="1"/>
  <c r="FM351" i="4"/>
  <c r="CR351" i="4"/>
  <c r="CR352" i="4" s="1"/>
  <c r="CQ353" i="4"/>
  <c r="FM352" i="4" l="1"/>
  <c r="M155" i="5"/>
  <c r="M156" i="5" s="1"/>
  <c r="CS351" i="4"/>
  <c r="CS352" i="4" s="1"/>
  <c r="CR353" i="4"/>
  <c r="FL268" i="4"/>
  <c r="FL270" i="4" s="1"/>
  <c r="CO268" i="4"/>
  <c r="CO270" i="4" s="1"/>
  <c r="CN268" i="4"/>
  <c r="CN270" i="4" s="1"/>
  <c r="CT351" i="4" l="1"/>
  <c r="CT352" i="4" s="1"/>
  <c r="CS353" i="4"/>
  <c r="FM268" i="4"/>
  <c r="FM270" i="4" s="1"/>
  <c r="FN268" i="4"/>
  <c r="FN270" i="4" s="1"/>
  <c r="CT353" i="4" l="1"/>
  <c r="DA351" i="4" l="1"/>
  <c r="CW352" i="4"/>
  <c r="FM39" i="4"/>
  <c r="DA352" i="4" l="1"/>
  <c r="DA353" i="4" s="1"/>
  <c r="FN351" i="4"/>
  <c r="CX351" i="4"/>
  <c r="CX352" i="4" s="1"/>
  <c r="CW353" i="4"/>
  <c r="FM54" i="4"/>
  <c r="FM55" i="4"/>
  <c r="FN352" i="4" l="1"/>
  <c r="N155" i="5"/>
  <c r="N156" i="5" s="1"/>
  <c r="CY351" i="4"/>
  <c r="CY352" i="4" s="1"/>
  <c r="CX353" i="4"/>
  <c r="CZ351" i="4" l="1"/>
  <c r="CZ352" i="4" s="1"/>
  <c r="CY353" i="4"/>
  <c r="CZ353" i="4" l="1"/>
  <c r="DG351" i="4" l="1"/>
  <c r="DC352" i="4"/>
  <c r="DG352" i="4" l="1"/>
  <c r="DG353" i="4" s="1"/>
  <c r="FO351" i="4"/>
  <c r="DD351" i="4"/>
  <c r="DD352" i="4" s="1"/>
  <c r="DC353" i="4"/>
  <c r="FO352" i="4" l="1"/>
  <c r="O155" i="5"/>
  <c r="O156" i="5" s="1"/>
  <c r="DE351" i="4"/>
  <c r="DE352" i="4" s="1"/>
  <c r="DD353" i="4"/>
  <c r="FN39" i="4"/>
  <c r="FN54" i="4"/>
  <c r="DF351" i="4" l="1"/>
  <c r="DF352" i="4" s="1"/>
  <c r="DE353" i="4"/>
  <c r="FN55" i="4"/>
  <c r="DF353" i="4" l="1"/>
  <c r="DM351" i="4" l="1"/>
  <c r="FP351" i="4" s="1"/>
  <c r="P155" i="5" s="1"/>
  <c r="DI352" i="4"/>
  <c r="DJ351" i="4" l="1"/>
  <c r="DI353" i="4"/>
  <c r="E6" i="1" l="1"/>
  <c r="E24" i="1"/>
  <c r="E25" i="1"/>
  <c r="FP18" i="4" l="1"/>
  <c r="P13" i="5" s="1"/>
  <c r="Q13" i="5" l="1"/>
  <c r="DJ322" i="4" l="1"/>
  <c r="DM322" i="4" l="1"/>
  <c r="FP322" i="4" s="1"/>
  <c r="DJ352" i="4"/>
  <c r="DK351" i="4" l="1"/>
  <c r="DJ353" i="4"/>
  <c r="DL377" i="4" l="1"/>
  <c r="DM377" i="4" s="1"/>
  <c r="FP377" i="4" s="1"/>
  <c r="DM206" i="4" l="1"/>
  <c r="DL50" i="4"/>
  <c r="DM343" i="4"/>
  <c r="FP343" i="4" s="1"/>
  <c r="DM337" i="4"/>
  <c r="FP337" i="4" s="1"/>
  <c r="P148" i="5" s="1"/>
  <c r="DM311" i="4"/>
  <c r="FP311" i="4" s="1"/>
  <c r="P134" i="5" s="1"/>
  <c r="P257" i="5" l="1"/>
  <c r="DM50" i="4"/>
  <c r="DL273" i="4"/>
  <c r="DM207" i="4"/>
  <c r="DM208" i="4" s="1"/>
  <c r="DL52" i="4"/>
  <c r="DL51" i="4" s="1"/>
  <c r="DM51" i="4" s="1"/>
  <c r="FP206" i="4"/>
  <c r="DM262" i="4"/>
  <c r="FP262" i="4" s="1"/>
  <c r="DM263" i="4"/>
  <c r="FP263" i="4" s="1"/>
  <c r="DK61" i="4"/>
  <c r="DM52" i="4" l="1"/>
  <c r="FP51" i="4"/>
  <c r="DO50" i="4"/>
  <c r="FP50" i="4"/>
  <c r="DS206" i="4" l="1"/>
  <c r="FQ206" i="4" s="1"/>
  <c r="DL61" i="4"/>
  <c r="DL374" i="4"/>
  <c r="DM336" i="4"/>
  <c r="DM61" i="4" s="1"/>
  <c r="P173" i="5"/>
  <c r="P258" i="5" s="1"/>
  <c r="P250" i="5"/>
  <c r="P249" i="5"/>
  <c r="FP208" i="4"/>
  <c r="FP207" i="4"/>
  <c r="DO52" i="4"/>
  <c r="FP52" i="4"/>
  <c r="P251" i="5" s="1"/>
  <c r="DL344" i="4"/>
  <c r="DL347" i="4" s="1"/>
  <c r="DP52" i="4"/>
  <c r="DP50" i="4"/>
  <c r="DO374" i="4" l="1"/>
  <c r="DQ208" i="4"/>
  <c r="DS207" i="4"/>
  <c r="DM374" i="4"/>
  <c r="DL375" i="4"/>
  <c r="DO51" i="4"/>
  <c r="DP374" i="4"/>
  <c r="DP375" i="4" s="1"/>
  <c r="FP336" i="4"/>
  <c r="FP344" i="4" s="1"/>
  <c r="P151" i="5" s="1"/>
  <c r="DM344" i="4"/>
  <c r="P174" i="5"/>
  <c r="DP51" i="4"/>
  <c r="FP61" i="4"/>
  <c r="P30" i="5" s="1"/>
  <c r="DQ52" i="4"/>
  <c r="DQ50" i="4"/>
  <c r="DO344" i="4"/>
  <c r="DO61" i="4"/>
  <c r="DS208" i="4" l="1"/>
  <c r="FQ208" i="4" s="1"/>
  <c r="FQ207" i="4"/>
  <c r="DS50" i="4"/>
  <c r="FQ50" i="4" s="1"/>
  <c r="DO375" i="4"/>
  <c r="FP374" i="4"/>
  <c r="FP375" i="4" s="1"/>
  <c r="DM375" i="4"/>
  <c r="P149" i="5"/>
  <c r="DQ374" i="4"/>
  <c r="DQ375" i="4" s="1"/>
  <c r="DQ51" i="4"/>
  <c r="DS51" i="4" s="1"/>
  <c r="P215" i="5" l="1"/>
  <c r="DS273" i="4"/>
  <c r="FQ273" i="4"/>
  <c r="DS52" i="4"/>
  <c r="FQ52" i="4" s="1"/>
  <c r="FQ51" i="4"/>
  <c r="DS374" i="4"/>
  <c r="DS336" i="4"/>
  <c r="DP344" i="4"/>
  <c r="DP61" i="4"/>
  <c r="P192" i="5"/>
  <c r="P187" i="5"/>
  <c r="P150" i="5"/>
  <c r="DQ61" i="4"/>
  <c r="DQ344" i="4"/>
  <c r="DS61" i="4" l="1"/>
  <c r="FQ61" i="4" s="1"/>
  <c r="FQ336" i="4"/>
  <c r="DS375" i="4"/>
  <c r="FQ374" i="4"/>
  <c r="FQ375" i="4" s="1"/>
  <c r="Q251" i="5"/>
  <c r="Q173" i="5" l="1"/>
  <c r="Q249" i="5"/>
  <c r="Q250" i="5"/>
  <c r="Q174" i="5" l="1"/>
  <c r="Q149" i="5" l="1"/>
  <c r="Q30" i="5"/>
  <c r="Q215" i="5" l="1"/>
  <c r="Q192" i="5"/>
  <c r="Q187" i="5"/>
  <c r="DK11" i="4" l="1"/>
  <c r="DK30" i="4"/>
  <c r="DK38" i="4"/>
  <c r="DK290" i="4" l="1"/>
  <c r="DK288" i="4"/>
  <c r="DK13" i="4"/>
  <c r="DK24" i="4" l="1"/>
  <c r="DK14" i="4"/>
  <c r="DK116" i="4"/>
  <c r="DK25" i="4" l="1"/>
  <c r="DK202" i="4"/>
  <c r="DK32" i="4"/>
  <c r="DK199" i="4" l="1"/>
  <c r="DK33" i="4"/>
  <c r="DK39" i="4"/>
  <c r="DK43" i="4"/>
  <c r="DK366" i="4" l="1"/>
  <c r="DK58" i="4"/>
  <c r="DK44" i="4"/>
  <c r="DK57" i="4"/>
  <c r="DK357" i="4" l="1"/>
  <c r="DK352" i="4"/>
  <c r="DL351" i="4" l="1"/>
  <c r="DK187" i="4"/>
  <c r="DK191" i="4" s="1"/>
  <c r="DK353" i="4" l="1"/>
  <c r="FJ8" i="9" l="1"/>
  <c r="FJ422" i="9" s="1"/>
  <c r="FJ9" i="9"/>
  <c r="FJ37" i="9"/>
  <c r="FJ19" i="9" l="1"/>
  <c r="FK19" i="9"/>
  <c r="FJ18" i="9"/>
  <c r="FK18" i="9"/>
  <c r="FJ32" i="9"/>
  <c r="FJ10" i="9"/>
  <c r="FK20" i="9" s="1"/>
  <c r="DM362" i="4"/>
  <c r="FP362" i="4" s="1"/>
  <c r="DM371" i="4"/>
  <c r="FP371" i="4" s="1"/>
  <c r="DM284" i="4"/>
  <c r="FP284" i="4" s="1"/>
  <c r="DM325" i="4"/>
  <c r="DM308" i="4"/>
  <c r="FP9" i="4"/>
  <c r="FP7" i="4" l="1"/>
  <c r="FQ7" i="4"/>
  <c r="FP294" i="4"/>
  <c r="FJ20" i="9"/>
  <c r="FP372" i="4"/>
  <c r="DM363" i="4"/>
  <c r="DM372" i="4"/>
  <c r="DM228" i="4"/>
  <c r="FP228" i="4" s="1"/>
  <c r="P93" i="5" s="1"/>
  <c r="P240" i="5" s="1"/>
  <c r="FP325" i="4"/>
  <c r="DM334" i="4"/>
  <c r="FP363" i="4"/>
  <c r="DM238" i="4"/>
  <c r="FP238" i="4" s="1"/>
  <c r="P86" i="5" s="1"/>
  <c r="DM320" i="4"/>
  <c r="FP320" i="4" s="1"/>
  <c r="DO320" i="4"/>
  <c r="FP308" i="4"/>
  <c r="FP163" i="4"/>
  <c r="FP170" i="4"/>
  <c r="P8" i="5"/>
  <c r="DM226" i="4"/>
  <c r="FP289" i="4"/>
  <c r="DS320" i="4" l="1"/>
  <c r="FQ320" i="4" s="1"/>
  <c r="P289" i="5"/>
  <c r="P292" i="5" s="1"/>
  <c r="P33" i="5"/>
  <c r="P210" i="5"/>
  <c r="O183" i="5"/>
  <c r="O310" i="5" s="1"/>
  <c r="FP334" i="4"/>
  <c r="P144" i="5" s="1"/>
  <c r="P142" i="5"/>
  <c r="DO233" i="4"/>
  <c r="FP226" i="4"/>
  <c r="DM233" i="4"/>
  <c r="P132" i="5"/>
  <c r="P299" i="5" l="1"/>
  <c r="P300" i="5" s="1"/>
  <c r="P290" i="5"/>
  <c r="P143" i="5"/>
  <c r="FP233" i="4"/>
  <c r="P92" i="5"/>
  <c r="P166" i="5"/>
  <c r="P207" i="5"/>
  <c r="DQ233" i="4" l="1"/>
  <c r="P98" i="5"/>
  <c r="P239" i="5"/>
  <c r="DL11" i="4" l="1"/>
  <c r="FP70" i="4" l="1"/>
  <c r="FP73" i="4" s="1"/>
  <c r="DL288" i="4"/>
  <c r="DL290" i="4"/>
  <c r="DL13" i="4"/>
  <c r="DL116" i="4" l="1"/>
  <c r="DM321" i="4" l="1"/>
  <c r="FP321" i="4" s="1"/>
  <c r="DM254" i="4"/>
  <c r="DM250" i="4"/>
  <c r="FP250" i="4" s="1"/>
  <c r="DM241" i="4"/>
  <c r="FP241" i="4" s="1"/>
  <c r="P87" i="5" l="1"/>
  <c r="P303" i="5" s="1"/>
  <c r="DM319" i="4"/>
  <c r="DM368" i="4"/>
  <c r="FP254" i="4"/>
  <c r="P103" i="5"/>
  <c r="P238" i="5" l="1"/>
  <c r="P241" i="5" s="1"/>
  <c r="DM313" i="4"/>
  <c r="DM318" i="4"/>
  <c r="FP318" i="4" s="1"/>
  <c r="P136" i="5" s="1"/>
  <c r="FP319" i="4"/>
  <c r="P107" i="5"/>
  <c r="P116" i="5" s="1"/>
  <c r="FP368" i="4"/>
  <c r="FP369" i="4" s="1"/>
  <c r="DM369" i="4"/>
  <c r="FP313" i="4" l="1"/>
  <c r="FP316" i="4" s="1"/>
  <c r="DM316" i="4"/>
  <c r="R23" i="5" l="1"/>
  <c r="DM172" i="4" l="1"/>
  <c r="DL19" i="4"/>
  <c r="DM173" i="4" l="1"/>
  <c r="DM175" i="4"/>
  <c r="DM178" i="4"/>
  <c r="DM179" i="4" s="1"/>
  <c r="FP172" i="4"/>
  <c r="DL21" i="4"/>
  <c r="DO19" i="4"/>
  <c r="DM19" i="4"/>
  <c r="FP173" i="4" l="1"/>
  <c r="FP175" i="4"/>
  <c r="FP178" i="4"/>
  <c r="FP179" i="4" s="1"/>
  <c r="DO21" i="4"/>
  <c r="FP19" i="4"/>
  <c r="DM21" i="4"/>
  <c r="FP21" i="4" l="1"/>
  <c r="P12" i="5"/>
  <c r="P291" i="5" l="1"/>
  <c r="DP19" i="4"/>
  <c r="DQ175" i="4"/>
  <c r="DR174" i="4" l="1"/>
  <c r="DS172" i="4"/>
  <c r="DQ174" i="4"/>
  <c r="DQ173" i="4"/>
  <c r="DQ19" i="4"/>
  <c r="DP21" i="4"/>
  <c r="DQ179" i="4"/>
  <c r="FQ172" i="4" l="1"/>
  <c r="DS175" i="4"/>
  <c r="DS178" i="4"/>
  <c r="DS179" i="4" s="1"/>
  <c r="DS173" i="4"/>
  <c r="DS19" i="4"/>
  <c r="DQ21" i="4"/>
  <c r="FQ178" i="4" l="1"/>
  <c r="FQ179" i="4" s="1"/>
  <c r="FQ175" i="4"/>
  <c r="FQ173" i="4"/>
  <c r="DS21" i="4"/>
  <c r="FQ19" i="4"/>
  <c r="FQ21" i="4" s="1"/>
  <c r="FQ22" i="4" l="1"/>
  <c r="Q12" i="5"/>
  <c r="S23" i="5" l="1"/>
  <c r="DL30" i="4" l="1"/>
  <c r="DL38" i="4"/>
  <c r="DM198" i="4" l="1"/>
  <c r="FP198" i="4" s="1"/>
  <c r="DM38" i="4"/>
  <c r="DM30" i="4"/>
  <c r="DM193" i="4"/>
  <c r="FP30" i="4" l="1"/>
  <c r="FP38" i="4"/>
  <c r="P22" i="5" l="1"/>
  <c r="P19" i="5"/>
  <c r="P234" i="5" s="1"/>
  <c r="P235" i="5" s="1"/>
  <c r="DM306" i="4" l="1"/>
  <c r="DM265" i="4"/>
  <c r="FP265" i="4" s="1"/>
  <c r="P254" i="5" s="1"/>
  <c r="P233" i="5"/>
  <c r="DL357" i="4" l="1"/>
  <c r="DL352" i="4"/>
  <c r="FP306" i="4"/>
  <c r="FP323" i="4" s="1"/>
  <c r="DM323" i="4"/>
  <c r="FP357" i="4" l="1"/>
  <c r="P137" i="5"/>
  <c r="FP347" i="4"/>
  <c r="FP352" i="4" s="1"/>
  <c r="DM357" i="4"/>
  <c r="DM347" i="4"/>
  <c r="DM352" i="4" l="1"/>
  <c r="DM236" i="4"/>
  <c r="DL187" i="4"/>
  <c r="P153" i="5"/>
  <c r="P156" i="5" s="1"/>
  <c r="P164" i="5"/>
  <c r="P167" i="5" s="1"/>
  <c r="P298" i="5"/>
  <c r="DL353" i="4"/>
  <c r="DM353" i="4" l="1"/>
  <c r="DM187" i="4"/>
  <c r="P188" i="5"/>
  <c r="P193" i="5"/>
  <c r="P205" i="5" s="1"/>
  <c r="P181" i="5"/>
  <c r="P214" i="5"/>
  <c r="FP236" i="4"/>
  <c r="DM272" i="4"/>
  <c r="Q155" i="5"/>
  <c r="DM244" i="4"/>
  <c r="P313" i="5" l="1"/>
  <c r="FP187" i="4"/>
  <c r="FP188" i="4" s="1"/>
  <c r="DM188" i="4"/>
  <c r="DL191" i="4"/>
  <c r="DM190" i="4"/>
  <c r="DM246" i="4"/>
  <c r="DM273" i="4"/>
  <c r="FP244" i="4"/>
  <c r="P84" i="5"/>
  <c r="P123" i="5"/>
  <c r="P124" i="5" s="1"/>
  <c r="FP272" i="4"/>
  <c r="DM264" i="4"/>
  <c r="FP190" i="4" l="1"/>
  <c r="DM191" i="4"/>
  <c r="P175" i="5"/>
  <c r="P176" i="5" s="1"/>
  <c r="P305" i="5"/>
  <c r="FP264" i="4"/>
  <c r="FP266" i="4" s="1"/>
  <c r="DM266" i="4"/>
  <c r="DM268" i="4" s="1"/>
  <c r="DM270" i="4" s="1"/>
  <c r="P256" i="5"/>
  <c r="FP273" i="4"/>
  <c r="P90" i="5"/>
  <c r="FP246" i="4"/>
  <c r="FP191" i="4" l="1"/>
  <c r="FP193" i="4"/>
  <c r="P259" i="5"/>
  <c r="P100" i="5"/>
  <c r="P89" i="5"/>
  <c r="FP268" i="4"/>
  <c r="FP270" i="4" s="1"/>
  <c r="P119" i="5"/>
  <c r="P204" i="5" s="1"/>
  <c r="P186" i="5"/>
  <c r="P182" i="5"/>
  <c r="P253" i="5" l="1"/>
  <c r="P194" i="5"/>
  <c r="P312" i="5" s="1"/>
  <c r="P118" i="5"/>
  <c r="P180" i="5" s="1"/>
  <c r="DL49" i="9"/>
  <c r="DL50" i="9"/>
  <c r="DL51" i="9"/>
  <c r="DL52" i="9"/>
  <c r="DL53" i="9" l="1"/>
  <c r="DL84" i="4"/>
  <c r="DL110" i="4" s="1"/>
  <c r="DM110" i="4" s="1"/>
  <c r="DL90" i="9"/>
  <c r="DM51" i="9"/>
  <c r="FJ51" i="9" s="1"/>
  <c r="DL85" i="4"/>
  <c r="DL111" i="4" s="1"/>
  <c r="DL91" i="9"/>
  <c r="DL82" i="4"/>
  <c r="DM52" i="9"/>
  <c r="DM92" i="9" s="1"/>
  <c r="DL86" i="4"/>
  <c r="DL112" i="4" s="1"/>
  <c r="DL92" i="9"/>
  <c r="DL83" i="4"/>
  <c r="DL109" i="4" s="1"/>
  <c r="DL89" i="9"/>
  <c r="DM50" i="9"/>
  <c r="DM49" i="9"/>
  <c r="DL113" i="4" l="1"/>
  <c r="DL66" i="9"/>
  <c r="DL68" i="9" s="1"/>
  <c r="DL87" i="4"/>
  <c r="DM87" i="4" s="1"/>
  <c r="FP87" i="4" s="1"/>
  <c r="DM53" i="9"/>
  <c r="DM91" i="9"/>
  <c r="FJ91" i="9" s="1"/>
  <c r="DM83" i="4"/>
  <c r="FP83" i="4" s="1"/>
  <c r="DM84" i="4"/>
  <c r="FP84" i="4" s="1"/>
  <c r="FJ92" i="9"/>
  <c r="FJ52" i="9"/>
  <c r="DM109" i="4"/>
  <c r="DM112" i="4"/>
  <c r="DM86" i="4"/>
  <c r="FP86" i="4" s="1"/>
  <c r="FJ50" i="9"/>
  <c r="DM90" i="9"/>
  <c r="DM82" i="4"/>
  <c r="FJ47" i="9"/>
  <c r="FJ48" i="9" s="1"/>
  <c r="FP110" i="4"/>
  <c r="FJ49" i="9"/>
  <c r="DM89" i="9"/>
  <c r="DM111" i="4"/>
  <c r="DM85" i="4"/>
  <c r="FP85" i="4" s="1"/>
  <c r="DM66" i="9" l="1"/>
  <c r="FJ53" i="9"/>
  <c r="DL101" i="4"/>
  <c r="DM113" i="4"/>
  <c r="DM97" i="4"/>
  <c r="FP109" i="4"/>
  <c r="FP97" i="4" s="1"/>
  <c r="FP98" i="4"/>
  <c r="DM98" i="4"/>
  <c r="FJ89" i="9"/>
  <c r="FJ90" i="9"/>
  <c r="DM99" i="4"/>
  <c r="FP111" i="4"/>
  <c r="FP99" i="4" s="1"/>
  <c r="FP82" i="4"/>
  <c r="FP112" i="4"/>
  <c r="FP100" i="4" s="1"/>
  <c r="DM100" i="4"/>
  <c r="DM101" i="4" l="1"/>
  <c r="FP113" i="4"/>
  <c r="FP101" i="4" s="1"/>
  <c r="DL14" i="4"/>
  <c r="DL24" i="4"/>
  <c r="DL202" i="4" l="1"/>
  <c r="DL32" i="4"/>
  <c r="DL25" i="4"/>
  <c r="DM11" i="4"/>
  <c r="DL199" i="4" l="1"/>
  <c r="DM285" i="4"/>
  <c r="FP285" i="4" s="1"/>
  <c r="DM283" i="4"/>
  <c r="FP283" i="4" s="1"/>
  <c r="FP11" i="4"/>
  <c r="DM13" i="4"/>
  <c r="DL39" i="4"/>
  <c r="DL43" i="4"/>
  <c r="DL33" i="4"/>
  <c r="DL366" i="4" l="1"/>
  <c r="DM14" i="4"/>
  <c r="DM116" i="4"/>
  <c r="DM24" i="4"/>
  <c r="FP293" i="4"/>
  <c r="FP288" i="4"/>
  <c r="FP13" i="4"/>
  <c r="P9" i="5"/>
  <c r="FP290" i="4"/>
  <c r="FP295" i="4"/>
  <c r="DL57" i="4"/>
  <c r="DL58" i="4"/>
  <c r="DL44" i="4"/>
  <c r="P304" i="5" l="1"/>
  <c r="P10" i="5"/>
  <c r="FP24" i="4"/>
  <c r="FP14" i="4"/>
  <c r="DM32" i="4"/>
  <c r="DM25" i="4"/>
  <c r="DM202" i="4"/>
  <c r="FP116" i="4"/>
  <c r="P34" i="5" l="1"/>
  <c r="P218" i="5"/>
  <c r="DM39" i="4"/>
  <c r="DM199" i="4"/>
  <c r="DM43" i="4"/>
  <c r="DM33" i="4"/>
  <c r="FP32" i="4"/>
  <c r="FP25" i="4"/>
  <c r="FP202" i="4"/>
  <c r="P15" i="5"/>
  <c r="P17" i="5" l="1"/>
  <c r="P232" i="5"/>
  <c r="P35" i="5"/>
  <c r="P199" i="5"/>
  <c r="P293" i="5"/>
  <c r="P294" i="5" s="1"/>
  <c r="P219" i="5"/>
  <c r="P211" i="5"/>
  <c r="DM57" i="4"/>
  <c r="DM366" i="4"/>
  <c r="DM58" i="4"/>
  <c r="DM44" i="4"/>
  <c r="FP43" i="4"/>
  <c r="FP33" i="4"/>
  <c r="FP199" i="4"/>
  <c r="FP39" i="4"/>
  <c r="P20" i="5"/>
  <c r="P41" i="5" s="1"/>
  <c r="P236" i="5" l="1"/>
  <c r="P200" i="5" s="1"/>
  <c r="DO283" i="4"/>
  <c r="DP319" i="4"/>
  <c r="DO285" i="4"/>
  <c r="DO295" i="4" s="1"/>
  <c r="DP321" i="4"/>
  <c r="P221" i="5"/>
  <c r="P248" i="5"/>
  <c r="P38" i="5"/>
  <c r="DO319" i="4"/>
  <c r="DO321" i="4"/>
  <c r="DO254" i="4"/>
  <c r="DO268" i="4" s="1"/>
  <c r="P220" i="5"/>
  <c r="P306" i="5"/>
  <c r="P212" i="5"/>
  <c r="P203" i="5"/>
  <c r="P184" i="5"/>
  <c r="P202" i="5"/>
  <c r="P37" i="5"/>
  <c r="O185" i="5"/>
  <c r="O311" i="5" s="1"/>
  <c r="FP58" i="4"/>
  <c r="FP44" i="4"/>
  <c r="FP57" i="4"/>
  <c r="P27" i="5" s="1"/>
  <c r="FP366" i="4"/>
  <c r="P24" i="5"/>
  <c r="DO293" i="4" l="1"/>
  <c r="P28" i="5"/>
  <c r="FP59" i="4"/>
  <c r="P39" i="5"/>
  <c r="P129" i="5"/>
  <c r="P133" i="5" s="1"/>
  <c r="P201" i="5"/>
  <c r="P222" i="5"/>
  <c r="P191" i="5" l="1"/>
  <c r="P295" i="5"/>
  <c r="P206" i="5"/>
  <c r="P213" i="5"/>
  <c r="P178" i="5"/>
  <c r="O179" i="5"/>
  <c r="O309" i="5" s="1"/>
  <c r="DO368" i="4"/>
  <c r="DO316" i="4"/>
  <c r="DO369" i="4" l="1"/>
  <c r="FJ87" i="9"/>
  <c r="DO322" i="4" l="1"/>
  <c r="DO30" i="4" l="1"/>
  <c r="DO38" i="4" l="1"/>
  <c r="DO323" i="4" l="1"/>
  <c r="DO347" i="4" s="1"/>
  <c r="DO357" i="4" l="1"/>
  <c r="DO352" i="4"/>
  <c r="DP351" i="4" s="1"/>
  <c r="DO187" i="4" l="1"/>
  <c r="DO353" i="4"/>
  <c r="DO244" i="4"/>
  <c r="DO272" i="4"/>
  <c r="DO246" i="4" l="1"/>
  <c r="DO273" i="4"/>
  <c r="DO191" i="4" l="1"/>
  <c r="DO270" i="4"/>
  <c r="DP30" i="4" l="1"/>
  <c r="DO11" i="4" l="1"/>
  <c r="DS11" i="4" l="1"/>
  <c r="DS13" i="4" l="1"/>
  <c r="DS14" i="4" s="1"/>
  <c r="FQ11" i="4"/>
  <c r="DS24" i="4" l="1"/>
  <c r="DS25" i="4" s="1"/>
  <c r="DS116" i="4"/>
  <c r="FQ116" i="4" s="1"/>
  <c r="Q9" i="5"/>
  <c r="FQ288" i="4"/>
  <c r="FQ290" i="4"/>
  <c r="DS202" i="4" l="1"/>
  <c r="DP14" i="4" l="1"/>
  <c r="DP24" i="4"/>
  <c r="DP285" i="4"/>
  <c r="DP295" i="4" l="1"/>
  <c r="DP290" i="4"/>
  <c r="DP202" i="4"/>
  <c r="DP32" i="4"/>
  <c r="DP25" i="4"/>
  <c r="DR319" i="4" l="1"/>
  <c r="DR321" i="4"/>
  <c r="DP199" i="4"/>
  <c r="DQ283" i="4"/>
  <c r="DQ319" i="4"/>
  <c r="DQ285" i="4"/>
  <c r="DQ290" i="4" s="1"/>
  <c r="DQ321" i="4"/>
  <c r="DP33" i="4"/>
  <c r="DP322" i="4"/>
  <c r="DQ254" i="4"/>
  <c r="DQ268" i="4" s="1"/>
  <c r="DQ288" i="4" l="1"/>
  <c r="DS319" i="4"/>
  <c r="FQ319" i="4" s="1"/>
  <c r="DS321" i="4"/>
  <c r="FQ321" i="4" s="1"/>
  <c r="DP368" i="4"/>
  <c r="DS313" i="4"/>
  <c r="DR322" i="4"/>
  <c r="DQ322" i="4"/>
  <c r="DQ316" i="4"/>
  <c r="DQ368" i="4"/>
  <c r="DQ369" i="4" s="1"/>
  <c r="DP38" i="4"/>
  <c r="DP316" i="4"/>
  <c r="DS316" i="4" l="1"/>
  <c r="FQ313" i="4"/>
  <c r="FQ316" i="4" s="1"/>
  <c r="DS322" i="4"/>
  <c r="DP369" i="4"/>
  <c r="DS368" i="4"/>
  <c r="DP39" i="4"/>
  <c r="DP43" i="4"/>
  <c r="DS318" i="4" l="1"/>
  <c r="FQ318" i="4" s="1"/>
  <c r="FQ322" i="4"/>
  <c r="DS369" i="4"/>
  <c r="FQ368" i="4"/>
  <c r="FQ369" i="4" s="1"/>
  <c r="DP366" i="4"/>
  <c r="DP44" i="4"/>
  <c r="DP57" i="4"/>
  <c r="DP58" i="4"/>
  <c r="DP1" i="4" l="1"/>
  <c r="DP323" i="4"/>
  <c r="DP347" i="4" l="1"/>
  <c r="DP357" i="4"/>
  <c r="DP352" i="4" l="1"/>
  <c r="DQ351" i="4" s="1"/>
  <c r="DP187" i="4"/>
  <c r="DP353" i="4" l="1"/>
  <c r="DQ187" i="4"/>
  <c r="DP272" i="4"/>
  <c r="DP191" i="4" l="1"/>
  <c r="DP273" i="4"/>
  <c r="DS193" i="4" l="1"/>
  <c r="DQ30" i="4"/>
  <c r="DQ191" i="4" l="1"/>
  <c r="DS30" i="4"/>
  <c r="DP270" i="4"/>
  <c r="DS32" i="4" l="1"/>
  <c r="FQ30" i="4"/>
  <c r="DS33" i="4" l="1"/>
  <c r="DS198" i="4"/>
  <c r="DQ38" i="4"/>
  <c r="DS199" i="4" l="1"/>
  <c r="FQ198" i="4"/>
  <c r="DS38" i="4"/>
  <c r="DS39" i="4" l="1"/>
  <c r="FQ38" i="4"/>
  <c r="DS43" i="4"/>
  <c r="DS58" i="4" l="1"/>
  <c r="DS366" i="4"/>
  <c r="DS44" i="4"/>
  <c r="DS57" i="4"/>
  <c r="DQ323" i="4"/>
  <c r="DQ357" i="4" s="1"/>
  <c r="DS306" i="4"/>
  <c r="DS1" i="4" l="1"/>
  <c r="DT58" i="4"/>
  <c r="DQ347" i="4"/>
  <c r="DQ352" i="4" s="1"/>
  <c r="DS323" i="4"/>
  <c r="DS357" i="4" s="1"/>
  <c r="FQ306" i="4"/>
  <c r="FQ323" i="4" s="1"/>
  <c r="FQ357" i="4" l="1"/>
  <c r="DR187" i="4"/>
  <c r="DR351" i="4"/>
  <c r="DQ244" i="4"/>
  <c r="DQ272" i="4"/>
  <c r="DQ353" i="4"/>
  <c r="DS190" i="4" l="1"/>
  <c r="FQ190" i="4" s="1"/>
  <c r="FQ191" i="4" s="1"/>
  <c r="DR191" i="4"/>
  <c r="DS187" i="4"/>
  <c r="DQ246" i="4"/>
  <c r="DQ273" i="4"/>
  <c r="DS188" i="4" l="1"/>
  <c r="FQ187" i="4"/>
  <c r="DS191" i="4"/>
  <c r="FQ193" i="4" l="1"/>
  <c r="FQ188" i="4"/>
  <c r="DQ270" i="4"/>
  <c r="Q19" i="5" l="1"/>
  <c r="Q234" i="5" s="1"/>
  <c r="Q235" i="5" s="1"/>
  <c r="DY311" i="4" l="1"/>
  <c r="FR311" i="4" s="1"/>
  <c r="R134" i="5" s="1"/>
  <c r="DY343" i="4"/>
  <c r="FR343" i="4" s="1"/>
  <c r="DY365" i="4"/>
  <c r="FR365" i="4" s="1"/>
  <c r="DU371" i="4" l="1"/>
  <c r="DU372" i="4" s="1"/>
  <c r="DU377" i="4"/>
  <c r="DU362" i="4"/>
  <c r="S148" i="5"/>
  <c r="DU334" i="4"/>
  <c r="S257" i="5" l="1"/>
  <c r="DU363" i="4"/>
  <c r="S134" i="5"/>
  <c r="T134" i="5"/>
  <c r="FU365" i="4"/>
  <c r="FU377" i="4"/>
  <c r="T148" i="5"/>
  <c r="DU368" i="4"/>
  <c r="DU369" i="4" s="1"/>
  <c r="DU50" i="4"/>
  <c r="T257" i="5" l="1"/>
  <c r="FV365" i="4"/>
  <c r="FU343" i="4"/>
  <c r="FU311" i="4"/>
  <c r="U134" i="5" s="1"/>
  <c r="FV377" i="4"/>
  <c r="U148" i="5"/>
  <c r="U257" i="5" s="1"/>
  <c r="DU316" i="4"/>
  <c r="DV50" i="4"/>
  <c r="DV375" i="4" s="1"/>
  <c r="DV52" i="4"/>
  <c r="DU52" i="4"/>
  <c r="DU51" i="4" s="1"/>
  <c r="DV273" i="4" l="1"/>
  <c r="DY308" i="4"/>
  <c r="FR308" i="4" s="1"/>
  <c r="R132" i="5" s="1"/>
  <c r="DY362" i="4"/>
  <c r="DV51" i="4"/>
  <c r="FV343" i="4"/>
  <c r="FW365" i="4"/>
  <c r="FV311" i="4"/>
  <c r="V134" i="5" s="1"/>
  <c r="FW377" i="4"/>
  <c r="FV337" i="4"/>
  <c r="V148" i="5" s="1"/>
  <c r="V257" i="5" s="1"/>
  <c r="DV61" i="4"/>
  <c r="F68" i="5" s="1"/>
  <c r="FR362" i="4" l="1"/>
  <c r="DU61" i="4"/>
  <c r="E68" i="5" s="1"/>
  <c r="DU374" i="4"/>
  <c r="DU375" i="4" s="1"/>
  <c r="FW343" i="4"/>
  <c r="FX365" i="4"/>
  <c r="FW311" i="4"/>
  <c r="FX377" i="4"/>
  <c r="FX337" i="4" s="1"/>
  <c r="FW337" i="4"/>
  <c r="DY206" i="4"/>
  <c r="FR206" i="4" s="1"/>
  <c r="DU344" i="4"/>
  <c r="DY263" i="4" l="1"/>
  <c r="FR263" i="4" s="1"/>
  <c r="DY50" i="4"/>
  <c r="FR50" i="4" s="1"/>
  <c r="R249" i="5" s="1"/>
  <c r="DY262" i="4"/>
  <c r="FR262" i="4" s="1"/>
  <c r="EB61" i="4"/>
  <c r="FX311" i="4"/>
  <c r="FX343" i="4"/>
  <c r="DY207" i="4"/>
  <c r="FR207" i="4" s="1"/>
  <c r="DW61" i="4"/>
  <c r="DY374" i="4"/>
  <c r="H68" i="5"/>
  <c r="DY51" i="4"/>
  <c r="R250" i="5" l="1"/>
  <c r="R173" i="5"/>
  <c r="EC50" i="4"/>
  <c r="EC375" i="4" s="1"/>
  <c r="L68" i="5"/>
  <c r="DY208" i="4"/>
  <c r="DY375" i="4"/>
  <c r="FR374" i="4"/>
  <c r="FR375" i="4" s="1"/>
  <c r="DY52" i="4"/>
  <c r="FR52" i="4" s="1"/>
  <c r="R251" i="5" s="1"/>
  <c r="FR51" i="4"/>
  <c r="G68" i="5"/>
  <c r="DY336" i="4"/>
  <c r="FR336" i="4" s="1"/>
  <c r="FR208" i="4" l="1"/>
  <c r="EB208" i="4"/>
  <c r="EE206" i="4"/>
  <c r="FS206" i="4" s="1"/>
  <c r="R174" i="5"/>
  <c r="K68" i="5"/>
  <c r="ED50" i="4"/>
  <c r="EC61" i="4"/>
  <c r="M68" i="5" s="1"/>
  <c r="R149" i="5"/>
  <c r="DY61" i="4"/>
  <c r="FL71" i="9"/>
  <c r="FL82" i="9"/>
  <c r="EC52" i="4" l="1"/>
  <c r="ED52" i="4"/>
  <c r="ED51" i="4" s="1"/>
  <c r="EG50" i="4"/>
  <c r="EG375" i="4" s="1"/>
  <c r="EE262" i="4"/>
  <c r="FS262" i="4" s="1"/>
  <c r="EE263" i="4"/>
  <c r="FS263" i="4" s="1"/>
  <c r="EE50" i="4"/>
  <c r="FR61" i="4"/>
  <c r="R30" i="5" s="1"/>
  <c r="I68" i="5"/>
  <c r="R192" i="5"/>
  <c r="R187" i="5"/>
  <c r="R215" i="5"/>
  <c r="EC51" i="4" l="1"/>
  <c r="EE51" i="4" s="1"/>
  <c r="FS51" i="4" s="1"/>
  <c r="EE207" i="4"/>
  <c r="EE208" i="4" s="1"/>
  <c r="FS208" i="4" s="1"/>
  <c r="EH50" i="4"/>
  <c r="EH52" i="4"/>
  <c r="EG52" i="4"/>
  <c r="EG51" i="4" s="1"/>
  <c r="FS50" i="4"/>
  <c r="GF50" i="4"/>
  <c r="FS207" i="4" l="1"/>
  <c r="GF51" i="4"/>
  <c r="EE52" i="4"/>
  <c r="GF52" i="4" s="1"/>
  <c r="EH51" i="4"/>
  <c r="EI50" i="4"/>
  <c r="EK206" i="4"/>
  <c r="FT206" i="4" s="1"/>
  <c r="FU206" i="4" s="1"/>
  <c r="FU50" i="4" s="1"/>
  <c r="S250" i="5"/>
  <c r="S173" i="5"/>
  <c r="S249" i="5"/>
  <c r="FS52" i="4" l="1"/>
  <c r="S251" i="5" s="1"/>
  <c r="S174" i="5"/>
  <c r="EK262" i="4"/>
  <c r="FT262" i="4" s="1"/>
  <c r="EK263" i="4"/>
  <c r="FT263" i="4" s="1"/>
  <c r="EJ52" i="4"/>
  <c r="EJ50" i="4"/>
  <c r="FV206" i="4"/>
  <c r="FV50" i="4" s="1"/>
  <c r="EI52" i="4"/>
  <c r="EI51" i="4" s="1"/>
  <c r="V249" i="5" l="1"/>
  <c r="V250" i="5"/>
  <c r="V173" i="5"/>
  <c r="V174" i="5" s="1"/>
  <c r="U249" i="5"/>
  <c r="U173" i="5"/>
  <c r="U250" i="5"/>
  <c r="EK50" i="4"/>
  <c r="FT50" i="4" s="1"/>
  <c r="EK207" i="4"/>
  <c r="FT207" i="4" s="1"/>
  <c r="FW206" i="4"/>
  <c r="EJ51" i="4"/>
  <c r="EK51" i="4" s="1"/>
  <c r="DO290" i="4"/>
  <c r="DO13" i="4"/>
  <c r="DO288" i="4"/>
  <c r="U174" i="5" l="1"/>
  <c r="EK208" i="4"/>
  <c r="FT208" i="4" s="1"/>
  <c r="FU208" i="4" s="1"/>
  <c r="FV208" i="4" s="1"/>
  <c r="FT51" i="4"/>
  <c r="EK52" i="4"/>
  <c r="FT52" i="4" s="1"/>
  <c r="T251" i="5" s="1"/>
  <c r="FW50" i="4"/>
  <c r="FX206" i="4"/>
  <c r="FX50" i="4" s="1"/>
  <c r="GH50" i="4" s="1"/>
  <c r="T173" i="5"/>
  <c r="T249" i="5"/>
  <c r="T250" i="5"/>
  <c r="DO116" i="4"/>
  <c r="DO14" i="4"/>
  <c r="DO24" i="4"/>
  <c r="T174" i="5" l="1"/>
  <c r="FU207" i="4"/>
  <c r="FU52" i="4" s="1"/>
  <c r="FW208" i="4"/>
  <c r="FV207" i="4"/>
  <c r="DO32" i="4"/>
  <c r="DO25" i="4"/>
  <c r="DO202" i="4"/>
  <c r="FV52" i="4" l="1"/>
  <c r="FU51" i="4"/>
  <c r="U251" i="5"/>
  <c r="FX208" i="4"/>
  <c r="FX207" i="4" s="1"/>
  <c r="FX52" i="4" s="1"/>
  <c r="FW207" i="4"/>
  <c r="FW52" i="4" s="1"/>
  <c r="FW51" i="4" s="1"/>
  <c r="DO33" i="4"/>
  <c r="DO39" i="4"/>
  <c r="DO199" i="4"/>
  <c r="DO43" i="4"/>
  <c r="FV51" i="4" l="1"/>
  <c r="V251" i="5"/>
  <c r="FX51" i="4"/>
  <c r="GH51" i="4" s="1"/>
  <c r="GH52" i="4"/>
  <c r="DO366" i="4"/>
  <c r="DO57" i="4"/>
  <c r="DO58" i="4"/>
  <c r="DO44" i="4"/>
  <c r="DO1" i="4" l="1"/>
  <c r="DS70" i="4" l="1"/>
  <c r="T23" i="5" l="1"/>
  <c r="Q86" i="5" l="1"/>
  <c r="Q93" i="5" l="1"/>
  <c r="Q240" i="5" s="1"/>
  <c r="Q132" i="5"/>
  <c r="DY228" i="4" l="1"/>
  <c r="FR228" i="4" s="1"/>
  <c r="R93" i="5" s="1"/>
  <c r="R240" i="5" s="1"/>
  <c r="Q22" i="5"/>
  <c r="Q103" i="5"/>
  <c r="Q144" i="5"/>
  <c r="Q142" i="5"/>
  <c r="DU233" i="4"/>
  <c r="Q87" i="5"/>
  <c r="Q143" i="5" l="1"/>
  <c r="Q136" i="5"/>
  <c r="Q107" i="5"/>
  <c r="Q116" i="5" s="1"/>
  <c r="Q92" i="5"/>
  <c r="Q299" i="5"/>
  <c r="Q166" i="5"/>
  <c r="Q303" i="5"/>
  <c r="Q238" i="5"/>
  <c r="Q254" i="5"/>
  <c r="Q233" i="5"/>
  <c r="Q98" i="5" l="1"/>
  <c r="Q239" i="5"/>
  <c r="Q241" i="5" s="1"/>
  <c r="Q137" i="5" l="1"/>
  <c r="Q164" i="5" l="1"/>
  <c r="Q167" i="5" s="1"/>
  <c r="Q298" i="5"/>
  <c r="DY351" i="4"/>
  <c r="FR351" i="4" s="1"/>
  <c r="R155" i="5" s="1"/>
  <c r="DU191" i="4"/>
  <c r="Q123" i="5" l="1"/>
  <c r="Q124" i="5" s="1"/>
  <c r="Q84" i="5"/>
  <c r="DU30" i="4"/>
  <c r="Q214" i="5"/>
  <c r="Q181" i="5"/>
  <c r="Q188" i="5"/>
  <c r="Q193" i="5"/>
  <c r="Q205" i="5" s="1"/>
  <c r="Q313" i="5" l="1"/>
  <c r="Q90" i="5"/>
  <c r="Q175" i="5"/>
  <c r="Q176" i="5" s="1"/>
  <c r="Q305" i="5"/>
  <c r="Q119" i="5"/>
  <c r="Q204" i="5" s="1"/>
  <c r="E57" i="5"/>
  <c r="Q259" i="5" l="1"/>
  <c r="Q186" i="5"/>
  <c r="Q194" i="5"/>
  <c r="Q312" i="5" s="1"/>
  <c r="Q253" i="5"/>
  <c r="Q89" i="5"/>
  <c r="Q100" i="5"/>
  <c r="Q118" i="5" l="1"/>
  <c r="Q180" i="5" s="1"/>
  <c r="DQ295" i="4" l="1"/>
  <c r="DQ293" i="4"/>
  <c r="Q304" i="5" l="1"/>
  <c r="DQ14" i="4" l="1"/>
  <c r="DQ24" i="4"/>
  <c r="DQ116" i="4"/>
  <c r="DQ32" i="4" l="1"/>
  <c r="DQ202" i="4"/>
  <c r="DQ25" i="4"/>
  <c r="DQ39" i="4" l="1"/>
  <c r="DQ43" i="4"/>
  <c r="DQ44" i="4" s="1"/>
  <c r="DQ33" i="4"/>
  <c r="DQ199" i="4"/>
  <c r="DQ366" i="4" l="1"/>
  <c r="DQ57" i="4"/>
  <c r="DQ58" i="4"/>
  <c r="DQ1" i="4" l="1"/>
  <c r="DS337" i="4" l="1"/>
  <c r="DR377" i="4"/>
  <c r="DR344" i="4"/>
  <c r="DR347" i="4" s="1"/>
  <c r="DS344" i="4" l="1"/>
  <c r="DS347" i="4" s="1"/>
  <c r="FQ337" i="4"/>
  <c r="FQ344" i="4" s="1"/>
  <c r="FQ347" i="4" s="1"/>
  <c r="FQ352" i="4" s="1"/>
  <c r="DS377" i="4"/>
  <c r="FQ377" i="4" s="1"/>
  <c r="DR352" i="4"/>
  <c r="DR353" i="4" s="1"/>
  <c r="DS352" i="4" l="1"/>
  <c r="DS353" i="4" s="1"/>
  <c r="Q148" i="5"/>
  <c r="Q257" i="5" l="1"/>
  <c r="Q151" i="5"/>
  <c r="Q153" i="5" l="1"/>
  <c r="Q150" i="5"/>
  <c r="Q156" i="5" l="1"/>
  <c r="Q256" i="5"/>
  <c r="Q289" i="5" l="1"/>
  <c r="Q207" i="5"/>
  <c r="P183" i="5"/>
  <c r="P310" i="5" s="1"/>
  <c r="FQ13" i="4"/>
  <c r="Q182" i="5"/>
  <c r="Q210" i="5"/>
  <c r="Q33" i="5"/>
  <c r="Q10" i="5"/>
  <c r="FQ14" i="4" l="1"/>
  <c r="FQ24" i="4"/>
  <c r="Q290" i="5"/>
  <c r="Q292" i="5"/>
  <c r="Q300" i="5"/>
  <c r="Q291" i="5"/>
  <c r="Q34" i="5"/>
  <c r="Q218" i="5"/>
  <c r="FQ32" i="4" l="1"/>
  <c r="Q20" i="5" s="1"/>
  <c r="Q41" i="5" s="1"/>
  <c r="FQ25" i="4"/>
  <c r="FQ202" i="4"/>
  <c r="Q15" i="5"/>
  <c r="Q211" i="5" l="1"/>
  <c r="Q293" i="5"/>
  <c r="Q294" i="5" s="1"/>
  <c r="Q199" i="5"/>
  <c r="Q232" i="5"/>
  <c r="Q219" i="5"/>
  <c r="Q17" i="5"/>
  <c r="Q35" i="5"/>
  <c r="FQ33" i="4"/>
  <c r="FQ43" i="4"/>
  <c r="Q24" i="5" s="1"/>
  <c r="FQ199" i="4"/>
  <c r="FQ39" i="4"/>
  <c r="Q221" i="5"/>
  <c r="Q38" i="5"/>
  <c r="Q248" i="5"/>
  <c r="Q236" i="5" l="1"/>
  <c r="Q200" i="5" s="1"/>
  <c r="Q306" i="5"/>
  <c r="Q203" i="5"/>
  <c r="Q220" i="5"/>
  <c r="P185" i="5"/>
  <c r="P311" i="5" s="1"/>
  <c r="Q184" i="5"/>
  <c r="FQ44" i="4"/>
  <c r="FQ366" i="4"/>
  <c r="FQ57" i="4"/>
  <c r="Q27" i="5" s="1"/>
  <c r="FQ58" i="4"/>
  <c r="Q202" i="5"/>
  <c r="Q37" i="5"/>
  <c r="Q212" i="5"/>
  <c r="Q129" i="5"/>
  <c r="Q133" i="5" s="1"/>
  <c r="Q222" i="5"/>
  <c r="Q39" i="5"/>
  <c r="Q201" i="5"/>
  <c r="FQ59" i="4" l="1"/>
  <c r="Q28" i="5"/>
  <c r="Q178" i="5" l="1"/>
  <c r="Q213" i="5"/>
  <c r="Q206" i="5"/>
  <c r="P179" i="5"/>
  <c r="P309" i="5" s="1"/>
  <c r="Q191" i="5"/>
  <c r="Q295" i="5"/>
  <c r="DV187" i="4" l="1"/>
  <c r="DV191" i="4" s="1"/>
  <c r="DU244" i="4"/>
  <c r="DU272" i="4"/>
  <c r="EB175" i="4" l="1"/>
  <c r="DV19" i="4"/>
  <c r="E50" i="5"/>
  <c r="DU246" i="4"/>
  <c r="DU273" i="4"/>
  <c r="DV21" i="4" l="1"/>
  <c r="DV24" i="4" s="1"/>
  <c r="DV202" i="4" s="1"/>
  <c r="DV175" i="4"/>
  <c r="DV174" i="4"/>
  <c r="DV173" i="4"/>
  <c r="DU32" i="4"/>
  <c r="E53" i="5"/>
  <c r="F50" i="5"/>
  <c r="DV30" i="4"/>
  <c r="DU268" i="4"/>
  <c r="DU266" i="4" s="1"/>
  <c r="DU264" i="4" s="1"/>
  <c r="DV25" i="4" l="1"/>
  <c r="F53" i="5"/>
  <c r="E55" i="5"/>
  <c r="E75" i="5" s="1"/>
  <c r="E73" i="5"/>
  <c r="E58" i="5"/>
  <c r="DU33" i="4"/>
  <c r="DU270" i="4"/>
  <c r="DV32" i="4"/>
  <c r="DV199" i="4" s="1"/>
  <c r="F57" i="5"/>
  <c r="EC175" i="4" l="1"/>
  <c r="DW19" i="4"/>
  <c r="DU38" i="4"/>
  <c r="DU43" i="4" s="1"/>
  <c r="DU44" i="4" s="1"/>
  <c r="DU199" i="4"/>
  <c r="DU323" i="4"/>
  <c r="E76" i="5"/>
  <c r="F73" i="5"/>
  <c r="F55" i="5"/>
  <c r="F75" i="5" s="1"/>
  <c r="DV33" i="4"/>
  <c r="F58" i="5"/>
  <c r="DW21" i="4" l="1"/>
  <c r="DW24" i="4" s="1"/>
  <c r="DW202" i="4" s="1"/>
  <c r="DX174" i="4"/>
  <c r="DW175" i="4"/>
  <c r="DW174" i="4"/>
  <c r="DW173" i="4"/>
  <c r="G50" i="5"/>
  <c r="DU57" i="4"/>
  <c r="E65" i="5" s="1"/>
  <c r="DU58" i="4"/>
  <c r="E60" i="5"/>
  <c r="E79" i="5" s="1"/>
  <c r="DU39" i="4"/>
  <c r="E62" i="5"/>
  <c r="E77" i="5" s="1"/>
  <c r="DU366" i="4"/>
  <c r="DU347" i="4"/>
  <c r="DU357" i="4"/>
  <c r="F76" i="5"/>
  <c r="DV38" i="4"/>
  <c r="DU1" i="4" l="1"/>
  <c r="DW32" i="4"/>
  <c r="DW33" i="4" s="1"/>
  <c r="DW25" i="4"/>
  <c r="E66" i="5"/>
  <c r="DU352" i="4"/>
  <c r="DV39" i="4"/>
  <c r="F60" i="5"/>
  <c r="F79" i="5" s="1"/>
  <c r="DV43" i="4"/>
  <c r="DV366" i="4" s="1"/>
  <c r="DW199" i="4" l="1"/>
  <c r="DU353" i="4"/>
  <c r="DV351" i="4"/>
  <c r="DV352" i="4" s="1"/>
  <c r="DV58" i="4"/>
  <c r="F62" i="5"/>
  <c r="F77" i="5" s="1"/>
  <c r="DV57" i="4"/>
  <c r="F65" i="5" s="1"/>
  <c r="DV44" i="4"/>
  <c r="DY172" i="4" l="1"/>
  <c r="DY175" i="4" s="1"/>
  <c r="DY19" i="4"/>
  <c r="H50" i="5"/>
  <c r="DV353" i="4"/>
  <c r="DW351" i="4"/>
  <c r="DW352" i="4" s="1"/>
  <c r="DX351" i="4" s="1"/>
  <c r="F66" i="5"/>
  <c r="DV1" i="4"/>
  <c r="I50" i="5" l="1"/>
  <c r="DY21" i="4"/>
  <c r="FR19" i="4"/>
  <c r="FR172" i="4"/>
  <c r="DY178" i="4"/>
  <c r="FR178" i="4" l="1"/>
  <c r="FR175" i="4"/>
  <c r="R12" i="5"/>
  <c r="FR21" i="4"/>
  <c r="EB179" i="4" l="1"/>
  <c r="K50" i="5"/>
  <c r="L50" i="5" l="1"/>
  <c r="EE172" i="4"/>
  <c r="EE175" i="4" s="1"/>
  <c r="EC19" i="4"/>
  <c r="EC21" i="4" l="1"/>
  <c r="M50" i="5"/>
  <c r="ED19" i="4"/>
  <c r="FS172" i="4"/>
  <c r="FS175" i="4" s="1"/>
  <c r="EE178" i="4"/>
  <c r="EB202" i="4"/>
  <c r="L53" i="5"/>
  <c r="FS178" i="4" l="1"/>
  <c r="ED21" i="4"/>
  <c r="N50" i="5"/>
  <c r="EE19" i="4"/>
  <c r="L73" i="5"/>
  <c r="L55" i="5"/>
  <c r="L75" i="5" s="1"/>
  <c r="G57" i="5"/>
  <c r="EE21" i="4" l="1"/>
  <c r="O50" i="5"/>
  <c r="FS19" i="4"/>
  <c r="FS21" i="4" l="1"/>
  <c r="S12" i="5"/>
  <c r="DU120" i="9" l="1"/>
  <c r="DY119" i="9"/>
  <c r="DU133" i="9"/>
  <c r="DY133" i="9" s="1"/>
  <c r="DU135" i="9" l="1"/>
  <c r="DV473" i="9" l="1"/>
  <c r="DY117" i="9"/>
  <c r="DU158" i="9" l="1"/>
  <c r="DY109" i="9"/>
  <c r="DY158" i="9" s="1"/>
  <c r="DU127" i="9" l="1"/>
  <c r="DY125" i="9" l="1"/>
  <c r="DY127" i="9" l="1"/>
  <c r="EC127" i="9" l="1"/>
  <c r="EE125" i="9" l="1"/>
  <c r="EE127" i="9" s="1"/>
  <c r="BQ55" i="9" l="1"/>
  <c r="BQ65" i="9" s="1"/>
  <c r="BW55" i="9"/>
  <c r="BW62" i="9" s="1"/>
  <c r="FB56" i="9"/>
  <c r="FC60" i="9"/>
  <c r="BW60" i="9" l="1"/>
  <c r="BQ60" i="9"/>
  <c r="FB64" i="9"/>
  <c r="BQ62" i="9"/>
  <c r="BW64" i="9"/>
  <c r="BQ64" i="9"/>
  <c r="FB87" i="9"/>
  <c r="FB60" i="9"/>
  <c r="FC39" i="9"/>
  <c r="FB39" i="9"/>
  <c r="FC63" i="9"/>
  <c r="FB63" i="9"/>
  <c r="BW63" i="9"/>
  <c r="FC65" i="9"/>
  <c r="BQ63" i="9"/>
  <c r="FB65" i="9"/>
  <c r="BW65" i="9"/>
  <c r="FC62" i="9"/>
  <c r="FB62" i="9"/>
  <c r="FC56" i="9"/>
  <c r="FC64" i="9"/>
  <c r="FC87" i="9" l="1"/>
  <c r="FD87" i="9" l="1"/>
  <c r="FE87" i="9" l="1"/>
  <c r="FF87" i="9" l="1"/>
  <c r="FG87" i="9" l="1"/>
  <c r="FI87" i="9" l="1"/>
  <c r="FH87" i="9"/>
  <c r="DV288" i="4" l="1"/>
  <c r="DV287" i="4" s="1"/>
  <c r="DV289" i="4"/>
  <c r="DV290" i="4"/>
  <c r="DV293" i="4"/>
  <c r="DV294" i="4"/>
  <c r="DV295" i="4"/>
  <c r="DW107" i="4" l="1"/>
  <c r="EC18" i="9" l="1"/>
  <c r="G46" i="5" l="1"/>
  <c r="G71" i="5" l="1"/>
  <c r="DW38" i="4" l="1"/>
  <c r="DW39" i="4" l="1"/>
  <c r="DW43" i="4"/>
  <c r="DW366" i="4" s="1"/>
  <c r="DW44" i="4" l="1"/>
  <c r="DW58" i="4"/>
  <c r="DW57" i="4"/>
  <c r="G60" i="5"/>
  <c r="DW353" i="4" l="1"/>
  <c r="DY187" i="4" l="1"/>
  <c r="DW268" i="4" l="1"/>
  <c r="DY193" i="4"/>
  <c r="FR187" i="4"/>
  <c r="DY188" i="4"/>
  <c r="DY30" i="4" l="1"/>
  <c r="H57" i="5"/>
  <c r="DW270" i="4"/>
  <c r="FR30" i="4" l="1"/>
  <c r="I57" i="5"/>
  <c r="R19" i="5" l="1"/>
  <c r="R234" i="5" s="1"/>
  <c r="R235" i="5" s="1"/>
  <c r="DY46" i="9" l="1"/>
  <c r="DY59" i="9" l="1"/>
  <c r="DY86" i="9"/>
  <c r="FL86" i="9" s="1"/>
  <c r="DY81" i="4"/>
  <c r="FL46" i="9"/>
  <c r="DY107" i="4"/>
  <c r="FR81" i="4" l="1"/>
  <c r="FR107" i="4"/>
  <c r="DY134" i="9" l="1"/>
  <c r="DY120" i="9"/>
  <c r="DY10" i="9"/>
  <c r="FL8" i="9"/>
  <c r="DY18" i="9"/>
  <c r="DY432" i="9" l="1"/>
  <c r="EB15" i="9"/>
  <c r="DY132" i="9"/>
  <c r="DY473" i="9" s="1"/>
  <c r="DY20" i="9"/>
  <c r="DY9" i="4"/>
  <c r="DY10" i="4" s="1"/>
  <c r="H46" i="5"/>
  <c r="FL10" i="9"/>
  <c r="FL18" i="9"/>
  <c r="H53" i="5"/>
  <c r="EA473" i="9" l="1"/>
  <c r="H71" i="5"/>
  <c r="I46" i="5"/>
  <c r="DY170" i="4"/>
  <c r="DY173" i="4"/>
  <c r="DY163" i="4"/>
  <c r="DY363" i="4"/>
  <c r="DY179" i="4"/>
  <c r="FR9" i="4"/>
  <c r="FR7" i="4" s="1"/>
  <c r="FL20" i="9"/>
  <c r="DY371" i="4"/>
  <c r="DY284" i="4"/>
  <c r="FR284" i="4" s="1"/>
  <c r="H47" i="5"/>
  <c r="H48" i="5" s="1"/>
  <c r="H58" i="5"/>
  <c r="H73" i="5"/>
  <c r="H55" i="5"/>
  <c r="H75" i="5" s="1"/>
  <c r="H72" i="5" l="1"/>
  <c r="DY283" i="4"/>
  <c r="FR283" i="4" s="1"/>
  <c r="FR293" i="4" s="1"/>
  <c r="FR371" i="4"/>
  <c r="FR372" i="4" s="1"/>
  <c r="DY372" i="4"/>
  <c r="DY325" i="4"/>
  <c r="FR289" i="4"/>
  <c r="FR294" i="4"/>
  <c r="FR170" i="4"/>
  <c r="FR363" i="4"/>
  <c r="FR163" i="4"/>
  <c r="FR173" i="4"/>
  <c r="FR22" i="4"/>
  <c r="FR179" i="4"/>
  <c r="R8" i="5"/>
  <c r="DY238" i="4"/>
  <c r="FR238" i="4" s="1"/>
  <c r="R86" i="5" s="1"/>
  <c r="DY198" i="4"/>
  <c r="H76" i="5"/>
  <c r="DY241" i="4" l="1"/>
  <c r="FR241" i="4" s="1"/>
  <c r="DY319" i="4"/>
  <c r="DY320" i="4"/>
  <c r="FR320" i="4" s="1"/>
  <c r="FR325" i="4"/>
  <c r="DY334" i="4"/>
  <c r="DY226" i="4"/>
  <c r="R33" i="5"/>
  <c r="R210" i="5"/>
  <c r="Q183" i="5"/>
  <c r="Q310" i="5" s="1"/>
  <c r="R289" i="5"/>
  <c r="FR198" i="4"/>
  <c r="DY368" i="4"/>
  <c r="H60" i="5"/>
  <c r="H79" i="5" s="1"/>
  <c r="DY38" i="4"/>
  <c r="R87" i="5" l="1"/>
  <c r="FR226" i="4"/>
  <c r="DY233" i="4"/>
  <c r="R290" i="5"/>
  <c r="R292" i="5"/>
  <c r="R291" i="5"/>
  <c r="R142" i="5"/>
  <c r="FR334" i="4"/>
  <c r="R144" i="5" s="1"/>
  <c r="H62" i="5"/>
  <c r="H65" i="5"/>
  <c r="DY313" i="4"/>
  <c r="DY316" i="4" s="1"/>
  <c r="FR368" i="4"/>
  <c r="FR369" i="4" s="1"/>
  <c r="DY369" i="4"/>
  <c r="FR319" i="4"/>
  <c r="FR38" i="4"/>
  <c r="I60" i="5"/>
  <c r="R303" i="5" l="1"/>
  <c r="H77" i="5"/>
  <c r="FR233" i="4"/>
  <c r="R92" i="5"/>
  <c r="R143" i="5"/>
  <c r="R299" i="5"/>
  <c r="R300" i="5" s="1"/>
  <c r="R166" i="5"/>
  <c r="R207" i="5"/>
  <c r="DY265" i="4"/>
  <c r="FR265" i="4" s="1"/>
  <c r="R254" i="5" s="1"/>
  <c r="H66" i="5"/>
  <c r="FR313" i="4"/>
  <c r="FR316" i="4" s="1"/>
  <c r="DY306" i="4"/>
  <c r="R22" i="5"/>
  <c r="R98" i="5" l="1"/>
  <c r="R239" i="5"/>
  <c r="FR306" i="4"/>
  <c r="R233" i="5"/>
  <c r="EA187" i="4" l="1"/>
  <c r="EA191" i="4" s="1"/>
  <c r="DY236" i="4"/>
  <c r="EA351" i="4" s="1"/>
  <c r="EA352" i="4" s="1"/>
  <c r="EA353" i="4" l="1"/>
  <c r="EB351" i="4"/>
  <c r="EB352" i="4" s="1"/>
  <c r="EC351" i="4" s="1"/>
  <c r="DY244" i="4"/>
  <c r="FR236" i="4"/>
  <c r="EE351" i="4"/>
  <c r="FS351" i="4" s="1"/>
  <c r="S155" i="5" s="1"/>
  <c r="DY272" i="4"/>
  <c r="EA30" i="4"/>
  <c r="EA32" i="4" s="1"/>
  <c r="EA199" i="4" l="1"/>
  <c r="EA33" i="4"/>
  <c r="DY264" i="4"/>
  <c r="FR264" i="4" s="1"/>
  <c r="FR266" i="4" s="1"/>
  <c r="DY246" i="4"/>
  <c r="R84" i="5"/>
  <c r="FR188" i="4"/>
  <c r="FR244" i="4"/>
  <c r="FR272" i="4"/>
  <c r="R123" i="5"/>
  <c r="R124" i="5" s="1"/>
  <c r="FR246" i="4" l="1"/>
  <c r="R90" i="5"/>
  <c r="R305" i="5"/>
  <c r="R175" i="5"/>
  <c r="R176" i="5" s="1"/>
  <c r="K57" i="5"/>
  <c r="R119" i="5"/>
  <c r="R204" i="5" s="1"/>
  <c r="DY268" i="4"/>
  <c r="R259" i="5" l="1"/>
  <c r="R194" i="5"/>
  <c r="R312" i="5" s="1"/>
  <c r="R253" i="5"/>
  <c r="R89" i="5"/>
  <c r="R100" i="5"/>
  <c r="DY270" i="4"/>
  <c r="R182" i="5"/>
  <c r="FQ301" i="9" l="1"/>
  <c r="FQ442" i="9" s="1"/>
  <c r="FR301" i="9" l="1"/>
  <c r="FR442" i="9" s="1"/>
  <c r="FQ461" i="9"/>
  <c r="FQ462" i="9" s="1"/>
  <c r="FQ311" i="9"/>
  <c r="FQ450" i="9" s="1"/>
  <c r="FQ451" i="9" s="1"/>
  <c r="FQ302" i="9"/>
  <c r="FQ443" i="9" s="1"/>
  <c r="FQ312" i="9" l="1"/>
  <c r="FR461" i="9"/>
  <c r="FR462" i="9" s="1"/>
  <c r="FR311" i="9"/>
  <c r="FR450" i="9" s="1"/>
  <c r="FR451" i="9" s="1"/>
  <c r="FR302" i="9"/>
  <c r="FR443" i="9" s="1"/>
  <c r="FV81" i="4"/>
  <c r="FV107" i="4" s="1"/>
  <c r="FV83" i="4" l="1"/>
  <c r="FV109" i="4" s="1"/>
  <c r="FR312" i="9"/>
  <c r="FQ469" i="9"/>
  <c r="FQ470" i="9" s="1"/>
  <c r="FV85" i="4" l="1"/>
  <c r="FV111" i="4" s="1"/>
  <c r="FR469" i="9"/>
  <c r="FR470" i="9" s="1"/>
  <c r="FR9" i="9"/>
  <c r="FV84" i="4"/>
  <c r="FV110" i="4" s="1"/>
  <c r="FV86" i="4" l="1"/>
  <c r="FV112" i="4" s="1"/>
  <c r="FX89" i="4"/>
  <c r="FV88" i="4" l="1"/>
  <c r="FV114" i="4" s="1"/>
  <c r="DO39" i="9" l="1"/>
  <c r="DP39" i="9"/>
  <c r="DQ39" i="9"/>
  <c r="DR39" i="9"/>
  <c r="DO49" i="9"/>
  <c r="DP49" i="9"/>
  <c r="DQ49" i="9"/>
  <c r="DR49" i="9"/>
  <c r="DO50" i="9"/>
  <c r="DO90" i="9" s="1"/>
  <c r="DP50" i="9"/>
  <c r="DP84" i="4" s="1"/>
  <c r="DP110" i="4" s="1"/>
  <c r="DQ50" i="9"/>
  <c r="DQ84" i="4" s="1"/>
  <c r="DQ110" i="4" s="1"/>
  <c r="DR50" i="9"/>
  <c r="DR84" i="4" s="1"/>
  <c r="DR110" i="4" s="1"/>
  <c r="DO51" i="9"/>
  <c r="DO85" i="4" s="1"/>
  <c r="DP51" i="9"/>
  <c r="DP85" i="4" s="1"/>
  <c r="DP111" i="4" s="1"/>
  <c r="DQ51" i="9"/>
  <c r="DQ85" i="4" s="1"/>
  <c r="DQ111" i="4" s="1"/>
  <c r="DR51" i="9"/>
  <c r="DO52" i="9"/>
  <c r="DO92" i="9" s="1"/>
  <c r="DP52" i="9"/>
  <c r="DP86" i="4" s="1"/>
  <c r="DP112" i="4" s="1"/>
  <c r="DQ52" i="9"/>
  <c r="DQ86" i="4" s="1"/>
  <c r="DQ112" i="4" s="1"/>
  <c r="DR52" i="9"/>
  <c r="DR86" i="4" s="1"/>
  <c r="DR112" i="4" s="1"/>
  <c r="DO401" i="9"/>
  <c r="DP401" i="9"/>
  <c r="DQ401" i="9"/>
  <c r="DR401" i="9"/>
  <c r="DO402" i="9"/>
  <c r="DP402" i="9"/>
  <c r="DQ402" i="9"/>
  <c r="DR402" i="9"/>
  <c r="DR53" i="9" l="1"/>
  <c r="DP83" i="4"/>
  <c r="DP109" i="4" s="1"/>
  <c r="DP113" i="4" s="1"/>
  <c r="DP53" i="9"/>
  <c r="DO53" i="9"/>
  <c r="DQ53" i="9"/>
  <c r="DQ91" i="9"/>
  <c r="DP404" i="9"/>
  <c r="DO404" i="9"/>
  <c r="DQ404" i="9"/>
  <c r="DS402" i="9"/>
  <c r="DR92" i="9"/>
  <c r="DR90" i="9"/>
  <c r="DQ90" i="9"/>
  <c r="DO83" i="4"/>
  <c r="DO109" i="4" s="1"/>
  <c r="DS49" i="9"/>
  <c r="DO91" i="9"/>
  <c r="DP89" i="9"/>
  <c r="DO89" i="9"/>
  <c r="DS52" i="9"/>
  <c r="FK52" i="9" s="1"/>
  <c r="DO84" i="4"/>
  <c r="DO110" i="4" s="1"/>
  <c r="DS110" i="4" s="1"/>
  <c r="DS50" i="9"/>
  <c r="DP90" i="9"/>
  <c r="DR404" i="9"/>
  <c r="DS401" i="9"/>
  <c r="DR85" i="4"/>
  <c r="DR111" i="4" s="1"/>
  <c r="DS51" i="9"/>
  <c r="DO111" i="4"/>
  <c r="DQ92" i="9"/>
  <c r="DR83" i="4"/>
  <c r="DR109" i="4" s="1"/>
  <c r="DP92" i="9"/>
  <c r="DR89" i="9"/>
  <c r="DQ83" i="4"/>
  <c r="DQ109" i="4" s="1"/>
  <c r="DQ113" i="4" s="1"/>
  <c r="DQ89" i="9"/>
  <c r="DO86" i="4"/>
  <c r="DR91" i="9"/>
  <c r="DP91" i="9"/>
  <c r="DR113" i="4" l="1"/>
  <c r="DQ66" i="9"/>
  <c r="DQ87" i="4"/>
  <c r="DQ101" i="4" s="1"/>
  <c r="DO66" i="9"/>
  <c r="DO87" i="4"/>
  <c r="DP66" i="9"/>
  <c r="DP87" i="4"/>
  <c r="DP101" i="4" s="1"/>
  <c r="DR66" i="9"/>
  <c r="DR87" i="4"/>
  <c r="FK49" i="9"/>
  <c r="DS53" i="9"/>
  <c r="DS89" i="9"/>
  <c r="FK89" i="9" s="1"/>
  <c r="DS92" i="9"/>
  <c r="FK92" i="9" s="1"/>
  <c r="DS111" i="4"/>
  <c r="DS84" i="4"/>
  <c r="FQ84" i="4" s="1"/>
  <c r="DS404" i="9"/>
  <c r="DS85" i="4"/>
  <c r="FQ85" i="4" s="1"/>
  <c r="DS91" i="9"/>
  <c r="FK91" i="9" s="1"/>
  <c r="FK51" i="9"/>
  <c r="DO112" i="4"/>
  <c r="DS112" i="4" s="1"/>
  <c r="DS86" i="4"/>
  <c r="FQ86" i="4" s="1"/>
  <c r="FQ110" i="4"/>
  <c r="FK50" i="9"/>
  <c r="DS90" i="9"/>
  <c r="FK90" i="9" s="1"/>
  <c r="DS109" i="4"/>
  <c r="DS83" i="4"/>
  <c r="FQ83" i="4" s="1"/>
  <c r="DS407" i="9" l="1"/>
  <c r="DS394" i="9"/>
  <c r="DS87" i="4"/>
  <c r="FQ87" i="4" s="1"/>
  <c r="DS113" i="4"/>
  <c r="DS66" i="9"/>
  <c r="FK53" i="9"/>
  <c r="DO113" i="4"/>
  <c r="DR101" i="4"/>
  <c r="DS99" i="4"/>
  <c r="FQ111" i="4"/>
  <c r="FQ99" i="4" s="1"/>
  <c r="FQ98" i="4"/>
  <c r="DS98" i="4"/>
  <c r="DS408" i="9"/>
  <c r="FQ109" i="4"/>
  <c r="FQ97" i="4" s="1"/>
  <c r="DS97" i="4"/>
  <c r="FQ112" i="4"/>
  <c r="FQ100" i="4" s="1"/>
  <c r="DS100" i="4"/>
  <c r="DS101" i="4" l="1"/>
  <c r="FQ113" i="4"/>
  <c r="FQ101" i="4" s="1"/>
  <c r="DO101" i="4"/>
  <c r="DY39" i="9" l="1"/>
  <c r="G53" i="5" l="1"/>
  <c r="G47" i="5"/>
  <c r="G48" i="5" s="1"/>
  <c r="DY11" i="4"/>
  <c r="FR11" i="4" l="1"/>
  <c r="DY13" i="4"/>
  <c r="I47" i="5"/>
  <c r="I48" i="5" s="1"/>
  <c r="G72" i="5"/>
  <c r="G58" i="5"/>
  <c r="G73" i="5"/>
  <c r="G55" i="5"/>
  <c r="G75" i="5" s="1"/>
  <c r="G65" i="5" l="1"/>
  <c r="G62" i="5"/>
  <c r="I72" i="5"/>
  <c r="DY24" i="4"/>
  <c r="DY14" i="4"/>
  <c r="G79" i="5"/>
  <c r="G76" i="5"/>
  <c r="FR288" i="4"/>
  <c r="FR13" i="4"/>
  <c r="R9" i="5"/>
  <c r="I53" i="5" l="1"/>
  <c r="DY25" i="4"/>
  <c r="DY32" i="4"/>
  <c r="DY202" i="4"/>
  <c r="R304" i="5"/>
  <c r="R10" i="5"/>
  <c r="FR24" i="4"/>
  <c r="FR14" i="4"/>
  <c r="G77" i="5"/>
  <c r="DW1" i="4"/>
  <c r="G66" i="5"/>
  <c r="FR25" i="4" l="1"/>
  <c r="FR202" i="4"/>
  <c r="R15" i="5"/>
  <c r="FR32" i="4"/>
  <c r="R34" i="5"/>
  <c r="R218" i="5"/>
  <c r="DY33" i="4"/>
  <c r="DY199" i="4"/>
  <c r="DY39" i="4"/>
  <c r="I58" i="5"/>
  <c r="DY43" i="4"/>
  <c r="I55" i="5"/>
  <c r="I75" i="5" s="1"/>
  <c r="I73" i="5"/>
  <c r="DY58" i="4" l="1"/>
  <c r="DY1" i="4" s="1"/>
  <c r="DY44" i="4"/>
  <c r="DY57" i="4"/>
  <c r="I65" i="5" s="1"/>
  <c r="DY366" i="4"/>
  <c r="I62" i="5"/>
  <c r="FR43" i="4"/>
  <c r="R20" i="5"/>
  <c r="R41" i="5" s="1"/>
  <c r="FR33" i="4"/>
  <c r="FR199" i="4"/>
  <c r="FR39" i="4"/>
  <c r="I79" i="5"/>
  <c r="I76" i="5"/>
  <c r="R17" i="5"/>
  <c r="R232" i="5"/>
  <c r="R236" i="5" s="1"/>
  <c r="R35" i="5"/>
  <c r="R199" i="5"/>
  <c r="R211" i="5"/>
  <c r="R293" i="5"/>
  <c r="R294" i="5" s="1"/>
  <c r="R219" i="5"/>
  <c r="R38" i="5" l="1"/>
  <c r="R248" i="5"/>
  <c r="R221" i="5"/>
  <c r="FR366" i="4"/>
  <c r="FR44" i="4"/>
  <c r="FR58" i="4"/>
  <c r="FR57" i="4"/>
  <c r="R27" i="5" s="1"/>
  <c r="R24" i="5"/>
  <c r="DZ58" i="4"/>
  <c r="I66" i="5"/>
  <c r="R37" i="5"/>
  <c r="R220" i="5"/>
  <c r="R306" i="5"/>
  <c r="R184" i="5"/>
  <c r="R212" i="5"/>
  <c r="Q185" i="5"/>
  <c r="Q311" i="5" s="1"/>
  <c r="I77" i="5"/>
  <c r="FR59" i="4" l="1"/>
  <c r="R28" i="5"/>
  <c r="R129" i="5"/>
  <c r="R201" i="5"/>
  <c r="R222" i="5"/>
  <c r="R39" i="5"/>
  <c r="R213" i="5" l="1"/>
  <c r="R191" i="5"/>
  <c r="R178" i="5"/>
  <c r="R206" i="5"/>
  <c r="Q179" i="5"/>
  <c r="Q309" i="5" s="1"/>
  <c r="R295" i="5"/>
  <c r="K46" i="5" l="1"/>
  <c r="EA115" i="4"/>
  <c r="L71" i="5" l="1"/>
  <c r="K71" i="5"/>
  <c r="EB233" i="4" l="1"/>
  <c r="K47" i="5"/>
  <c r="K48" i="5" s="1"/>
  <c r="K53" i="5"/>
  <c r="K72" i="5" l="1"/>
  <c r="EA38" i="4"/>
  <c r="EA43" i="4" s="1"/>
  <c r="EA366" i="4" s="1"/>
  <c r="K58" i="5"/>
  <c r="K55" i="5"/>
  <c r="K75" i="5" s="1"/>
  <c r="K73" i="5"/>
  <c r="EA39" i="4" l="1"/>
  <c r="K76" i="5"/>
  <c r="EA44" i="4" l="1"/>
  <c r="EA58" i="4"/>
  <c r="EA57" i="4"/>
  <c r="K60" i="5"/>
  <c r="K79" i="5" s="1"/>
  <c r="EA1" i="4" l="1"/>
  <c r="K65" i="5"/>
  <c r="K62" i="5"/>
  <c r="K66" i="5"/>
  <c r="K77" i="5" l="1"/>
  <c r="EB187" i="4" l="1"/>
  <c r="EB30" i="4" l="1"/>
  <c r="EB32" i="4" s="1"/>
  <c r="EB33" i="4" s="1"/>
  <c r="EA270" i="4"/>
  <c r="L57" i="5" l="1"/>
  <c r="EB191" i="4"/>
  <c r="EB38" i="4"/>
  <c r="EB43" i="4" s="1"/>
  <c r="EB366" i="4" s="1"/>
  <c r="EB199" i="4"/>
  <c r="L58" i="5"/>
  <c r="EB39" i="4" l="1"/>
  <c r="EB44" i="4"/>
  <c r="EB57" i="4"/>
  <c r="EB58" i="4"/>
  <c r="L76" i="5"/>
  <c r="L60" i="5" l="1"/>
  <c r="L79" i="5" s="1"/>
  <c r="L65" i="5" l="1"/>
  <c r="L62" i="5"/>
  <c r="L66" i="5" l="1"/>
  <c r="EB1" i="4"/>
  <c r="L77" i="5"/>
  <c r="EB353" i="4" l="1"/>
  <c r="EB272" i="4" l="1"/>
  <c r="EC187" i="4"/>
  <c r="EC30" i="4" l="1"/>
  <c r="EC191" i="4" l="1"/>
  <c r="M57" i="5"/>
  <c r="DY250" i="4" l="1"/>
  <c r="FR250" i="4" s="1"/>
  <c r="DX254" i="4" l="1"/>
  <c r="DY254" i="4" s="1"/>
  <c r="DY266" i="4" s="1"/>
  <c r="R103" i="5"/>
  <c r="FR254" i="4"/>
  <c r="DX285" i="4"/>
  <c r="EA321" i="4"/>
  <c r="DX321" i="4"/>
  <c r="DX273" i="4" l="1"/>
  <c r="DY273" i="4"/>
  <c r="DX322" i="4"/>
  <c r="DY322" i="4" s="1"/>
  <c r="FR322" i="4" s="1"/>
  <c r="DY321" i="4"/>
  <c r="DY285" i="4"/>
  <c r="FR285" i="4" s="1"/>
  <c r="DX295" i="4"/>
  <c r="DX290" i="4"/>
  <c r="FR268" i="4"/>
  <c r="FR270" i="4" s="1"/>
  <c r="FR273" i="4"/>
  <c r="EA322" i="4"/>
  <c r="R238" i="5"/>
  <c r="R241" i="5" s="1"/>
  <c r="R107" i="5"/>
  <c r="R116" i="5" s="1"/>
  <c r="R118" i="5" s="1"/>
  <c r="R180" i="5" s="1"/>
  <c r="DY318" i="4" l="1"/>
  <c r="FR321" i="4"/>
  <c r="R186" i="5"/>
  <c r="R200" i="5"/>
  <c r="FR290" i="4"/>
  <c r="FR295" i="4"/>
  <c r="DY323" i="4" l="1"/>
  <c r="FR318" i="4"/>
  <c r="FR323" i="4" l="1"/>
  <c r="R136" i="5"/>
  <c r="DY357" i="4"/>
  <c r="R137" i="5" l="1"/>
  <c r="FR357" i="4"/>
  <c r="R298" i="5" l="1"/>
  <c r="R203" i="5"/>
  <c r="R133" i="5"/>
  <c r="R164" i="5"/>
  <c r="R167" i="5" s="1"/>
  <c r="R193" i="5" l="1"/>
  <c r="R205" i="5" s="1"/>
  <c r="R214" i="5"/>
  <c r="R181" i="5"/>
  <c r="R188" i="5"/>
  <c r="R313" i="5" l="1"/>
  <c r="EE119" i="9" l="1"/>
  <c r="EB133" i="9"/>
  <c r="EE133" i="9" l="1"/>
  <c r="EB473" i="9"/>
  <c r="EC473" i="9" l="1"/>
  <c r="EC474" i="9" s="1"/>
  <c r="CO31" i="9" l="1"/>
  <c r="FF31" i="9" s="1"/>
  <c r="CO35" i="9"/>
  <c r="EC37" i="9"/>
  <c r="EC35" i="9" l="1"/>
  <c r="EC30" i="9" s="1"/>
  <c r="EI19" i="9"/>
  <c r="CO30" i="9"/>
  <c r="FF30" i="9" s="1"/>
  <c r="FF35" i="9"/>
  <c r="EC38" i="9"/>
  <c r="EC32" i="9"/>
  <c r="EC89" i="4"/>
  <c r="EC90" i="4" s="1"/>
  <c r="EC19" i="9"/>
  <c r="EC39" i="9"/>
  <c r="EI38" i="9"/>
  <c r="EC14" i="9"/>
  <c r="EC10" i="9"/>
  <c r="EB283" i="4" l="1"/>
  <c r="EC115" i="4"/>
  <c r="EC9" i="4"/>
  <c r="EC20" i="9"/>
  <c r="EI20" i="9"/>
  <c r="EC15" i="9"/>
  <c r="EC13" i="4" l="1"/>
  <c r="EC10" i="4"/>
  <c r="EC363" i="4"/>
  <c r="EC372" i="4"/>
  <c r="EC163" i="4"/>
  <c r="EC173" i="4"/>
  <c r="EB244" i="4"/>
  <c r="EB246" i="4" s="1"/>
  <c r="EB319" i="4"/>
  <c r="EB322" i="4" s="1"/>
  <c r="EB369" i="4"/>
  <c r="EB282" i="4"/>
  <c r="EB293" i="4"/>
  <c r="EB288" i="4"/>
  <c r="EB287" i="4" s="1"/>
  <c r="EC91" i="4"/>
  <c r="EC179" i="4"/>
  <c r="EC170" i="4"/>
  <c r="M46" i="5"/>
  <c r="EB273" i="4" l="1"/>
  <c r="EB268" i="4"/>
  <c r="EB266" i="4" s="1"/>
  <c r="EB264" i="4" s="1"/>
  <c r="EC320" i="4"/>
  <c r="M71" i="5"/>
  <c r="EC284" i="4" l="1"/>
  <c r="EB270" i="4"/>
  <c r="M47" i="5"/>
  <c r="M48" i="5" s="1"/>
  <c r="EC38" i="4"/>
  <c r="EC294" i="4" l="1"/>
  <c r="EC289" i="4"/>
  <c r="M72" i="5"/>
  <c r="M60" i="5"/>
  <c r="EC323" i="4" l="1"/>
  <c r="EC347" i="4" s="1"/>
  <c r="EC352" i="4" l="1"/>
  <c r="ED37" i="9" l="1"/>
  <c r="ED38" i="9" s="1"/>
  <c r="ED14" i="9"/>
  <c r="ED89" i="4"/>
  <c r="EE89" i="4" s="1"/>
  <c r="ED19" i="9"/>
  <c r="EE9" i="9"/>
  <c r="ED32" i="9" l="1"/>
  <c r="ED35" i="9"/>
  <c r="ED30" i="9" s="1"/>
  <c r="EE37" i="9"/>
  <c r="EE431" i="9"/>
  <c r="ED115" i="4"/>
  <c r="EE115" i="4" s="1"/>
  <c r="FS115" i="4" s="1"/>
  <c r="EE19" i="9"/>
  <c r="FM9" i="9"/>
  <c r="FS89" i="4"/>
  <c r="FM19" i="9" l="1"/>
  <c r="FS103" i="4"/>
  <c r="EE103" i="4"/>
  <c r="EA81" i="4" l="1"/>
  <c r="EE81" i="4" s="1"/>
  <c r="FM46" i="9"/>
  <c r="EE86" i="9"/>
  <c r="FM86" i="9" s="1"/>
  <c r="EA107" i="4" l="1"/>
  <c r="EE107" i="4" s="1"/>
  <c r="FS107" i="4" s="1"/>
  <c r="FS81" i="4"/>
  <c r="EE95" i="4" l="1"/>
  <c r="FS95" i="4"/>
  <c r="EE152" i="9" l="1"/>
  <c r="EE153" i="9"/>
  <c r="EE154" i="9"/>
  <c r="EE156" i="9"/>
  <c r="EE155" i="9"/>
  <c r="FM155" i="9" l="1"/>
  <c r="FM154" i="9"/>
  <c r="FM156" i="9"/>
  <c r="FM153" i="9"/>
  <c r="EE157" i="9"/>
  <c r="FM152" i="9"/>
  <c r="FM157" i="9" l="1"/>
  <c r="FX116" i="4"/>
  <c r="FX13" i="4" s="1"/>
  <c r="EG37" i="9" l="1"/>
  <c r="EG35" i="9" s="1"/>
  <c r="EG30" i="9" s="1"/>
  <c r="EG89" i="4"/>
  <c r="EG10" i="9"/>
  <c r="EG19" i="9"/>
  <c r="EH14" i="9"/>
  <c r="EG14" i="9"/>
  <c r="EH15" i="9" l="1"/>
  <c r="EG1" i="9"/>
  <c r="EG115" i="4"/>
  <c r="EG20" i="9"/>
  <c r="EG9" i="4"/>
  <c r="EG372" i="4" s="1"/>
  <c r="Q46" i="5" l="1"/>
  <c r="EG170" i="4"/>
  <c r="EG163" i="4"/>
  <c r="EG319" i="4"/>
  <c r="R71" i="5" l="1"/>
  <c r="ED283" i="4"/>
  <c r="EG334" i="4"/>
  <c r="EE241" i="4"/>
  <c r="FS241" i="4" s="1"/>
  <c r="EE283" i="4" l="1"/>
  <c r="FS283" i="4" s="1"/>
  <c r="S87" i="5"/>
  <c r="S303" i="5" l="1"/>
  <c r="FU107" i="4" l="1"/>
  <c r="DU39" i="9"/>
  <c r="DU49" i="9"/>
  <c r="DU83" i="4" s="1"/>
  <c r="DU50" i="9"/>
  <c r="DU84" i="4" s="1"/>
  <c r="DU51" i="9"/>
  <c r="DU52" i="9"/>
  <c r="DU86" i="4" s="1"/>
  <c r="DU112" i="4" s="1"/>
  <c r="DU56" i="9"/>
  <c r="DU401" i="9"/>
  <c r="DU402" i="9"/>
  <c r="DU404" i="9" l="1"/>
  <c r="DU90" i="9"/>
  <c r="DU85" i="4"/>
  <c r="DU91" i="9"/>
  <c r="DU53" i="9"/>
  <c r="DU92" i="9"/>
  <c r="DU109" i="4"/>
  <c r="DU110" i="4"/>
  <c r="DU89" i="9"/>
  <c r="DU66" i="9" l="1"/>
  <c r="DU87" i="4"/>
  <c r="DU111" i="4"/>
  <c r="DU113" i="4" s="1"/>
  <c r="DU101" i="4" l="1"/>
  <c r="DV39" i="9"/>
  <c r="DW39" i="9"/>
  <c r="DX39" i="9"/>
  <c r="DV49" i="9"/>
  <c r="DV83" i="4" s="1"/>
  <c r="DW49" i="9"/>
  <c r="DW83" i="4" s="1"/>
  <c r="DX49" i="9"/>
  <c r="DX83" i="4" s="1"/>
  <c r="DV50" i="9"/>
  <c r="DV90" i="9" s="1"/>
  <c r="DW50" i="9"/>
  <c r="DW84" i="4" s="1"/>
  <c r="DW110" i="4" s="1"/>
  <c r="DX50" i="9"/>
  <c r="DX84" i="4" s="1"/>
  <c r="DX110" i="4" s="1"/>
  <c r="DV51" i="9"/>
  <c r="DV85" i="4" s="1"/>
  <c r="DW51" i="9"/>
  <c r="DW85" i="4" s="1"/>
  <c r="DW111" i="4" s="1"/>
  <c r="DX51" i="9"/>
  <c r="DX85" i="4" s="1"/>
  <c r="DX111" i="4" s="1"/>
  <c r="DV52" i="9"/>
  <c r="DV86" i="4" s="1"/>
  <c r="DW52" i="9"/>
  <c r="DW86" i="4" s="1"/>
  <c r="DW112" i="4" s="1"/>
  <c r="DX52" i="9"/>
  <c r="DX86" i="4" s="1"/>
  <c r="DX112" i="4" s="1"/>
  <c r="DV56" i="9"/>
  <c r="DW56" i="9"/>
  <c r="DX56" i="9"/>
  <c r="DV401" i="9"/>
  <c r="DW401" i="9"/>
  <c r="DX401" i="9"/>
  <c r="DV402" i="9"/>
  <c r="DW402" i="9"/>
  <c r="DX402" i="9"/>
  <c r="DX109" i="4" l="1"/>
  <c r="DX113" i="4" s="1"/>
  <c r="DV109" i="4"/>
  <c r="DW109" i="4"/>
  <c r="DW113" i="4" s="1"/>
  <c r="DY402" i="9"/>
  <c r="FL402" i="9" s="1"/>
  <c r="DX404" i="9"/>
  <c r="DX89" i="9"/>
  <c r="DV91" i="9"/>
  <c r="DX92" i="9"/>
  <c r="DV92" i="9"/>
  <c r="DW404" i="9"/>
  <c r="DW92" i="9"/>
  <c r="DW90" i="9"/>
  <c r="DV89" i="9"/>
  <c r="DW91" i="9"/>
  <c r="DX90" i="9"/>
  <c r="DX53" i="9"/>
  <c r="DW53" i="9"/>
  <c r="DY52" i="9"/>
  <c r="FL52" i="9" s="1"/>
  <c r="DY51" i="9"/>
  <c r="FL51" i="9" s="1"/>
  <c r="DW89" i="9"/>
  <c r="DV84" i="4"/>
  <c r="DY84" i="4" s="1"/>
  <c r="FR84" i="4" s="1"/>
  <c r="DY401" i="9"/>
  <c r="FL401" i="9" s="1"/>
  <c r="DX91" i="9"/>
  <c r="DV111" i="4"/>
  <c r="DY111" i="4" s="1"/>
  <c r="DY85" i="4"/>
  <c r="FR85" i="4" s="1"/>
  <c r="DV404" i="9"/>
  <c r="DV53" i="9"/>
  <c r="DY49" i="9"/>
  <c r="DY50" i="9"/>
  <c r="DY86" i="4"/>
  <c r="FR86" i="4" s="1"/>
  <c r="DV112" i="4"/>
  <c r="DY112" i="4" s="1"/>
  <c r="DY83" i="4"/>
  <c r="DY109" i="4" l="1"/>
  <c r="FR109" i="4" s="1"/>
  <c r="DV66" i="9"/>
  <c r="DV87" i="4"/>
  <c r="DW66" i="9"/>
  <c r="DW87" i="4"/>
  <c r="DW101" i="4" s="1"/>
  <c r="DX66" i="9"/>
  <c r="DX87" i="4"/>
  <c r="DX101" i="4" s="1"/>
  <c r="FR83" i="4"/>
  <c r="DY91" i="9"/>
  <c r="EE91" i="9" s="1"/>
  <c r="DY92" i="9"/>
  <c r="FL92" i="9" s="1"/>
  <c r="DV110" i="4"/>
  <c r="DY110" i="4" s="1"/>
  <c r="FR110" i="4" s="1"/>
  <c r="FR98" i="4" s="1"/>
  <c r="DY99" i="4"/>
  <c r="FR111" i="4"/>
  <c r="FR99" i="4" s="1"/>
  <c r="DY404" i="9"/>
  <c r="FR112" i="4"/>
  <c r="FR100" i="4" s="1"/>
  <c r="DY100" i="4"/>
  <c r="FL50" i="9"/>
  <c r="DY90" i="9"/>
  <c r="DY53" i="9"/>
  <c r="FL49" i="9"/>
  <c r="DY89" i="9"/>
  <c r="DY97" i="4" l="1"/>
  <c r="FL404" i="9"/>
  <c r="DY430" i="9"/>
  <c r="EE92" i="9"/>
  <c r="EK92" i="9" s="1"/>
  <c r="DY417" i="9"/>
  <c r="FL417" i="9" s="1"/>
  <c r="DY66" i="9"/>
  <c r="FL53" i="9"/>
  <c r="FR97" i="4"/>
  <c r="FL91" i="9"/>
  <c r="DY87" i="4"/>
  <c r="FR87" i="4" s="1"/>
  <c r="DV113" i="4"/>
  <c r="DY113" i="4"/>
  <c r="DY407" i="9"/>
  <c r="FL407" i="9" s="1"/>
  <c r="DY98" i="4"/>
  <c r="FL89" i="9"/>
  <c r="EE89" i="9"/>
  <c r="EK91" i="9"/>
  <c r="FM91" i="9"/>
  <c r="DY408" i="9"/>
  <c r="FL408" i="9" s="1"/>
  <c r="FL90" i="9"/>
  <c r="EE90" i="9"/>
  <c r="FM92" i="9" l="1"/>
  <c r="FL422" i="9"/>
  <c r="FR113" i="4"/>
  <c r="FR101" i="4" s="1"/>
  <c r="DY101" i="4"/>
  <c r="DV101" i="4"/>
  <c r="EK90" i="9"/>
  <c r="FM90" i="9"/>
  <c r="EK89" i="9"/>
  <c r="FM89" i="9"/>
  <c r="EA39" i="9" l="1"/>
  <c r="EA49" i="9"/>
  <c r="EA50" i="9"/>
  <c r="EA90" i="9" s="1"/>
  <c r="EA51" i="9"/>
  <c r="EA85" i="4" s="1"/>
  <c r="EA111" i="4" s="1"/>
  <c r="EA52" i="9"/>
  <c r="EA86" i="4" s="1"/>
  <c r="EA56" i="9"/>
  <c r="EA401" i="9"/>
  <c r="EA402" i="9"/>
  <c r="EA53" i="9" l="1"/>
  <c r="EA404" i="9"/>
  <c r="EA83" i="4"/>
  <c r="EA109" i="4" s="1"/>
  <c r="EA92" i="9"/>
  <c r="EA89" i="9"/>
  <c r="EA91" i="9"/>
  <c r="EA112" i="4"/>
  <c r="EA84" i="4"/>
  <c r="EA93" i="9" l="1"/>
  <c r="EA87" i="4"/>
  <c r="EA66" i="9"/>
  <c r="EA110" i="4"/>
  <c r="EA113" i="4" s="1"/>
  <c r="EB39" i="9"/>
  <c r="EB50" i="9"/>
  <c r="EB84" i="4" s="1"/>
  <c r="EB51" i="9"/>
  <c r="EB85" i="4" s="1"/>
  <c r="EB52" i="9"/>
  <c r="EB86" i="4" s="1"/>
  <c r="EB112" i="4" s="1"/>
  <c r="EB56" i="9"/>
  <c r="EB401" i="9"/>
  <c r="EB402" i="9"/>
  <c r="EB90" i="9" l="1"/>
  <c r="EB92" i="9"/>
  <c r="EB91" i="9"/>
  <c r="EB404" i="9"/>
  <c r="FS112" i="4"/>
  <c r="EB110" i="4"/>
  <c r="EB83" i="4"/>
  <c r="EB109" i="4" s="1"/>
  <c r="EB89" i="9"/>
  <c r="EB53" i="9"/>
  <c r="EB111" i="4"/>
  <c r="EB87" i="4" l="1"/>
  <c r="EB336" i="9"/>
  <c r="EB339" i="9" s="1"/>
  <c r="EB340" i="9" s="1"/>
  <c r="EB66" i="9"/>
  <c r="EB93" i="9"/>
  <c r="FS110" i="4"/>
  <c r="FS111" i="4"/>
  <c r="EB113" i="4"/>
  <c r="FS109" i="4" l="1"/>
  <c r="DM39" i="9"/>
  <c r="DM56" i="9"/>
  <c r="DS39" i="9"/>
  <c r="DT55" i="9"/>
  <c r="DS56" i="9"/>
  <c r="DG39" i="9"/>
  <c r="DR54" i="9"/>
  <c r="DR144" i="9" s="1"/>
  <c r="DR88" i="4" l="1"/>
  <c r="DR114" i="4" s="1"/>
  <c r="DR108" i="4" s="1"/>
  <c r="DR56" i="9"/>
  <c r="EK199" i="9" l="1"/>
  <c r="EK172" i="9" s="1"/>
  <c r="EK323" i="9" l="1"/>
  <c r="FN323" i="9" s="1"/>
  <c r="EK173" i="9"/>
  <c r="DR199" i="9"/>
  <c r="DR174" i="9" s="1"/>
  <c r="FN352" i="9" l="1"/>
  <c r="FO352" i="9"/>
  <c r="EK390" i="9"/>
  <c r="FN390" i="9" s="1"/>
  <c r="FW391" i="9" s="1"/>
  <c r="FW393" i="9" s="1"/>
  <c r="EK370" i="9"/>
  <c r="EK324" i="9"/>
  <c r="EK352" i="9"/>
  <c r="EL352" i="9"/>
  <c r="DR195" i="9"/>
  <c r="DS195" i="9" s="1"/>
  <c r="DS468" i="9" s="1"/>
  <c r="FK468" i="9" s="1"/>
  <c r="DR194" i="9"/>
  <c r="DR193" i="9"/>
  <c r="DR192" i="9"/>
  <c r="DR48" i="9"/>
  <c r="DR61" i="9" s="1"/>
  <c r="DR68" i="9" s="1"/>
  <c r="DR82" i="4"/>
  <c r="DR90" i="4" s="1"/>
  <c r="DR191" i="9"/>
  <c r="DR171" i="9"/>
  <c r="DR116" i="9"/>
  <c r="DR196" i="9"/>
  <c r="DR178" i="9"/>
  <c r="DR177" i="9"/>
  <c r="DR176" i="9"/>
  <c r="DR175" i="9"/>
  <c r="EK372" i="9" l="1"/>
  <c r="FN324" i="9"/>
  <c r="EK381" i="9"/>
  <c r="EK398" i="9" s="1"/>
  <c r="FK195" i="9"/>
  <c r="DR468" i="9"/>
  <c r="EK325" i="9"/>
  <c r="EL353" i="9"/>
  <c r="DS192" i="9"/>
  <c r="DR465" i="9"/>
  <c r="DS193" i="9"/>
  <c r="DR466" i="9"/>
  <c r="DR467" i="9"/>
  <c r="DS194" i="9"/>
  <c r="DS191" i="9"/>
  <c r="DR464" i="9"/>
  <c r="DR197" i="9"/>
  <c r="DS196" i="9"/>
  <c r="DR469" i="9"/>
  <c r="DR96" i="4"/>
  <c r="FN381" i="9" l="1"/>
  <c r="EK386" i="9"/>
  <c r="EL387" i="9" s="1"/>
  <c r="FO387" i="9" s="1"/>
  <c r="EL354" i="9"/>
  <c r="FN325" i="9"/>
  <c r="FO353" i="9"/>
  <c r="EK330" i="9"/>
  <c r="DS466" i="9"/>
  <c r="FK466" i="9" s="1"/>
  <c r="FK193" i="9"/>
  <c r="FK194" i="9"/>
  <c r="DS467" i="9"/>
  <c r="FK467" i="9" s="1"/>
  <c r="FK192" i="9"/>
  <c r="DS465" i="9"/>
  <c r="FK465" i="9" s="1"/>
  <c r="DR91" i="4"/>
  <c r="DR117" i="4"/>
  <c r="DQ282" i="4"/>
  <c r="DR470" i="9"/>
  <c r="FK196" i="9"/>
  <c r="DS469" i="9"/>
  <c r="FK469" i="9" s="1"/>
  <c r="DS464" i="9"/>
  <c r="FK191" i="9"/>
  <c r="DS197" i="9"/>
  <c r="EL359" i="9" l="1"/>
  <c r="EK401" i="9"/>
  <c r="FN401" i="9" s="1"/>
  <c r="FN386" i="9"/>
  <c r="FO354" i="9"/>
  <c r="FN330" i="9"/>
  <c r="FK197" i="9"/>
  <c r="DS470" i="9"/>
  <c r="FK464" i="9"/>
  <c r="FK470" i="9" s="1"/>
  <c r="DR474" i="9"/>
  <c r="FO359" i="9" l="1"/>
  <c r="DS474" i="9"/>
  <c r="DR87" i="9"/>
  <c r="DO47" i="9"/>
  <c r="DO82" i="4" s="1"/>
  <c r="DP47" i="9"/>
  <c r="DP82" i="4" s="1"/>
  <c r="DQ47" i="9"/>
  <c r="DQ82" i="4" s="1"/>
  <c r="DO199" i="9"/>
  <c r="DO171" i="9" s="1"/>
  <c r="DP199" i="9"/>
  <c r="DP178" i="9" s="1"/>
  <c r="DQ199" i="9"/>
  <c r="DQ178" i="9" s="1"/>
  <c r="DP87" i="9" l="1"/>
  <c r="DP48" i="9"/>
  <c r="DP61" i="9" s="1"/>
  <c r="DQ87" i="9"/>
  <c r="DQ48" i="9"/>
  <c r="DQ61" i="9" s="1"/>
  <c r="DO178" i="9"/>
  <c r="DS178" i="9" s="1"/>
  <c r="FK178" i="9" s="1"/>
  <c r="DO174" i="9"/>
  <c r="DQ176" i="9"/>
  <c r="DO177" i="9"/>
  <c r="DO87" i="9"/>
  <c r="DS82" i="4"/>
  <c r="DS47" i="9"/>
  <c r="DO48" i="9"/>
  <c r="DO61" i="9" s="1"/>
  <c r="DQ174" i="9"/>
  <c r="DQ175" i="9"/>
  <c r="DP174" i="9"/>
  <c r="DP175" i="9"/>
  <c r="DQ177" i="9"/>
  <c r="DP176" i="9"/>
  <c r="DO175" i="9"/>
  <c r="DQ171" i="9"/>
  <c r="DP177" i="9"/>
  <c r="DO176" i="9"/>
  <c r="DP171" i="9"/>
  <c r="DS171" i="9" l="1"/>
  <c r="FK171" i="9" s="1"/>
  <c r="DS174" i="9"/>
  <c r="FK174" i="9" s="1"/>
  <c r="DS176" i="9"/>
  <c r="FK176" i="9" s="1"/>
  <c r="DS177" i="9"/>
  <c r="FK177" i="9" s="1"/>
  <c r="FQ82" i="4"/>
  <c r="DS87" i="9"/>
  <c r="FK87" i="9" s="1"/>
  <c r="FK47" i="9"/>
  <c r="FK48" i="9" s="1"/>
  <c r="DT47" i="9"/>
  <c r="DS48" i="9"/>
  <c r="DS61" i="9" s="1"/>
  <c r="DS175" i="9"/>
  <c r="FK175" i="9" s="1"/>
  <c r="DS179" i="9" l="1"/>
  <c r="FK179" i="9"/>
  <c r="DU47" i="9" l="1"/>
  <c r="DU82" i="4" s="1"/>
  <c r="DV47" i="9"/>
  <c r="DV82" i="4" s="1"/>
  <c r="DW82" i="4"/>
  <c r="DW87" i="9"/>
  <c r="DU199" i="9"/>
  <c r="DV199" i="9"/>
  <c r="DW199" i="9"/>
  <c r="DX199" i="9"/>
  <c r="DU177" i="9" l="1"/>
  <c r="DX175" i="9"/>
  <c r="DW175" i="9"/>
  <c r="DV177" i="9"/>
  <c r="DV87" i="9"/>
  <c r="DU87" i="9"/>
  <c r="DV48" i="9"/>
  <c r="DV61" i="9" s="1"/>
  <c r="DV68" i="9" s="1"/>
  <c r="DX176" i="9"/>
  <c r="DV175" i="9"/>
  <c r="DW176" i="9"/>
  <c r="DV176" i="9"/>
  <c r="DV195" i="9"/>
  <c r="DV468" i="9" s="1"/>
  <c r="DX171" i="9"/>
  <c r="DV178" i="9"/>
  <c r="DV171" i="9"/>
  <c r="DW195" i="9"/>
  <c r="DW468" i="9" s="1"/>
  <c r="DW193" i="9"/>
  <c r="DW466" i="9" s="1"/>
  <c r="DV193" i="9"/>
  <c r="DV466" i="9" s="1"/>
  <c r="DU48" i="9"/>
  <c r="DU61" i="9" s="1"/>
  <c r="DU68" i="9" s="1"/>
  <c r="DW191" i="9"/>
  <c r="DW464" i="9" s="1"/>
  <c r="DV191" i="9"/>
  <c r="DV464" i="9" s="1"/>
  <c r="DW178" i="9"/>
  <c r="DW177" i="9"/>
  <c r="DX195" i="9"/>
  <c r="DX193" i="9"/>
  <c r="DX191" i="9"/>
  <c r="DX178" i="9"/>
  <c r="DW48" i="9"/>
  <c r="DW61" i="9" s="1"/>
  <c r="DW68" i="9" s="1"/>
  <c r="DU175" i="9"/>
  <c r="DU195" i="9"/>
  <c r="DU468" i="9" s="1"/>
  <c r="DU193" i="9"/>
  <c r="DU466" i="9" s="1"/>
  <c r="DU191" i="9"/>
  <c r="DU178" i="9"/>
  <c r="DU176" i="9"/>
  <c r="DW171" i="9"/>
  <c r="DV116" i="9"/>
  <c r="DX196" i="9"/>
  <c r="DX194" i="9"/>
  <c r="DX192" i="9"/>
  <c r="DX174" i="9"/>
  <c r="DW196" i="9"/>
  <c r="DW469" i="9" s="1"/>
  <c r="DW194" i="9"/>
  <c r="DW467" i="9" s="1"/>
  <c r="DW192" i="9"/>
  <c r="DW174" i="9"/>
  <c r="DU171" i="9"/>
  <c r="DV196" i="9"/>
  <c r="DV469" i="9" s="1"/>
  <c r="DV194" i="9"/>
  <c r="DV467" i="9" s="1"/>
  <c r="DV192" i="9"/>
  <c r="DX177" i="9"/>
  <c r="DV174" i="9"/>
  <c r="DU196" i="9"/>
  <c r="DU469" i="9" s="1"/>
  <c r="DU194" i="9"/>
  <c r="DU467" i="9" s="1"/>
  <c r="DU192" i="9"/>
  <c r="DU465" i="9" s="1"/>
  <c r="DU174" i="9"/>
  <c r="DY175" i="9" l="1"/>
  <c r="DY326" i="9" s="1"/>
  <c r="DY391" i="9" s="1"/>
  <c r="DY176" i="9"/>
  <c r="DY327" i="9" s="1"/>
  <c r="DY382" i="9" s="1"/>
  <c r="DY177" i="9"/>
  <c r="FL177" i="9" s="1"/>
  <c r="DY171" i="9"/>
  <c r="DY322" i="9" s="1"/>
  <c r="DY174" i="9"/>
  <c r="DW197" i="9"/>
  <c r="DW465" i="9"/>
  <c r="DW470" i="9" s="1"/>
  <c r="DY191" i="9"/>
  <c r="DX464" i="9"/>
  <c r="DX197" i="9"/>
  <c r="DY195" i="9"/>
  <c r="DX468" i="9"/>
  <c r="DY192" i="9"/>
  <c r="DX465" i="9"/>
  <c r="DY178" i="9"/>
  <c r="DY193" i="9"/>
  <c r="DX466" i="9"/>
  <c r="DY194" i="9"/>
  <c r="DX467" i="9"/>
  <c r="DY196" i="9"/>
  <c r="DX469" i="9"/>
  <c r="DV197" i="9"/>
  <c r="DV465" i="9"/>
  <c r="DV470" i="9" s="1"/>
  <c r="DU197" i="9"/>
  <c r="DU464" i="9"/>
  <c r="DU470" i="9" s="1"/>
  <c r="FL175" i="9" l="1"/>
  <c r="FL171" i="9"/>
  <c r="FL176" i="9"/>
  <c r="DY389" i="9"/>
  <c r="DY412" i="9" s="1"/>
  <c r="DY415" i="9"/>
  <c r="FL382" i="9"/>
  <c r="DY414" i="9"/>
  <c r="FL391" i="9"/>
  <c r="DY328" i="9"/>
  <c r="DY383" i="9" s="1"/>
  <c r="FL178" i="9"/>
  <c r="DY329" i="9"/>
  <c r="DY197" i="9"/>
  <c r="FL191" i="9"/>
  <c r="DY464" i="9"/>
  <c r="FL195" i="9"/>
  <c r="DY468" i="9"/>
  <c r="FL468" i="9" s="1"/>
  <c r="DY469" i="9"/>
  <c r="FL469" i="9" s="1"/>
  <c r="FL196" i="9"/>
  <c r="DW474" i="9"/>
  <c r="DX470" i="9"/>
  <c r="DY325" i="9"/>
  <c r="FL174" i="9"/>
  <c r="DY467" i="9"/>
  <c r="FL467" i="9" s="1"/>
  <c r="FL194" i="9"/>
  <c r="DY465" i="9"/>
  <c r="FL465" i="9" s="1"/>
  <c r="FL192" i="9"/>
  <c r="DU474" i="9"/>
  <c r="DV474" i="9"/>
  <c r="FL193" i="9"/>
  <c r="DY466" i="9"/>
  <c r="FL466" i="9" s="1"/>
  <c r="DY179" i="9"/>
  <c r="DY199" i="9" s="1"/>
  <c r="DY330" i="9" l="1"/>
  <c r="FL389" i="9"/>
  <c r="FU390" i="9" s="1"/>
  <c r="FL179" i="9"/>
  <c r="DY416" i="9"/>
  <c r="FL383" i="9"/>
  <c r="FL197" i="9"/>
  <c r="DY470" i="9"/>
  <c r="FL464" i="9"/>
  <c r="FL470" i="9" s="1"/>
  <c r="DX474" i="9"/>
  <c r="DY172" i="9"/>
  <c r="DY173" i="9"/>
  <c r="DY324" i="9" l="1"/>
  <c r="DY323" i="9"/>
  <c r="DY474" i="9"/>
  <c r="DO54" i="9"/>
  <c r="DO68" i="9"/>
  <c r="DO88" i="4" l="1"/>
  <c r="DO90" i="4" s="1"/>
  <c r="DO144" i="9"/>
  <c r="DY390" i="9"/>
  <c r="FL390" i="9" s="1"/>
  <c r="FU391" i="9" s="1"/>
  <c r="FU393" i="9" s="1"/>
  <c r="DY370" i="9"/>
  <c r="DY381" i="9"/>
  <c r="DY386" i="9" s="1"/>
  <c r="FL386" i="9" s="1"/>
  <c r="DY372" i="9"/>
  <c r="DY395" i="9"/>
  <c r="FL395" i="9" s="1"/>
  <c r="DO56" i="9"/>
  <c r="DO114" i="4"/>
  <c r="DO108" i="4" s="1"/>
  <c r="DY413" i="9" l="1"/>
  <c r="DY418" i="9" s="1"/>
  <c r="FL381" i="9"/>
  <c r="DY398" i="9"/>
  <c r="DO117" i="4"/>
  <c r="DO91" i="4"/>
  <c r="DO96" i="4" l="1"/>
  <c r="DP54" i="9"/>
  <c r="DQ54" i="9"/>
  <c r="DP68" i="9"/>
  <c r="DQ68" i="9"/>
  <c r="DQ88" i="4" l="1"/>
  <c r="DQ90" i="4" s="1"/>
  <c r="DQ144" i="9"/>
  <c r="DP88" i="4"/>
  <c r="DP90" i="4" s="1"/>
  <c r="DP144" i="9"/>
  <c r="DP56" i="9"/>
  <c r="DQ56" i="9"/>
  <c r="DS54" i="9"/>
  <c r="DQ114" i="4"/>
  <c r="DS88" i="4" l="1"/>
  <c r="DS90" i="4" s="1"/>
  <c r="DP114" i="4"/>
  <c r="DP108" i="4" s="1"/>
  <c r="DQ108" i="4"/>
  <c r="DQ96" i="4" s="1"/>
  <c r="DP91" i="4"/>
  <c r="DP117" i="4"/>
  <c r="DO282" i="4"/>
  <c r="DS114" i="4"/>
  <c r="FQ88" i="4"/>
  <c r="DQ91" i="4"/>
  <c r="DP282" i="4"/>
  <c r="DQ117" i="4"/>
  <c r="DS67" i="9"/>
  <c r="DS68" i="9" s="1"/>
  <c r="FK54" i="9"/>
  <c r="FK55" i="9" s="1"/>
  <c r="DS117" i="4" l="1"/>
  <c r="FQ90" i="4"/>
  <c r="DS91" i="4"/>
  <c r="DS102" i="4"/>
  <c r="FQ114" i="4"/>
  <c r="FQ102" i="4" s="1"/>
  <c r="FK67" i="9"/>
  <c r="DP96" i="4"/>
  <c r="DS108" i="4"/>
  <c r="FQ108" i="4" l="1"/>
  <c r="DS96" i="4"/>
  <c r="FK62" i="9"/>
  <c r="FK59" i="9"/>
  <c r="FK63" i="9"/>
  <c r="FK65" i="9"/>
  <c r="FK39" i="9"/>
  <c r="FK56" i="9"/>
  <c r="FK60" i="9"/>
  <c r="FK64" i="9"/>
  <c r="FQ91" i="4"/>
  <c r="FQ117" i="4"/>
  <c r="FQ96" i="4" l="1"/>
  <c r="DI54" i="9"/>
  <c r="DI88" i="4" s="1"/>
  <c r="DI90" i="4" s="1"/>
  <c r="DJ54" i="9"/>
  <c r="DJ88" i="4" s="1"/>
  <c r="DK54" i="9"/>
  <c r="DK88" i="4" s="1"/>
  <c r="DK90" i="4" s="1"/>
  <c r="DL54" i="9"/>
  <c r="DL88" i="4" l="1"/>
  <c r="DL144" i="9"/>
  <c r="DL114" i="4"/>
  <c r="DL108" i="4" s="1"/>
  <c r="DL96" i="4" s="1"/>
  <c r="DL90" i="4"/>
  <c r="DJ114" i="4"/>
  <c r="DJ108" i="4" s="1"/>
  <c r="DJ96" i="4" s="1"/>
  <c r="DJ90" i="4"/>
  <c r="DJ117" i="4" s="1"/>
  <c r="DM88" i="4"/>
  <c r="DM90" i="4" s="1"/>
  <c r="DM54" i="9"/>
  <c r="DK114" i="4"/>
  <c r="DK108" i="4" s="1"/>
  <c r="DK96" i="4" s="1"/>
  <c r="DK91" i="4"/>
  <c r="DK117" i="4"/>
  <c r="DI114" i="4"/>
  <c r="FP88" i="4" l="1"/>
  <c r="DJ91" i="4"/>
  <c r="DM91" i="4"/>
  <c r="FP90" i="4"/>
  <c r="DM117" i="4"/>
  <c r="DI108" i="4"/>
  <c r="DM114" i="4"/>
  <c r="DM67" i="9"/>
  <c r="DM68" i="9" s="1"/>
  <c r="FJ54" i="9"/>
  <c r="FJ55" i="9" s="1"/>
  <c r="DT54" i="9"/>
  <c r="DI91" i="4"/>
  <c r="DI117" i="4"/>
  <c r="DL91" i="4"/>
  <c r="DL117" i="4"/>
  <c r="DM102" i="4" l="1"/>
  <c r="FP114" i="4"/>
  <c r="FP102" i="4" s="1"/>
  <c r="FP117" i="4"/>
  <c r="FP91" i="4"/>
  <c r="FJ67" i="9"/>
  <c r="DI96" i="4"/>
  <c r="DM108" i="4"/>
  <c r="FP108" i="4" l="1"/>
  <c r="DM96" i="4"/>
  <c r="FJ39" i="9"/>
  <c r="FJ62" i="9"/>
  <c r="FJ64" i="9"/>
  <c r="FJ60" i="9"/>
  <c r="FJ59" i="9"/>
  <c r="FJ63" i="9"/>
  <c r="FJ65" i="9"/>
  <c r="FJ56" i="9"/>
  <c r="FP96" i="4" l="1"/>
  <c r="DC54" i="9"/>
  <c r="DD54" i="9"/>
  <c r="DD88" i="4" s="1"/>
  <c r="DD90" i="4" s="1"/>
  <c r="DE54" i="9"/>
  <c r="DE88" i="4" s="1"/>
  <c r="DE90" i="4" s="1"/>
  <c r="DF54" i="9"/>
  <c r="DF88" i="4" s="1"/>
  <c r="DF90" i="4" s="1"/>
  <c r="DD114" i="4" l="1"/>
  <c r="DD108" i="4" s="1"/>
  <c r="DD96" i="4" s="1"/>
  <c r="DF114" i="4"/>
  <c r="DF108" i="4" s="1"/>
  <c r="DF96" i="4" s="1"/>
  <c r="DC88" i="4"/>
  <c r="DC90" i="4" s="1"/>
  <c r="DG54" i="9"/>
  <c r="DE114" i="4"/>
  <c r="DE108" i="4" s="1"/>
  <c r="DE96" i="4" s="1"/>
  <c r="DG88" i="4" l="1"/>
  <c r="DG90" i="4" s="1"/>
  <c r="DC114" i="4"/>
  <c r="DF91" i="4"/>
  <c r="DF117" i="4"/>
  <c r="DG67" i="9"/>
  <c r="DG68" i="9" s="1"/>
  <c r="FI54" i="9"/>
  <c r="FI55" i="9" s="1"/>
  <c r="DD117" i="4"/>
  <c r="DD91" i="4"/>
  <c r="DE91" i="4"/>
  <c r="DE117" i="4"/>
  <c r="DC117" i="4" l="1"/>
  <c r="DC91" i="4"/>
  <c r="DG114" i="4"/>
  <c r="DC108" i="4"/>
  <c r="FO88" i="4"/>
  <c r="DG91" i="4" l="1"/>
  <c r="DG117" i="4"/>
  <c r="FO90" i="4"/>
  <c r="FI64" i="9"/>
  <c r="FI62" i="9"/>
  <c r="FI56" i="9"/>
  <c r="FI65" i="9"/>
  <c r="FI63" i="9"/>
  <c r="FI60" i="9"/>
  <c r="FI39" i="9"/>
  <c r="DG108" i="4"/>
  <c r="DC96" i="4"/>
  <c r="FO114" i="4"/>
  <c r="FO102" i="4" s="1"/>
  <c r="DG102" i="4"/>
  <c r="FI67" i="9"/>
  <c r="FO108" i="4" l="1"/>
  <c r="DG96" i="4"/>
  <c r="FO117" i="4"/>
  <c r="FO91" i="4"/>
  <c r="FO96" i="4" l="1"/>
  <c r="CW54" i="9"/>
  <c r="CX54" i="9"/>
  <c r="CY54" i="9"/>
  <c r="CZ54" i="9"/>
  <c r="DA54" i="9" l="1"/>
  <c r="DA67" i="9" s="1"/>
  <c r="DA68" i="9" s="1"/>
  <c r="FH54" i="9" l="1"/>
  <c r="FH55" i="9" l="1"/>
  <c r="FH67" i="9" s="1"/>
  <c r="CQ54" i="9"/>
  <c r="CR54" i="9"/>
  <c r="CS54" i="9"/>
  <c r="CT54" i="9"/>
  <c r="FH56" i="9" l="1"/>
  <c r="FH63" i="9"/>
  <c r="FH60" i="9"/>
  <c r="FH65" i="9"/>
  <c r="FH39" i="9"/>
  <c r="FH64" i="9"/>
  <c r="FH62" i="9"/>
  <c r="CU54" i="9"/>
  <c r="CU67" i="9" s="1"/>
  <c r="CU68" i="9" s="1"/>
  <c r="FG54" i="9" l="1"/>
  <c r="FG55" i="9" l="1"/>
  <c r="FG65" i="9" s="1"/>
  <c r="DU54" i="9"/>
  <c r="DU144" i="9" s="1"/>
  <c r="DV54" i="9"/>
  <c r="DV144" i="9" s="1"/>
  <c r="DW54" i="9"/>
  <c r="DW144" i="9" s="1"/>
  <c r="DX54" i="9"/>
  <c r="DX144" i="9" s="1"/>
  <c r="DX336" i="9" l="1"/>
  <c r="DX368" i="9" s="1"/>
  <c r="DX337" i="9"/>
  <c r="DW88" i="4"/>
  <c r="DW337" i="9"/>
  <c r="DV88" i="4"/>
  <c r="DV337" i="9"/>
  <c r="DU88" i="4"/>
  <c r="DU90" i="4" s="1"/>
  <c r="DU337" i="9"/>
  <c r="DV336" i="9"/>
  <c r="DV368" i="9" s="1"/>
  <c r="FG67" i="9"/>
  <c r="FG64" i="9"/>
  <c r="FG39" i="9"/>
  <c r="FG56" i="9"/>
  <c r="FG60" i="9"/>
  <c r="FG63" i="9"/>
  <c r="DU336" i="9"/>
  <c r="FG62" i="9"/>
  <c r="DX88" i="4"/>
  <c r="DX90" i="4" s="1"/>
  <c r="DW282" i="4" s="1"/>
  <c r="DW336" i="9"/>
  <c r="DW368" i="9" s="1"/>
  <c r="DY54" i="9"/>
  <c r="DY337" i="9" s="1"/>
  <c r="DV114" i="4" l="1"/>
  <c r="DV90" i="4"/>
  <c r="DV91" i="4" s="1"/>
  <c r="DW114" i="4"/>
  <c r="DW90" i="4"/>
  <c r="DW117" i="4" s="1"/>
  <c r="DW338" i="9"/>
  <c r="DW143" i="9" s="1"/>
  <c r="DX338" i="9"/>
  <c r="DX143" i="9" s="1"/>
  <c r="DU114" i="4"/>
  <c r="DU108" i="4" s="1"/>
  <c r="DV338" i="9"/>
  <c r="DV143" i="9" s="1"/>
  <c r="DU368" i="9"/>
  <c r="DU338" i="9"/>
  <c r="DU143" i="9" s="1"/>
  <c r="DY88" i="4"/>
  <c r="FR88" i="4" s="1"/>
  <c r="DY67" i="9"/>
  <c r="FL54" i="9"/>
  <c r="DU91" i="4"/>
  <c r="DR282" i="4"/>
  <c r="DX114" i="4"/>
  <c r="DX108" i="4" s="1"/>
  <c r="DY336" i="9"/>
  <c r="DY338" i="9" s="1"/>
  <c r="DW108" i="4" l="1"/>
  <c r="DW96" i="4" s="1"/>
  <c r="DV108" i="4"/>
  <c r="DV96" i="4" s="1"/>
  <c r="DV282" i="4"/>
  <c r="DW91" i="4"/>
  <c r="DV117" i="4"/>
  <c r="DU282" i="4"/>
  <c r="DY114" i="4"/>
  <c r="DY102" i="4" l="1"/>
  <c r="FR114" i="4"/>
  <c r="FR102" i="4" s="1"/>
  <c r="EA54" i="9" l="1"/>
  <c r="EA144" i="9" s="1"/>
  <c r="EB144" i="9"/>
  <c r="EA88" i="4" l="1"/>
  <c r="EA114" i="4" s="1"/>
  <c r="EA108" i="4" s="1"/>
  <c r="EA337" i="9"/>
  <c r="EA336" i="9"/>
  <c r="EA339" i="9" s="1"/>
  <c r="EA340" i="9" s="1"/>
  <c r="EB88" i="4"/>
  <c r="EB114" i="4" s="1"/>
  <c r="EB108" i="4" s="1"/>
  <c r="EB337" i="9"/>
  <c r="EB338" i="9" l="1"/>
  <c r="EB143" i="9" s="1"/>
  <c r="EB145" i="9" s="1"/>
  <c r="EB146" i="9" s="1"/>
  <c r="EB368" i="9"/>
  <c r="EA338" i="9"/>
  <c r="EA143" i="9" s="1"/>
  <c r="EA145" i="9" s="1"/>
  <c r="EA146" i="9" s="1"/>
  <c r="EA368" i="9"/>
  <c r="DY47" i="9" l="1"/>
  <c r="DY48" i="9" s="1"/>
  <c r="DY61" i="9" s="1"/>
  <c r="DY68" i="9" s="1"/>
  <c r="DX48" i="9"/>
  <c r="DX61" i="9" s="1"/>
  <c r="DX68" i="9" s="1"/>
  <c r="DX87" i="9"/>
  <c r="DY82" i="4" l="1"/>
  <c r="DY90" i="4" s="1"/>
  <c r="FR90" i="4" s="1"/>
  <c r="FR91" i="4" s="1"/>
  <c r="DX96" i="4"/>
  <c r="FL47" i="9"/>
  <c r="DY87" i="9"/>
  <c r="FL87" i="9" s="1"/>
  <c r="FL48" i="9" l="1"/>
  <c r="FL55" i="9" s="1"/>
  <c r="FL62" i="9" s="1"/>
  <c r="FR82" i="4"/>
  <c r="DY91" i="4"/>
  <c r="DX117" i="4"/>
  <c r="DX91" i="4"/>
  <c r="EA82" i="4"/>
  <c r="EA90" i="4" s="1"/>
  <c r="EB82" i="4"/>
  <c r="EB90" i="4" s="1"/>
  <c r="EB91" i="4" s="1"/>
  <c r="EE47" i="9"/>
  <c r="EA48" i="9"/>
  <c r="EB48" i="9"/>
  <c r="EB61" i="9" s="1"/>
  <c r="EB68" i="9" s="1"/>
  <c r="EA199" i="9"/>
  <c r="EA116" i="9" s="1"/>
  <c r="EB199" i="9"/>
  <c r="EB116" i="9" s="1"/>
  <c r="EA61" i="9" l="1"/>
  <c r="EA68" i="9" s="1"/>
  <c r="EA118" i="9"/>
  <c r="FM47" i="9"/>
  <c r="FM48" i="9" s="1"/>
  <c r="EE44" i="9"/>
  <c r="EB118" i="9"/>
  <c r="EA195" i="9"/>
  <c r="EA468" i="9" s="1"/>
  <c r="FL65" i="9"/>
  <c r="FL56" i="9"/>
  <c r="FL63" i="9"/>
  <c r="FL60" i="9"/>
  <c r="FL67" i="9"/>
  <c r="FL39" i="9"/>
  <c r="FL59" i="9"/>
  <c r="FL64" i="9"/>
  <c r="EA171" i="9"/>
  <c r="EB193" i="9"/>
  <c r="EB466" i="9" s="1"/>
  <c r="EB195" i="9"/>
  <c r="EB468" i="9" s="1"/>
  <c r="EA196" i="9"/>
  <c r="EA469" i="9" s="1"/>
  <c r="EB191" i="9"/>
  <c r="EB464" i="9" s="1"/>
  <c r="EA178" i="9"/>
  <c r="EB176" i="9"/>
  <c r="EA193" i="9"/>
  <c r="EA466" i="9" s="1"/>
  <c r="EB192" i="9"/>
  <c r="EB465" i="9" s="1"/>
  <c r="EA191" i="9"/>
  <c r="EA464" i="9" s="1"/>
  <c r="EB171" i="9"/>
  <c r="EA194" i="9"/>
  <c r="EA467" i="9" s="1"/>
  <c r="EA177" i="9"/>
  <c r="EA192" i="9"/>
  <c r="EA465" i="9" s="1"/>
  <c r="EA176" i="9"/>
  <c r="EE87" i="9"/>
  <c r="FM87" i="9" s="1"/>
  <c r="EB175" i="9"/>
  <c r="EB87" i="9"/>
  <c r="EE82" i="4"/>
  <c r="EA175" i="9"/>
  <c r="EA87" i="9"/>
  <c r="EE48" i="9"/>
  <c r="EB196" i="9"/>
  <c r="EB469" i="9" s="1"/>
  <c r="EB178" i="9"/>
  <c r="EB174" i="9"/>
  <c r="EA174" i="9"/>
  <c r="EB194" i="9"/>
  <c r="EB467" i="9" s="1"/>
  <c r="EB177" i="9"/>
  <c r="EE118" i="9" l="1"/>
  <c r="EA319" i="9"/>
  <c r="EB319" i="9"/>
  <c r="EE178" i="9"/>
  <c r="EE392" i="9" s="1"/>
  <c r="FM392" i="9" s="1"/>
  <c r="EE174" i="9"/>
  <c r="FM174" i="9" s="1"/>
  <c r="EE171" i="9"/>
  <c r="EE322" i="9" s="1"/>
  <c r="EE176" i="9"/>
  <c r="FM176" i="9" s="1"/>
  <c r="EA197" i="9"/>
  <c r="EB117" i="4"/>
  <c r="EA282" i="4"/>
  <c r="EE177" i="9"/>
  <c r="EE175" i="9"/>
  <c r="EB197" i="9"/>
  <c r="EB470" i="9"/>
  <c r="DX282" i="4"/>
  <c r="EA91" i="4"/>
  <c r="EA117" i="4"/>
  <c r="FS82" i="4"/>
  <c r="EA470" i="9"/>
  <c r="EE391" i="9" l="1"/>
  <c r="EE328" i="9"/>
  <c r="EE327" i="9"/>
  <c r="EE382" i="9" s="1"/>
  <c r="FM382" i="9" s="1"/>
  <c r="FM391" i="9"/>
  <c r="FM178" i="9"/>
  <c r="FM322" i="9"/>
  <c r="FM171" i="9"/>
  <c r="EA474" i="9"/>
  <c r="FM177" i="9"/>
  <c r="EB474" i="9"/>
  <c r="EE355" i="9"/>
  <c r="FM175" i="9"/>
  <c r="EE179" i="9"/>
  <c r="EK356" i="9" l="1"/>
  <c r="EE356" i="9"/>
  <c r="FM327" i="9"/>
  <c r="FN356" i="9" s="1"/>
  <c r="FN351" i="9"/>
  <c r="EE383" i="9"/>
  <c r="FM383" i="9" s="1"/>
  <c r="FM328" i="9"/>
  <c r="FN357" i="9" s="1"/>
  <c r="EE389" i="9"/>
  <c r="FM389" i="9" s="1"/>
  <c r="FV390" i="9" s="1"/>
  <c r="EE351" i="9"/>
  <c r="EK351" i="9"/>
  <c r="EE199" i="9"/>
  <c r="EE172" i="9" s="1"/>
  <c r="EE390" i="9" s="1"/>
  <c r="EE141" i="9"/>
  <c r="EE357" i="9"/>
  <c r="EK357" i="9"/>
  <c r="FM179" i="9"/>
  <c r="EE395" i="9" l="1"/>
  <c r="FM395" i="9" s="1"/>
  <c r="FM390" i="9"/>
  <c r="FV391" i="9" s="1"/>
  <c r="FV393" i="9" s="1"/>
  <c r="EE173" i="9"/>
  <c r="EE324" i="9" s="1"/>
  <c r="EE396" i="9" l="1"/>
  <c r="FM396" i="9" s="1"/>
  <c r="EE381" i="9"/>
  <c r="EE402" i="9"/>
  <c r="FM402" i="9" s="1"/>
  <c r="EE325" i="9" l="1"/>
  <c r="EK353" i="9"/>
  <c r="EE372" i="9"/>
  <c r="FM324" i="9"/>
  <c r="FN353" i="9" s="1"/>
  <c r="FM381" i="9"/>
  <c r="EE398" i="9"/>
  <c r="EE386" i="9"/>
  <c r="FM386" i="9" s="1"/>
  <c r="EK354" i="9" l="1"/>
  <c r="EE354" i="9"/>
  <c r="FM325" i="9"/>
  <c r="FN354" i="9" s="1"/>
  <c r="EE404" i="9"/>
  <c r="EE430" i="9" s="1"/>
  <c r="EK387" i="9"/>
  <c r="FN387" i="9" s="1"/>
  <c r="EE401" i="9"/>
  <c r="FM401" i="9" s="1"/>
  <c r="EE387" i="9"/>
  <c r="FM387" i="9" s="1"/>
  <c r="EE407" i="9" l="1"/>
  <c r="FM407" i="9" s="1"/>
  <c r="EE413" i="9"/>
  <c r="EE417" i="9"/>
  <c r="FM417" i="9" s="1"/>
  <c r="EE416" i="9"/>
  <c r="FM404" i="9"/>
  <c r="EE408" i="9"/>
  <c r="FM408" i="9" s="1"/>
  <c r="EE405" i="9"/>
  <c r="FM405" i="9" s="1"/>
  <c r="EE412" i="9"/>
  <c r="EE415" i="9"/>
  <c r="EE414" i="9"/>
  <c r="EE418" i="9" l="1"/>
  <c r="EE76" i="9" l="1"/>
  <c r="FM76" i="9" l="1"/>
  <c r="EE82" i="9"/>
  <c r="ED319" i="4"/>
  <c r="ED26" i="9"/>
  <c r="ED430" i="9" l="1"/>
  <c r="EC283" i="4"/>
  <c r="EC319" i="4"/>
  <c r="EC369" i="4"/>
  <c r="FM71" i="9"/>
  <c r="FM82" i="9"/>
  <c r="EG26" i="9"/>
  <c r="EJ36" i="9"/>
  <c r="ED27" i="9"/>
  <c r="EE26" i="9"/>
  <c r="ED10" i="9" l="1"/>
  <c r="ED9" i="4" s="1"/>
  <c r="EC293" i="4"/>
  <c r="EC288" i="4"/>
  <c r="EC287" i="4" s="1"/>
  <c r="ED55" i="9"/>
  <c r="ED51" i="9" s="1"/>
  <c r="ED120" i="9"/>
  <c r="ED56" i="9"/>
  <c r="ED52" i="9"/>
  <c r="ED10" i="4"/>
  <c r="ED18" i="9"/>
  <c r="EE8" i="9"/>
  <c r="ED134" i="9"/>
  <c r="ED13" i="9"/>
  <c r="EG13" i="9"/>
  <c r="EE319" i="4"/>
  <c r="FS319" i="4" s="1"/>
  <c r="EK36" i="9"/>
  <c r="EJ37" i="9"/>
  <c r="EH26" i="9"/>
  <c r="EG27" i="9"/>
  <c r="ED20" i="9"/>
  <c r="EG15" i="9"/>
  <c r="ED15" i="9"/>
  <c r="EE27" i="9"/>
  <c r="FM26" i="9"/>
  <c r="FM27" i="9" s="1"/>
  <c r="FM32" i="9" s="1"/>
  <c r="ED85" i="4" l="1"/>
  <c r="EE85" i="4" s="1"/>
  <c r="FS85" i="4" s="1"/>
  <c r="FS99" i="4" s="1"/>
  <c r="ED91" i="9"/>
  <c r="ED86" i="4"/>
  <c r="EE86" i="4" s="1"/>
  <c r="FS86" i="4" s="1"/>
  <c r="FS100" i="4" s="1"/>
  <c r="ED92" i="9"/>
  <c r="ED39" i="9"/>
  <c r="ED59" i="9"/>
  <c r="ED61" i="9"/>
  <c r="ED49" i="9"/>
  <c r="ED89" i="9" s="1"/>
  <c r="ED50" i="9"/>
  <c r="EE120" i="9"/>
  <c r="EE376" i="9"/>
  <c r="EE134" i="9"/>
  <c r="EE18" i="9"/>
  <c r="EE10" i="9"/>
  <c r="EE432" i="9" s="1"/>
  <c r="FM8" i="9"/>
  <c r="FN36" i="9"/>
  <c r="EK31" i="9"/>
  <c r="EE313" i="4"/>
  <c r="FS313" i="4" s="1"/>
  <c r="EE132" i="9"/>
  <c r="EE473" i="9" s="1"/>
  <c r="EE474" i="9" s="1"/>
  <c r="EG132" i="9"/>
  <c r="ED473" i="9"/>
  <c r="ED474" i="9" s="1"/>
  <c r="ED163" i="4"/>
  <c r="ED173" i="4"/>
  <c r="ED179" i="4"/>
  <c r="EE9" i="4"/>
  <c r="N46" i="5"/>
  <c r="ED170" i="4"/>
  <c r="ED293" i="4"/>
  <c r="EJ32" i="9"/>
  <c r="EJ38" i="9"/>
  <c r="EH27" i="9"/>
  <c r="EI26" i="9"/>
  <c r="ED83" i="4" l="1"/>
  <c r="EE83" i="4" s="1"/>
  <c r="FS83" i="4" s="1"/>
  <c r="FS97" i="4" s="1"/>
  <c r="ED53" i="9"/>
  <c r="ED87" i="4" s="1"/>
  <c r="ED84" i="4"/>
  <c r="EE84" i="4" s="1"/>
  <c r="FS84" i="4" s="1"/>
  <c r="FS98" i="4" s="1"/>
  <c r="ED90" i="9"/>
  <c r="EE53" i="9"/>
  <c r="EE20" i="9"/>
  <c r="FM422" i="9"/>
  <c r="FM18" i="9"/>
  <c r="FM10" i="9"/>
  <c r="FN31" i="9"/>
  <c r="FO31" i="9"/>
  <c r="EC357" i="4"/>
  <c r="EG473" i="9"/>
  <c r="EG474" i="9" s="1"/>
  <c r="N71" i="5"/>
  <c r="Q71" i="5"/>
  <c r="EE170" i="4"/>
  <c r="O46" i="5"/>
  <c r="EE10" i="4"/>
  <c r="EE173" i="4"/>
  <c r="EE179" i="4"/>
  <c r="EE163" i="4"/>
  <c r="FS9" i="4"/>
  <c r="EI27" i="9"/>
  <c r="EJ14" i="9"/>
  <c r="EJ89" i="4"/>
  <c r="EJ19" i="9"/>
  <c r="EK9" i="9"/>
  <c r="EK431" i="9" l="1"/>
  <c r="ED284" i="4"/>
  <c r="ED289" i="4" s="1"/>
  <c r="ED320" i="4"/>
  <c r="ED66" i="9"/>
  <c r="ED68" i="9" s="1"/>
  <c r="ED93" i="9"/>
  <c r="ED371" i="4"/>
  <c r="FM53" i="9"/>
  <c r="EE87" i="4"/>
  <c r="ED113" i="4"/>
  <c r="FM20" i="9"/>
  <c r="FN9" i="9"/>
  <c r="ED351" i="4"/>
  <c r="EC353" i="4"/>
  <c r="EK29" i="9"/>
  <c r="FN29" i="9" s="1"/>
  <c r="EE325" i="4"/>
  <c r="ED334" i="4"/>
  <c r="EE238" i="4"/>
  <c r="FS238" i="4" s="1"/>
  <c r="S86" i="5" s="1"/>
  <c r="FS170" i="4"/>
  <c r="FS173" i="4"/>
  <c r="FS293" i="4"/>
  <c r="FS7" i="4"/>
  <c r="FS22" i="4"/>
  <c r="FS179" i="4"/>
  <c r="S8" i="5"/>
  <c r="FS163" i="4"/>
  <c r="EK19" i="9"/>
  <c r="EE308" i="4"/>
  <c r="EJ115" i="4"/>
  <c r="EK89" i="4"/>
  <c r="EE284" i="4" l="1"/>
  <c r="FS284" i="4" s="1"/>
  <c r="FS289" i="4" s="1"/>
  <c r="ED294" i="4"/>
  <c r="FS294" i="4"/>
  <c r="FS87" i="4"/>
  <c r="FN19" i="9"/>
  <c r="EC272" i="4"/>
  <c r="ED187" i="4"/>
  <c r="EC244" i="4"/>
  <c r="FS308" i="4"/>
  <c r="EE316" i="4"/>
  <c r="EE320" i="4"/>
  <c r="EE228" i="4"/>
  <c r="FS228" i="4" s="1"/>
  <c r="S93" i="5" s="1"/>
  <c r="S240" i="5" s="1"/>
  <c r="S289" i="5"/>
  <c r="R183" i="5"/>
  <c r="R310" i="5" s="1"/>
  <c r="S210" i="5"/>
  <c r="S33" i="5"/>
  <c r="FT89" i="4"/>
  <c r="EK115" i="4"/>
  <c r="ED233" i="4"/>
  <c r="EE226" i="4"/>
  <c r="EE334" i="4"/>
  <c r="FS325" i="4"/>
  <c r="ED191" i="4" l="1"/>
  <c r="EE190" i="4"/>
  <c r="EC246" i="4"/>
  <c r="EE187" i="4"/>
  <c r="S292" i="5"/>
  <c r="S291" i="5"/>
  <c r="FS320" i="4"/>
  <c r="S290" i="5"/>
  <c r="S142" i="5"/>
  <c r="FS334" i="4"/>
  <c r="S144" i="5" s="1"/>
  <c r="FS316" i="4"/>
  <c r="S132" i="5"/>
  <c r="FS226" i="4"/>
  <c r="EE233" i="4"/>
  <c r="EG233" i="4"/>
  <c r="FT115" i="4"/>
  <c r="FT103" i="4" s="1"/>
  <c r="EK103" i="4"/>
  <c r="FS190" i="4" l="1"/>
  <c r="FS191" i="4" s="1"/>
  <c r="EE191" i="4"/>
  <c r="EE193" i="4"/>
  <c r="ED30" i="4"/>
  <c r="FS187" i="4"/>
  <c r="EE188" i="4"/>
  <c r="EC268" i="4"/>
  <c r="FV103" i="4"/>
  <c r="S92" i="5"/>
  <c r="FS233" i="4"/>
  <c r="S143" i="5"/>
  <c r="S299" i="5"/>
  <c r="S300" i="5" s="1"/>
  <c r="S166" i="5"/>
  <c r="S207" i="5"/>
  <c r="FS193" i="4" l="1"/>
  <c r="EC270" i="4"/>
  <c r="EE30" i="4"/>
  <c r="N57" i="5"/>
  <c r="S98" i="5"/>
  <c r="S239" i="5"/>
  <c r="FW103" i="4"/>
  <c r="FS30" i="4" l="1"/>
  <c r="GF30" i="4"/>
  <c r="GF32" i="4" s="1"/>
  <c r="O57" i="5"/>
  <c r="FX103" i="4"/>
  <c r="ED38" i="4" l="1"/>
  <c r="EE198" i="4"/>
  <c r="GF38" i="4"/>
  <c r="GF43" i="4" s="1"/>
  <c r="GF33" i="4"/>
  <c r="S19" i="5"/>
  <c r="S234" i="5" l="1"/>
  <c r="S235" i="5" s="1"/>
  <c r="GF44" i="4"/>
  <c r="GF57" i="4"/>
  <c r="GF58" i="4"/>
  <c r="FS198" i="4"/>
  <c r="EE38" i="4"/>
  <c r="N60" i="5"/>
  <c r="FS38" i="4" l="1"/>
  <c r="O60" i="5"/>
  <c r="EE306" i="4" l="1"/>
  <c r="S22" i="5"/>
  <c r="S233" i="5" l="1"/>
  <c r="FS306" i="4"/>
  <c r="EE32" i="9" l="1"/>
  <c r="EE35" i="9"/>
  <c r="FM37" i="9"/>
  <c r="EE38" i="9"/>
  <c r="DU96" i="4"/>
  <c r="DY108" i="4"/>
  <c r="DY116" i="4" s="1"/>
  <c r="DU117" i="4"/>
  <c r="FM38" i="9" l="1"/>
  <c r="EE30" i="9"/>
  <c r="FM30" i="9" s="1"/>
  <c r="FM35" i="9"/>
  <c r="DY96" i="4"/>
  <c r="FR108" i="4"/>
  <c r="FR96" i="4" l="1"/>
  <c r="FR116" i="4"/>
  <c r="FR117" i="4" s="1"/>
  <c r="DY117" i="4"/>
  <c r="EE113" i="4"/>
  <c r="FS113" i="4" s="1"/>
  <c r="FS101" i="4" s="1"/>
  <c r="EB96" i="4" l="1"/>
  <c r="EE101" i="4"/>
  <c r="EA96" i="4"/>
  <c r="AA49" i="9" l="1"/>
  <c r="X52" i="9"/>
  <c r="AA52" i="9" s="1"/>
  <c r="AA92" i="9" s="1"/>
  <c r="X92" i="9" l="1"/>
  <c r="AA55" i="9"/>
  <c r="AA62" i="9" s="1"/>
  <c r="AA89" i="9"/>
  <c r="AA63" i="9" l="1"/>
  <c r="AA64" i="9"/>
  <c r="AA65" i="9"/>
  <c r="DY190" i="4" l="1"/>
  <c r="FR190" i="4" s="1"/>
  <c r="FR191" i="4" l="1"/>
  <c r="R202" i="5"/>
  <c r="FR193" i="4"/>
  <c r="DY191" i="4"/>
  <c r="ED272" i="4" l="1"/>
  <c r="EG187" i="4" l="1"/>
  <c r="ED244" i="4"/>
  <c r="EE236" i="4"/>
  <c r="EE244" i="4" l="1"/>
  <c r="EE272" i="4"/>
  <c r="FS236" i="4"/>
  <c r="EG351" i="4"/>
  <c r="EK351" i="4" s="1"/>
  <c r="FT351" i="4" s="1"/>
  <c r="T155" i="5" s="1"/>
  <c r="ED246" i="4"/>
  <c r="EG191" i="4"/>
  <c r="ED268" i="4" l="1"/>
  <c r="FS272" i="4"/>
  <c r="S123" i="5"/>
  <c r="S124" i="5" s="1"/>
  <c r="FS244" i="4"/>
  <c r="FS188" i="4"/>
  <c r="S84" i="5"/>
  <c r="EG30" i="4"/>
  <c r="EE246" i="4"/>
  <c r="ED270" i="4" l="1"/>
  <c r="FS246" i="4"/>
  <c r="S90" i="5"/>
  <c r="Q57" i="5"/>
  <c r="S175" i="5"/>
  <c r="S176" i="5" s="1"/>
  <c r="S305" i="5"/>
  <c r="S204" i="5"/>
  <c r="EE268" i="4"/>
  <c r="S259" i="5" l="1"/>
  <c r="EE270" i="4"/>
  <c r="S100" i="5"/>
  <c r="S89" i="5"/>
  <c r="S182" i="5"/>
  <c r="ED323" i="4" l="1"/>
  <c r="ED357" i="4" l="1"/>
  <c r="FS318" i="4"/>
  <c r="FS323" i="4" s="1"/>
  <c r="EE323" i="4"/>
  <c r="EE357" i="4" s="1"/>
  <c r="S136" i="5" l="1"/>
  <c r="S137" i="5"/>
  <c r="FS357" i="4"/>
  <c r="S164" i="5" l="1"/>
  <c r="S167" i="5" s="1"/>
  <c r="S298" i="5"/>
  <c r="S181" i="5" l="1"/>
  <c r="S188" i="5"/>
  <c r="S214" i="5"/>
  <c r="S193" i="5"/>
  <c r="S313" i="5" l="1"/>
  <c r="EE336" i="4"/>
  <c r="EE344" i="4" s="1"/>
  <c r="EE347" i="4" s="1"/>
  <c r="ED61" i="4" l="1"/>
  <c r="N68" i="5" s="1"/>
  <c r="FS336" i="4"/>
  <c r="ED344" i="4"/>
  <c r="ED347" i="4" s="1"/>
  <c r="ED374" i="4"/>
  <c r="EE61" i="4"/>
  <c r="EE352" i="4"/>
  <c r="EE353" i="4" s="1"/>
  <c r="ED352" i="4" l="1"/>
  <c r="ED353" i="4" s="1"/>
  <c r="FS344" i="4"/>
  <c r="S149" i="5"/>
  <c r="FS61" i="4"/>
  <c r="S30" i="5" s="1"/>
  <c r="O68" i="5"/>
  <c r="S215" i="5" l="1"/>
  <c r="S192" i="5"/>
  <c r="S205" i="5" s="1"/>
  <c r="S187" i="5"/>
  <c r="S151" i="5"/>
  <c r="FS347" i="4"/>
  <c r="FS352" i="4" s="1"/>
  <c r="FS353" i="4" s="1"/>
  <c r="ED54" i="9"/>
  <c r="EE54" i="9" s="1"/>
  <c r="EE144" i="9" s="1"/>
  <c r="EE337" i="9" l="1"/>
  <c r="ED88" i="4"/>
  <c r="ED114" i="4" s="1"/>
  <c r="ED336" i="9"/>
  <c r="ED337" i="9"/>
  <c r="ED144" i="9"/>
  <c r="EE55" i="9"/>
  <c r="EE66" i="9" s="1"/>
  <c r="FM54" i="9"/>
  <c r="FM55" i="9" s="1"/>
  <c r="FM56" i="9" s="1"/>
  <c r="S150" i="5"/>
  <c r="S153" i="5"/>
  <c r="ED90" i="4"/>
  <c r="EC282" i="4" s="1"/>
  <c r="ED339" i="9" l="1"/>
  <c r="ED340" i="9" s="1"/>
  <c r="ED368" i="9"/>
  <c r="EE88" i="4"/>
  <c r="FS88" i="4" s="1"/>
  <c r="EE59" i="9"/>
  <c r="FM62" i="9"/>
  <c r="FM60" i="9"/>
  <c r="FM64" i="9"/>
  <c r="FM337" i="9"/>
  <c r="FM39" i="9"/>
  <c r="EE39" i="9"/>
  <c r="FM67" i="9"/>
  <c r="FM63" i="9"/>
  <c r="EE60" i="9"/>
  <c r="FM59" i="9"/>
  <c r="EE56" i="9"/>
  <c r="EE61" i="9"/>
  <c r="EE336" i="9"/>
  <c r="EE80" i="9"/>
  <c r="FM80" i="9" s="1"/>
  <c r="ED338" i="9"/>
  <c r="ED143" i="9" s="1"/>
  <c r="ED145" i="9" s="1"/>
  <c r="ED146" i="9" s="1"/>
  <c r="FM65" i="9"/>
  <c r="EE67" i="9"/>
  <c r="S156" i="5"/>
  <c r="S256" i="5"/>
  <c r="EE114" i="4"/>
  <c r="ED116" i="4"/>
  <c r="EE90" i="4"/>
  <c r="ED91" i="4"/>
  <c r="EE330" i="9" l="1"/>
  <c r="EE365" i="9"/>
  <c r="EE68" i="9"/>
  <c r="EE338" i="9"/>
  <c r="EE143" i="9" s="1"/>
  <c r="EE145" i="9" s="1"/>
  <c r="EE146" i="9" s="1"/>
  <c r="EE91" i="4"/>
  <c r="FS90" i="4"/>
  <c r="FS91" i="4" s="1"/>
  <c r="ED13" i="4"/>
  <c r="ED117" i="4"/>
  <c r="EE102" i="4"/>
  <c r="FS114" i="4"/>
  <c r="FS102" i="4" s="1"/>
  <c r="EE329" i="9" l="1"/>
  <c r="EK359" i="9"/>
  <c r="EE359" i="9"/>
  <c r="ED24" i="4"/>
  <c r="ED11" i="4"/>
  <c r="ED288" i="4" s="1"/>
  <c r="ED287" i="4" s="1"/>
  <c r="ED14" i="4"/>
  <c r="FM329" i="9" l="1"/>
  <c r="FM330" i="9" s="1"/>
  <c r="EE370" i="9"/>
  <c r="EE11" i="4"/>
  <c r="N47" i="5"/>
  <c r="N48" i="5" s="1"/>
  <c r="ED32" i="4"/>
  <c r="ED199" i="4" s="1"/>
  <c r="ED25" i="4"/>
  <c r="ED202" i="4"/>
  <c r="N53" i="5"/>
  <c r="FN359" i="9" l="1"/>
  <c r="FM336" i="9"/>
  <c r="FM338" i="9" s="1"/>
  <c r="N73" i="5"/>
  <c r="N55" i="5"/>
  <c r="N75" i="5" s="1"/>
  <c r="ED43" i="4"/>
  <c r="ED366" i="4" s="1"/>
  <c r="N58" i="5"/>
  <c r="ED39" i="4"/>
  <c r="ED33" i="4"/>
  <c r="FS11" i="4"/>
  <c r="EE13" i="4"/>
  <c r="O47" i="5"/>
  <c r="O48" i="5" s="1"/>
  <c r="O72" i="5" s="1"/>
  <c r="N72" i="5"/>
  <c r="EE24" i="4" l="1"/>
  <c r="EE14" i="4"/>
  <c r="N79" i="5"/>
  <c r="N76" i="5"/>
  <c r="FS13" i="4"/>
  <c r="FS288" i="4"/>
  <c r="S9" i="5"/>
  <c r="ED58" i="4"/>
  <c r="ED57" i="4"/>
  <c r="N65" i="5" s="1"/>
  <c r="ED44" i="4"/>
  <c r="N62" i="5"/>
  <c r="S304" i="5" l="1"/>
  <c r="S10" i="5"/>
  <c r="EE265" i="4"/>
  <c r="FS265" i="4" s="1"/>
  <c r="S254" i="5" s="1"/>
  <c r="EE32" i="4"/>
  <c r="EE25" i="4"/>
  <c r="EE202" i="4"/>
  <c r="O53" i="5"/>
  <c r="FS24" i="4"/>
  <c r="FS14" i="4"/>
  <c r="N77" i="5"/>
  <c r="N66" i="5"/>
  <c r="ED1" i="4"/>
  <c r="EE33" i="4" l="1"/>
  <c r="EE43" i="4"/>
  <c r="EE199" i="4"/>
  <c r="O58" i="5"/>
  <c r="EE39" i="4"/>
  <c r="O55" i="5"/>
  <c r="O75" i="5" s="1"/>
  <c r="O73" i="5"/>
  <c r="S218" i="5"/>
  <c r="S34" i="5"/>
  <c r="FS25" i="4"/>
  <c r="FS32" i="4"/>
  <c r="FS202" i="4"/>
  <c r="S15" i="5"/>
  <c r="O79" i="5" l="1"/>
  <c r="O76" i="5"/>
  <c r="EE44" i="4"/>
  <c r="O62" i="5"/>
  <c r="O77" i="5" s="1"/>
  <c r="EE58" i="4"/>
  <c r="EE57" i="4"/>
  <c r="O65" i="5" s="1"/>
  <c r="EE366" i="4"/>
  <c r="S20" i="5"/>
  <c r="FS33" i="4"/>
  <c r="FS199" i="4"/>
  <c r="FS43" i="4"/>
  <c r="FS39" i="4"/>
  <c r="S199" i="5"/>
  <c r="S219" i="5"/>
  <c r="S17" i="5"/>
  <c r="S211" i="5"/>
  <c r="S232" i="5"/>
  <c r="S236" i="5" s="1"/>
  <c r="S35" i="5"/>
  <c r="S293" i="5"/>
  <c r="S294" i="5" s="1"/>
  <c r="FS58" i="4" l="1"/>
  <c r="FS57" i="4"/>
  <c r="S27" i="5" s="1"/>
  <c r="FS366" i="4"/>
  <c r="FS44" i="4"/>
  <c r="S24" i="5"/>
  <c r="S38" i="5"/>
  <c r="S41" i="5"/>
  <c r="S221" i="5"/>
  <c r="S202" i="5"/>
  <c r="S184" i="5"/>
  <c r="S203" i="5"/>
  <c r="R185" i="5"/>
  <c r="R311" i="5" s="1"/>
  <c r="S306" i="5"/>
  <c r="S37" i="5"/>
  <c r="S212" i="5"/>
  <c r="S220" i="5"/>
  <c r="EF58" i="4"/>
  <c r="O66" i="5"/>
  <c r="EE1" i="4"/>
  <c r="S39" i="5" l="1"/>
  <c r="S129" i="5"/>
  <c r="S133" i="5" s="1"/>
  <c r="S222" i="5"/>
  <c r="GB58" i="4"/>
  <c r="FS59" i="4"/>
  <c r="S28" i="5"/>
  <c r="S248" i="5"/>
  <c r="S178" i="5" l="1"/>
  <c r="R179" i="5"/>
  <c r="R309" i="5" s="1"/>
  <c r="S191" i="5"/>
  <c r="S213" i="5"/>
  <c r="S295" i="5"/>
  <c r="S206" i="5"/>
  <c r="EE368" i="4" l="1"/>
  <c r="EE369" i="4" s="1"/>
  <c r="ED369" i="4"/>
  <c r="EE362" i="4"/>
  <c r="EE363" i="4" s="1"/>
  <c r="ED363" i="4"/>
  <c r="FS368" i="4" l="1"/>
  <c r="FS369" i="4" s="1"/>
  <c r="FS362" i="4"/>
  <c r="FS363" i="4" s="1"/>
  <c r="EE371" i="4"/>
  <c r="FS371" i="4" s="1"/>
  <c r="FS372" i="4" s="1"/>
  <c r="ED372" i="4"/>
  <c r="EE374" i="4"/>
  <c r="EE375" i="4" s="1"/>
  <c r="ED375" i="4"/>
  <c r="EI375" i="4"/>
  <c r="FS374" i="4" l="1"/>
  <c r="FS375" i="4" s="1"/>
  <c r="EE372" i="4"/>
  <c r="EJ375" i="4"/>
  <c r="EJ374" i="4" s="1"/>
  <c r="EI374" i="4"/>
  <c r="EH374" i="4"/>
  <c r="EH61" i="4" l="1"/>
  <c r="R68" i="5" s="1"/>
  <c r="EH344" i="4"/>
  <c r="EJ61" i="4"/>
  <c r="T68" i="5" s="1"/>
  <c r="EJ344" i="4"/>
  <c r="EK336" i="4"/>
  <c r="EG61" i="4"/>
  <c r="Q68" i="5" s="1"/>
  <c r="EG344" i="4"/>
  <c r="EI61" i="4"/>
  <c r="S68" i="5" s="1"/>
  <c r="EI344" i="4"/>
  <c r="EK374" i="4"/>
  <c r="FT336" i="4" l="1"/>
  <c r="EK61" i="4"/>
  <c r="EK344" i="4"/>
  <c r="FT374" i="4"/>
  <c r="FT375" i="4" s="1"/>
  <c r="FU375" i="4" s="1"/>
  <c r="EK375" i="4"/>
  <c r="FV375" i="4" l="1"/>
  <c r="FU374" i="4"/>
  <c r="FU336" i="4" s="1"/>
  <c r="U68" i="5"/>
  <c r="FT61" i="4"/>
  <c r="T30" i="5" s="1"/>
  <c r="FT344" i="4"/>
  <c r="T151" i="5" s="1"/>
  <c r="T149" i="5"/>
  <c r="T150" i="5" l="1"/>
  <c r="T192" i="5"/>
  <c r="T187" i="5"/>
  <c r="T215" i="5"/>
  <c r="FU344" i="4"/>
  <c r="U151" i="5" s="1"/>
  <c r="U149" i="5"/>
  <c r="FU61" i="4"/>
  <c r="U30" i="5" s="1"/>
  <c r="FW375" i="4"/>
  <c r="FV374" i="4"/>
  <c r="FV336" i="4" s="1"/>
  <c r="V149" i="5" s="1"/>
  <c r="V192" i="5" l="1"/>
  <c r="V215" i="5"/>
  <c r="V187" i="5"/>
  <c r="U150" i="5"/>
  <c r="FV61" i="4"/>
  <c r="V30" i="5" s="1"/>
  <c r="FV344" i="4"/>
  <c r="V151" i="5" s="1"/>
  <c r="V150" i="5" s="1"/>
  <c r="U192" i="5"/>
  <c r="U187" i="5"/>
  <c r="U215" i="5"/>
  <c r="FX375" i="4"/>
  <c r="FX374" i="4" s="1"/>
  <c r="FX336" i="4" s="1"/>
  <c r="FW374" i="4"/>
  <c r="FW336" i="4" s="1"/>
  <c r="FW61" i="4" l="1"/>
  <c r="FW344" i="4"/>
  <c r="FX61" i="4"/>
  <c r="FX344" i="4"/>
  <c r="ED254" i="4" l="1"/>
  <c r="ED285" i="4"/>
  <c r="EE250" i="4"/>
  <c r="FS250" i="4" s="1"/>
  <c r="FS254" i="4" l="1"/>
  <c r="S103" i="5"/>
  <c r="ED290" i="4"/>
  <c r="ED295" i="4"/>
  <c r="EE285" i="4"/>
  <c r="FS285" i="4" s="1"/>
  <c r="EE254" i="4"/>
  <c r="ED273" i="4"/>
  <c r="ED266" i="4"/>
  <c r="ED264" i="4" s="1"/>
  <c r="EE264" i="4" s="1"/>
  <c r="FS264" i="4" s="1"/>
  <c r="FS266" i="4" s="1"/>
  <c r="S119" i="5" s="1"/>
  <c r="FS290" i="4" l="1"/>
  <c r="FS295" i="4"/>
  <c r="FS273" i="4"/>
  <c r="FS268" i="4"/>
  <c r="FS270" i="4" s="1"/>
  <c r="EE273" i="4"/>
  <c r="EE266" i="4"/>
  <c r="S107" i="5"/>
  <c r="S116" i="5" s="1"/>
  <c r="S118" i="5" s="1"/>
  <c r="S180" i="5" s="1"/>
  <c r="S238" i="5"/>
  <c r="S241" i="5" s="1"/>
  <c r="S253" i="5"/>
  <c r="S194" i="5"/>
  <c r="S312" i="5" s="1"/>
  <c r="S201" i="5"/>
  <c r="S186" i="5" l="1"/>
  <c r="S200" i="5"/>
  <c r="EC254" i="4" l="1"/>
  <c r="EC266" i="4" s="1"/>
  <c r="EC264" i="4" s="1"/>
  <c r="ED321" i="4" l="1"/>
  <c r="ED322" i="4" s="1"/>
  <c r="EC321" i="4"/>
  <c r="EC285" i="4"/>
  <c r="EC290" i="4" s="1"/>
  <c r="EC322" i="4"/>
  <c r="EC273" i="4"/>
  <c r="EE322" i="4" l="1"/>
  <c r="FS322" i="4" s="1"/>
  <c r="EE321" i="4"/>
  <c r="FS321" i="4" s="1"/>
  <c r="EC295" i="4"/>
  <c r="EK334" i="9" l="1"/>
  <c r="EK336" i="9" s="1"/>
  <c r="FN334" i="9"/>
  <c r="FN336" i="9" s="1"/>
  <c r="EJ335" i="9"/>
  <c r="EK374" i="9"/>
  <c r="EL334" i="9" l="1"/>
  <c r="EK394" i="9"/>
  <c r="FN394" i="9" l="1"/>
  <c r="EK395" i="9"/>
  <c r="EK422" i="9"/>
  <c r="EK365" i="9"/>
  <c r="EL394" i="9"/>
  <c r="EL374" i="9"/>
  <c r="EL336" i="9"/>
  <c r="FO334" i="9"/>
  <c r="FO394" i="9" l="1"/>
  <c r="EL395" i="9"/>
  <c r="EL422" i="9"/>
  <c r="EK426" i="9"/>
  <c r="EK424" i="9"/>
  <c r="FO336" i="9"/>
  <c r="FO338" i="9" s="1"/>
  <c r="FP334" i="9"/>
  <c r="EL365" i="9"/>
  <c r="EL367" i="9"/>
  <c r="EL80" i="9" s="1"/>
  <c r="EL76" i="9" s="1"/>
  <c r="EL338" i="9"/>
  <c r="EK396" i="9"/>
  <c r="FN396" i="9" s="1"/>
  <c r="EK402" i="9"/>
  <c r="FN395" i="9"/>
  <c r="EK404" i="9"/>
  <c r="EK430" i="9" s="1"/>
  <c r="FN402" i="9" l="1"/>
  <c r="EK408" i="9"/>
  <c r="FN408" i="9" s="1"/>
  <c r="EL143" i="9"/>
  <c r="EL53" i="9"/>
  <c r="EL82" i="9"/>
  <c r="EL426" i="9"/>
  <c r="EL424" i="9"/>
  <c r="FQ334" i="9"/>
  <c r="FP336" i="9"/>
  <c r="FP394" i="9"/>
  <c r="FP395" i="9" s="1"/>
  <c r="EL404" i="9"/>
  <c r="EL430" i="9" s="1"/>
  <c r="EL402" i="9"/>
  <c r="FO395" i="9"/>
  <c r="EL396" i="9"/>
  <c r="FO396" i="9" s="1"/>
  <c r="EK405" i="9"/>
  <c r="FN405" i="9" s="1"/>
  <c r="EK415" i="9"/>
  <c r="EK413" i="9"/>
  <c r="EK416" i="9"/>
  <c r="EK407" i="9"/>
  <c r="FN407" i="9" s="1"/>
  <c r="EK412" i="9"/>
  <c r="FN404" i="9"/>
  <c r="EK414" i="9"/>
  <c r="EK417" i="9"/>
  <c r="FN417" i="9" s="1"/>
  <c r="EK428" i="9"/>
  <c r="FP404" i="9" l="1"/>
  <c r="FP396" i="9"/>
  <c r="FP402" i="9"/>
  <c r="FP338" i="9"/>
  <c r="FP367" i="9"/>
  <c r="FP80" i="9" s="1"/>
  <c r="FP365" i="9"/>
  <c r="EL428" i="9"/>
  <c r="FU87" i="4"/>
  <c r="EL55" i="9"/>
  <c r="FO53" i="9"/>
  <c r="FO55" i="9" s="1"/>
  <c r="EK418" i="9"/>
  <c r="EL145" i="9"/>
  <c r="EI118" i="9"/>
  <c r="EI119" i="9" s="1"/>
  <c r="EJ118" i="9"/>
  <c r="EJ119" i="9" s="1"/>
  <c r="FO402" i="9"/>
  <c r="EL408" i="9"/>
  <c r="FO408" i="9" s="1"/>
  <c r="FR334" i="9"/>
  <c r="FR336" i="9" s="1"/>
  <c r="FQ336" i="9"/>
  <c r="EL405" i="9"/>
  <c r="FO405" i="9" s="1"/>
  <c r="EL415" i="9"/>
  <c r="EL416" i="9"/>
  <c r="EL414" i="9"/>
  <c r="EL407" i="9"/>
  <c r="FO407" i="9" s="1"/>
  <c r="EL412" i="9"/>
  <c r="EL413" i="9"/>
  <c r="FO404" i="9"/>
  <c r="EL417" i="9"/>
  <c r="FO417" i="9" s="1"/>
  <c r="EJ82" i="9"/>
  <c r="EJ26" i="9"/>
  <c r="EK76" i="9"/>
  <c r="EK82" i="9" s="1"/>
  <c r="FP408" i="9" l="1"/>
  <c r="EL418" i="9"/>
  <c r="FR338" i="9"/>
  <c r="FR367" i="9"/>
  <c r="FR80" i="9" s="1"/>
  <c r="FR53" i="9" s="1"/>
  <c r="FR55" i="9" s="1"/>
  <c r="FO60" i="9"/>
  <c r="FO64" i="9"/>
  <c r="FO67" i="9"/>
  <c r="FO63" i="9"/>
  <c r="FO62" i="9"/>
  <c r="FO59" i="9"/>
  <c r="FO65" i="9"/>
  <c r="EL8" i="9"/>
  <c r="EL59" i="9"/>
  <c r="EL60" i="9"/>
  <c r="EL61" i="9"/>
  <c r="EL67" i="9"/>
  <c r="FU113" i="4"/>
  <c r="FP53" i="9"/>
  <c r="FV87" i="4" s="1"/>
  <c r="FP143" i="9"/>
  <c r="FP145" i="9" s="1"/>
  <c r="EJ27" i="9"/>
  <c r="EK26" i="9"/>
  <c r="EJ133" i="9"/>
  <c r="EI133" i="9"/>
  <c r="EI120" i="9"/>
  <c r="FQ338" i="9"/>
  <c r="FQ367" i="9"/>
  <c r="FQ80" i="9" s="1"/>
  <c r="FQ53" i="9" s="1"/>
  <c r="FQ55" i="9" s="1"/>
  <c r="EL66" i="9"/>
  <c r="FP407" i="9"/>
  <c r="FP405" i="9"/>
  <c r="FV113" i="4" l="1"/>
  <c r="EL56" i="9"/>
  <c r="EL68" i="9"/>
  <c r="FR39" i="9"/>
  <c r="FR60" i="9"/>
  <c r="FR67" i="9"/>
  <c r="FR58" i="9"/>
  <c r="FR8" i="9"/>
  <c r="FR59" i="9"/>
  <c r="FP55" i="9"/>
  <c r="FQ60" i="9"/>
  <c r="FQ8" i="9"/>
  <c r="FQ58" i="9"/>
  <c r="FQ59" i="9"/>
  <c r="FQ67" i="9"/>
  <c r="EK27" i="9"/>
  <c r="EL36" i="9"/>
  <c r="FN26" i="9"/>
  <c r="EL146" i="9"/>
  <c r="FO8" i="9"/>
  <c r="EL376" i="9"/>
  <c r="EL409" i="9"/>
  <c r="FP60" i="9" l="1"/>
  <c r="FP67" i="9"/>
  <c r="FP8" i="9"/>
  <c r="FP56" i="9" s="1"/>
  <c r="FP59" i="9"/>
  <c r="FP61" i="9"/>
  <c r="FR10" i="9"/>
  <c r="FR18" i="9"/>
  <c r="EL37" i="9"/>
  <c r="FO36" i="9"/>
  <c r="FR56" i="9"/>
  <c r="FQ56" i="9"/>
  <c r="FN27" i="9"/>
  <c r="EL26" i="9"/>
  <c r="FO422" i="9"/>
  <c r="FO56" i="9"/>
  <c r="FP66" i="9"/>
  <c r="FX9" i="4" l="1"/>
  <c r="EL9" i="9"/>
  <c r="EL39" i="9"/>
  <c r="EL32" i="9"/>
  <c r="EL27" i="9"/>
  <c r="FO26" i="9"/>
  <c r="FP68" i="9"/>
  <c r="FN32" i="9"/>
  <c r="FN37" i="9" s="1"/>
  <c r="FP146" i="9"/>
  <c r="FP18" i="9"/>
  <c r="FP409" i="9"/>
  <c r="FQ18" i="9"/>
  <c r="FU89" i="4" l="1"/>
  <c r="FO9" i="9"/>
  <c r="EL10" i="9"/>
  <c r="EL19" i="9"/>
  <c r="EL431" i="9"/>
  <c r="FX14" i="4"/>
  <c r="FX170" i="4"/>
  <c r="FX11" i="4"/>
  <c r="FX163" i="4"/>
  <c r="FX284" i="4"/>
  <c r="FZ9" i="4"/>
  <c r="GA9" i="4"/>
  <c r="FX371" i="4"/>
  <c r="FX325" i="4" s="1"/>
  <c r="FX362" i="4"/>
  <c r="FX308" i="4" s="1"/>
  <c r="FN38" i="9"/>
  <c r="FO27" i="9"/>
  <c r="FP36" i="9"/>
  <c r="FP37" i="9" s="1"/>
  <c r="FP39" i="9" l="1"/>
  <c r="FP9" i="9"/>
  <c r="FP32" i="9"/>
  <c r="FX334" i="4"/>
  <c r="FX285" i="4"/>
  <c r="FX283" i="4"/>
  <c r="FU9" i="4"/>
  <c r="EL1" i="9"/>
  <c r="EL432" i="9"/>
  <c r="FO10" i="9"/>
  <c r="FO32" i="9"/>
  <c r="FO37" i="9" s="1"/>
  <c r="FO19" i="9"/>
  <c r="FX294" i="4"/>
  <c r="FX238" i="4"/>
  <c r="FU115" i="4"/>
  <c r="FU116" i="4" s="1"/>
  <c r="FU90" i="4"/>
  <c r="FO39" i="9" l="1"/>
  <c r="FO38" i="9"/>
  <c r="FV89" i="4"/>
  <c r="FP19" i="9"/>
  <c r="FP10" i="9"/>
  <c r="FP38" i="9"/>
  <c r="FX293" i="4"/>
  <c r="FX241" i="4"/>
  <c r="FU362" i="4"/>
  <c r="FU308" i="4" s="1"/>
  <c r="GH9" i="4"/>
  <c r="FU170" i="4"/>
  <c r="FU163" i="4"/>
  <c r="U8" i="5"/>
  <c r="FU284" i="4"/>
  <c r="FU371" i="4"/>
  <c r="FU325" i="4" s="1"/>
  <c r="FU91" i="4"/>
  <c r="FX295" i="4"/>
  <c r="FU13" i="4"/>
  <c r="FU117" i="4"/>
  <c r="FV115" i="4" l="1"/>
  <c r="FV116" i="4" s="1"/>
  <c r="FV13" i="4" s="1"/>
  <c r="FV90" i="4"/>
  <c r="FX368" i="4"/>
  <c r="FX313" i="4" s="1"/>
  <c r="FX316" i="4" s="1"/>
  <c r="FV9" i="4"/>
  <c r="FP20" i="9"/>
  <c r="U289" i="5"/>
  <c r="GH13" i="4"/>
  <c r="FX254" i="4"/>
  <c r="FU334" i="4"/>
  <c r="U144" i="5" s="1"/>
  <c r="U142" i="5"/>
  <c r="FU14" i="4"/>
  <c r="FU238" i="4"/>
  <c r="FU294" i="4"/>
  <c r="U132" i="5"/>
  <c r="FU11" i="4"/>
  <c r="FV117" i="4" l="1"/>
  <c r="FV91" i="4"/>
  <c r="V8" i="5"/>
  <c r="FV11" i="4"/>
  <c r="V9" i="5" s="1"/>
  <c r="U143" i="5"/>
  <c r="U86" i="5"/>
  <c r="U292" i="5"/>
  <c r="FU283" i="4"/>
  <c r="FU285" i="4"/>
  <c r="U9" i="5"/>
  <c r="U10" i="5" s="1"/>
  <c r="FV7" i="4"/>
  <c r="FV14" i="4"/>
  <c r="FV284" i="4"/>
  <c r="FV371" i="4"/>
  <c r="FV325" i="4" s="1"/>
  <c r="V142" i="5" s="1"/>
  <c r="FV170" i="4"/>
  <c r="FV163" i="4"/>
  <c r="FV362" i="4"/>
  <c r="FV308" i="4" s="1"/>
  <c r="V132" i="5" s="1"/>
  <c r="GH11" i="4"/>
  <c r="U207" i="5"/>
  <c r="U299" i="5"/>
  <c r="U300" i="5" s="1"/>
  <c r="U166" i="5"/>
  <c r="V210" i="5" l="1"/>
  <c r="V33" i="5"/>
  <c r="V10" i="5"/>
  <c r="V207" i="5"/>
  <c r="V166" i="5"/>
  <c r="FV238" i="4"/>
  <c r="FV294" i="4"/>
  <c r="U34" i="5"/>
  <c r="U218" i="5"/>
  <c r="FU295" i="4"/>
  <c r="FV283" i="4"/>
  <c r="FV285" i="4"/>
  <c r="FU241" i="4"/>
  <c r="FU293" i="4"/>
  <c r="FV334" i="4"/>
  <c r="V144" i="5" s="1"/>
  <c r="V143" i="5" s="1"/>
  <c r="FV320" i="4" l="1"/>
  <c r="V86" i="5"/>
  <c r="V34" i="5"/>
  <c r="V218" i="5"/>
  <c r="V103" i="5"/>
  <c r="FV295" i="4"/>
  <c r="FV293" i="4"/>
  <c r="FV241" i="4"/>
  <c r="V87" i="5" s="1"/>
  <c r="FU254" i="4"/>
  <c r="U103" i="5"/>
  <c r="U107" i="5" s="1"/>
  <c r="U116" i="5" s="1"/>
  <c r="FU368" i="4"/>
  <c r="FU313" i="4" s="1"/>
  <c r="FU316" i="4" s="1"/>
  <c r="U87" i="5"/>
  <c r="V238" i="5" l="1"/>
  <c r="V107" i="5"/>
  <c r="V116" i="5" s="1"/>
  <c r="FV368" i="4"/>
  <c r="FV313" i="4" s="1"/>
  <c r="FV316" i="4" s="1"/>
  <c r="FV319" i="4"/>
  <c r="FV254" i="4"/>
  <c r="FV321" i="4"/>
  <c r="U303" i="5"/>
  <c r="U304" i="5" s="1"/>
  <c r="U238" i="5"/>
  <c r="FV318" i="4" l="1"/>
  <c r="V136" i="5" s="1"/>
  <c r="EG19" i="4"/>
  <c r="EG38" i="4" l="1"/>
  <c r="Q60" i="5" s="1"/>
  <c r="EG174" i="4"/>
  <c r="EG173" i="4"/>
  <c r="EH173" i="4"/>
  <c r="EG179" i="4"/>
  <c r="EG175" i="4"/>
  <c r="Q50" i="5"/>
  <c r="EG21" i="4"/>
  <c r="EH175" i="4" l="1"/>
  <c r="EI175" i="4" l="1"/>
  <c r="EI173" i="4"/>
  <c r="EH179" i="4"/>
  <c r="EH19" i="4"/>
  <c r="EH21" i="4" l="1"/>
  <c r="EH24" i="4" s="1"/>
  <c r="R50" i="5"/>
  <c r="EJ175" i="4"/>
  <c r="EK172" i="4"/>
  <c r="EI179" i="4"/>
  <c r="EI19" i="4"/>
  <c r="S50" i="5" l="1"/>
  <c r="EI21" i="4"/>
  <c r="EI24" i="4" s="1"/>
  <c r="EJ19" i="4"/>
  <c r="EK19" i="4" s="1"/>
  <c r="EK178" i="4"/>
  <c r="FT172" i="4"/>
  <c r="EK175" i="4"/>
  <c r="R53" i="5"/>
  <c r="EH25" i="4"/>
  <c r="EH202" i="4"/>
  <c r="EK21" i="4" l="1"/>
  <c r="FT19" i="4"/>
  <c r="U50" i="5"/>
  <c r="R73" i="5"/>
  <c r="EI202" i="4"/>
  <c r="EI25" i="4"/>
  <c r="S53" i="5"/>
  <c r="FU172" i="4"/>
  <c r="FT178" i="4"/>
  <c r="FT175" i="4"/>
  <c r="EJ21" i="4"/>
  <c r="T50" i="5"/>
  <c r="T12" i="5" l="1"/>
  <c r="FT21" i="4"/>
  <c r="S73" i="5"/>
  <c r="FV172" i="4"/>
  <c r="FU178" i="4"/>
  <c r="FU173" i="4"/>
  <c r="FV173" i="4" l="1"/>
  <c r="FW172" i="4"/>
  <c r="FV178" i="4"/>
  <c r="FU179" i="4"/>
  <c r="FU19" i="4"/>
  <c r="FV19" i="4" l="1"/>
  <c r="FV179" i="4"/>
  <c r="FW178" i="4"/>
  <c r="FW19" i="4" s="1"/>
  <c r="FW21" i="4" s="1"/>
  <c r="FW24" i="4" s="1"/>
  <c r="FX172" i="4"/>
  <c r="FU21" i="4"/>
  <c r="U12" i="5"/>
  <c r="U291" i="5" l="1"/>
  <c r="FX173" i="4"/>
  <c r="FX178" i="4"/>
  <c r="FW201" i="4"/>
  <c r="FW41" i="4" s="1"/>
  <c r="FU22" i="4"/>
  <c r="FU24" i="4"/>
  <c r="FV21" i="4"/>
  <c r="V12" i="5"/>
  <c r="FX179" i="4" l="1"/>
  <c r="FX19" i="4"/>
  <c r="FV22" i="4"/>
  <c r="FV24" i="4"/>
  <c r="FU201" i="4"/>
  <c r="FU41" i="4" s="1"/>
  <c r="U23" i="5" s="1"/>
  <c r="U15" i="5"/>
  <c r="FU25" i="4"/>
  <c r="FV201" i="4" l="1"/>
  <c r="FV41" i="4" s="1"/>
  <c r="V23" i="5" s="1"/>
  <c r="V15" i="5"/>
  <c r="FV25" i="4"/>
  <c r="U293" i="5"/>
  <c r="U294" i="5" s="1"/>
  <c r="U17" i="5"/>
  <c r="U232" i="5"/>
  <c r="U35" i="5"/>
  <c r="U219" i="5"/>
  <c r="FZ19" i="4"/>
  <c r="GH19" i="4"/>
  <c r="GH21" i="4" s="1"/>
  <c r="GH24" i="4" s="1"/>
  <c r="GH25" i="4" s="1"/>
  <c r="FX21" i="4"/>
  <c r="EG49" i="9"/>
  <c r="EG83" i="4" s="1"/>
  <c r="EK83" i="4" s="1"/>
  <c r="FT83" i="4" s="1"/>
  <c r="EG50" i="9"/>
  <c r="EG51" i="9"/>
  <c r="EG85" i="4" s="1"/>
  <c r="EK85" i="4" s="1"/>
  <c r="FT85" i="4" s="1"/>
  <c r="EG52" i="9"/>
  <c r="EG86" i="4" s="1"/>
  <c r="EK86" i="4" s="1"/>
  <c r="FT86" i="4" s="1"/>
  <c r="EG56" i="9"/>
  <c r="EG59" i="9"/>
  <c r="EG60" i="9"/>
  <c r="EG61" i="9"/>
  <c r="EG89" i="9"/>
  <c r="FO89" i="9" s="1"/>
  <c r="EG91" i="9" l="1"/>
  <c r="FO91" i="9" s="1"/>
  <c r="EG92" i="9"/>
  <c r="FO92" i="9" s="1"/>
  <c r="V211" i="5"/>
  <c r="V232" i="5"/>
  <c r="V17" i="5"/>
  <c r="V35" i="5"/>
  <c r="V219" i="5"/>
  <c r="U220" i="5"/>
  <c r="U37" i="5"/>
  <c r="U202" i="5"/>
  <c r="FZ21" i="4"/>
  <c r="FX24" i="4"/>
  <c r="FX22" i="4"/>
  <c r="EG90" i="9"/>
  <c r="FO90" i="9" s="1"/>
  <c r="EG53" i="9"/>
  <c r="EG84" i="4"/>
  <c r="EK84" i="4" s="1"/>
  <c r="FT84" i="4" s="1"/>
  <c r="EG143" i="9" l="1"/>
  <c r="FX201" i="4"/>
  <c r="FX41" i="4" s="1"/>
  <c r="GH41" i="4" s="1"/>
  <c r="FX25" i="4"/>
  <c r="V212" i="5"/>
  <c r="V37" i="5"/>
  <c r="V220" i="5"/>
  <c r="V202" i="5"/>
  <c r="EG66" i="9"/>
  <c r="EG87" i="4"/>
  <c r="EG93" i="9"/>
  <c r="EG113" i="4" l="1"/>
  <c r="EC14" i="4" l="1"/>
  <c r="EC24" i="4"/>
  <c r="EC25" i="4" s="1"/>
  <c r="EC116" i="4"/>
  <c r="EC108" i="4" s="1"/>
  <c r="EC117" i="4"/>
  <c r="EC202" i="4" l="1"/>
  <c r="EE108" i="4"/>
  <c r="EE116" i="4" s="1"/>
  <c r="EC96" i="4"/>
  <c r="EC32" i="4"/>
  <c r="EC43" i="4" s="1"/>
  <c r="M53" i="5"/>
  <c r="EE96" i="4"/>
  <c r="EC33" i="4" l="1"/>
  <c r="FS108" i="4"/>
  <c r="M55" i="5"/>
  <c r="M75" i="5" s="1"/>
  <c r="M73" i="5"/>
  <c r="EC39" i="4"/>
  <c r="M58" i="5"/>
  <c r="EC199" i="4"/>
  <c r="EC57" i="4"/>
  <c r="M65" i="5" s="1"/>
  <c r="M62" i="5"/>
  <c r="EC44" i="4"/>
  <c r="EC58" i="4"/>
  <c r="EC366" i="4"/>
  <c r="FS96" i="4"/>
  <c r="FS116" i="4"/>
  <c r="FS117" i="4" s="1"/>
  <c r="EE117" i="4"/>
  <c r="M76" i="5" l="1"/>
  <c r="M79" i="5"/>
  <c r="M77" i="5"/>
  <c r="EC1" i="4"/>
  <c r="M66" i="5"/>
  <c r="EG13" i="4"/>
  <c r="EG116" i="4" s="1"/>
  <c r="EG14" i="4"/>
  <c r="EG24" i="4"/>
  <c r="Q53" i="5" s="1"/>
  <c r="Q47" i="5"/>
  <c r="Q48" i="5" s="1"/>
  <c r="Q72" i="5" s="1"/>
  <c r="EG32" i="4" l="1"/>
  <c r="EG33" i="4" s="1"/>
  <c r="Q58" i="5"/>
  <c r="Q79" i="5" s="1"/>
  <c r="EG199" i="4"/>
  <c r="EG25" i="4"/>
  <c r="Q55" i="5"/>
  <c r="Q75" i="5" s="1"/>
  <c r="Q73" i="5"/>
  <c r="EG202" i="4"/>
  <c r="Q76" i="5" l="1"/>
  <c r="EG39" i="4"/>
  <c r="EG43" i="4"/>
  <c r="EG366" i="4" l="1"/>
  <c r="Q62" i="5"/>
  <c r="Q77" i="5" s="1"/>
  <c r="EG44" i="4"/>
  <c r="EG58" i="4"/>
  <c r="EG57" i="4"/>
  <c r="Q65" i="5" s="1"/>
  <c r="EG1" i="4" l="1"/>
  <c r="Q66" i="5"/>
  <c r="EK190" i="4" l="1"/>
  <c r="FT190" i="4" l="1"/>
  <c r="EK191" i="4"/>
  <c r="FT191" i="4" l="1"/>
  <c r="EG284" i="4"/>
  <c r="EG294" i="4"/>
  <c r="EG320" i="4"/>
  <c r="EH320" i="4"/>
  <c r="EG283" i="4"/>
  <c r="EG293" i="4" s="1"/>
  <c r="EG288" i="4"/>
  <c r="EH319" i="4"/>
  <c r="EG282" i="4" l="1"/>
  <c r="EG316" i="4" l="1"/>
  <c r="EG323" i="4" l="1"/>
  <c r="EG357" i="4" l="1"/>
  <c r="EG347" i="4"/>
  <c r="EG352" i="4" l="1"/>
  <c r="EG353" i="4"/>
  <c r="EH351" i="4"/>
  <c r="EG244" i="4" l="1"/>
  <c r="EH187" i="4"/>
  <c r="EG272" i="4"/>
  <c r="EG246" i="4" l="1"/>
  <c r="EG268" i="4" l="1"/>
  <c r="EG270" i="4"/>
  <c r="EH30" i="4"/>
  <c r="EH32" i="4" l="1"/>
  <c r="R57" i="5"/>
  <c r="EH33" i="4" l="1"/>
  <c r="R58" i="5"/>
  <c r="R76" i="5" l="1"/>
  <c r="EH38" i="4"/>
  <c r="EH39" i="4" l="1"/>
  <c r="R60" i="5"/>
  <c r="R79" i="5" s="1"/>
  <c r="EH43" i="4"/>
  <c r="EH58" i="4" l="1"/>
  <c r="EH57" i="4"/>
  <c r="R65" i="5" s="1"/>
  <c r="EH44" i="4"/>
  <c r="R62" i="5"/>
  <c r="R77" i="5" s="1"/>
  <c r="EH366" i="4"/>
  <c r="EH1" i="4" l="1"/>
  <c r="R66" i="5"/>
  <c r="EG363" i="4"/>
  <c r="EH363" i="4" s="1"/>
  <c r="EH362" i="4" l="1"/>
  <c r="EI363" i="4"/>
  <c r="EI362" i="4" l="1"/>
  <c r="EJ363" i="4"/>
  <c r="R55" i="5" l="1"/>
  <c r="R75" i="5" s="1"/>
  <c r="EH316" i="4"/>
  <c r="S55" i="5"/>
  <c r="S75" i="5" s="1"/>
  <c r="EI316" i="4"/>
  <c r="EH233" i="4" l="1"/>
  <c r="EI233" i="4" l="1"/>
  <c r="EG321" i="4" l="1"/>
  <c r="EG254" i="4"/>
  <c r="EG266" i="4" s="1"/>
  <c r="EG264" i="4" s="1"/>
  <c r="EG273" i="4"/>
  <c r="EG285" i="4"/>
  <c r="EG295" i="4"/>
  <c r="EH321" i="4" l="1"/>
  <c r="EH323" i="4" s="1"/>
  <c r="EH347" i="4" s="1"/>
  <c r="EH352" i="4" s="1"/>
  <c r="EH357" i="4" l="1"/>
  <c r="EH353" i="4"/>
  <c r="EI351" i="4"/>
  <c r="EI187" i="4" l="1"/>
  <c r="EH272" i="4"/>
  <c r="EH244" i="4"/>
  <c r="EH273" i="4" l="1"/>
  <c r="EH246" i="4"/>
  <c r="EI30" i="4" l="1"/>
  <c r="EH268" i="4"/>
  <c r="EH266" i="4" s="1"/>
  <c r="EH264" i="4" s="1"/>
  <c r="EH270" i="4"/>
  <c r="EI32" i="4" l="1"/>
  <c r="S57" i="5"/>
  <c r="EI33" i="4" l="1"/>
  <c r="S58" i="5"/>
  <c r="S76" i="5" l="1"/>
  <c r="EI38" i="4"/>
  <c r="EI39" i="4" l="1"/>
  <c r="S60" i="5"/>
  <c r="S79" i="5" s="1"/>
  <c r="EI43" i="4"/>
  <c r="EI44" i="4" l="1"/>
  <c r="EI57" i="4"/>
  <c r="S65" i="5" s="1"/>
  <c r="EI58" i="4"/>
  <c r="EI366" i="4"/>
  <c r="S62" i="5"/>
  <c r="S77" i="5" s="1"/>
  <c r="EI323" i="4" l="1"/>
  <c r="EI1" i="4"/>
  <c r="S66" i="5"/>
  <c r="EI347" i="4" l="1"/>
  <c r="EI352" i="4" s="1"/>
  <c r="EI357" i="4"/>
  <c r="EJ351" i="4" l="1"/>
  <c r="EI353" i="4"/>
  <c r="EJ187" i="4" l="1"/>
  <c r="EI272" i="4"/>
  <c r="EI244" i="4"/>
  <c r="EJ30" i="4" l="1"/>
  <c r="EK30" i="4" s="1"/>
  <c r="EK187" i="4"/>
  <c r="EI246" i="4"/>
  <c r="EI273" i="4"/>
  <c r="EK193" i="4" l="1"/>
  <c r="FT30" i="4"/>
  <c r="U57" i="5"/>
  <c r="EK188" i="4"/>
  <c r="FT187" i="4"/>
  <c r="FT193" i="4" s="1"/>
  <c r="T57" i="5"/>
  <c r="EI268" i="4"/>
  <c r="EI266" i="4" s="1"/>
  <c r="EI264" i="4" s="1"/>
  <c r="EI270" i="4" l="1"/>
  <c r="T19" i="5"/>
  <c r="T234" i="5" l="1"/>
  <c r="T235" i="5" s="1"/>
  <c r="EG54" i="9" l="1"/>
  <c r="EG68" i="9"/>
  <c r="EG144" i="9"/>
  <c r="EG145" i="9"/>
  <c r="EG146" i="9" s="1"/>
  <c r="EG88" i="4" l="1"/>
  <c r="EG337" i="9"/>
  <c r="EG336" i="9"/>
  <c r="EG114" i="4"/>
  <c r="EK114" i="4" s="1"/>
  <c r="EK88" i="4"/>
  <c r="EG90" i="4"/>
  <c r="EK54" i="9"/>
  <c r="EG338" i="9" l="1"/>
  <c r="EG339" i="9"/>
  <c r="EG340" i="9" s="1"/>
  <c r="EG368" i="9"/>
  <c r="EJ336" i="9"/>
  <c r="FT88" i="4"/>
  <c r="EK337" i="9"/>
  <c r="EK338" i="9" s="1"/>
  <c r="EK143" i="9" s="1"/>
  <c r="EK144" i="9"/>
  <c r="FN54" i="9"/>
  <c r="EG91" i="4"/>
  <c r="EG117" i="4"/>
  <c r="ED282" i="4"/>
  <c r="FT114" i="4"/>
  <c r="EK102" i="4"/>
  <c r="FT102" i="4" l="1"/>
  <c r="EJ367" i="9"/>
  <c r="EJ80" i="9" s="1"/>
  <c r="EK80" i="9" s="1"/>
  <c r="EJ338" i="9"/>
  <c r="FN337" i="9"/>
  <c r="FN338" i="9" s="1"/>
  <c r="EK145" i="9"/>
  <c r="EJ53" i="9" l="1"/>
  <c r="EJ143" i="9"/>
  <c r="EH118" i="9" l="1"/>
  <c r="EH119" i="9" s="1"/>
  <c r="EJ145" i="9"/>
  <c r="EJ87" i="4"/>
  <c r="EJ55" i="9"/>
  <c r="EJ66" i="9" s="1"/>
  <c r="EK53" i="9"/>
  <c r="EG32" i="9"/>
  <c r="EG38" i="9"/>
  <c r="EG39" i="9"/>
  <c r="EK35" i="9"/>
  <c r="EK30" i="9" s="1"/>
  <c r="FN30" i="9" s="1"/>
  <c r="EJ113" i="4" l="1"/>
  <c r="EJ90" i="4"/>
  <c r="EK87" i="4"/>
  <c r="FN53" i="9"/>
  <c r="FN55" i="9" s="1"/>
  <c r="EK55" i="9"/>
  <c r="EK66" i="9" s="1"/>
  <c r="EJ59" i="9"/>
  <c r="EJ39" i="9"/>
  <c r="EJ60" i="9"/>
  <c r="EJ61" i="9"/>
  <c r="EJ67" i="9"/>
  <c r="EK119" i="9"/>
  <c r="EH120" i="9"/>
  <c r="EH133" i="9"/>
  <c r="EH132" i="9" s="1"/>
  <c r="EK37" i="9"/>
  <c r="FN35" i="9"/>
  <c r="EJ120" i="9" l="1"/>
  <c r="EK8" i="9"/>
  <c r="EJ10" i="9"/>
  <c r="EJ13" i="9"/>
  <c r="EJ18" i="9"/>
  <c r="EJ146" i="9"/>
  <c r="EJ134" i="9"/>
  <c r="EJ56" i="9"/>
  <c r="EJ68" i="9"/>
  <c r="EI282" i="4"/>
  <c r="EI132" i="9"/>
  <c r="EH473" i="9"/>
  <c r="EH474" i="9" s="1"/>
  <c r="EK67" i="9"/>
  <c r="EK59" i="9"/>
  <c r="EK60" i="9"/>
  <c r="EK61" i="9"/>
  <c r="FN67" i="9"/>
  <c r="FN39" i="9"/>
  <c r="FN64" i="9"/>
  <c r="FN59" i="9"/>
  <c r="FN60" i="9"/>
  <c r="FN63" i="9"/>
  <c r="FN62" i="9"/>
  <c r="FN65" i="9"/>
  <c r="FT87" i="4"/>
  <c r="EK90" i="4"/>
  <c r="EK39" i="9"/>
  <c r="EJ116" i="4"/>
  <c r="EK113" i="4"/>
  <c r="EK32" i="9"/>
  <c r="EL38" i="9"/>
  <c r="EK38" i="9"/>
  <c r="FT90" i="4" l="1"/>
  <c r="EK68" i="9"/>
  <c r="EJ132" i="9"/>
  <c r="EJ1" i="9"/>
  <c r="EJ20" i="9"/>
  <c r="EJ15" i="9"/>
  <c r="EJ9" i="4"/>
  <c r="FT113" i="4"/>
  <c r="EK101" i="4"/>
  <c r="EK116" i="4"/>
  <c r="EJ334" i="9"/>
  <c r="FN8" i="9"/>
  <c r="EK18" i="9"/>
  <c r="EK409" i="9"/>
  <c r="EK10" i="9"/>
  <c r="EK376" i="9"/>
  <c r="EK146" i="9"/>
  <c r="EJ13" i="4"/>
  <c r="EJ117" i="4"/>
  <c r="EK56" i="9"/>
  <c r="FT116" i="4" l="1"/>
  <c r="FT117" i="4" s="1"/>
  <c r="EK117" i="4"/>
  <c r="EJ14" i="4"/>
  <c r="EJ24" i="4"/>
  <c r="EL18" i="9"/>
  <c r="FO18" i="9"/>
  <c r="FN18" i="9"/>
  <c r="FN10" i="9"/>
  <c r="FN422" i="9"/>
  <c r="FN56" i="9"/>
  <c r="EK20" i="9"/>
  <c r="EK1" i="9"/>
  <c r="EK432" i="9"/>
  <c r="EJ371" i="4"/>
  <c r="EJ163" i="4"/>
  <c r="T46" i="5"/>
  <c r="T71" i="5" s="1"/>
  <c r="EK9" i="4"/>
  <c r="EJ11" i="4"/>
  <c r="EJ284" i="4"/>
  <c r="EJ170" i="4"/>
  <c r="EJ173" i="4"/>
  <c r="EJ179" i="4"/>
  <c r="EJ362" i="4"/>
  <c r="EJ91" i="4"/>
  <c r="FT9" i="4" l="1"/>
  <c r="FN20" i="9"/>
  <c r="EL20" i="9"/>
  <c r="FO20" i="9"/>
  <c r="U46" i="5"/>
  <c r="EK10" i="4"/>
  <c r="EK170" i="4"/>
  <c r="EL9" i="4"/>
  <c r="EK163" i="4"/>
  <c r="EK173" i="4"/>
  <c r="EK179" i="4"/>
  <c r="EK91" i="4"/>
  <c r="EK284" i="4"/>
  <c r="FT284" i="4" s="1"/>
  <c r="EJ294" i="4"/>
  <c r="EK362" i="4"/>
  <c r="EK371" i="4"/>
  <c r="EJ202" i="4"/>
  <c r="EJ25" i="4"/>
  <c r="T53" i="5"/>
  <c r="EJ32" i="4"/>
  <c r="EJ285" i="4"/>
  <c r="T47" i="5"/>
  <c r="T48" i="5" s="1"/>
  <c r="T72" i="5" s="1"/>
  <c r="EJ283" i="4"/>
  <c r="EK11" i="4"/>
  <c r="T73" i="5" l="1"/>
  <c r="T55" i="5"/>
  <c r="T75" i="5" s="1"/>
  <c r="FT294" i="4"/>
  <c r="FT289" i="4"/>
  <c r="EJ33" i="4"/>
  <c r="T58" i="5"/>
  <c r="T76" i="5" s="1"/>
  <c r="EJ320" i="4"/>
  <c r="EK320" i="4" s="1"/>
  <c r="FT320" i="4" s="1"/>
  <c r="EK238" i="4"/>
  <c r="FT238" i="4" s="1"/>
  <c r="EK325" i="4"/>
  <c r="EJ334" i="4"/>
  <c r="EK372" i="4"/>
  <c r="FT371" i="4"/>
  <c r="FT372" i="4" s="1"/>
  <c r="EK283" i="4"/>
  <c r="FT283" i="4" s="1"/>
  <c r="EJ293" i="4"/>
  <c r="FT362" i="4"/>
  <c r="FT363" i="4" s="1"/>
  <c r="EK363" i="4"/>
  <c r="EK13" i="4"/>
  <c r="FT11" i="4"/>
  <c r="T9" i="5" s="1"/>
  <c r="U47" i="5"/>
  <c r="U48" i="5" s="1"/>
  <c r="U72" i="5" s="1"/>
  <c r="EJ295" i="4"/>
  <c r="EK285" i="4"/>
  <c r="FT285" i="4" s="1"/>
  <c r="EK308" i="4"/>
  <c r="EK228" i="4"/>
  <c r="FT228" i="4" s="1"/>
  <c r="T8" i="5"/>
  <c r="FT7" i="4"/>
  <c r="FT170" i="4"/>
  <c r="FT163" i="4"/>
  <c r="FU7" i="4"/>
  <c r="FT173" i="4"/>
  <c r="FT179" i="4"/>
  <c r="FT22" i="4"/>
  <c r="FT91" i="4"/>
  <c r="T93" i="5" l="1"/>
  <c r="T240" i="5" s="1"/>
  <c r="FU228" i="4"/>
  <c r="EK14" i="4"/>
  <c r="EK24" i="4"/>
  <c r="EJ38" i="4"/>
  <c r="EK198" i="4"/>
  <c r="FT308" i="4"/>
  <c r="EJ233" i="4"/>
  <c r="EK226" i="4"/>
  <c r="T289" i="5"/>
  <c r="S183" i="5"/>
  <c r="S310" i="5" s="1"/>
  <c r="T33" i="5"/>
  <c r="W8" i="5"/>
  <c r="T210" i="5"/>
  <c r="U33" i="5"/>
  <c r="U210" i="5"/>
  <c r="T10" i="5"/>
  <c r="EK241" i="4"/>
  <c r="FT241" i="4" s="1"/>
  <c r="EJ319" i="4"/>
  <c r="EJ368" i="4"/>
  <c r="FT295" i="4"/>
  <c r="FT290" i="4"/>
  <c r="EJ321" i="4"/>
  <c r="EK321" i="4" s="1"/>
  <c r="FT321" i="4" s="1"/>
  <c r="EJ254" i="4"/>
  <c r="EK254" i="4" s="1"/>
  <c r="EK250" i="4"/>
  <c r="FT250" i="4" s="1"/>
  <c r="EK334" i="4"/>
  <c r="FT325" i="4"/>
  <c r="FT13" i="4"/>
  <c r="T86" i="5"/>
  <c r="FU320" i="4"/>
  <c r="FT293" i="4"/>
  <c r="FT288" i="4"/>
  <c r="EK368" i="4" l="1"/>
  <c r="FV228" i="4"/>
  <c r="V93" i="5" s="1"/>
  <c r="V240" i="5" s="1"/>
  <c r="U93" i="5"/>
  <c r="U240" i="5" s="1"/>
  <c r="FT198" i="4"/>
  <c r="FT14" i="4"/>
  <c r="FT24" i="4"/>
  <c r="EK38" i="4"/>
  <c r="EJ39" i="4"/>
  <c r="T60" i="5"/>
  <c r="T79" i="5" s="1"/>
  <c r="EJ43" i="4"/>
  <c r="T142" i="5"/>
  <c r="FT334" i="4"/>
  <c r="T144" i="5" s="1"/>
  <c r="T143" i="5" s="1"/>
  <c r="EK319" i="4"/>
  <c r="T292" i="5"/>
  <c r="T291" i="5"/>
  <c r="EK202" i="4"/>
  <c r="EK25" i="4"/>
  <c r="U53" i="5"/>
  <c r="EK32" i="4"/>
  <c r="T87" i="5"/>
  <c r="FU319" i="4"/>
  <c r="FT254" i="4"/>
  <c r="T103" i="5"/>
  <c r="FU321" i="4"/>
  <c r="T290" i="5"/>
  <c r="T132" i="5"/>
  <c r="T218" i="5"/>
  <c r="T34" i="5"/>
  <c r="EK233" i="4"/>
  <c r="FT226" i="4"/>
  <c r="U290" i="5"/>
  <c r="FT319" i="4" l="1"/>
  <c r="EK318" i="4"/>
  <c r="FT318" i="4" s="1"/>
  <c r="T136" i="5" s="1"/>
  <c r="T303" i="5"/>
  <c r="T304" i="5" s="1"/>
  <c r="U58" i="5"/>
  <c r="U76" i="5" s="1"/>
  <c r="EK33" i="4"/>
  <c r="EK43" i="4"/>
  <c r="FT202" i="4"/>
  <c r="T15" i="5"/>
  <c r="FT25" i="4"/>
  <c r="FT32" i="4"/>
  <c r="U73" i="5"/>
  <c r="U55" i="5"/>
  <c r="U75" i="5" s="1"/>
  <c r="T238" i="5"/>
  <c r="T107" i="5"/>
  <c r="T116" i="5" s="1"/>
  <c r="EJ366" i="4"/>
  <c r="EJ44" i="4"/>
  <c r="EJ57" i="4"/>
  <c r="T65" i="5" s="1"/>
  <c r="EJ58" i="4"/>
  <c r="T62" i="5"/>
  <c r="T77" i="5" s="1"/>
  <c r="EK265" i="4"/>
  <c r="FT265" i="4" s="1"/>
  <c r="FU226" i="4"/>
  <c r="T92" i="5"/>
  <c r="FT233" i="4"/>
  <c r="FT368" i="4"/>
  <c r="FT369" i="4" s="1"/>
  <c r="EK369" i="4"/>
  <c r="EK39" i="4"/>
  <c r="FT38" i="4"/>
  <c r="U60" i="5"/>
  <c r="T299" i="5"/>
  <c r="T300" i="5" s="1"/>
  <c r="T166" i="5"/>
  <c r="T207" i="5"/>
  <c r="FU318" i="4"/>
  <c r="U136" i="5" s="1"/>
  <c r="EK199" i="4"/>
  <c r="EK313" i="4"/>
  <c r="EJ316" i="4"/>
  <c r="U79" i="5" l="1"/>
  <c r="FT313" i="4"/>
  <c r="FT316" i="4" s="1"/>
  <c r="EK316" i="4"/>
  <c r="T254" i="5"/>
  <c r="T98" i="5"/>
  <c r="T239" i="5"/>
  <c r="T241" i="5" s="1"/>
  <c r="EJ1" i="4"/>
  <c r="T66" i="5"/>
  <c r="FU233" i="4"/>
  <c r="FV226" i="4"/>
  <c r="U92" i="5"/>
  <c r="EJ323" i="4"/>
  <c r="EK306" i="4"/>
  <c r="FT33" i="4"/>
  <c r="T20" i="5"/>
  <c r="FT43" i="4"/>
  <c r="FT39" i="4"/>
  <c r="T22" i="5"/>
  <c r="T35" i="5"/>
  <c r="T232" i="5"/>
  <c r="T293" i="5"/>
  <c r="T294" i="5" s="1"/>
  <c r="U211" i="5"/>
  <c r="T211" i="5"/>
  <c r="T219" i="5"/>
  <c r="T17" i="5"/>
  <c r="FT199" i="4"/>
  <c r="EK366" i="4"/>
  <c r="EK44" i="4"/>
  <c r="U62" i="5"/>
  <c r="U77" i="5" s="1"/>
  <c r="EK57" i="4"/>
  <c r="U65" i="5" s="1"/>
  <c r="EK58" i="4"/>
  <c r="T233" i="5" l="1"/>
  <c r="T236" i="5" s="1"/>
  <c r="T200" i="5" s="1"/>
  <c r="U98" i="5"/>
  <c r="U239" i="5"/>
  <c r="U241" i="5" s="1"/>
  <c r="EJ347" i="4"/>
  <c r="EJ352" i="4" s="1"/>
  <c r="EJ357" i="4"/>
  <c r="EK1" i="4"/>
  <c r="U66" i="5"/>
  <c r="EL58" i="4"/>
  <c r="FV233" i="4"/>
  <c r="V92" i="5"/>
  <c r="T24" i="5"/>
  <c r="FT58" i="4"/>
  <c r="FT57" i="4"/>
  <c r="T27" i="5" s="1"/>
  <c r="FT366" i="4"/>
  <c r="FT44" i="4"/>
  <c r="T221" i="5"/>
  <c r="T38" i="5"/>
  <c r="T41" i="5"/>
  <c r="T212" i="5"/>
  <c r="T37" i="5"/>
  <c r="T220" i="5"/>
  <c r="S185" i="5"/>
  <c r="S311" i="5" s="1"/>
  <c r="U212" i="5"/>
  <c r="T202" i="5"/>
  <c r="W17" i="5"/>
  <c r="FT306" i="4"/>
  <c r="FT323" i="4" s="1"/>
  <c r="EK323" i="4"/>
  <c r="EK347" i="4" l="1"/>
  <c r="EK352" i="4" s="1"/>
  <c r="EK357" i="4"/>
  <c r="V239" i="5"/>
  <c r="V241" i="5" s="1"/>
  <c r="V98" i="5"/>
  <c r="EJ353" i="4"/>
  <c r="EJ244" i="4"/>
  <c r="EJ272" i="4"/>
  <c r="EK236" i="4"/>
  <c r="FT347" i="4"/>
  <c r="FT352" i="4" s="1"/>
  <c r="FT357" i="4"/>
  <c r="T137" i="5"/>
  <c r="T248" i="5"/>
  <c r="FT60" i="4"/>
  <c r="T28" i="5"/>
  <c r="FT59" i="4"/>
  <c r="W24" i="5"/>
  <c r="T222" i="5"/>
  <c r="T39" i="5"/>
  <c r="T129" i="5"/>
  <c r="EJ246" i="4" l="1"/>
  <c r="EJ273" i="4"/>
  <c r="T298" i="5"/>
  <c r="T133" i="5"/>
  <c r="T164" i="5"/>
  <c r="T167" i="5" s="1"/>
  <c r="T153" i="5"/>
  <c r="T156" i="5" s="1"/>
  <c r="T203" i="5"/>
  <c r="FU351" i="4"/>
  <c r="U155" i="5" s="1"/>
  <c r="AA29" i="5"/>
  <c r="S179" i="5"/>
  <c r="S309" i="5" s="1"/>
  <c r="AA28" i="5"/>
  <c r="T295" i="5"/>
  <c r="T178" i="5"/>
  <c r="T206" i="5"/>
  <c r="AC28" i="5"/>
  <c r="W28" i="5"/>
  <c r="V179" i="5" s="1"/>
  <c r="AC29" i="5"/>
  <c r="AB29" i="5"/>
  <c r="T191" i="5"/>
  <c r="AB28" i="5"/>
  <c r="T213" i="5"/>
  <c r="EK244" i="4"/>
  <c r="EK272" i="4"/>
  <c r="FT236" i="4"/>
  <c r="FT353" i="4" s="1"/>
  <c r="EK353" i="4"/>
  <c r="FT188" i="4" l="1"/>
  <c r="FT244" i="4"/>
  <c r="FU187" i="4"/>
  <c r="FU193" i="4" s="1"/>
  <c r="FU30" i="4" s="1"/>
  <c r="FT272" i="4"/>
  <c r="T84" i="5"/>
  <c r="T123" i="5"/>
  <c r="T124" i="5" s="1"/>
  <c r="EK246" i="4"/>
  <c r="EK273" i="4"/>
  <c r="T188" i="5"/>
  <c r="T181" i="5"/>
  <c r="T214" i="5"/>
  <c r="T193" i="5"/>
  <c r="T205" i="5" s="1"/>
  <c r="EJ268" i="4"/>
  <c r="EJ266" i="4" s="1"/>
  <c r="EJ264" i="4" s="1"/>
  <c r="EK264" i="4" s="1"/>
  <c r="FT264" i="4" s="1"/>
  <c r="FT266" i="4" s="1"/>
  <c r="EJ270" i="4"/>
  <c r="T313" i="5" l="1"/>
  <c r="FT246" i="4"/>
  <c r="T90" i="5"/>
  <c r="FT273" i="4"/>
  <c r="T256" i="5"/>
  <c r="T119" i="5"/>
  <c r="FT268" i="4"/>
  <c r="EK268" i="4"/>
  <c r="EK266" i="4" s="1"/>
  <c r="FU32" i="4"/>
  <c r="U19" i="5"/>
  <c r="T305" i="5"/>
  <c r="T306" i="5" s="1"/>
  <c r="T204" i="5"/>
  <c r="T175" i="5"/>
  <c r="T176" i="5" s="1"/>
  <c r="T259" i="5"/>
  <c r="FT270" i="4" l="1"/>
  <c r="EK270" i="4"/>
  <c r="T184" i="5"/>
  <c r="T185" i="5"/>
  <c r="T311" i="5" s="1"/>
  <c r="T182" i="5"/>
  <c r="T186" i="5"/>
  <c r="T183" i="5"/>
  <c r="T310" i="5" s="1"/>
  <c r="T89" i="5"/>
  <c r="T100" i="5"/>
  <c r="U234" i="5"/>
  <c r="U235" i="5" s="1"/>
  <c r="FU33" i="4"/>
  <c r="U20" i="5"/>
  <c r="FU198" i="4"/>
  <c r="FU38" i="4" s="1"/>
  <c r="T194" i="5"/>
  <c r="T312" i="5" s="1"/>
  <c r="T253" i="5"/>
  <c r="T201" i="5"/>
  <c r="FU43" i="4" l="1"/>
  <c r="FU39" i="4"/>
  <c r="U22" i="5"/>
  <c r="U233" i="5" s="1"/>
  <c r="U236" i="5" s="1"/>
  <c r="U200" i="5" s="1"/>
  <c r="T118" i="5"/>
  <c r="T180" i="5" s="1"/>
  <c r="T199" i="5"/>
  <c r="U221" i="5"/>
  <c r="U38" i="5"/>
  <c r="U41" i="5" l="1"/>
  <c r="U248" i="5" s="1"/>
  <c r="FU44" i="4"/>
  <c r="FU57" i="4"/>
  <c r="U27" i="5" s="1"/>
  <c r="FU306" i="4"/>
  <c r="FU323" i="4" s="1"/>
  <c r="FU58" i="4"/>
  <c r="FU366" i="4"/>
  <c r="U24" i="5"/>
  <c r="U39" i="5" l="1"/>
  <c r="U129" i="5"/>
  <c r="U222" i="5"/>
  <c r="FU59" i="4"/>
  <c r="U28" i="5"/>
  <c r="U137" i="5"/>
  <c r="FU347" i="4"/>
  <c r="FU352" i="4" s="1"/>
  <c r="FU357" i="4"/>
  <c r="U254" i="5"/>
  <c r="FV351" i="4" l="1"/>
  <c r="V155" i="5" s="1"/>
  <c r="FU236" i="4"/>
  <c r="FU353" i="4" s="1"/>
  <c r="U153" i="5"/>
  <c r="U156" i="5" s="1"/>
  <c r="U164" i="5"/>
  <c r="U167" i="5" s="1"/>
  <c r="U298" i="5"/>
  <c r="U133" i="5"/>
  <c r="U203" i="5"/>
  <c r="U213" i="5"/>
  <c r="U295" i="5"/>
  <c r="FU1" i="4"/>
  <c r="U206" i="5"/>
  <c r="U178" i="5"/>
  <c r="U191" i="5"/>
  <c r="X27" i="5"/>
  <c r="X28" i="5"/>
  <c r="T179" i="5"/>
  <c r="T309" i="5" s="1"/>
  <c r="Y28" i="5"/>
  <c r="Y29" i="5" s="1"/>
  <c r="FU244" i="4" l="1"/>
  <c r="FV187" i="4"/>
  <c r="FV193" i="4" s="1"/>
  <c r="FV30" i="4" s="1"/>
  <c r="U84" i="5"/>
  <c r="U256" i="5" s="1"/>
  <c r="FU272" i="4"/>
  <c r="U123" i="5"/>
  <c r="U124" i="5" s="1"/>
  <c r="U214" i="5"/>
  <c r="U193" i="5"/>
  <c r="U205" i="5" s="1"/>
  <c r="U188" i="5"/>
  <c r="U313" i="5" s="1"/>
  <c r="U181" i="5"/>
  <c r="U305" i="5" l="1"/>
  <c r="U306" i="5" s="1"/>
  <c r="U204" i="5"/>
  <c r="U175" i="5"/>
  <c r="U176" i="5" s="1"/>
  <c r="U259" i="5"/>
  <c r="FV32" i="4"/>
  <c r="V19" i="5"/>
  <c r="V234" i="5" s="1"/>
  <c r="V235" i="5" s="1"/>
  <c r="FU246" i="4"/>
  <c r="U90" i="5"/>
  <c r="FU273" i="4"/>
  <c r="FV198" i="4" l="1"/>
  <c r="FV38" i="4" s="1"/>
  <c r="FV33" i="4"/>
  <c r="V20" i="5"/>
  <c r="FV43" i="4"/>
  <c r="U186" i="5"/>
  <c r="U184" i="5"/>
  <c r="U182" i="5"/>
  <c r="U89" i="5"/>
  <c r="U100" i="5"/>
  <c r="FU268" i="4"/>
  <c r="FU266" i="4" s="1"/>
  <c r="FU270" i="4"/>
  <c r="FV44" i="4" l="1"/>
  <c r="FV57" i="4"/>
  <c r="V27" i="5" s="1"/>
  <c r="FV306" i="4"/>
  <c r="FV323" i="4" s="1"/>
  <c r="FV58" i="4"/>
  <c r="FV366" i="4"/>
  <c r="V24" i="5"/>
  <c r="FU264" i="4"/>
  <c r="U119" i="5"/>
  <c r="V221" i="5"/>
  <c r="V38" i="5"/>
  <c r="U199" i="5"/>
  <c r="U118" i="5"/>
  <c r="U180" i="5" s="1"/>
  <c r="FV39" i="4"/>
  <c r="V22" i="5"/>
  <c r="V233" i="5" s="1"/>
  <c r="V236" i="5" s="1"/>
  <c r="V200" i="5" s="1"/>
  <c r="V41" i="5" l="1"/>
  <c r="V248" i="5" s="1"/>
  <c r="V254" i="5"/>
  <c r="V129" i="5"/>
  <c r="V222" i="5"/>
  <c r="V39" i="5"/>
  <c r="V28" i="5"/>
  <c r="FV63" i="4"/>
  <c r="V137" i="5"/>
  <c r="FV347" i="4"/>
  <c r="FV352" i="4" s="1"/>
  <c r="FV357" i="4"/>
  <c r="U201" i="5"/>
  <c r="U253" i="5"/>
  <c r="U194" i="5"/>
  <c r="U312" i="5" s="1"/>
  <c r="V203" i="5" l="1"/>
  <c r="V133" i="5"/>
  <c r="V153" i="5"/>
  <c r="V156" i="5" s="1"/>
  <c r="V164" i="5"/>
  <c r="V167" i="5" s="1"/>
  <c r="U179" i="5"/>
  <c r="V191" i="5"/>
  <c r="V206" i="5"/>
  <c r="V178" i="5"/>
  <c r="V213" i="5"/>
  <c r="FV236" i="4"/>
  <c r="FW351" i="4"/>
  <c r="V214" i="5" l="1"/>
  <c r="V193" i="5"/>
  <c r="V205" i="5" s="1"/>
  <c r="V188" i="5"/>
  <c r="V181" i="5"/>
  <c r="FV353" i="4"/>
  <c r="V123" i="5"/>
  <c r="V124" i="5" s="1"/>
  <c r="FV272" i="4"/>
  <c r="FV244" i="4"/>
  <c r="FW187" i="4"/>
  <c r="FW193" i="4" s="1"/>
  <c r="FW30" i="4" s="1"/>
  <c r="FW32" i="4" s="1"/>
  <c r="V84" i="5"/>
  <c r="V256" i="5" s="1"/>
  <c r="FV246" i="4" l="1"/>
  <c r="V90" i="5"/>
  <c r="FV273" i="4"/>
  <c r="V204" i="5"/>
  <c r="V175" i="5"/>
  <c r="V176" i="5" s="1"/>
  <c r="V259" i="5"/>
  <c r="FW198" i="4"/>
  <c r="FW38" i="4" s="1"/>
  <c r="FW43" i="4"/>
  <c r="FW39" i="4" l="1"/>
  <c r="V184" i="5"/>
  <c r="V182" i="5"/>
  <c r="V186" i="5"/>
  <c r="FW57" i="4"/>
  <c r="FW306" i="4"/>
  <c r="FW58" i="4"/>
  <c r="FW63" i="4" s="1"/>
  <c r="FW366" i="4"/>
  <c r="V89" i="5"/>
  <c r="V100" i="5"/>
  <c r="FV268" i="4"/>
  <c r="FV266" i="4" s="1"/>
  <c r="FV270" i="4"/>
  <c r="FV264" i="4" l="1"/>
  <c r="V119" i="5"/>
  <c r="V199" i="5"/>
  <c r="V118" i="5"/>
  <c r="V180" i="5" s="1"/>
  <c r="V201" i="5" l="1"/>
  <c r="V253" i="5"/>
  <c r="V194" i="5"/>
  <c r="FW254" i="4" l="1"/>
  <c r="FW321" i="4"/>
  <c r="FX321" i="4"/>
  <c r="DY337" i="4"/>
  <c r="FR337" i="4" s="1"/>
  <c r="DX344" i="4"/>
  <c r="DY344" i="4"/>
  <c r="DX347" i="4"/>
  <c r="DX352" i="4" s="1"/>
  <c r="DX353" i="4" s="1"/>
  <c r="DY347" i="4"/>
  <c r="DY352" i="4" s="1"/>
  <c r="DY353" i="4" s="1"/>
  <c r="DX377" i="4"/>
  <c r="DY377" i="4"/>
  <c r="FR377" i="4"/>
  <c r="R148" i="5" l="1"/>
  <c r="R257" i="5" s="1"/>
  <c r="FR344" i="4"/>
  <c r="FR347" i="4" l="1"/>
  <c r="FR352" i="4" s="1"/>
  <c r="FR353" i="4" s="1"/>
  <c r="R151" i="5"/>
  <c r="R153" i="5" l="1"/>
  <c r="R150" i="5"/>
  <c r="R156" i="5" l="1"/>
  <c r="R256" i="5"/>
  <c r="FW7" i="4" l="1"/>
  <c r="FX7" i="4"/>
  <c r="FW9" i="4"/>
  <c r="FW11" i="4"/>
  <c r="FW14" i="4"/>
  <c r="FW22" i="4"/>
  <c r="FW25" i="4"/>
  <c r="FX30" i="4"/>
  <c r="GH30" i="4"/>
  <c r="FX32" i="4"/>
  <c r="GH32" i="4"/>
  <c r="FW33" i="4"/>
  <c r="FX33" i="4"/>
  <c r="GH33" i="4"/>
  <c r="FX38" i="4"/>
  <c r="GH38" i="4"/>
  <c r="FX39" i="4"/>
  <c r="FX43" i="4"/>
  <c r="GH43" i="4"/>
  <c r="FW44" i="4"/>
  <c r="FX44" i="4"/>
  <c r="GH44" i="4"/>
  <c r="FX57" i="4"/>
  <c r="GH57" i="4"/>
  <c r="FX58" i="4"/>
  <c r="FZ58" i="4"/>
  <c r="GH58" i="4"/>
  <c r="GI58" i="4"/>
  <c r="GH61" i="4"/>
  <c r="GH62" i="4"/>
  <c r="FX63" i="4"/>
  <c r="GH63" i="4"/>
  <c r="FW83" i="4"/>
  <c r="FX83" i="4"/>
  <c r="FW84" i="4"/>
  <c r="FX84" i="4"/>
  <c r="FW85" i="4"/>
  <c r="FX85" i="4"/>
  <c r="FW86" i="4"/>
  <c r="FX86" i="4"/>
  <c r="FW89" i="4"/>
  <c r="FW90" i="4"/>
  <c r="FX90" i="4"/>
  <c r="FW91" i="4"/>
  <c r="FX91" i="4"/>
  <c r="FW117" i="4"/>
  <c r="FX117" i="4"/>
  <c r="FW163" i="4"/>
  <c r="FW170" i="4"/>
  <c r="FW173" i="4"/>
  <c r="FW179" i="4"/>
  <c r="FX187" i="4"/>
  <c r="FX193" i="4"/>
  <c r="FX198" i="4"/>
  <c r="FW226" i="4"/>
  <c r="FX226" i="4"/>
  <c r="FW228" i="4"/>
  <c r="FX228" i="4"/>
  <c r="FW233" i="4"/>
  <c r="FX233" i="4"/>
  <c r="FW236" i="4"/>
  <c r="FX236" i="4"/>
  <c r="FW238" i="4"/>
  <c r="FW241" i="4"/>
  <c r="FW244" i="4"/>
  <c r="FX244" i="4"/>
  <c r="FW246" i="4"/>
  <c r="FX246" i="4"/>
  <c r="FW264" i="4"/>
  <c r="FX264" i="4"/>
  <c r="FW266" i="4"/>
  <c r="FX266" i="4"/>
  <c r="FW268" i="4"/>
  <c r="FX268" i="4"/>
  <c r="FW270" i="4"/>
  <c r="FX270" i="4"/>
  <c r="FW272" i="4"/>
  <c r="FX272" i="4"/>
  <c r="FW273" i="4"/>
  <c r="FX273" i="4"/>
  <c r="FW283" i="4"/>
  <c r="FW284" i="4"/>
  <c r="FW285" i="4"/>
  <c r="FW293" i="4"/>
  <c r="FW294" i="4"/>
  <c r="FW295" i="4"/>
  <c r="FX306" i="4"/>
  <c r="FW308" i="4"/>
  <c r="FW313" i="4"/>
  <c r="FW316" i="4"/>
  <c r="FW318" i="4"/>
  <c r="FX318" i="4"/>
  <c r="FW319" i="4"/>
  <c r="FX319" i="4"/>
  <c r="FW320" i="4"/>
  <c r="FX320" i="4"/>
  <c r="FW323" i="4"/>
  <c r="FX323" i="4"/>
  <c r="FW325" i="4"/>
  <c r="FW334" i="4"/>
  <c r="FW347" i="4"/>
  <c r="FX347" i="4"/>
  <c r="FX351" i="4"/>
  <c r="FW352" i="4"/>
  <c r="FX352" i="4"/>
  <c r="FW353" i="4"/>
  <c r="FX353" i="4"/>
  <c r="FW357" i="4"/>
  <c r="FX357" i="4"/>
  <c r="FW362" i="4"/>
  <c r="FX366" i="4"/>
  <c r="FW368" i="4"/>
  <c r="FW371" i="4"/>
  <c r="FQ9" i="9"/>
  <c r="FQ10" i="9"/>
  <c r="FQ19" i="9"/>
  <c r="FR19" i="9"/>
  <c r="FQ20" i="9"/>
  <c r="FR20" i="9"/>
  <c r="FP26" i="9"/>
  <c r="FP27" i="9"/>
  <c r="FQ32" i="9"/>
  <c r="FQ36" i="9"/>
  <c r="FQ37" i="9"/>
  <c r="FQ38" i="9"/>
  <c r="FR38" i="9"/>
  <c r="FA39" i="9"/>
  <c r="FQ39" i="9"/>
  <c r="BH47" i="9"/>
  <c r="BI47" i="9"/>
  <c r="BK47" i="9"/>
  <c r="FA47" i="9"/>
  <c r="FQ49" i="9"/>
  <c r="FR49" i="9"/>
  <c r="BI50" i="9"/>
  <c r="BK50" i="9"/>
  <c r="FA50" i="9"/>
  <c r="FQ50" i="9"/>
  <c r="FR50" i="9"/>
  <c r="FQ51" i="9"/>
  <c r="FR51" i="9"/>
  <c r="FQ52" i="9"/>
  <c r="FR52" i="9"/>
  <c r="BK55" i="9"/>
  <c r="FA55" i="9"/>
  <c r="FA56" i="9"/>
  <c r="BH60" i="9"/>
  <c r="BI60" i="9"/>
  <c r="BK60" i="9"/>
  <c r="FA60" i="9"/>
  <c r="BK62" i="9"/>
  <c r="FA62" i="9"/>
  <c r="FQ62" i="9"/>
  <c r="FR62" i="9"/>
  <c r="BI63" i="9"/>
  <c r="BK63" i="9"/>
  <c r="FA63" i="9"/>
  <c r="FQ63" i="9"/>
  <c r="FR63" i="9"/>
  <c r="BK64" i="9"/>
  <c r="FA64" i="9"/>
  <c r="FQ64" i="9"/>
  <c r="FR64" i="9"/>
  <c r="BK65" i="9"/>
  <c r="FA65" i="9"/>
  <c r="FQ65" i="9"/>
  <c r="FR65" i="9"/>
  <c r="FP71" i="9"/>
  <c r="FQ71" i="9"/>
  <c r="FR71" i="9"/>
  <c r="FP76" i="9"/>
  <c r="FQ76" i="9"/>
  <c r="FR76" i="9"/>
  <c r="FP77" i="9"/>
  <c r="FQ77" i="9"/>
  <c r="FR77" i="9"/>
  <c r="FP78" i="9"/>
  <c r="FQ78" i="9"/>
  <c r="FR78" i="9"/>
  <c r="FP79" i="9"/>
  <c r="FQ79" i="9"/>
  <c r="FR79" i="9"/>
  <c r="FP82" i="9"/>
  <c r="FQ82" i="9"/>
  <c r="FR82" i="9"/>
  <c r="BK87" i="9"/>
  <c r="FA87" i="9"/>
  <c r="BI90" i="9"/>
  <c r="BK90" i="9"/>
  <c r="BM90" i="9"/>
  <c r="FA90"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Simpson, Lee (Research)</author>
    <author>Lee Simpson</author>
    <author>Scicluna, Amelia (Research)</author>
    <author>van Putten, Nigel (Research)</author>
  </authors>
  <commentList>
    <comment ref="GH8" authorId="0" shapeId="0" xr:uid="{D550C27D-B3CC-4A69-9891-5BAA237E4C7C}">
      <text>
        <r>
          <rPr>
            <b/>
            <sz val="9"/>
            <color indexed="81"/>
            <rFont val="Tahoma"/>
            <family val="2"/>
          </rPr>
          <t>Simpson, Lee (Research):</t>
        </r>
        <r>
          <rPr>
            <sz val="9"/>
            <color indexed="81"/>
            <rFont val="Tahoma"/>
            <family val="2"/>
          </rPr>
          <t xml:space="preserve">
Sales CAGR 2025-30e</t>
        </r>
      </text>
    </comment>
    <comment ref="DK9" authorId="1" shapeId="0" xr:uid="{53F818D3-7345-4891-AE27-25D10CB4F1D5}">
      <text>
        <r>
          <rPr>
            <b/>
            <sz val="9"/>
            <color indexed="81"/>
            <rFont val="Tahoma"/>
            <family val="2"/>
          </rPr>
          <t>Lee Simpson:</t>
        </r>
        <r>
          <rPr>
            <sz val="9"/>
            <color indexed="81"/>
            <rFont val="Tahoma"/>
            <family val="2"/>
          </rPr>
          <t xml:space="preserve">
Guide: 5.1-5.4bn</t>
        </r>
      </text>
    </comment>
    <comment ref="DL9" authorId="0" shapeId="0" xr:uid="{1B5F256C-7ACB-4AF5-8087-161E195A6BBF}">
      <text>
        <r>
          <rPr>
            <b/>
            <sz val="9"/>
            <color indexed="81"/>
            <rFont val="Tahoma"/>
            <family val="2"/>
          </rPr>
          <t>Simpson, Lee (Research):</t>
        </r>
        <r>
          <rPr>
            <sz val="9"/>
            <color indexed="81"/>
            <rFont val="Tahoma"/>
            <family val="2"/>
          </rPr>
          <t xml:space="preserve">
Guide: 6.1 - 6.6bn</t>
        </r>
      </text>
    </comment>
    <comment ref="DM9" authorId="1" shapeId="0" xr:uid="{16C22A03-5E78-4DFC-A4F3-2209ABDA8CFC}">
      <text>
        <r>
          <rPr>
            <b/>
            <sz val="9"/>
            <color indexed="81"/>
            <rFont val="Tahoma"/>
            <family val="2"/>
          </rPr>
          <t>Lee Simpson:</t>
        </r>
        <r>
          <rPr>
            <sz val="9"/>
            <color indexed="81"/>
            <rFont val="Tahoma"/>
            <family val="2"/>
          </rPr>
          <t xml:space="preserve">
Guide: 
(Nov'22): 21.2bn at mid-point of Q4 guide
(Jul'22): Supply chain constraints drive more fast shipments; expected 2022 sales growth around 10%</t>
        </r>
      </text>
    </comment>
    <comment ref="DO9" authorId="0" shapeId="0" xr:uid="{6A4060C1-D017-4ABF-8405-6031CE58CCF0}">
      <text>
        <r>
          <rPr>
            <b/>
            <sz val="9"/>
            <color indexed="81"/>
            <rFont val="Tahoma"/>
            <family val="2"/>
          </rPr>
          <t>Simpson, Lee (Research):</t>
        </r>
        <r>
          <rPr>
            <sz val="9"/>
            <color indexed="81"/>
            <rFont val="Tahoma"/>
            <family val="2"/>
          </rPr>
          <t xml:space="preserve">
guide: EUR 6.1-6.5bn</t>
        </r>
      </text>
    </comment>
    <comment ref="DP9" authorId="1" shapeId="0" xr:uid="{5C4D52BB-0898-4BD8-A3B8-FA7024C4648E}">
      <text>
        <r>
          <rPr>
            <b/>
            <sz val="9"/>
            <color indexed="81"/>
            <rFont val="Tahoma"/>
            <family val="2"/>
          </rPr>
          <t>Lee Simpson:</t>
        </r>
        <r>
          <rPr>
            <sz val="9"/>
            <color indexed="81"/>
            <rFont val="Tahoma"/>
            <family val="2"/>
          </rPr>
          <t xml:space="preserve">
guide: €6.5-7.0bn sales </t>
        </r>
      </text>
    </comment>
    <comment ref="DQ9" authorId="1" shapeId="0" xr:uid="{E5AE75FE-FD9A-411E-8980-78672295F759}">
      <text>
        <r>
          <rPr>
            <b/>
            <sz val="9"/>
            <color indexed="81"/>
            <rFont val="Tahoma"/>
            <family val="2"/>
          </rPr>
          <t>Lee Simpson:</t>
        </r>
        <r>
          <rPr>
            <sz val="9"/>
            <color indexed="81"/>
            <rFont val="Tahoma"/>
            <family val="2"/>
          </rPr>
          <t xml:space="preserve">
Jul23: • 3Q23: sales €6.5-7.0bn (incl. IBM of c. €1.4bn); GM% c.50%, R&amp;D c.1bn, SG&amp;A c.€285m</t>
        </r>
      </text>
    </comment>
    <comment ref="DR9" authorId="1" shapeId="0" xr:uid="{19EA6834-C920-4B7F-BE3F-81AB048FC4FC}">
      <text>
        <r>
          <rPr>
            <b/>
            <sz val="9"/>
            <color indexed="81"/>
            <rFont val="Tahoma"/>
            <family val="2"/>
          </rPr>
          <t>Lee Simpson:</t>
        </r>
        <r>
          <rPr>
            <sz val="9"/>
            <color indexed="81"/>
            <rFont val="Tahoma"/>
            <family val="2"/>
          </rPr>
          <t xml:space="preserve">
Oct23: guide
Net sales between €6.7 billion and €7.1 billion, including
◦ Installed Base Management1 sales of around €1.4 billion</t>
        </r>
      </text>
    </comment>
    <comment ref="DS9" authorId="1" shapeId="0" xr:uid="{6F8A6CF3-B66C-4446-A700-2E8E053343CD}">
      <text>
        <r>
          <rPr>
            <b/>
            <sz val="9"/>
            <color indexed="81"/>
            <rFont val="Tahoma"/>
            <family val="2"/>
          </rPr>
          <t>Lee Simpson:</t>
        </r>
        <r>
          <rPr>
            <sz val="9"/>
            <color indexed="81"/>
            <rFont val="Tahoma"/>
            <family val="2"/>
          </rPr>
          <t xml:space="preserve">
Jul23: guide - net sales up c.30% yy
Oct23: reit 30% yy</t>
        </r>
      </text>
    </comment>
    <comment ref="DU9" authorId="0" shapeId="0" xr:uid="{4C0738D1-FAF4-4EB0-BFAD-3606E46D138A}">
      <text>
        <r>
          <rPr>
            <b/>
            <sz val="9"/>
            <color indexed="81"/>
            <rFont val="Tahoma"/>
            <family val="2"/>
          </rPr>
          <t>Simpson, Lee (Research):</t>
        </r>
        <r>
          <rPr>
            <sz val="9"/>
            <color indexed="81"/>
            <rFont val="Tahoma"/>
            <family val="2"/>
          </rPr>
          <t xml:space="preserve">
guide: EUR 6.1-6.5bn</t>
        </r>
      </text>
    </comment>
    <comment ref="DV9" authorId="1" shapeId="0" xr:uid="{CA55EECB-594B-4FD0-8F40-6840FF16356C}">
      <text>
        <r>
          <rPr>
            <b/>
            <sz val="9"/>
            <color indexed="81"/>
            <rFont val="Tahoma"/>
            <family val="2"/>
          </rPr>
          <t>Lee Simpson:</t>
        </r>
        <r>
          <rPr>
            <sz val="9"/>
            <color indexed="81"/>
            <rFont val="Tahoma"/>
            <family val="2"/>
          </rPr>
          <t xml:space="preserve">
guide: €6.5-7.0bn sales </t>
        </r>
      </text>
    </comment>
    <comment ref="DW9" authorId="1" shapeId="0" xr:uid="{BE41912D-FDE5-4AEF-8E20-2DCAAC6E1A97}">
      <text>
        <r>
          <rPr>
            <b/>
            <sz val="9"/>
            <color indexed="81"/>
            <rFont val="Tahoma"/>
            <family val="2"/>
          </rPr>
          <t>Lee Simpson:</t>
        </r>
        <r>
          <rPr>
            <sz val="9"/>
            <color indexed="81"/>
            <rFont val="Tahoma"/>
            <family val="2"/>
          </rPr>
          <t xml:space="preserve">
Jul23: • 3Q23: sales €6.5-7.0bn (incl. IBM of c. €1.4bn); GM% c.50%, R&amp;D c.1bn, SG&amp;A c.€285m</t>
        </r>
      </text>
    </comment>
    <comment ref="DX9" authorId="1" shapeId="0" xr:uid="{A08831B8-CB36-4764-832A-552E8FE544AC}">
      <text>
        <r>
          <rPr>
            <b/>
            <sz val="9"/>
            <color indexed="81"/>
            <rFont val="Tahoma"/>
            <family val="2"/>
          </rPr>
          <t>Lee Simpson:</t>
        </r>
        <r>
          <rPr>
            <sz val="9"/>
            <color indexed="81"/>
            <rFont val="Tahoma"/>
            <family val="2"/>
          </rPr>
          <t xml:space="preserve">
Jul23: • 3Q23: sales €6.5-7.0bn (incl. IBM of c. €1.4bn); GM% c.50%, R&amp;D c.1bn, SG&amp;A c.€285m</t>
        </r>
      </text>
    </comment>
    <comment ref="DY9" authorId="1" shapeId="0" xr:uid="{87287892-8D15-4CA2-BCA6-7672A34DE9F5}">
      <text>
        <r>
          <rPr>
            <b/>
            <sz val="9"/>
            <color indexed="81"/>
            <rFont val="Tahoma"/>
            <family val="2"/>
          </rPr>
          <t>Lee Simpson:</t>
        </r>
        <r>
          <rPr>
            <sz val="9"/>
            <color indexed="81"/>
            <rFont val="Tahoma"/>
            <family val="2"/>
          </rPr>
          <t xml:space="preserve">
Jan24: Similar net sales with a slightly lower gross margin, relative to 2023
Apr24: reit
Oct24: c.28bn</t>
        </r>
      </text>
    </comment>
    <comment ref="EA9" authorId="0" shapeId="0" xr:uid="{CA166C04-E52F-46AA-BBAE-82EEEC768B63}">
      <text>
        <r>
          <rPr>
            <b/>
            <sz val="9"/>
            <color indexed="81"/>
            <rFont val="Tahoma"/>
            <family val="2"/>
          </rPr>
          <t>Simpson, Lee (Research):</t>
        </r>
        <r>
          <rPr>
            <sz val="9"/>
            <color indexed="81"/>
            <rFont val="Tahoma"/>
            <family val="2"/>
          </rPr>
          <t xml:space="preserve">
guide: EUR 6.1-6.5bn
1Q25 print. Net sales €7.7bn; IBM at €2.0bn (higher than guide). GM better than expected due to (i) ASP higher for EUV (more 3800s) and good configuration of tools, and (ii) hit customer specific targets too (upgrades in the field). Saw €2.4bn net income and OB €3.9bn (cons €4.9bn) with just €1.2bn for EUV (implies €2.7bn DUV and a decent China order book).</t>
        </r>
      </text>
    </comment>
    <comment ref="EC9" authorId="0" shapeId="0" xr:uid="{1629A49B-D051-4C52-B7CA-DFA5CF390E3B}">
      <text>
        <r>
          <rPr>
            <b/>
            <sz val="9"/>
            <color indexed="81"/>
            <rFont val="Tahoma"/>
            <family val="2"/>
          </rPr>
          <t>Simpson, Lee (Research):</t>
        </r>
        <r>
          <rPr>
            <sz val="9"/>
            <color indexed="81"/>
            <rFont val="Tahoma"/>
            <family val="2"/>
          </rPr>
          <t xml:space="preserve">
jul25: guide 7.4-7.9 (incls 2.1bn IBM); less upgrades seen. 
Apr25: They also see less upgrade business in H2 vs H1 given uncertainty on tariffs.</t>
        </r>
      </text>
    </comment>
    <comment ref="ED9" authorId="2" shapeId="0" xr:uid="{66985411-D286-4DB4-86D3-AC77063A5BFF}">
      <text>
        <r>
          <rPr>
            <b/>
            <sz val="9"/>
            <color indexed="81"/>
            <rFont val="Tahoma"/>
            <family val="2"/>
          </rPr>
          <t>Scicluna, Amelia (Research):</t>
        </r>
        <r>
          <rPr>
            <sz val="9"/>
            <color indexed="81"/>
            <rFont val="Tahoma"/>
            <family val="2"/>
          </rPr>
          <t xml:space="preserve">
guide 9.2-9.8bn</t>
        </r>
      </text>
    </comment>
    <comment ref="EE9" authorId="1" shapeId="0" xr:uid="{32A067A9-9281-46B6-96A4-EF4B716BE55E}">
      <text>
        <r>
          <rPr>
            <b/>
            <sz val="9"/>
            <color indexed="81"/>
            <rFont val="Tahoma"/>
            <family val="2"/>
          </rPr>
          <t>Lee Simpson:</t>
        </r>
        <r>
          <rPr>
            <sz val="9"/>
            <color indexed="81"/>
            <rFont val="Tahoma"/>
            <family val="2"/>
          </rPr>
          <t xml:space="preserve">
Oct25: unch
Jul25: Tightened to up c.15% yy (ie midpoint of prior guide or 32.5bn)
Apr25: guide €30-35bn (unch).
FY25 guide unchanged. Sees AI as still the main demand driver but the company talks to a similar overall dynamic for the year as before and have thus left the FY25 guide unchanged. Sees logic increasing this year (esp due to N2 ramp) and expects memory to remain strong (at same level as last year). The Installed base Management (IBM) business is growing given a stronger EUV vs DUV mix, which helps IBM in 2025.
Jan25: Guide €30-35bn
CMD 2022: €30-40bn sales - this includes: 5 High NA; 65-80 EUV low NA; 75-105 immersion; 180-385 dry</t>
        </r>
      </text>
    </comment>
    <comment ref="EG9" authorId="2" shapeId="0" xr:uid="{774BD7D1-CD7C-4653-A21E-FC971453A543}">
      <text>
        <r>
          <rPr>
            <b/>
            <sz val="9"/>
            <color indexed="81"/>
            <rFont val="Tahoma"/>
            <family val="2"/>
          </rPr>
          <t>Scicluna, Amelia (Research):</t>
        </r>
        <r>
          <rPr>
            <sz val="9"/>
            <color indexed="81"/>
            <rFont val="Tahoma"/>
            <family val="2"/>
          </rPr>
          <t xml:space="preserve">
Jan 26: €8.2 to 8.9bn </t>
        </r>
      </text>
    </comment>
    <comment ref="EH9" authorId="2" shapeId="0" xr:uid="{003C3CA1-A22F-4A83-AE8C-34095B5FCAC3}">
      <text>
        <r>
          <rPr>
            <b/>
            <sz val="9"/>
            <color indexed="81"/>
            <rFont val="Tahoma"/>
            <charset val="1"/>
          </rPr>
          <t>Scicluna, Amelia (Research):</t>
        </r>
        <r>
          <rPr>
            <sz val="9"/>
            <color indexed="81"/>
            <rFont val="Tahoma"/>
            <charset val="1"/>
          </rPr>
          <t xml:space="preserve">
Apr 26: 8.4bn-8.9bn</t>
        </r>
      </text>
    </comment>
    <comment ref="EK9" authorId="2" shapeId="0" xr:uid="{97899F13-3C38-455A-B5A1-656C7326D8C4}">
      <text>
        <r>
          <rPr>
            <b/>
            <sz val="9"/>
            <color indexed="81"/>
            <rFont val="Tahoma"/>
            <family val="2"/>
          </rPr>
          <t>Scicluna, Amelia (Research):</t>
        </r>
        <r>
          <rPr>
            <sz val="9"/>
            <color indexed="81"/>
            <rFont val="Tahoma"/>
            <family val="2"/>
          </rPr>
          <t xml:space="preserve">
Apr 26: 36-40bn
Jan 26: 34-39bn 
Oct 25 'Don’t expect 2026 total net sales to be below 2025'</t>
        </r>
      </text>
    </comment>
    <comment ref="GA9" authorId="0" shapeId="0" xr:uid="{1AC8D1E3-AE14-47EE-B6E8-06C169F6DCCA}">
      <text>
        <r>
          <rPr>
            <b/>
            <sz val="9"/>
            <color indexed="81"/>
            <rFont val="Tahoma"/>
            <family val="2"/>
          </rPr>
          <t>Simpson, Lee (Research):</t>
        </r>
        <r>
          <rPr>
            <sz val="9"/>
            <color indexed="81"/>
            <rFont val="Tahoma"/>
            <family val="2"/>
          </rPr>
          <t xml:space="preserve">
implied 5-year CAGR</t>
        </r>
      </text>
    </comment>
    <comment ref="DK14" authorId="1" shapeId="0" xr:uid="{43ADD2EA-79A5-40C3-A69E-18C127CB502D}">
      <text>
        <r>
          <rPr>
            <b/>
            <sz val="9"/>
            <color indexed="81"/>
            <rFont val="Tahoma"/>
            <family val="2"/>
          </rPr>
          <t>Lee Simpson:</t>
        </r>
        <r>
          <rPr>
            <sz val="9"/>
            <color indexed="81"/>
            <rFont val="Tahoma"/>
            <family val="2"/>
          </rPr>
          <t xml:space="preserve">
Guide: 49-50%</t>
        </r>
      </text>
    </comment>
    <comment ref="DL14" authorId="0" shapeId="0" xr:uid="{9B821BE2-FB33-413D-9C4B-6C6FB49A5B5F}">
      <text>
        <r>
          <rPr>
            <b/>
            <sz val="9"/>
            <color indexed="81"/>
            <rFont val="Tahoma"/>
            <family val="2"/>
          </rPr>
          <t>Simpson, Lee (Research):</t>
        </r>
        <r>
          <rPr>
            <sz val="9"/>
            <color indexed="81"/>
            <rFont val="Tahoma"/>
            <family val="2"/>
          </rPr>
          <t xml:space="preserve">
Guide: 49%</t>
        </r>
      </text>
    </comment>
    <comment ref="DM14" authorId="1" shapeId="0" xr:uid="{BEC69B26-F3D8-421E-954D-957B47FB9215}">
      <text>
        <r>
          <rPr>
            <b/>
            <sz val="9"/>
            <color indexed="81"/>
            <rFont val="Tahoma"/>
            <family val="2"/>
          </rPr>
          <t>Lee Simpson:</t>
        </r>
        <r>
          <rPr>
            <sz val="9"/>
            <color indexed="81"/>
            <rFont val="Tahoma"/>
            <family val="2"/>
          </rPr>
          <t xml:space="preserve">
Guide:
(Nov'22): c.50% on 21.2bn sales
(Jul'22): 49-50%</t>
        </r>
      </text>
    </comment>
    <comment ref="DO14" authorId="0" shapeId="0" xr:uid="{6E75A4F9-0E39-4D60-8B1E-879378AA8FDC}">
      <text>
        <r>
          <rPr>
            <b/>
            <sz val="9"/>
            <color indexed="81"/>
            <rFont val="Tahoma"/>
            <family val="2"/>
          </rPr>
          <t>Simpson, Lee (Research):</t>
        </r>
        <r>
          <rPr>
            <sz val="9"/>
            <color indexed="81"/>
            <rFont val="Tahoma"/>
            <family val="2"/>
          </rPr>
          <t xml:space="preserve">
guide: 49-50%</t>
        </r>
      </text>
    </comment>
    <comment ref="DP14" authorId="1" shapeId="0" xr:uid="{E91E15F4-7830-457F-B68E-E153F148010A}">
      <text>
        <r>
          <rPr>
            <b/>
            <sz val="9"/>
            <color indexed="81"/>
            <rFont val="Tahoma"/>
            <family val="2"/>
          </rPr>
          <t>Lee Simpson:</t>
        </r>
        <r>
          <rPr>
            <sz val="9"/>
            <color indexed="81"/>
            <rFont val="Tahoma"/>
            <family val="2"/>
          </rPr>
          <t xml:space="preserve">
guide: 50-51%</t>
        </r>
      </text>
    </comment>
    <comment ref="DQ14" authorId="1" shapeId="0" xr:uid="{389BC21C-7788-49FA-AB4B-BBE75B60EC88}">
      <text>
        <r>
          <rPr>
            <b/>
            <sz val="9"/>
            <color indexed="81"/>
            <rFont val="Tahoma"/>
            <family val="2"/>
          </rPr>
          <t>Lee Simpson:</t>
        </r>
        <r>
          <rPr>
            <sz val="9"/>
            <color indexed="81"/>
            <rFont val="Tahoma"/>
            <family val="2"/>
          </rPr>
          <t xml:space="preserve">
Jul23: Guide c.50%
Oct23: did better on one-off cost benefits and mix effect of immersion in sales</t>
        </r>
      </text>
    </comment>
    <comment ref="DR14" authorId="1" shapeId="0" xr:uid="{43BA7989-99D7-4693-B6DD-84783DB3B76F}">
      <text>
        <r>
          <rPr>
            <b/>
            <sz val="9"/>
            <color indexed="81"/>
            <rFont val="Tahoma"/>
            <family val="2"/>
          </rPr>
          <t>Lee Simpson:</t>
        </r>
        <r>
          <rPr>
            <sz val="9"/>
            <color indexed="81"/>
            <rFont val="Tahoma"/>
            <family val="2"/>
          </rPr>
          <t xml:space="preserve">
guide 50-51%</t>
        </r>
      </text>
    </comment>
    <comment ref="DS14" authorId="1" shapeId="0" xr:uid="{6CB28C67-EFCB-4706-9E7D-9478856F1959}">
      <text>
        <r>
          <rPr>
            <b/>
            <sz val="9"/>
            <color indexed="81"/>
            <rFont val="Tahoma"/>
            <family val="2"/>
          </rPr>
          <t>Lee Simpson:</t>
        </r>
        <r>
          <rPr>
            <sz val="9"/>
            <color indexed="81"/>
            <rFont val="Tahoma"/>
            <family val="2"/>
          </rPr>
          <t xml:space="preserve">
Jul23: guide - "slight improvement" in GM (FY22: 50.5%)
Oct23: GM% of c.51%</t>
        </r>
      </text>
    </comment>
    <comment ref="DU14" authorId="0" shapeId="0" xr:uid="{C8C378B6-47F4-4BA4-9938-C92F9370828B}">
      <text>
        <r>
          <rPr>
            <b/>
            <sz val="9"/>
            <color indexed="81"/>
            <rFont val="Tahoma"/>
            <family val="2"/>
          </rPr>
          <t>Simpson, Lee (Research):</t>
        </r>
        <r>
          <rPr>
            <sz val="9"/>
            <color indexed="81"/>
            <rFont val="Tahoma"/>
            <family val="2"/>
          </rPr>
          <t xml:space="preserve">
guide: 49-50%</t>
        </r>
      </text>
    </comment>
    <comment ref="DV14" authorId="1" shapeId="0" xr:uid="{3213B83B-ACDA-46FB-BB58-55DDF0A34100}">
      <text>
        <r>
          <rPr>
            <b/>
            <sz val="9"/>
            <color indexed="81"/>
            <rFont val="Tahoma"/>
            <family val="2"/>
          </rPr>
          <t>Lee Simpson:</t>
        </r>
        <r>
          <rPr>
            <sz val="9"/>
            <color indexed="81"/>
            <rFont val="Tahoma"/>
            <family val="2"/>
          </rPr>
          <t xml:space="preserve">
guide: 50-51%</t>
        </r>
      </text>
    </comment>
    <comment ref="DW14" authorId="1" shapeId="0" xr:uid="{99DD029F-F036-4A61-895F-DEBD86132914}">
      <text>
        <r>
          <rPr>
            <b/>
            <sz val="9"/>
            <color indexed="81"/>
            <rFont val="Tahoma"/>
            <family val="2"/>
          </rPr>
          <t>Lee Simpson:</t>
        </r>
        <r>
          <rPr>
            <sz val="9"/>
            <color indexed="81"/>
            <rFont val="Tahoma"/>
            <family val="2"/>
          </rPr>
          <t xml:space="preserve">
Jul23: Guide c.50%
Oct23: did better on one-off cost benefits and mix effect of immersion in sales</t>
        </r>
      </text>
    </comment>
    <comment ref="DX14" authorId="1" shapeId="0" xr:uid="{77BC0615-1335-4C01-826E-35DD4B1904C8}">
      <text>
        <r>
          <rPr>
            <b/>
            <sz val="9"/>
            <color indexed="81"/>
            <rFont val="Tahoma"/>
            <family val="2"/>
          </rPr>
          <t>Lee Simpson:</t>
        </r>
        <r>
          <rPr>
            <sz val="9"/>
            <color indexed="81"/>
            <rFont val="Tahoma"/>
            <family val="2"/>
          </rPr>
          <t xml:space="preserve">
Jul23: Guide c.50%
Oct23: did better on one-off cost benefits and mix effect of immersion in sales</t>
        </r>
      </text>
    </comment>
    <comment ref="DY14" authorId="1" shapeId="0" xr:uid="{F9145961-EC60-4C3A-B0E9-A84BFC84A66E}">
      <text>
        <r>
          <rPr>
            <b/>
            <sz val="9"/>
            <color indexed="81"/>
            <rFont val="Tahoma"/>
            <family val="2"/>
          </rPr>
          <t>Lee Simpson:</t>
        </r>
        <r>
          <rPr>
            <sz val="9"/>
            <color indexed="81"/>
            <rFont val="Tahoma"/>
            <family val="2"/>
          </rPr>
          <t xml:space="preserve">
Jan24: slightly lower yy
Apr24: reit
Oct 24: c.50.8% (flat yy)</t>
        </r>
      </text>
    </comment>
    <comment ref="EA14" authorId="0" shapeId="0" xr:uid="{E9367A55-A27A-4F2E-853D-BE7861F35502}">
      <text>
        <r>
          <rPr>
            <b/>
            <sz val="9"/>
            <color indexed="81"/>
            <rFont val="Tahoma"/>
            <family val="2"/>
          </rPr>
          <t>Simpson, Lee (Research):</t>
        </r>
        <r>
          <rPr>
            <sz val="9"/>
            <color indexed="81"/>
            <rFont val="Tahoma"/>
            <family val="2"/>
          </rPr>
          <t xml:space="preserve">
guide: 49-50%</t>
        </r>
      </text>
    </comment>
    <comment ref="EB14" authorId="1" shapeId="0" xr:uid="{32BAB588-E7A6-4AF7-8A15-7C4B8EBFEAF2}">
      <text>
        <r>
          <rPr>
            <b/>
            <sz val="9"/>
            <color indexed="81"/>
            <rFont val="Tahoma"/>
            <family val="2"/>
          </rPr>
          <t>Lee Simpson:</t>
        </r>
        <r>
          <rPr>
            <sz val="9"/>
            <color indexed="81"/>
            <rFont val="Tahoma"/>
            <family val="2"/>
          </rPr>
          <t xml:space="preserve">
guide: 50-51%</t>
        </r>
      </text>
    </comment>
    <comment ref="EC14" authorId="3" shapeId="0" xr:uid="{72E58CDF-C553-4BA1-97AB-B53648011097}">
      <text>
        <r>
          <rPr>
            <b/>
            <sz val="9"/>
            <color indexed="81"/>
            <rFont val="Tahoma"/>
            <family val="2"/>
          </rPr>
          <t>van Putten, Nigel (Research):</t>
        </r>
        <r>
          <rPr>
            <sz val="9"/>
            <color indexed="81"/>
            <rFont val="Tahoma"/>
            <family val="2"/>
          </rPr>
          <t xml:space="preserve">
guide: 50-52%</t>
        </r>
      </text>
    </comment>
    <comment ref="ED14" authorId="0" shapeId="0" xr:uid="{7E2FEF97-5BD1-4C67-9E83-75330D8C7516}">
      <text>
        <r>
          <rPr>
            <b/>
            <sz val="9"/>
            <color indexed="81"/>
            <rFont val="Tahoma"/>
            <family val="2"/>
          </rPr>
          <t>Simpson, Lee (Research):</t>
        </r>
        <r>
          <rPr>
            <sz val="9"/>
            <color indexed="81"/>
            <rFont val="Tahoma"/>
            <family val="2"/>
          </rPr>
          <t xml:space="preserve">
October 2025: guide 51-53%
 (Apr25): H2e GM% lower – on lower upgrade revenues, HNA and tariffing impacts in H2</t>
        </r>
      </text>
    </comment>
    <comment ref="EE14" authorId="1" shapeId="0" xr:uid="{2FCB502A-8B6F-4EA3-A30E-B3B5DBEA3234}">
      <text>
        <r>
          <rPr>
            <b/>
            <sz val="9"/>
            <color indexed="81"/>
            <rFont val="Tahoma"/>
            <family val="2"/>
          </rPr>
          <t>Lee Simpson:</t>
        </r>
        <r>
          <rPr>
            <sz val="9"/>
            <color indexed="81"/>
            <rFont val="Tahoma"/>
            <family val="2"/>
          </rPr>
          <t xml:space="preserve">
Oct 25: guide for Q4 infers just over 52% for FY
Jul25: 50-52% (lowered)
Apr25: 51-53% (unch)
Jan'25: 51-53% (unch)
Oct24: 51-53% (cut)
CMD 2022: 54-56%
</t>
        </r>
      </text>
    </comment>
    <comment ref="EG14" authorId="2" shapeId="0" xr:uid="{853179FE-EC92-4E44-A93D-09CD8FCE63D5}">
      <text>
        <r>
          <rPr>
            <b/>
            <sz val="9"/>
            <color indexed="81"/>
            <rFont val="Tahoma"/>
            <family val="2"/>
          </rPr>
          <t>Scicluna, Amelia (Research):</t>
        </r>
        <r>
          <rPr>
            <sz val="9"/>
            <color indexed="81"/>
            <rFont val="Tahoma"/>
            <family val="2"/>
          </rPr>
          <t xml:space="preserve">
Jan 26: 51-53%</t>
        </r>
      </text>
    </comment>
    <comment ref="EH14" authorId="2" shapeId="0" xr:uid="{F4F4C0E9-9E06-435E-9E7A-FD6758A74593}">
      <text>
        <r>
          <rPr>
            <b/>
            <sz val="9"/>
            <color indexed="81"/>
            <rFont val="Tahoma"/>
            <family val="2"/>
          </rPr>
          <t>Scicluna, Amelia (Research):</t>
        </r>
        <r>
          <rPr>
            <sz val="9"/>
            <color indexed="81"/>
            <rFont val="Tahoma"/>
            <family val="2"/>
          </rPr>
          <t xml:space="preserve">
Apr 26: 51%-52%</t>
        </r>
      </text>
    </comment>
    <comment ref="EK14" authorId="2" shapeId="0" xr:uid="{DA7BC784-68D0-4B66-AA28-B8488790502E}">
      <text>
        <r>
          <rPr>
            <b/>
            <sz val="9"/>
            <color indexed="81"/>
            <rFont val="Tahoma"/>
            <family val="2"/>
          </rPr>
          <t>Scicluna, Amelia (Research):</t>
        </r>
        <r>
          <rPr>
            <sz val="9"/>
            <color indexed="81"/>
            <rFont val="Tahoma"/>
            <family val="2"/>
          </rPr>
          <t xml:space="preserve">
Apr 26:51-53%
Jan 26: 51-53%</t>
        </r>
      </text>
    </comment>
    <comment ref="GH14" authorId="0" shapeId="0" xr:uid="{40B3F44F-643C-4A13-85FD-11F3D21BA0CA}">
      <text>
        <r>
          <rPr>
            <b/>
            <sz val="9"/>
            <color indexed="81"/>
            <rFont val="Tahoma"/>
            <family val="2"/>
          </rPr>
          <t>Simpson, Lee (Research):</t>
        </r>
        <r>
          <rPr>
            <sz val="9"/>
            <color indexed="81"/>
            <rFont val="Tahoma"/>
            <family val="2"/>
          </rPr>
          <t xml:space="preserve">
Give target high GM% on achievemnets from common platform initiatives</t>
        </r>
      </text>
    </comment>
    <comment ref="DK18" authorId="1" shapeId="0" xr:uid="{6DDF1066-076D-44B9-A827-EBE7E2AC650F}">
      <text>
        <r>
          <rPr>
            <b/>
            <sz val="9"/>
            <color indexed="81"/>
            <rFont val="Tahoma"/>
            <family val="2"/>
          </rPr>
          <t>Lee Simpson:</t>
        </r>
        <r>
          <rPr>
            <sz val="9"/>
            <color indexed="81"/>
            <rFont val="Tahoma"/>
            <family val="2"/>
          </rPr>
          <t xml:space="preserve">
Guide 235m</t>
        </r>
      </text>
    </comment>
    <comment ref="DL18" authorId="0" shapeId="0" xr:uid="{83FA1490-6504-413D-9641-01962098AB1C}">
      <text>
        <r>
          <rPr>
            <b/>
            <sz val="9"/>
            <color indexed="81"/>
            <rFont val="Tahoma"/>
            <family val="2"/>
          </rPr>
          <t>Simpson, Lee (Research):</t>
        </r>
        <r>
          <rPr>
            <sz val="9"/>
            <color indexed="81"/>
            <rFont val="Tahoma"/>
            <family val="2"/>
          </rPr>
          <t xml:space="preserve">
Guide: 265m</t>
        </r>
      </text>
    </comment>
    <comment ref="DO18" authorId="0" shapeId="0" xr:uid="{B8D0AA8B-392B-44B5-8B52-29EE93275CBB}">
      <text>
        <r>
          <rPr>
            <b/>
            <sz val="9"/>
            <color indexed="81"/>
            <rFont val="Tahoma"/>
            <family val="2"/>
          </rPr>
          <t>Simpson, Lee (Research):</t>
        </r>
        <r>
          <rPr>
            <sz val="9"/>
            <color indexed="81"/>
            <rFont val="Tahoma"/>
            <family val="2"/>
          </rPr>
          <t xml:space="preserve">
guide 285m</t>
        </r>
      </text>
    </comment>
    <comment ref="DP18" authorId="1" shapeId="0" xr:uid="{807C54C6-8FD7-4DC8-A065-B24C8B91BE20}">
      <text>
        <r>
          <rPr>
            <b/>
            <sz val="9"/>
            <color indexed="81"/>
            <rFont val="Tahoma"/>
            <family val="2"/>
          </rPr>
          <t>Lee Simpson:</t>
        </r>
        <r>
          <rPr>
            <sz val="9"/>
            <color indexed="81"/>
            <rFont val="Tahoma"/>
            <family val="2"/>
          </rPr>
          <t xml:space="preserve">
guide: 275m</t>
        </r>
      </text>
    </comment>
    <comment ref="DQ18" authorId="1" shapeId="0" xr:uid="{5C501D9B-F2FE-4484-94DF-E0F0FC7F3409}">
      <text>
        <r>
          <rPr>
            <b/>
            <sz val="9"/>
            <color indexed="81"/>
            <rFont val="Tahoma"/>
            <family val="2"/>
          </rPr>
          <t>Lee Simpson:</t>
        </r>
        <r>
          <rPr>
            <sz val="9"/>
            <color indexed="81"/>
            <rFont val="Tahoma"/>
            <family val="2"/>
          </rPr>
          <t xml:space="preserve">
SG&amp;A c.€285m</t>
        </r>
      </text>
    </comment>
    <comment ref="DR18" authorId="1" shapeId="0" xr:uid="{72B223FB-713A-40B8-B307-9896E9282934}">
      <text>
        <r>
          <rPr>
            <b/>
            <sz val="9"/>
            <color indexed="81"/>
            <rFont val="Tahoma"/>
            <family val="2"/>
          </rPr>
          <t>Lee Simpson:</t>
        </r>
        <r>
          <rPr>
            <sz val="9"/>
            <color indexed="81"/>
            <rFont val="Tahoma"/>
            <family val="2"/>
          </rPr>
          <t xml:space="preserve">
guide: 285m</t>
        </r>
      </text>
    </comment>
    <comment ref="DU18" authorId="0" shapeId="0" xr:uid="{1F94E119-E48B-40DC-9D31-AC0B13E271D1}">
      <text>
        <r>
          <rPr>
            <b/>
            <sz val="9"/>
            <color indexed="81"/>
            <rFont val="Tahoma"/>
            <family val="2"/>
          </rPr>
          <t>Simpson, Lee (Research):</t>
        </r>
        <r>
          <rPr>
            <sz val="9"/>
            <color indexed="81"/>
            <rFont val="Tahoma"/>
            <family val="2"/>
          </rPr>
          <t xml:space="preserve">
guide 285m</t>
        </r>
      </text>
    </comment>
    <comment ref="DV18" authorId="1" shapeId="0" xr:uid="{8D89D1BE-0E4A-486C-8AE9-CD926B031D3E}">
      <text>
        <r>
          <rPr>
            <b/>
            <sz val="9"/>
            <color indexed="81"/>
            <rFont val="Tahoma"/>
            <family val="2"/>
          </rPr>
          <t>Lee Simpson:</t>
        </r>
        <r>
          <rPr>
            <sz val="9"/>
            <color indexed="81"/>
            <rFont val="Tahoma"/>
            <family val="2"/>
          </rPr>
          <t xml:space="preserve">
guide: 275m</t>
        </r>
      </text>
    </comment>
    <comment ref="DW18" authorId="1" shapeId="0" xr:uid="{B9A6FA24-899E-4480-B3C1-DFE219FB53DB}">
      <text>
        <r>
          <rPr>
            <b/>
            <sz val="9"/>
            <color indexed="81"/>
            <rFont val="Tahoma"/>
            <family val="2"/>
          </rPr>
          <t>Lee Simpson:</t>
        </r>
        <r>
          <rPr>
            <sz val="9"/>
            <color indexed="81"/>
            <rFont val="Tahoma"/>
            <family val="2"/>
          </rPr>
          <t xml:space="preserve">
SG&amp;A c.€285m</t>
        </r>
      </text>
    </comment>
    <comment ref="DX18" authorId="1" shapeId="0" xr:uid="{9998E784-ABB1-4FF6-BCE1-7E0206CA25D0}">
      <text>
        <r>
          <rPr>
            <b/>
            <sz val="9"/>
            <color indexed="81"/>
            <rFont val="Tahoma"/>
            <family val="2"/>
          </rPr>
          <t>Lee Simpson:</t>
        </r>
        <r>
          <rPr>
            <sz val="9"/>
            <color indexed="81"/>
            <rFont val="Tahoma"/>
            <family val="2"/>
          </rPr>
          <t xml:space="preserve">
SG&amp;A c.€285m</t>
        </r>
      </text>
    </comment>
    <comment ref="EA18" authorId="0" shapeId="0" xr:uid="{3B571884-942B-4C95-A93E-F0B96E93C14B}">
      <text>
        <r>
          <rPr>
            <b/>
            <sz val="9"/>
            <color indexed="81"/>
            <rFont val="Tahoma"/>
            <family val="2"/>
          </rPr>
          <t>Simpson, Lee (Research):</t>
        </r>
        <r>
          <rPr>
            <sz val="9"/>
            <color indexed="81"/>
            <rFont val="Tahoma"/>
            <family val="2"/>
          </rPr>
          <t xml:space="preserve">
Guide c.€285m</t>
        </r>
      </text>
    </comment>
    <comment ref="EB18" authorId="1" shapeId="0" xr:uid="{76E5B2D3-C8B9-4FA1-B8D2-6466436ECE8C}">
      <text>
        <r>
          <rPr>
            <b/>
            <sz val="9"/>
            <color indexed="81"/>
            <rFont val="Tahoma"/>
            <family val="2"/>
          </rPr>
          <t>Lee Simpson:</t>
        </r>
        <r>
          <rPr>
            <sz val="9"/>
            <color indexed="81"/>
            <rFont val="Tahoma"/>
            <family val="2"/>
          </rPr>
          <t xml:space="preserve">
guide: 275m</t>
        </r>
      </text>
    </comment>
    <comment ref="EC18" authorId="0" shapeId="0" xr:uid="{B3670070-D194-4E5C-8370-C60342C456CD}">
      <text>
        <r>
          <rPr>
            <b/>
            <sz val="9"/>
            <color indexed="81"/>
            <rFont val="Tahoma"/>
            <family val="2"/>
          </rPr>
          <t>Simpson, Lee (Research):</t>
        </r>
        <r>
          <rPr>
            <sz val="9"/>
            <color indexed="81"/>
            <rFont val="Tahoma"/>
            <family val="2"/>
          </rPr>
          <t xml:space="preserve">
310m guide</t>
        </r>
      </text>
    </comment>
    <comment ref="ED18" authorId="2" shapeId="0" xr:uid="{6B3C9AAE-B172-49FE-8D2B-2F4DC2778388}">
      <text>
        <r>
          <rPr>
            <b/>
            <sz val="9"/>
            <color indexed="81"/>
            <rFont val="Tahoma"/>
            <family val="2"/>
          </rPr>
          <t>Scicluna, Amelia (Research):</t>
        </r>
        <r>
          <rPr>
            <sz val="9"/>
            <color indexed="81"/>
            <rFont val="Tahoma"/>
            <family val="2"/>
          </rPr>
          <t xml:space="preserve">
320mn</t>
        </r>
      </text>
    </comment>
    <comment ref="EE18" authorId="1" shapeId="0" xr:uid="{0E83B094-2B47-40FE-9457-37A6C31B20F4}">
      <text>
        <r>
          <rPr>
            <b/>
            <sz val="9"/>
            <color indexed="81"/>
            <rFont val="Tahoma"/>
            <family val="2"/>
          </rPr>
          <t>Lee Simpson:</t>
        </r>
        <r>
          <rPr>
            <sz val="9"/>
            <color indexed="81"/>
            <rFont val="Tahoma"/>
            <family val="2"/>
          </rPr>
          <t xml:space="preserve">
CMD 2022; 
c.€1.3bn</t>
        </r>
      </text>
    </comment>
    <comment ref="EG18" authorId="2" shapeId="0" xr:uid="{CF41DFA5-583F-4CD9-B1F2-7F8979448ADF}">
      <text>
        <r>
          <rPr>
            <b/>
            <sz val="9"/>
            <color indexed="81"/>
            <rFont val="Tahoma"/>
            <family val="2"/>
          </rPr>
          <t>Scicluna, Amelia (Research):</t>
        </r>
        <r>
          <rPr>
            <sz val="9"/>
            <color indexed="81"/>
            <rFont val="Tahoma"/>
            <family val="2"/>
          </rPr>
          <t xml:space="preserve">
Jan 26: 0.3bn</t>
        </r>
      </text>
    </comment>
    <comment ref="EH18" authorId="2" shapeId="0" xr:uid="{C25E139B-BE69-479F-AA5C-0A80048D966F}">
      <text>
        <r>
          <rPr>
            <b/>
            <sz val="9"/>
            <color indexed="81"/>
            <rFont val="Tahoma"/>
            <family val="2"/>
          </rPr>
          <t>Scicluna, Amelia (Research):</t>
        </r>
        <r>
          <rPr>
            <sz val="9"/>
            <color indexed="81"/>
            <rFont val="Tahoma"/>
            <family val="2"/>
          </rPr>
          <t xml:space="preserve">
Apr 26: 300mn</t>
        </r>
      </text>
    </comment>
    <comment ref="DK19" authorId="1" shapeId="0" xr:uid="{8B9855B3-E55D-4F38-95A2-B297F08220FB}">
      <text>
        <r>
          <rPr>
            <b/>
            <sz val="9"/>
            <color indexed="81"/>
            <rFont val="Tahoma"/>
            <family val="2"/>
          </rPr>
          <t>Lee Simpson:</t>
        </r>
        <r>
          <rPr>
            <sz val="9"/>
            <color indexed="81"/>
            <rFont val="Tahoma"/>
            <family val="2"/>
          </rPr>
          <t xml:space="preserve">
Guide: 810m</t>
        </r>
      </text>
    </comment>
    <comment ref="DL19" authorId="0" shapeId="0" xr:uid="{490A9172-207E-4358-829F-AD26B02D2097}">
      <text>
        <r>
          <rPr>
            <b/>
            <sz val="9"/>
            <color indexed="81"/>
            <rFont val="Tahoma"/>
            <family val="2"/>
          </rPr>
          <t>Simpson, Lee (Research):</t>
        </r>
        <r>
          <rPr>
            <sz val="9"/>
            <color indexed="81"/>
            <rFont val="Tahoma"/>
            <family val="2"/>
          </rPr>
          <t xml:space="preserve">
guide: 880m</t>
        </r>
      </text>
    </comment>
    <comment ref="DO19" authorId="0" shapeId="0" xr:uid="{EA490A11-A6B7-4A37-85E8-604B2A835A65}">
      <text>
        <r>
          <rPr>
            <b/>
            <sz val="9"/>
            <color indexed="81"/>
            <rFont val="Tahoma"/>
            <family val="2"/>
          </rPr>
          <t>Simpson, Lee (Research):</t>
        </r>
        <r>
          <rPr>
            <sz val="9"/>
            <color indexed="81"/>
            <rFont val="Tahoma"/>
            <family val="2"/>
          </rPr>
          <t xml:space="preserve">
guide: 965m</t>
        </r>
      </text>
    </comment>
    <comment ref="DP19" authorId="1" shapeId="0" xr:uid="{969126D9-DB0F-4CBE-8352-6AF9325A38B7}">
      <text>
        <r>
          <rPr>
            <b/>
            <sz val="9"/>
            <color indexed="81"/>
            <rFont val="Tahoma"/>
            <family val="2"/>
          </rPr>
          <t>Lee Simpson:</t>
        </r>
        <r>
          <rPr>
            <sz val="9"/>
            <color indexed="81"/>
            <rFont val="Tahoma"/>
            <family val="2"/>
          </rPr>
          <t xml:space="preserve">
guide:  EUR 990m</t>
        </r>
      </text>
    </comment>
    <comment ref="DQ19" authorId="1" shapeId="0" xr:uid="{87F3F508-6A1B-45A5-8712-F1A8032F4E8E}">
      <text>
        <r>
          <rPr>
            <b/>
            <sz val="9"/>
            <color indexed="81"/>
            <rFont val="Tahoma"/>
            <family val="2"/>
          </rPr>
          <t>Lee Simpson:</t>
        </r>
        <r>
          <rPr>
            <sz val="9"/>
            <color indexed="81"/>
            <rFont val="Tahoma"/>
            <family val="2"/>
          </rPr>
          <t xml:space="preserve">
guide: R&amp;D c.1bn</t>
        </r>
      </text>
    </comment>
    <comment ref="DR19" authorId="1" shapeId="0" xr:uid="{7785604F-17B8-45F0-8698-DC9CF9C1583B}">
      <text>
        <r>
          <rPr>
            <b/>
            <sz val="9"/>
            <color indexed="81"/>
            <rFont val="Tahoma"/>
            <family val="2"/>
          </rPr>
          <t>Lee Simpson:</t>
        </r>
        <r>
          <rPr>
            <sz val="9"/>
            <color indexed="81"/>
            <rFont val="Tahoma"/>
            <family val="2"/>
          </rPr>
          <t xml:space="preserve">
guide: 1030m</t>
        </r>
      </text>
    </comment>
    <comment ref="DU19" authorId="0" shapeId="0" xr:uid="{999744F3-2C0C-4272-9E3A-E9B1C804470E}">
      <text>
        <r>
          <rPr>
            <b/>
            <sz val="9"/>
            <color indexed="81"/>
            <rFont val="Tahoma"/>
            <family val="2"/>
          </rPr>
          <t>Simpson, Lee (Research):</t>
        </r>
        <r>
          <rPr>
            <sz val="9"/>
            <color indexed="81"/>
            <rFont val="Tahoma"/>
            <family val="2"/>
          </rPr>
          <t xml:space="preserve">
guide: 965m</t>
        </r>
      </text>
    </comment>
    <comment ref="DV19" authorId="1" shapeId="0" xr:uid="{18CB03B6-0756-4D5F-B942-DA475959DAE0}">
      <text>
        <r>
          <rPr>
            <b/>
            <sz val="9"/>
            <color indexed="81"/>
            <rFont val="Tahoma"/>
            <family val="2"/>
          </rPr>
          <t>Lee Simpson:</t>
        </r>
        <r>
          <rPr>
            <sz val="9"/>
            <color indexed="81"/>
            <rFont val="Tahoma"/>
            <family val="2"/>
          </rPr>
          <t xml:space="preserve">
guide:  EUR 990m</t>
        </r>
      </text>
    </comment>
    <comment ref="DW19" authorId="1" shapeId="0" xr:uid="{B4F4FA5F-81B8-43A6-93C9-A5D03285CF7A}">
      <text>
        <r>
          <rPr>
            <b/>
            <sz val="9"/>
            <color indexed="81"/>
            <rFont val="Tahoma"/>
            <family val="2"/>
          </rPr>
          <t>Lee Simpson:</t>
        </r>
        <r>
          <rPr>
            <sz val="9"/>
            <color indexed="81"/>
            <rFont val="Tahoma"/>
            <family val="2"/>
          </rPr>
          <t xml:space="preserve">
guide: R&amp;D c.1bn</t>
        </r>
      </text>
    </comment>
    <comment ref="DX19" authorId="1" shapeId="0" xr:uid="{FFA05165-846D-4F17-A545-4C1E297EA684}">
      <text>
        <r>
          <rPr>
            <b/>
            <sz val="9"/>
            <color indexed="81"/>
            <rFont val="Tahoma"/>
            <family val="2"/>
          </rPr>
          <t>Lee Simpson:</t>
        </r>
        <r>
          <rPr>
            <sz val="9"/>
            <color indexed="81"/>
            <rFont val="Tahoma"/>
            <family val="2"/>
          </rPr>
          <t xml:space="preserve">
guide: R&amp;D c.1bn</t>
        </r>
      </text>
    </comment>
    <comment ref="EA19" authorId="0" shapeId="0" xr:uid="{669C1003-018E-49BE-A26C-3B9566E92615}">
      <text>
        <r>
          <rPr>
            <b/>
            <sz val="9"/>
            <color indexed="81"/>
            <rFont val="Tahoma"/>
            <family val="2"/>
          </rPr>
          <t>Simpson, Lee (Research):</t>
        </r>
        <r>
          <rPr>
            <sz val="9"/>
            <color indexed="81"/>
            <rFont val="Tahoma"/>
            <family val="2"/>
          </rPr>
          <t xml:space="preserve">
Guide: c.€965m</t>
        </r>
      </text>
    </comment>
    <comment ref="EB19" authorId="1" shapeId="0" xr:uid="{2547DE98-5185-4677-B8F1-FB3F2157E3B1}">
      <text>
        <r>
          <rPr>
            <b/>
            <sz val="9"/>
            <color indexed="81"/>
            <rFont val="Tahoma"/>
            <family val="2"/>
          </rPr>
          <t>Lee Simpson:</t>
        </r>
        <r>
          <rPr>
            <sz val="9"/>
            <color indexed="81"/>
            <rFont val="Tahoma"/>
            <family val="2"/>
          </rPr>
          <t xml:space="preserve">
guide:  EUR 990m</t>
        </r>
      </text>
    </comment>
    <comment ref="EC19" authorId="0" shapeId="0" xr:uid="{F6C7669E-1AC5-4B4D-B1E1-95235FF088C5}">
      <text>
        <r>
          <rPr>
            <b/>
            <sz val="9"/>
            <color indexed="81"/>
            <rFont val="Tahoma"/>
            <family val="2"/>
          </rPr>
          <t>Simpson, Lee (Research):</t>
        </r>
        <r>
          <rPr>
            <sz val="9"/>
            <color indexed="81"/>
            <rFont val="Tahoma"/>
            <family val="2"/>
          </rPr>
          <t xml:space="preserve">
1.2bn</t>
        </r>
      </text>
    </comment>
    <comment ref="ED19" authorId="2" shapeId="0" xr:uid="{060A0C71-4FFC-4C4D-A4BC-A5BED3BAB245}">
      <text>
        <r>
          <rPr>
            <b/>
            <sz val="9"/>
            <color indexed="81"/>
            <rFont val="Tahoma"/>
            <family val="2"/>
          </rPr>
          <t>Scicluna, Amelia (Research):</t>
        </r>
        <r>
          <rPr>
            <sz val="9"/>
            <color indexed="81"/>
            <rFont val="Tahoma"/>
            <family val="2"/>
          </rPr>
          <t xml:space="preserve">
1.2bn</t>
        </r>
      </text>
    </comment>
    <comment ref="EE19" authorId="1" shapeId="0" xr:uid="{DC091E9F-99E3-4D4C-8765-535CE1C66303}">
      <text>
        <r>
          <rPr>
            <b/>
            <sz val="9"/>
            <color indexed="81"/>
            <rFont val="Tahoma"/>
            <family val="2"/>
          </rPr>
          <t>Lee Simpson:</t>
        </r>
        <r>
          <rPr>
            <sz val="9"/>
            <color indexed="81"/>
            <rFont val="Tahoma"/>
            <family val="2"/>
          </rPr>
          <t xml:space="preserve">
CMD 2022: 
4.3-4.8bn</t>
        </r>
      </text>
    </comment>
    <comment ref="EG19" authorId="2" shapeId="0" xr:uid="{93142A48-A595-4ACD-8A78-547593869380}">
      <text>
        <r>
          <rPr>
            <b/>
            <sz val="9"/>
            <color indexed="81"/>
            <rFont val="Tahoma"/>
            <family val="2"/>
          </rPr>
          <t>Scicluna, Amelia (Research):</t>
        </r>
        <r>
          <rPr>
            <sz val="9"/>
            <color indexed="81"/>
            <rFont val="Tahoma"/>
            <family val="2"/>
          </rPr>
          <t xml:space="preserve">
Jan 26: 1.2</t>
        </r>
      </text>
    </comment>
    <comment ref="EH19" authorId="2" shapeId="0" xr:uid="{E25512C5-4A89-4E54-8C76-B7F5712FD9C5}">
      <text>
        <r>
          <rPr>
            <b/>
            <sz val="9"/>
            <color indexed="81"/>
            <rFont val="Tahoma"/>
            <family val="2"/>
          </rPr>
          <t>Scicluna, Amelia (Research):</t>
        </r>
        <r>
          <rPr>
            <sz val="9"/>
            <color indexed="81"/>
            <rFont val="Tahoma"/>
            <family val="2"/>
          </rPr>
          <t xml:space="preserve">
Apr 26: 1.2bn</t>
        </r>
      </text>
    </comment>
    <comment ref="EE21" authorId="0" shapeId="0" xr:uid="{89892D16-2A2D-4F0F-BBC9-00CC10A6AE58}">
      <text>
        <r>
          <rPr>
            <b/>
            <sz val="9"/>
            <color indexed="81"/>
            <rFont val="Tahoma"/>
            <family val="2"/>
          </rPr>
          <t>Simpson, Lee (Research):</t>
        </r>
        <r>
          <rPr>
            <sz val="9"/>
            <color indexed="81"/>
            <rFont val="Tahoma"/>
            <family val="2"/>
          </rPr>
          <t xml:space="preserve">
Oct24:
towards upper end of 2022 guide range - namely c.6bn</t>
        </r>
      </text>
    </comment>
    <comment ref="DM39" authorId="1" shapeId="0" xr:uid="{972986FF-CC62-4D7E-BD70-45C9A630882E}">
      <text>
        <r>
          <rPr>
            <b/>
            <sz val="9"/>
            <color indexed="81"/>
            <rFont val="Tahoma"/>
            <family val="2"/>
          </rPr>
          <t>Lee Simpson:</t>
        </r>
        <r>
          <rPr>
            <sz val="9"/>
            <color indexed="81"/>
            <rFont val="Tahoma"/>
            <family val="2"/>
          </rPr>
          <t xml:space="preserve">
Guide:
(Nov'22): annualised ETR = c. 15%
(Jul'22): ETR 15-16%</t>
        </r>
      </text>
    </comment>
    <comment ref="DS39" authorId="1" shapeId="0" xr:uid="{E499674D-C8DD-4357-A925-EBEEC92E806B}">
      <text>
        <r>
          <rPr>
            <b/>
            <sz val="9"/>
            <color indexed="81"/>
            <rFont val="Tahoma"/>
            <family val="2"/>
          </rPr>
          <t>Lee Simpson:</t>
        </r>
        <r>
          <rPr>
            <sz val="9"/>
            <color indexed="81"/>
            <rFont val="Tahoma"/>
            <family val="2"/>
          </rPr>
          <t xml:space="preserve">
Jul23: Guide - ETR 15-16%
Oct23: reit</t>
        </r>
      </text>
    </comment>
    <comment ref="DY39" authorId="1" shapeId="0" xr:uid="{FAF8645A-9635-4DDD-BEB4-75E715BECD26}">
      <text>
        <r>
          <rPr>
            <b/>
            <sz val="9"/>
            <color indexed="81"/>
            <rFont val="Tahoma"/>
            <family val="2"/>
          </rPr>
          <t>Lee Simpson:</t>
        </r>
        <r>
          <rPr>
            <sz val="9"/>
            <color indexed="81"/>
            <rFont val="Tahoma"/>
            <family val="2"/>
          </rPr>
          <t xml:space="preserve">
jan24: ETR 16-17%
Apr24: reit</t>
        </r>
      </text>
    </comment>
    <comment ref="EE39" authorId="1" shapeId="0" xr:uid="{6D2EA894-6A9D-4B1C-ACC1-8817F7959B94}">
      <text>
        <r>
          <rPr>
            <b/>
            <sz val="9"/>
            <color indexed="81"/>
            <rFont val="Tahoma"/>
            <family val="2"/>
          </rPr>
          <t>Lee Simpson:</t>
        </r>
        <r>
          <rPr>
            <sz val="9"/>
            <color indexed="81"/>
            <rFont val="Tahoma"/>
            <family val="2"/>
          </rPr>
          <t xml:space="preserve">
Oct25: unch
Jul25: unch
Apr25: ETR c.17% for FY25</t>
        </r>
      </text>
    </comment>
    <comment ref="EK39" authorId="2" shapeId="0" xr:uid="{B7759484-30C9-4DE6-A40E-6E654A94C7AA}">
      <text>
        <r>
          <rPr>
            <b/>
            <sz val="9"/>
            <color indexed="81"/>
            <rFont val="Tahoma"/>
            <family val="2"/>
          </rPr>
          <t>Scicluna, Amelia (Research):</t>
        </r>
        <r>
          <rPr>
            <sz val="9"/>
            <color indexed="81"/>
            <rFont val="Tahoma"/>
            <family val="2"/>
          </rPr>
          <t xml:space="preserve">
Jan 26: 'around 17%'</t>
        </r>
      </text>
    </comment>
    <comment ref="GI60" authorId="0" shapeId="0" xr:uid="{89FB890D-C3F2-44C2-94D2-125220701372}">
      <text>
        <r>
          <rPr>
            <b/>
            <sz val="9"/>
            <color indexed="81"/>
            <rFont val="Tahoma"/>
            <family val="2"/>
          </rPr>
          <t>Simpson, Lee (Research):</t>
        </r>
        <r>
          <rPr>
            <sz val="9"/>
            <color indexed="81"/>
            <rFont val="Tahoma"/>
            <family val="2"/>
          </rPr>
          <t xml:space="preserve">
WACC</t>
        </r>
      </text>
    </comment>
    <comment ref="EC95" authorId="0" shapeId="0" xr:uid="{4C228B1D-645F-4A0A-9BA1-35EB95A73D6B}">
      <text>
        <r>
          <rPr>
            <b/>
            <sz val="9"/>
            <color indexed="81"/>
            <rFont val="Tahoma"/>
            <family val="2"/>
          </rPr>
          <t>Simpson, Lee (Research):</t>
        </r>
        <r>
          <rPr>
            <sz val="9"/>
            <color indexed="81"/>
            <rFont val="Tahoma"/>
            <family val="2"/>
          </rPr>
          <t xml:space="preserve">
described on conf call as being "very low"</t>
        </r>
      </text>
    </comment>
    <comment ref="DQ96" authorId="1" shapeId="0" xr:uid="{FDF7F429-152C-4CC1-88CA-E770FCDC3C22}">
      <text>
        <r>
          <rPr>
            <b/>
            <sz val="9"/>
            <color indexed="81"/>
            <rFont val="Tahoma"/>
            <family val="2"/>
          </rPr>
          <t>Lee Simpson:</t>
        </r>
        <r>
          <rPr>
            <sz val="9"/>
            <color indexed="81"/>
            <rFont val="Tahoma"/>
            <family val="2"/>
          </rPr>
          <t xml:space="preserve">
assume includes some one-time cost benefits</t>
        </r>
      </text>
    </comment>
    <comment ref="DR96" authorId="1" shapeId="0" xr:uid="{758D4808-7986-492E-BCDA-B3A1CB391388}">
      <text>
        <r>
          <rPr>
            <b/>
            <sz val="9"/>
            <color indexed="81"/>
            <rFont val="Tahoma"/>
            <family val="2"/>
          </rPr>
          <t>Lee Simpson:</t>
        </r>
        <r>
          <rPr>
            <sz val="9"/>
            <color indexed="81"/>
            <rFont val="Tahoma"/>
            <family val="2"/>
          </rPr>
          <t xml:space="preserve">
assume includes some one-time cost benefits</t>
        </r>
      </text>
    </comment>
    <comment ref="DU96" authorId="1" shapeId="0" xr:uid="{E9DD8479-107F-4C96-9A50-0C54196CB910}">
      <text>
        <r>
          <rPr>
            <b/>
            <sz val="9"/>
            <color indexed="81"/>
            <rFont val="Tahoma"/>
            <family val="2"/>
          </rPr>
          <t>Lee Simpson:</t>
        </r>
        <r>
          <rPr>
            <sz val="9"/>
            <color indexed="81"/>
            <rFont val="Tahoma"/>
            <family val="2"/>
          </rPr>
          <t xml:space="preserve">
assume includes some one-time cost benefits</t>
        </r>
      </text>
    </comment>
    <comment ref="DV96" authorId="1" shapeId="0" xr:uid="{8C1C7F41-5B81-43FE-8BE8-70A149731B44}">
      <text>
        <r>
          <rPr>
            <b/>
            <sz val="9"/>
            <color indexed="81"/>
            <rFont val="Tahoma"/>
            <family val="2"/>
          </rPr>
          <t>Lee Simpson:</t>
        </r>
        <r>
          <rPr>
            <sz val="9"/>
            <color indexed="81"/>
            <rFont val="Tahoma"/>
            <family val="2"/>
          </rPr>
          <t xml:space="preserve">
assume includes some one-time cost benefits</t>
        </r>
      </text>
    </comment>
    <comment ref="DW96" authorId="1" shapeId="0" xr:uid="{3CEA3AF3-563B-4C36-B0C2-250943F4CC66}">
      <text>
        <r>
          <rPr>
            <b/>
            <sz val="9"/>
            <color indexed="81"/>
            <rFont val="Tahoma"/>
            <family val="2"/>
          </rPr>
          <t>Lee Simpson:</t>
        </r>
        <r>
          <rPr>
            <sz val="9"/>
            <color indexed="81"/>
            <rFont val="Tahoma"/>
            <family val="2"/>
          </rPr>
          <t xml:space="preserve">
assume includes some one-time cost benefits</t>
        </r>
      </text>
    </comment>
    <comment ref="DX96" authorId="1" shapeId="0" xr:uid="{D3139E55-A306-4885-B3AA-22BC8399D449}">
      <text>
        <r>
          <rPr>
            <b/>
            <sz val="9"/>
            <color indexed="81"/>
            <rFont val="Tahoma"/>
            <family val="2"/>
          </rPr>
          <t>Lee Simpson:</t>
        </r>
        <r>
          <rPr>
            <sz val="9"/>
            <color indexed="81"/>
            <rFont val="Tahoma"/>
            <family val="2"/>
          </rPr>
          <t xml:space="preserve">
assume includes some one-time cost benefits</t>
        </r>
      </text>
    </comment>
    <comment ref="DY96" authorId="1" shapeId="0" xr:uid="{6DE8A512-7F7F-45C6-A7AA-FA4A1F639353}">
      <text>
        <r>
          <rPr>
            <b/>
            <sz val="9"/>
            <color indexed="81"/>
            <rFont val="Tahoma"/>
            <family val="2"/>
          </rPr>
          <t>Lee Simpson:</t>
        </r>
        <r>
          <rPr>
            <sz val="9"/>
            <color indexed="81"/>
            <rFont val="Tahoma"/>
            <family val="2"/>
          </rPr>
          <t xml:space="preserve">
helped this year by new 3800 in the mix.</t>
        </r>
      </text>
    </comment>
    <comment ref="EA96" authorId="1" shapeId="0" xr:uid="{5D773C80-A497-4E2E-A8EB-B7A6C89EB978}">
      <text>
        <r>
          <rPr>
            <b/>
            <sz val="9"/>
            <color indexed="81"/>
            <rFont val="Tahoma"/>
            <family val="2"/>
          </rPr>
          <t>Lee Simpson:</t>
        </r>
        <r>
          <rPr>
            <sz val="9"/>
            <color indexed="81"/>
            <rFont val="Tahoma"/>
            <family val="2"/>
          </rPr>
          <t xml:space="preserve">
assume includes some one-time cost benefits</t>
        </r>
      </text>
    </comment>
    <comment ref="EB96" authorId="1" shapeId="0" xr:uid="{D0242C7F-B0C9-4380-AE27-5F6555B913DD}">
      <text>
        <r>
          <rPr>
            <b/>
            <sz val="9"/>
            <color indexed="81"/>
            <rFont val="Tahoma"/>
            <family val="2"/>
          </rPr>
          <t>Lee Simpson:</t>
        </r>
        <r>
          <rPr>
            <sz val="9"/>
            <color indexed="81"/>
            <rFont val="Tahoma"/>
            <family val="2"/>
          </rPr>
          <t xml:space="preserve">
assume includes some one-time cost benefits</t>
        </r>
      </text>
    </comment>
    <comment ref="EE96" authorId="1" shapeId="0" xr:uid="{1C6BA7AF-2275-48C1-ACF6-43141343A170}">
      <text>
        <r>
          <rPr>
            <b/>
            <sz val="9"/>
            <color indexed="81"/>
            <rFont val="Tahoma"/>
            <family val="2"/>
          </rPr>
          <t>Lee Simpson:</t>
        </r>
        <r>
          <rPr>
            <sz val="9"/>
            <color indexed="81"/>
            <rFont val="Tahoma"/>
            <family val="2"/>
          </rPr>
          <t xml:space="preserve">
helped this year by new 3800 in the mix.</t>
        </r>
      </text>
    </comment>
    <comment ref="FT96" authorId="0" shapeId="0" xr:uid="{455252D3-3D1E-4556-B830-41AAB336855A}">
      <text>
        <r>
          <rPr>
            <b/>
            <sz val="9"/>
            <color indexed="81"/>
            <rFont val="Tahoma"/>
            <family val="2"/>
          </rPr>
          <t>Simpson, Lee (Research):</t>
        </r>
        <r>
          <rPr>
            <sz val="9"/>
            <color indexed="81"/>
            <rFont val="Tahoma"/>
            <family val="2"/>
          </rPr>
          <t xml:space="preserve">
some 3600s</t>
        </r>
      </text>
    </comment>
    <comment ref="FU96" authorId="0" shapeId="0" xr:uid="{C8AB57C0-7E43-4458-ABB2-53059C3929AC}">
      <text>
        <r>
          <rPr>
            <b/>
            <sz val="9"/>
            <color indexed="81"/>
            <rFont val="Tahoma"/>
            <family val="2"/>
          </rPr>
          <t>Simpson, Lee (Research):</t>
        </r>
        <r>
          <rPr>
            <sz val="9"/>
            <color indexed="81"/>
            <rFont val="Tahoma"/>
            <family val="2"/>
          </rPr>
          <t xml:space="preserve">
all 3800s</t>
        </r>
      </text>
    </comment>
    <comment ref="FU101" authorId="0" shapeId="0" xr:uid="{C725A666-5320-41B5-9123-05CC47EF221D}">
      <text>
        <r>
          <rPr>
            <b/>
            <sz val="9"/>
            <color indexed="81"/>
            <rFont val="Tahoma"/>
            <family val="2"/>
          </rPr>
          <t>Simpson, Lee (Research):</t>
        </r>
        <r>
          <rPr>
            <sz val="9"/>
            <color indexed="81"/>
            <rFont val="Tahoma"/>
            <family val="2"/>
          </rPr>
          <t xml:space="preserve">
on higher sales</t>
        </r>
      </text>
    </comment>
    <comment ref="DO103" authorId="0" shapeId="0" xr:uid="{697CBD47-C1F1-49AD-89BB-171269139AA2}">
      <text>
        <r>
          <rPr>
            <b/>
            <sz val="9"/>
            <color indexed="81"/>
            <rFont val="Tahoma"/>
            <family val="2"/>
          </rPr>
          <t>Simpson, Lee (Research):</t>
        </r>
        <r>
          <rPr>
            <sz val="9"/>
            <color indexed="81"/>
            <rFont val="Tahoma"/>
            <family val="2"/>
          </rPr>
          <t xml:space="preserve">
weaker field upgrades (services) act as GM% headwind at least through Q1</t>
        </r>
      </text>
    </comment>
    <comment ref="DQ103" authorId="1" shapeId="0" xr:uid="{9537F0ED-B915-434D-BDE9-6A5A19F106AE}">
      <text>
        <r>
          <rPr>
            <b/>
            <sz val="9"/>
            <color indexed="81"/>
            <rFont val="Tahoma"/>
            <family val="2"/>
          </rPr>
          <t>Lee Simpson:</t>
        </r>
        <r>
          <rPr>
            <sz val="9"/>
            <color indexed="81"/>
            <rFont val="Tahoma"/>
            <family val="2"/>
          </rPr>
          <t xml:space="preserve">
assume still low (to allow for weak upgrade cycle)</t>
        </r>
      </text>
    </comment>
    <comment ref="DR103" authorId="1" shapeId="0" xr:uid="{B2804606-C050-4462-8143-16D23F5D3CE1}">
      <text>
        <r>
          <rPr>
            <b/>
            <sz val="9"/>
            <color indexed="81"/>
            <rFont val="Tahoma"/>
            <family val="2"/>
          </rPr>
          <t>Lee Simpson:</t>
        </r>
        <r>
          <rPr>
            <sz val="9"/>
            <color indexed="81"/>
            <rFont val="Tahoma"/>
            <family val="2"/>
          </rPr>
          <t xml:space="preserve">
assume still low (to allow for weak upgrade cycle)</t>
        </r>
      </text>
    </comment>
    <comment ref="DS103" authorId="0" shapeId="0" xr:uid="{92C5E8F9-9938-48C6-97D1-9ECEB6BCE73E}">
      <text>
        <r>
          <rPr>
            <b/>
            <sz val="9"/>
            <color indexed="81"/>
            <rFont val="Tahoma"/>
            <family val="2"/>
          </rPr>
          <t>Simpson, Lee (Research):</t>
        </r>
        <r>
          <rPr>
            <sz val="9"/>
            <color indexed="81"/>
            <rFont val="Tahoma"/>
            <family val="2"/>
          </rPr>
          <t xml:space="preserve">
Jan23: probably sub-50% for FY23 - IR call</t>
        </r>
      </text>
    </comment>
    <comment ref="DY103" authorId="1" shapeId="0" xr:uid="{8C5D80CA-CC20-4D00-A86A-A9416A816541}">
      <text>
        <r>
          <rPr>
            <b/>
            <sz val="9"/>
            <color indexed="81"/>
            <rFont val="Tahoma"/>
            <family val="2"/>
          </rPr>
          <t>Lee Simpson:</t>
        </r>
        <r>
          <rPr>
            <sz val="9"/>
            <color indexed="81"/>
            <rFont val="Tahoma"/>
            <family val="2"/>
          </rPr>
          <t xml:space="preserve">
assume upgrade cycle imporves on slow imporve in tool utilisation in installed base </t>
        </r>
      </text>
    </comment>
    <comment ref="EC103" authorId="3" shapeId="0" xr:uid="{A2D04A79-B594-4B7F-99D0-D743FDEB8419}">
      <text>
        <r>
          <rPr>
            <b/>
            <sz val="9"/>
            <color indexed="81"/>
            <rFont val="Tahoma"/>
            <family val="2"/>
          </rPr>
          <t>van Putten, Nigel (Research):</t>
        </r>
        <r>
          <rPr>
            <sz val="9"/>
            <color indexed="81"/>
            <rFont val="Tahoma"/>
            <family val="2"/>
          </rPr>
          <t xml:space="preserve">
Lower upgrades which is a "big driver"</t>
        </r>
      </text>
    </comment>
    <comment ref="ED103" authorId="0" shapeId="0" xr:uid="{421B0073-B5F2-4087-81EF-FB13B28707EE}">
      <text>
        <r>
          <rPr>
            <b/>
            <sz val="9"/>
            <color indexed="81"/>
            <rFont val="Tahoma"/>
            <family val="2"/>
          </rPr>
          <t>Simpson, Lee (Research):</t>
        </r>
        <r>
          <rPr>
            <sz val="9"/>
            <color indexed="81"/>
            <rFont val="Tahoma"/>
            <family val="2"/>
          </rPr>
          <t xml:space="preserve">
service revenues coming thro better than expected - sep from upgrades (note)</t>
        </r>
      </text>
    </comment>
    <comment ref="EK103" authorId="1" shapeId="0" xr:uid="{0E72DF11-65E7-4C0A-8978-E522178339E7}">
      <text>
        <r>
          <rPr>
            <b/>
            <sz val="9"/>
            <color indexed="81"/>
            <rFont val="Tahoma"/>
            <family val="2"/>
          </rPr>
          <t>Lee Simpson:</t>
        </r>
        <r>
          <rPr>
            <sz val="9"/>
            <color indexed="81"/>
            <rFont val="Tahoma"/>
            <family val="2"/>
          </rPr>
          <t xml:space="preserve">
assume upgrade cycle imporves on slow imporve in tool utilisation in installed base</t>
        </r>
      </text>
    </comment>
    <comment ref="FU103" authorId="0" shapeId="0" xr:uid="{5E7954E4-F389-45D9-A4D1-4A1DFEEB8A4B}">
      <text>
        <r>
          <rPr>
            <b/>
            <sz val="9"/>
            <color indexed="81"/>
            <rFont val="Tahoma"/>
            <family val="2"/>
          </rPr>
          <t>Simpson, Lee (Research):</t>
        </r>
        <r>
          <rPr>
            <sz val="9"/>
            <color indexed="81"/>
            <rFont val="Tahoma"/>
            <family val="2"/>
          </rPr>
          <t xml:space="preserve">
on higher sales, upgrades and the EUV installed base inc in service margins</t>
        </r>
      </text>
    </comment>
    <comment ref="DU107" authorId="1" shapeId="0" xr:uid="{B4321BF8-B17D-40BB-B232-0BA27AF39D18}">
      <text>
        <r>
          <rPr>
            <b/>
            <sz val="9"/>
            <color indexed="81"/>
            <rFont val="Tahoma"/>
            <family val="2"/>
          </rPr>
          <t>Lee Simpson:</t>
        </r>
        <r>
          <rPr>
            <sz val="9"/>
            <color indexed="81"/>
            <rFont val="Tahoma"/>
            <family val="2"/>
          </rPr>
          <t xml:space="preserve">
investmenst incur underutilisation costs; depresses GM%</t>
        </r>
      </text>
    </comment>
    <comment ref="DY117" authorId="1" shapeId="0" xr:uid="{F758E139-12E9-410E-AF7F-4CD45347B5F3}">
      <text>
        <r>
          <rPr>
            <b/>
            <sz val="9"/>
            <color indexed="81"/>
            <rFont val="Tahoma"/>
            <family val="2"/>
          </rPr>
          <t>Lee Simpson:</t>
        </r>
        <r>
          <rPr>
            <sz val="9"/>
            <color indexed="81"/>
            <rFont val="Tahoma"/>
            <family val="2"/>
          </rPr>
          <t xml:space="preserve">
 held back by investmnets in capacity that add headwind to margins - weaker yy</t>
        </r>
      </text>
    </comment>
    <comment ref="EC117" authorId="3" shapeId="0" xr:uid="{18842938-D220-4DE2-A5E5-84A9806AEE49}">
      <text>
        <r>
          <rPr>
            <b/>
            <sz val="9"/>
            <color indexed="81"/>
            <rFont val="Tahoma"/>
            <family val="2"/>
          </rPr>
          <t>van Putten, Nigel (Research):</t>
        </r>
        <r>
          <rPr>
            <sz val="9"/>
            <color indexed="81"/>
            <rFont val="Tahoma"/>
            <family val="2"/>
          </rPr>
          <t xml:space="preserve">
2Q25: 50-52%</t>
        </r>
      </text>
    </comment>
    <comment ref="ED117" authorId="0" shapeId="0" xr:uid="{51A0E704-9725-49C7-BF36-F7FD61FE6962}">
      <text>
        <r>
          <rPr>
            <b/>
            <sz val="9"/>
            <color indexed="81"/>
            <rFont val="Tahoma"/>
            <family val="2"/>
          </rPr>
          <t>Simpson, Lee (Research):</t>
        </r>
        <r>
          <rPr>
            <sz val="9"/>
            <color indexed="81"/>
            <rFont val="Tahoma"/>
            <family val="2"/>
          </rPr>
          <t xml:space="preserve">
guide: 51-53%</t>
        </r>
      </text>
    </comment>
    <comment ref="EE117" authorId="0" shapeId="0" xr:uid="{A09D3656-52A9-4496-BB4E-08D719B68CA1}">
      <text>
        <r>
          <rPr>
            <b/>
            <sz val="9"/>
            <color indexed="81"/>
            <rFont val="Tahoma"/>
            <family val="2"/>
          </rPr>
          <t>Simpson, Lee (Research):</t>
        </r>
        <r>
          <rPr>
            <sz val="9"/>
            <color indexed="81"/>
            <rFont val="Tahoma"/>
            <family val="2"/>
          </rPr>
          <t xml:space="preserve">
jul25: guide around 52%
Oct24: guide 51-53%
May24: guide 54-56%</t>
        </r>
      </text>
    </comment>
    <comment ref="EC169" authorId="3" shapeId="0" xr:uid="{7E3544FE-51CE-4B18-8C1D-F75A6888EBC5}">
      <text>
        <r>
          <rPr>
            <b/>
            <sz val="9"/>
            <color indexed="81"/>
            <rFont val="Tahoma"/>
            <family val="2"/>
          </rPr>
          <t xml:space="preserve">van Putten, Nigel (Research):
</t>
        </r>
        <r>
          <rPr>
            <sz val="9"/>
            <color indexed="81"/>
            <rFont val="Tahoma"/>
            <family val="2"/>
          </rPr>
          <t xml:space="preserve">around 310
</t>
        </r>
      </text>
    </comment>
    <comment ref="ED169" authorId="0" shapeId="0" xr:uid="{964ABA31-87F3-483E-82CC-26318D4D6FFC}">
      <text>
        <r>
          <rPr>
            <b/>
            <sz val="9"/>
            <color indexed="81"/>
            <rFont val="Tahoma"/>
            <family val="2"/>
          </rPr>
          <t>Simpson, Lee (Research):</t>
        </r>
        <r>
          <rPr>
            <sz val="9"/>
            <color indexed="81"/>
            <rFont val="Tahoma"/>
            <family val="2"/>
          </rPr>
          <t xml:space="preserve">
guide: 320m</t>
        </r>
      </text>
    </comment>
    <comment ref="EG169" authorId="0" shapeId="0" xr:uid="{17696C27-0495-4F63-AE92-8D7F4CEEE281}">
      <text>
        <r>
          <rPr>
            <b/>
            <sz val="9"/>
            <color indexed="81"/>
            <rFont val="Tahoma"/>
            <family val="2"/>
          </rPr>
          <t>Simpson, Lee (Research):</t>
        </r>
        <r>
          <rPr>
            <sz val="9"/>
            <color indexed="81"/>
            <rFont val="Tahoma"/>
            <family val="2"/>
          </rPr>
          <t xml:space="preserve">
guide 300m</t>
        </r>
      </text>
    </comment>
    <comment ref="EH169" authorId="0" shapeId="0" xr:uid="{DE933DAA-2086-4481-BF61-FFBCE07EFB72}">
      <text>
        <r>
          <rPr>
            <b/>
            <sz val="9"/>
            <color indexed="81"/>
            <rFont val="Tahoma"/>
          </rPr>
          <t>Simpson, Lee (Research):</t>
        </r>
        <r>
          <rPr>
            <sz val="9"/>
            <color indexed="81"/>
            <rFont val="Tahoma"/>
          </rPr>
          <t xml:space="preserve">
300m again</t>
        </r>
      </text>
    </comment>
    <comment ref="EC178" authorId="3" shapeId="0" xr:uid="{E66F88CD-BE0A-4CF0-B14B-6CC39F1E4C5A}">
      <text>
        <r>
          <rPr>
            <b/>
            <sz val="9"/>
            <color indexed="81"/>
            <rFont val="Tahoma"/>
            <family val="2"/>
          </rPr>
          <t>van Putten, Nigel (Research):</t>
        </r>
        <r>
          <rPr>
            <sz val="9"/>
            <color indexed="81"/>
            <rFont val="Tahoma"/>
            <family val="2"/>
          </rPr>
          <t xml:space="preserve">
Around 1.2bn</t>
        </r>
      </text>
    </comment>
    <comment ref="ED178" authorId="0" shapeId="0" xr:uid="{FB263449-2CE8-4104-B6AB-9A8EDE98D8BF}">
      <text>
        <r>
          <rPr>
            <b/>
            <sz val="9"/>
            <color indexed="81"/>
            <rFont val="Tahoma"/>
            <family val="2"/>
          </rPr>
          <t>Simpson, Lee (Research):</t>
        </r>
        <r>
          <rPr>
            <sz val="9"/>
            <color indexed="81"/>
            <rFont val="Tahoma"/>
            <family val="2"/>
          </rPr>
          <t xml:space="preserve">
guide 1.2bn</t>
        </r>
      </text>
    </comment>
    <comment ref="EG178" authorId="0" shapeId="0" xr:uid="{9FC8BF4A-85C7-4843-9AF6-8D18DC3B7AB7}">
      <text>
        <r>
          <rPr>
            <b/>
            <sz val="9"/>
            <color indexed="81"/>
            <rFont val="Tahoma"/>
            <family val="2"/>
          </rPr>
          <t>Simpson, Lee (Research):</t>
        </r>
        <r>
          <rPr>
            <sz val="9"/>
            <color indexed="81"/>
            <rFont val="Tahoma"/>
            <family val="2"/>
          </rPr>
          <t xml:space="preserve">
guidse 1.2bn</t>
        </r>
      </text>
    </comment>
    <comment ref="EH178" authorId="0" shapeId="0" xr:uid="{85C056C4-F34F-44BA-BDE4-35958FADBA52}">
      <text>
        <r>
          <rPr>
            <b/>
            <sz val="9"/>
            <color indexed="81"/>
            <rFont val="Tahoma"/>
          </rPr>
          <t>Simpson, Lee (Research):</t>
        </r>
        <r>
          <rPr>
            <sz val="9"/>
            <color indexed="81"/>
            <rFont val="Tahoma"/>
          </rPr>
          <t xml:space="preserve">
1.2bn guide</t>
        </r>
      </text>
    </comment>
    <comment ref="DM199" authorId="0" shapeId="0" xr:uid="{4EA5BE70-A753-4C3A-B30E-1F2C591A8103}">
      <text>
        <r>
          <rPr>
            <b/>
            <sz val="9"/>
            <color indexed="81"/>
            <rFont val="Tahoma"/>
            <family val="2"/>
          </rPr>
          <t>Simpson, Lee (Research):</t>
        </r>
        <r>
          <rPr>
            <sz val="9"/>
            <color indexed="81"/>
            <rFont val="Tahoma"/>
            <family val="2"/>
          </rPr>
          <t xml:space="preserve">
Nov22: 15% guided
Jul22: Estimated annualized effective tax rate between 15% and 16%</t>
        </r>
      </text>
    </comment>
    <comment ref="DP199" authorId="1" shapeId="0" xr:uid="{D1F75898-104E-4031-952C-843A6383F2C3}">
      <text>
        <r>
          <rPr>
            <b/>
            <sz val="9"/>
            <color indexed="81"/>
            <rFont val="Tahoma"/>
            <family val="2"/>
          </rPr>
          <t>Lee Simpson:</t>
        </r>
        <r>
          <rPr>
            <sz val="9"/>
            <color indexed="81"/>
            <rFont val="Tahoma"/>
            <family val="2"/>
          </rPr>
          <t xml:space="preserve">
guide: 15-16%</t>
        </r>
      </text>
    </comment>
    <comment ref="DS199" authorId="0" shapeId="0" xr:uid="{450E74F2-AD99-467A-B8B7-D06D7A271E44}">
      <text>
        <r>
          <rPr>
            <b/>
            <sz val="9"/>
            <color indexed="81"/>
            <rFont val="Tahoma"/>
            <family val="2"/>
          </rPr>
          <t>Simpson, Lee (Research):</t>
        </r>
        <r>
          <rPr>
            <sz val="9"/>
            <color indexed="81"/>
            <rFont val="Tahoma"/>
            <family val="2"/>
          </rPr>
          <t xml:space="preserve">
Nov22: 15% guided
Jul22: Estimated annualized effective tax rate between 15% and 16%</t>
        </r>
      </text>
    </comment>
    <comment ref="EE199" authorId="3" shapeId="0" xr:uid="{70B8E0DE-F061-4ECA-8C67-8CFCC7A7ECB2}">
      <text>
        <r>
          <rPr>
            <b/>
            <sz val="9"/>
            <color indexed="81"/>
            <rFont val="Tahoma"/>
            <family val="2"/>
          </rPr>
          <t xml:space="preserve">van Putten, Nigel (Research):
</t>
        </r>
        <r>
          <rPr>
            <sz val="9"/>
            <color indexed="81"/>
            <rFont val="Tahoma"/>
            <family val="2"/>
          </rPr>
          <t>Around 17%</t>
        </r>
      </text>
    </comment>
    <comment ref="DU287" authorId="0" shapeId="0" xr:uid="{48ABDFED-F083-43F4-9580-DE186337F11F}">
      <text>
        <r>
          <rPr>
            <b/>
            <sz val="9"/>
            <color indexed="81"/>
            <rFont val="Tahoma"/>
            <family val="2"/>
          </rPr>
          <t>Simpson, Lee (Research):</t>
        </r>
        <r>
          <rPr>
            <sz val="9"/>
            <color indexed="81"/>
            <rFont val="Tahoma"/>
            <family val="2"/>
          </rPr>
          <t xml:space="preserve">
estimate of pre-builds</t>
        </r>
      </text>
    </comment>
    <comment ref="DV287" authorId="0" shapeId="0" xr:uid="{1E487A51-B986-4330-9C7B-987783278EA7}">
      <text>
        <r>
          <rPr>
            <b/>
            <sz val="9"/>
            <color indexed="81"/>
            <rFont val="Tahoma"/>
            <family val="2"/>
          </rPr>
          <t>Simpson, Lee (Research):</t>
        </r>
        <r>
          <rPr>
            <sz val="9"/>
            <color indexed="81"/>
            <rFont val="Tahoma"/>
            <family val="2"/>
          </rPr>
          <t xml:space="preserve">
estimate of pre-builds</t>
        </r>
      </text>
    </comment>
    <comment ref="EA287" authorId="0" shapeId="0" xr:uid="{08B87D27-8C2F-4B1D-8EA9-31461EF4BB72}">
      <text>
        <r>
          <rPr>
            <b/>
            <sz val="9"/>
            <color indexed="81"/>
            <rFont val="Tahoma"/>
            <family val="2"/>
          </rPr>
          <t>Simpson, Lee (Research):</t>
        </r>
        <r>
          <rPr>
            <sz val="9"/>
            <color indexed="81"/>
            <rFont val="Tahoma"/>
            <family val="2"/>
          </rPr>
          <t xml:space="preserve">
estimate of pre-builds</t>
        </r>
      </text>
    </comment>
    <comment ref="EB287" authorId="0" shapeId="0" xr:uid="{BA361D28-5545-4F9C-B266-6A86CDF14E3B}">
      <text>
        <r>
          <rPr>
            <b/>
            <sz val="9"/>
            <color indexed="81"/>
            <rFont val="Tahoma"/>
            <family val="2"/>
          </rPr>
          <t>Simpson, Lee (Research):</t>
        </r>
        <r>
          <rPr>
            <sz val="9"/>
            <color indexed="81"/>
            <rFont val="Tahoma"/>
            <family val="2"/>
          </rPr>
          <t xml:space="preserve">
estimate of pre-builds</t>
        </r>
      </text>
    </comment>
    <comment ref="EC287" authorId="0" shapeId="0" xr:uid="{3833D063-8147-45BF-B7A4-871791BD6563}">
      <text>
        <r>
          <rPr>
            <b/>
            <sz val="9"/>
            <color indexed="81"/>
            <rFont val="Tahoma"/>
            <family val="2"/>
          </rPr>
          <t>Simpson, Lee (Research):</t>
        </r>
        <r>
          <rPr>
            <sz val="9"/>
            <color indexed="81"/>
            <rFont val="Tahoma"/>
            <family val="2"/>
          </rPr>
          <t xml:space="preserve">
should be c.6</t>
        </r>
      </text>
    </comment>
    <comment ref="ED287" authorId="1" shapeId="0" xr:uid="{2289C31C-0BCF-44AB-96A2-F5B09E34B426}">
      <text>
        <r>
          <rPr>
            <b/>
            <sz val="9"/>
            <color indexed="81"/>
            <rFont val="Tahoma"/>
            <family val="2"/>
          </rPr>
          <t>Lee Simpson:</t>
        </r>
        <r>
          <rPr>
            <sz val="9"/>
            <color indexed="81"/>
            <rFont val="Tahoma"/>
            <family val="2"/>
          </rPr>
          <t xml:space="preserve">
CMD 2022: &gt;200 days cash conversion cycle</t>
        </r>
      </text>
    </comment>
    <comment ref="DU288" authorId="0" shapeId="0" xr:uid="{CDE83A62-8C4F-4CDD-8FC1-FD6C302A8A2D}">
      <text>
        <r>
          <rPr>
            <b/>
            <sz val="9"/>
            <color indexed="81"/>
            <rFont val="Tahoma"/>
            <family val="2"/>
          </rPr>
          <t>Simpson, Lee (Research):</t>
        </r>
        <r>
          <rPr>
            <sz val="9"/>
            <color indexed="81"/>
            <rFont val="Tahoma"/>
            <family val="2"/>
          </rPr>
          <t xml:space="preserve">
*if we take whatever inventory days there are, take away rougly 240 days, what does that equate to, then from that number, take away bulk of 700 - whatever number this gets you to, divide by 100m to get number of pre builds</t>
        </r>
      </text>
    </comment>
    <comment ref="EA288" authorId="0" shapeId="0" xr:uid="{0435CDE8-849D-4146-A6B4-D97161347CAD}">
      <text>
        <r>
          <rPr>
            <b/>
            <sz val="9"/>
            <color indexed="81"/>
            <rFont val="Tahoma"/>
            <family val="2"/>
          </rPr>
          <t>Simpson, Lee (Research):</t>
        </r>
        <r>
          <rPr>
            <sz val="9"/>
            <color indexed="81"/>
            <rFont val="Tahoma"/>
            <family val="2"/>
          </rPr>
          <t xml:space="preserve">
*if we take whatever inventory days there are, take away rougly 240 days, what does that equate to, then from that number, take away bulk of 700 - whatever number this gets you to, divide by 100m to get number of pre builds</t>
        </r>
      </text>
    </comment>
    <comment ref="BK308" authorId="0" shapeId="0" xr:uid="{7AC4A5B2-1403-4759-8324-B1B7C0D419DE}">
      <text>
        <r>
          <rPr>
            <b/>
            <sz val="9"/>
            <color indexed="81"/>
            <rFont val="Tahoma"/>
            <family val="2"/>
          </rPr>
          <t>Simpson, Lee (Research):</t>
        </r>
        <r>
          <rPr>
            <sz val="9"/>
            <color indexed="81"/>
            <rFont val="Tahoma"/>
            <family val="2"/>
          </rPr>
          <t xml:space="preserve">
197 dep
28 amort</t>
        </r>
      </text>
    </comment>
    <comment ref="BQ308" authorId="0" shapeId="0" xr:uid="{CC949EBC-CCD6-4341-BC6A-695D0233EBBA}">
      <text>
        <r>
          <rPr>
            <b/>
            <sz val="9"/>
            <color indexed="81"/>
            <rFont val="Tahoma"/>
            <family val="2"/>
          </rPr>
          <t>Simpson, Lee (Research):</t>
        </r>
        <r>
          <rPr>
            <sz val="9"/>
            <color indexed="81"/>
            <rFont val="Tahoma"/>
            <family val="2"/>
          </rPr>
          <t xml:space="preserve">
210 depn
44 amort</t>
        </r>
      </text>
    </comment>
    <comment ref="BW308" authorId="0" shapeId="0" xr:uid="{D87FFD4A-FEFC-4DC9-9F47-2CC214ECECC4}">
      <text>
        <r>
          <rPr>
            <b/>
            <sz val="9"/>
            <color indexed="81"/>
            <rFont val="Tahoma"/>
            <family val="2"/>
          </rPr>
          <t>Simpson, Lee (Research):</t>
        </r>
        <r>
          <rPr>
            <sz val="9"/>
            <color indexed="81"/>
            <rFont val="Tahoma"/>
            <family val="2"/>
          </rPr>
          <t xml:space="preserve">
243 depn
51 amort</t>
        </r>
      </text>
    </comment>
    <comment ref="CC308" authorId="0" shapeId="0" xr:uid="{D3CF74DF-4B28-418C-8117-E808ADD9239E}">
      <text>
        <r>
          <rPr>
            <b/>
            <sz val="9"/>
            <color indexed="81"/>
            <rFont val="Tahoma"/>
            <family val="2"/>
          </rPr>
          <t>Simpson, Lee (Research):</t>
        </r>
        <r>
          <rPr>
            <sz val="9"/>
            <color indexed="81"/>
            <rFont val="Tahoma"/>
            <family val="2"/>
          </rPr>
          <t xml:space="preserve">
291 depn
66 amort</t>
        </r>
      </text>
    </comment>
    <comment ref="CO325" authorId="0" shapeId="0" xr:uid="{B08B974A-50FB-4B90-AFDC-F82EE4DE85C3}">
      <text>
        <r>
          <rPr>
            <b/>
            <sz val="9"/>
            <color indexed="81"/>
            <rFont val="Tahoma"/>
            <family val="2"/>
          </rPr>
          <t>Simpson, Lee (Research):</t>
        </r>
        <r>
          <rPr>
            <sz val="9"/>
            <color indexed="81"/>
            <rFont val="Tahoma"/>
            <family val="2"/>
          </rPr>
          <t xml:space="preserve">
note: ASML is set to spend €760m over 6 years in Zeiss SMT</t>
        </r>
      </text>
    </comment>
    <comment ref="DJ336" authorId="0" shapeId="0" xr:uid="{70D912B4-9AFD-404F-B6AB-C0D6D0FD51C5}">
      <text>
        <r>
          <rPr>
            <b/>
            <sz val="9"/>
            <color indexed="81"/>
            <rFont val="Tahoma"/>
            <family val="2"/>
          </rPr>
          <t>Simpson, Lee (Research):</t>
        </r>
        <r>
          <rPr>
            <sz val="9"/>
            <color indexed="81"/>
            <rFont val="Tahoma"/>
            <family val="2"/>
          </rPr>
          <t xml:space="preserve">
In Q2, ASML paid a final dividend of €3.70 per ordinary share. Together with the interim dividend paid in 2021, this resulted in a total dividend for 2021 of €5.50 per ordinary share
</t>
        </r>
      </text>
    </comment>
    <comment ref="DK336" authorId="0" shapeId="0" xr:uid="{FD654B15-D240-4502-B4D6-C9803893C8FE}">
      <text>
        <r>
          <rPr>
            <b/>
            <sz val="9"/>
            <color indexed="81"/>
            <rFont val="Tahoma"/>
            <family val="2"/>
          </rPr>
          <t>Simpson, Lee (Research):</t>
        </r>
        <r>
          <rPr>
            <sz val="9"/>
            <color indexed="81"/>
            <rFont val="Tahoma"/>
            <family val="2"/>
          </rPr>
          <t xml:space="preserve">
ASML will start to distribute dividends quarterly. The first quarterly interim dividend over 2022 will be €1.37 per ordinary share and will be made payable on 12 August 2022</t>
        </r>
      </text>
    </comment>
    <comment ref="DL336" authorId="0" shapeId="0" xr:uid="{61F6F036-C3C9-4393-978B-04F351625F57}">
      <text>
        <r>
          <rPr>
            <b/>
            <sz val="9"/>
            <color indexed="81"/>
            <rFont val="Tahoma"/>
            <family val="2"/>
          </rPr>
          <t>Simpson, Lee (Research):</t>
        </r>
        <r>
          <rPr>
            <sz val="9"/>
            <color indexed="81"/>
            <rFont val="Tahoma"/>
            <family val="2"/>
          </rPr>
          <t xml:space="preserve">
plans to declare €5.8/share div for FY22 (up 5.5% yy) with €1.37/share as interim and propose €1.69/share as closing</t>
        </r>
      </text>
    </comment>
    <comment ref="DO336" authorId="1" shapeId="0" xr:uid="{52769A19-DC47-42EA-A446-79862A8B7410}">
      <text>
        <r>
          <rPr>
            <b/>
            <sz val="9"/>
            <color indexed="81"/>
            <rFont val="Tahoma"/>
            <family val="2"/>
          </rPr>
          <t>Lee Simpson:</t>
        </r>
        <r>
          <rPr>
            <sz val="9"/>
            <color indexed="81"/>
            <rFont val="Tahoma"/>
            <family val="2"/>
          </rPr>
          <t xml:space="preserve">
€1.37 div in Q1 – 1.69 final div prop means 5.80/share total (5.5% inc). </t>
        </r>
      </text>
    </comment>
    <comment ref="DK337" authorId="0" shapeId="0" xr:uid="{18A7DC04-4F69-419C-BDAC-C4A84D4188EF}">
      <text>
        <r>
          <rPr>
            <b/>
            <sz val="9"/>
            <color indexed="81"/>
            <rFont val="Tahoma"/>
            <family val="2"/>
          </rPr>
          <t>Simpson, Lee (Research):</t>
        </r>
        <r>
          <rPr>
            <sz val="9"/>
            <color indexed="81"/>
            <rFont val="Tahoma"/>
            <family val="2"/>
          </rPr>
          <t xml:space="preserve">
repurchased around 2.1 million shares for a total amount of around €1.0 billion
Current share buyback program is complete…. Will update at CMD on any new program</t>
        </r>
      </text>
    </comment>
    <comment ref="DO337" authorId="1" shapeId="0" xr:uid="{5679245E-2690-454D-BF9F-56F31B331A13}">
      <text>
        <r>
          <rPr>
            <b/>
            <sz val="9"/>
            <color indexed="81"/>
            <rFont val="Tahoma"/>
            <family val="2"/>
          </rPr>
          <t>Lee Simpson:</t>
        </r>
        <r>
          <rPr>
            <sz val="9"/>
            <color indexed="81"/>
            <rFont val="Tahoma"/>
            <family val="2"/>
          </rPr>
          <t xml:space="preserve">
400m € buyback in q1</t>
        </r>
      </text>
    </comment>
    <comment ref="DR337" authorId="1" shapeId="0" xr:uid="{6BBE1F8D-04A1-428C-B10A-DEB2D15F6EAF}">
      <text>
        <r>
          <rPr>
            <b/>
            <sz val="9"/>
            <color indexed="81"/>
            <rFont val="Tahoma"/>
            <family val="2"/>
          </rPr>
          <t>Lee Simpson:</t>
        </r>
        <r>
          <rPr>
            <sz val="9"/>
            <color indexed="81"/>
            <rFont val="Tahoma"/>
            <family val="2"/>
          </rPr>
          <t xml:space="preserve">
no buybacks this Q</t>
        </r>
      </text>
    </comment>
    <comment ref="DY371" authorId="1" shapeId="0" xr:uid="{B6F7A21F-851A-45B0-8629-888692B0D519}">
      <text>
        <r>
          <rPr>
            <b/>
            <sz val="9"/>
            <color indexed="81"/>
            <rFont val="Tahoma"/>
            <family val="2"/>
          </rPr>
          <t>Lee Simpson:</t>
        </r>
        <r>
          <rPr>
            <sz val="9"/>
            <color indexed="81"/>
            <rFont val="Tahoma"/>
            <family val="2"/>
          </rPr>
          <t xml:space="preserve">
Oct24: we see slow build out of capacity
May24: AR talked about 2.4bn to deal with cabin build out and HighNA capex; before drifting back to 1.5-2.0bn I subsequent years</t>
        </r>
      </text>
    </comment>
    <comment ref="EE371" authorId="1" shapeId="0" xr:uid="{A7B9E903-F60E-4B4D-93C6-A78B2984AC81}">
      <text>
        <r>
          <rPr>
            <b/>
            <sz val="9"/>
            <color indexed="81"/>
            <rFont val="Tahoma"/>
            <family val="2"/>
          </rPr>
          <t>Lee Simpson:</t>
        </r>
        <r>
          <rPr>
            <sz val="9"/>
            <color indexed="81"/>
            <rFont val="Tahoma"/>
            <family val="2"/>
          </rPr>
          <t xml:space="preserve">
CMD 2022: stated c.€1.5bn</t>
        </r>
      </text>
    </comment>
    <comment ref="DK375" authorId="0" shapeId="0" xr:uid="{E9DC10F3-915F-4E8B-A106-504560FE18BF}">
      <text>
        <r>
          <rPr>
            <b/>
            <sz val="9"/>
            <color indexed="81"/>
            <rFont val="Tahoma"/>
            <family val="2"/>
          </rPr>
          <t>Simpson, Lee (Research):</t>
        </r>
        <r>
          <rPr>
            <sz val="9"/>
            <color indexed="81"/>
            <rFont val="Tahoma"/>
            <family val="2"/>
          </rPr>
          <t xml:space="preserve">
ASML will start to distribute dividends quarterly. The first quarterly interim dividend over 2022 will be €1.37 per ordinary share and will be made payable on 12 August 2022</t>
        </r>
      </text>
    </comment>
    <comment ref="DL375" authorId="0" shapeId="0" xr:uid="{22FF4E0B-F983-4FC3-8054-8DC4A92537D7}">
      <text>
        <r>
          <rPr>
            <b/>
            <sz val="9"/>
            <color indexed="81"/>
            <rFont val="Tahoma"/>
            <family val="2"/>
          </rPr>
          <t>Simpson, Lee (Research):</t>
        </r>
        <r>
          <rPr>
            <sz val="9"/>
            <color indexed="81"/>
            <rFont val="Tahoma"/>
            <family val="2"/>
          </rPr>
          <t xml:space="preserve">
ASML will start to distribute dividends quarterly. The first quarterly interim dividend over 2022 will be €1.37 per ordinary share and will be made payable on 12 August 2022</t>
        </r>
      </text>
    </comment>
    <comment ref="DO375" authorId="0" shapeId="0" xr:uid="{844A70D9-8834-47EA-A8B1-D3E3463696EF}">
      <text>
        <r>
          <rPr>
            <b/>
            <sz val="9"/>
            <color indexed="81"/>
            <rFont val="Tahoma"/>
            <family val="2"/>
          </rPr>
          <t>Simpson, Lee (Research):</t>
        </r>
        <r>
          <rPr>
            <sz val="9"/>
            <color indexed="81"/>
            <rFont val="Tahoma"/>
            <family val="2"/>
          </rPr>
          <t xml:space="preserve">
plans to declare €5.8/share div for FY22 (up 5.5% yy) with €1.37/share as interim and propose €1.69/share as closing</t>
        </r>
      </text>
    </comment>
    <comment ref="DP375" authorId="0" shapeId="0" xr:uid="{F64C2B0E-8E2C-402B-B962-7E5800C9725D}">
      <text>
        <r>
          <rPr>
            <b/>
            <sz val="9"/>
            <color indexed="81"/>
            <rFont val="Tahoma"/>
            <family val="2"/>
          </rPr>
          <t>Simpson, Lee (Research):</t>
        </r>
        <r>
          <rPr>
            <sz val="9"/>
            <color indexed="81"/>
            <rFont val="Tahoma"/>
            <family val="2"/>
          </rPr>
          <t xml:space="preserve">
plans to declare €5.8/share div for FY22 (up 5.5% yy) with €1.37/share as interim and propose €1.69/share as closing</t>
        </r>
      </text>
    </comment>
    <comment ref="DQ375" authorId="1" shapeId="0" xr:uid="{319DC3FC-378F-4BB9-809C-D0B99690C493}">
      <text>
        <r>
          <rPr>
            <b/>
            <sz val="9"/>
            <color indexed="81"/>
            <rFont val="Tahoma"/>
            <family val="2"/>
          </rPr>
          <t>Lee Simpson:</t>
        </r>
        <r>
          <rPr>
            <sz val="9"/>
            <color indexed="81"/>
            <rFont val="Tahoma"/>
            <family val="2"/>
          </rPr>
          <t xml:space="preserve">
Paid interim div of €1.45/share in Q3
The second quarterly interim dividend over 2023 will be €1.45 per ordinary share and will be made payable on November 10, 2023</t>
        </r>
      </text>
    </comment>
    <comment ref="DR375" authorId="1" shapeId="0" xr:uid="{4BC79573-13F7-42C2-9188-E9FA354459B8}">
      <text>
        <r>
          <rPr>
            <b/>
            <sz val="9"/>
            <color indexed="81"/>
            <rFont val="Tahoma"/>
            <family val="2"/>
          </rPr>
          <t>Lee Simpson:</t>
        </r>
        <r>
          <rPr>
            <sz val="9"/>
            <color indexed="81"/>
            <rFont val="Tahoma"/>
            <family val="2"/>
          </rPr>
          <t xml:space="preserve">
Paid interim div of €1.45/share in Q3
The second quarterly interim dividend over 2023 will be €1.45 per ordinary share and will be made payable on November 10, 2023</t>
        </r>
      </text>
    </comment>
    <comment ref="DU375" authorId="0" shapeId="0" xr:uid="{FEEB6D88-0811-4A32-B6E9-1E237C2A7F79}">
      <text>
        <r>
          <rPr>
            <b/>
            <sz val="9"/>
            <color indexed="81"/>
            <rFont val="Tahoma"/>
            <family val="2"/>
          </rPr>
          <t>Simpson, Lee (Research):</t>
        </r>
        <r>
          <rPr>
            <sz val="9"/>
            <color indexed="81"/>
            <rFont val="Tahoma"/>
            <family val="2"/>
          </rPr>
          <t xml:space="preserve">
plans to declare €5.8/share div for FY22 (up 5.5% yy) with €1.37/share as interim and propose €1.69/share as closing</t>
        </r>
      </text>
    </comment>
    <comment ref="DV375" authorId="0" shapeId="0" xr:uid="{59567BEA-0D66-4C70-ABA1-B8A754086E16}">
      <text>
        <r>
          <rPr>
            <b/>
            <sz val="9"/>
            <color indexed="81"/>
            <rFont val="Tahoma"/>
            <family val="2"/>
          </rPr>
          <t>Simpson, Lee (Research):</t>
        </r>
        <r>
          <rPr>
            <sz val="9"/>
            <color indexed="81"/>
            <rFont val="Tahoma"/>
            <family val="2"/>
          </rPr>
          <t xml:space="preserve">
plans to declare €5.8/share div for FY22 (up 5.5% yy) with €1.37/share as interim and propose €1.69/share as closing</t>
        </r>
      </text>
    </comment>
    <comment ref="DW375" authorId="1" shapeId="0" xr:uid="{A7C45EE8-5A6F-4C81-A7F1-5C7E81B58E6D}">
      <text>
        <r>
          <rPr>
            <b/>
            <sz val="9"/>
            <color indexed="81"/>
            <rFont val="Tahoma"/>
            <family val="2"/>
          </rPr>
          <t>Lee Simpson:</t>
        </r>
        <r>
          <rPr>
            <sz val="9"/>
            <color indexed="81"/>
            <rFont val="Tahoma"/>
            <family val="2"/>
          </rPr>
          <t xml:space="preserve">
Paid interim div of €1.45/share in Q3
The second quarterly interim dividend over 2023 will be €1.45 per ordinary share and will be made payable on November 10, 2023</t>
        </r>
      </text>
    </comment>
    <comment ref="DX375" authorId="1" shapeId="0" xr:uid="{D4B90E66-2744-4FC9-9D95-FD7C2FA14547}">
      <text>
        <r>
          <rPr>
            <b/>
            <sz val="9"/>
            <color indexed="81"/>
            <rFont val="Tahoma"/>
            <family val="2"/>
          </rPr>
          <t>Lee Simpson:</t>
        </r>
        <r>
          <rPr>
            <sz val="9"/>
            <color indexed="81"/>
            <rFont val="Tahoma"/>
            <family val="2"/>
          </rPr>
          <t xml:space="preserve">
Paid interim div of €1.45/share in Q3
The second quarterly interim dividend over 2023 will be €1.45 per ordinary share and will be made payable on November 10, 2023</t>
        </r>
      </text>
    </comment>
    <comment ref="EA375" authorId="0" shapeId="0" xr:uid="{ADFE9975-D926-444D-9C77-6CACA3AA145B}">
      <text>
        <r>
          <rPr>
            <b/>
            <sz val="9"/>
            <color indexed="81"/>
            <rFont val="Tahoma"/>
            <family val="2"/>
          </rPr>
          <t>Simpson, Lee (Research):</t>
        </r>
        <r>
          <rPr>
            <sz val="9"/>
            <color indexed="81"/>
            <rFont val="Tahoma"/>
            <family val="2"/>
          </rPr>
          <t xml:space="preserve">
plans to declare €5.8/share div for FY22 (up 5.5% yy) with €1.37/share as interim and propose €1.69/share as closing</t>
        </r>
      </text>
    </comment>
    <comment ref="EB375" authorId="0" shapeId="0" xr:uid="{CA59651F-D10D-418A-84DD-0D424F6FD411}">
      <text>
        <r>
          <rPr>
            <b/>
            <sz val="9"/>
            <color indexed="81"/>
            <rFont val="Tahoma"/>
            <family val="2"/>
          </rPr>
          <t>Simpson, Lee (Research):</t>
        </r>
        <r>
          <rPr>
            <sz val="9"/>
            <color indexed="81"/>
            <rFont val="Tahoma"/>
            <family val="2"/>
          </rPr>
          <t xml:space="preserve">
plans to declare €5.8/share div for FY22 (up 5.5% yy) with €1.37/share as interim and propose €1.69/share as closing</t>
        </r>
      </text>
    </comment>
    <comment ref="EC375" authorId="0" shapeId="0" xr:uid="{F753CFCC-A744-409C-AE89-50390C82482D}">
      <text>
        <r>
          <rPr>
            <b/>
            <sz val="9"/>
            <color indexed="81"/>
            <rFont val="Tahoma"/>
            <family val="2"/>
          </rPr>
          <t>Simpson, Lee (Research):</t>
        </r>
        <r>
          <rPr>
            <sz val="9"/>
            <color indexed="81"/>
            <rFont val="Tahoma"/>
            <family val="2"/>
          </rPr>
          <t xml:space="preserve">
1.6 interim div - will be same again next Q</t>
        </r>
      </text>
    </comment>
    <comment ref="ED377" authorId="0" shapeId="0" xr:uid="{5FA63D47-1D1B-4C8B-9029-CC0CF0F43AD2}">
      <text>
        <r>
          <rPr>
            <b/>
            <sz val="9"/>
            <color indexed="81"/>
            <rFont val="Tahoma"/>
            <family val="2"/>
          </rPr>
          <t>Simpson, Lee (Research):</t>
        </r>
        <r>
          <rPr>
            <sz val="9"/>
            <color indexed="81"/>
            <rFont val="Tahoma"/>
            <family val="2"/>
          </rPr>
          <t xml:space="preserve">
Jan26: fisnhed program and did only 7.6bn of possible 12bn; new program announced. For next 3 years (12bn again max)
Oct25: wont do full buyback program as orignally designed; will re-announce new buyback program at january print</t>
        </r>
      </text>
    </comment>
    <comment ref="EG377" authorId="0" shapeId="0" xr:uid="{DB55923A-3223-449B-844F-A616FFBD7C5D}">
      <text>
        <r>
          <rPr>
            <b/>
            <sz val="9"/>
            <color indexed="81"/>
            <rFont val="Tahoma"/>
            <family val="2"/>
          </rPr>
          <t>Simpson, Lee (Research):</t>
        </r>
        <r>
          <rPr>
            <sz val="9"/>
            <color indexed="81"/>
            <rFont val="Tahoma"/>
            <family val="2"/>
          </rPr>
          <t xml:space="preserve">
Jan26: fisnhed program and did only 7.6bn of possible 12bn; new program announced. For next 3 years (12bn again max)
Oct25: wont do full buyback program as orignally designed; will re-announce new buyback program at january print</t>
        </r>
      </text>
    </comment>
    <comment ref="EK377" authorId="0" shapeId="0" xr:uid="{02069770-D547-4805-879F-7A1B7DAC37D2}">
      <text>
        <r>
          <rPr>
            <b/>
            <sz val="9"/>
            <color indexed="81"/>
            <rFont val="Tahoma"/>
            <family val="2"/>
          </rPr>
          <t>Simpson, Lee (Research):</t>
        </r>
        <r>
          <rPr>
            <sz val="9"/>
            <color indexed="81"/>
            <rFont val="Tahoma"/>
            <family val="2"/>
          </rPr>
          <t xml:space="preserve">
Jan 26: announced new buyback program (Jan'26) ; 3 years - runs to end of 2028 with €12bn max available for buybacks over that period.  2bn to cover employee share plans and rest will be cancelled.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Simpson, Lee (Research)</author>
  </authors>
  <commentList>
    <comment ref="B162" authorId="0" shapeId="0" xr:uid="{62E86826-2863-4EE5-8F9E-B9448C53919F}">
      <text>
        <r>
          <rPr>
            <b/>
            <sz val="9"/>
            <color indexed="81"/>
            <rFont val="Tahoma"/>
            <family val="2"/>
          </rPr>
          <t>Simpson, Lee (Research):</t>
        </r>
        <r>
          <rPr>
            <sz val="9"/>
            <color indexed="81"/>
            <rFont val="Tahoma"/>
            <family val="2"/>
          </rPr>
          <t xml:space="preserve">
defined as net cash provided by operating activities (2021: €10,845.8 million and 2020: €4,627.6 million) minus purchase of
property, plant and equipment (2021: €900.7 million and 2020: €962.0 million) and purchase of intangible assets (2021: €39.6 million and 2020: €38.8 million). We believe
that free cash flow is an important liquidity metric for our investors, reflecting cash that is available for acquisitions, to repay debt and to return money to our shareholders
by means of dividends and share buybacks. Purchase of property, plant and equipment and purchase of intangible assets are deducted from net cash provided by
operating activities in calculating Free cash flow because these payments are necessary to support the maintenance and investments in our assets to maintain the
current asset base</t>
        </r>
      </text>
    </comment>
    <comment ref="B167" authorId="0" shapeId="0" xr:uid="{BCC6687E-E513-47DC-97B9-4A85E763EABE}">
      <text>
        <r>
          <rPr>
            <b/>
            <sz val="9"/>
            <color indexed="81"/>
            <rFont val="Tahoma"/>
            <family val="2"/>
          </rPr>
          <t>Simpson, Lee (Research):</t>
        </r>
        <r>
          <rPr>
            <sz val="9"/>
            <color indexed="81"/>
            <rFont val="Tahoma"/>
            <family val="2"/>
          </rPr>
          <t xml:space="preserve">
defined as net cash provided by operating activities (2021: €10,845.8 million and 2020: €4,627.6 million) minus purchase of
property, plant and equipment (2021: €900.7 million and 2020: €962.0 million) and purchase of intangible assets (2021: €39.6 million and 2020: €38.8 million). We believe
that free cash flow is an important liquidity metric for our investors, reflecting cash that is available for acquisitions, to repay debt and to return money to our shareholders
by means of dividends and share buybacks. Purchase of property, plant and equipment and purchase of intangible assets are deducted from net cash provided by
operating activities in calculating Free cash flow because these payments are necessary to support the maintenance and investments in our assets to maintain the
current asset base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<sst xmlns="http://schemas.openxmlformats.org/spreadsheetml/2006/main" count="1806" uniqueCount="1193">
  <si>
    <t>Company reports</t>
  </si>
  <si>
    <t>Morgan Stanley estimates</t>
  </si>
  <si>
    <t>Sources for data in this workbook include:</t>
  </si>
  <si>
    <t>Skip Miller (Global), Pete Convertito (US), Peter Cheang (Asia)</t>
  </si>
  <si>
    <t>Investor Relations</t>
  </si>
  <si>
    <t>Roger Dassen</t>
  </si>
  <si>
    <t>CFO</t>
  </si>
  <si>
    <t>Peter Wennink</t>
  </si>
  <si>
    <t>CEO</t>
  </si>
  <si>
    <t>Management Details</t>
  </si>
  <si>
    <t>+31 40 268 3000</t>
  </si>
  <si>
    <t>Tel.</t>
  </si>
  <si>
    <t>The Netherlands</t>
  </si>
  <si>
    <t>Amsterdam (Listed AEX)</t>
  </si>
  <si>
    <t>Listed Exchange</t>
  </si>
  <si>
    <t>5504 DR Veldhoven</t>
  </si>
  <si>
    <t>Netherlands</t>
  </si>
  <si>
    <t>Country of Incorp.</t>
  </si>
  <si>
    <t>Share Price</t>
  </si>
  <si>
    <t>De Run 6501</t>
  </si>
  <si>
    <t>Founded</t>
  </si>
  <si>
    <t>Main Ticker</t>
  </si>
  <si>
    <t>ASML Netherlands B.V.</t>
  </si>
  <si>
    <t>Address</t>
  </si>
  <si>
    <t>www.asml.com</t>
  </si>
  <si>
    <t>Website</t>
  </si>
  <si>
    <t>Company Name</t>
  </si>
  <si>
    <t>Contact Details</t>
  </si>
  <si>
    <t>Equity Details</t>
  </si>
  <si>
    <t>EUR</t>
  </si>
  <si>
    <t>Currency - Quote</t>
  </si>
  <si>
    <t>Currency - Report</t>
  </si>
  <si>
    <t>US GAAP</t>
  </si>
  <si>
    <t>Accounting GAAP</t>
  </si>
  <si>
    <t>Fiscal Year End</t>
  </si>
  <si>
    <t>ASML.AS</t>
  </si>
  <si>
    <t>Ticker</t>
  </si>
  <si>
    <t>ASML Holdings NV</t>
  </si>
  <si>
    <t>Name</t>
  </si>
  <si>
    <r>
      <rPr>
        <b/>
        <sz val="9"/>
        <rFont val="Arial"/>
        <family val="2"/>
      </rPr>
      <t>Company Description:</t>
    </r>
    <r>
      <rPr>
        <sz val="9"/>
        <rFont val="Arial"/>
        <family val="2"/>
      </rPr>
      <t xml:space="preserve"> Dutch-based (Veldhoven) ASML Holdings NV is the dominant supplier (75% share) of lithography equipment to the global semiconductor industry. ASML designs, develops, integrates, markets and services lithography systems, which are essential for the fabrication of semiconductor chips. The company retains a focus on next-gen R&amp;D and marketing whilst outsourcing c.85% of its production to third-party system assemblers. Tools based on immersion technology form the rump of ASML’s order book which includes next generation, Extreme Ultraviolet (EUV) toolsets. Formerly part of Philips, ASML was spun off in 1984 (renamed 'Philips Labs'), with the parent keeping a 50% stake and ASM International acquiring the other half. By 1988, ASMI pulled out of the venture and Philips Labs was renamed as ASML and floated on the Amsterdam and New York exchanges. Today, ASML has a c. 80% free float.</t>
    </r>
  </si>
  <si>
    <t>Company Details</t>
  </si>
  <si>
    <t>Last updated</t>
  </si>
  <si>
    <t>lee.simpson@morganstanley.com</t>
  </si>
  <si>
    <t>Email</t>
  </si>
  <si>
    <t>Semiconductors</t>
  </si>
  <si>
    <t>Sector</t>
  </si>
  <si>
    <t>Lee Simpson</t>
  </si>
  <si>
    <t xml:space="preserve">Analyst </t>
  </si>
  <si>
    <t>European Technology</t>
  </si>
  <si>
    <t>Morgan Stanley Equity Research Europe</t>
  </si>
  <si>
    <t>China</t>
  </si>
  <si>
    <t>Memory</t>
  </si>
  <si>
    <t>NAND</t>
  </si>
  <si>
    <t>KrF</t>
  </si>
  <si>
    <t>ArF dry</t>
  </si>
  <si>
    <t>Booked systems (EUR m)</t>
  </si>
  <si>
    <t>Metrology &amp; Inspection</t>
  </si>
  <si>
    <t>Tax benefit from share-based payments</t>
  </si>
  <si>
    <t>Repayment of debt</t>
  </si>
  <si>
    <t>Capital repayment</t>
  </si>
  <si>
    <t>Repurchase of notes</t>
  </si>
  <si>
    <t>Notes issued - proceeds</t>
  </si>
  <si>
    <t>Shares issued - proceeds</t>
  </si>
  <si>
    <t>Purchase of shares</t>
  </si>
  <si>
    <t>Dividend paid</t>
  </si>
  <si>
    <t>Repayment of loans</t>
  </si>
  <si>
    <t>Proceeds from sale of subsidiaries (net of cash disposed)</t>
  </si>
  <si>
    <t>Loans issued and other investments</t>
  </si>
  <si>
    <t>Cash from (used for) derivative financial instruments</t>
  </si>
  <si>
    <t>PP&amp;E</t>
  </si>
  <si>
    <t>Net OpCF</t>
  </si>
  <si>
    <t>Equity Method Investments</t>
  </si>
  <si>
    <t>Deferred income taxes</t>
  </si>
  <si>
    <t>Share-based payments</t>
  </si>
  <si>
    <t>Depreciation &amp; Amortisation</t>
  </si>
  <si>
    <t>Cash Flow Statement</t>
  </si>
  <si>
    <t>P&amp;L account</t>
  </si>
  <si>
    <t>Treasury &amp; Reserves</t>
  </si>
  <si>
    <t>Share premium account</t>
  </si>
  <si>
    <t>Called up share capital</t>
  </si>
  <si>
    <t>Total liabilities</t>
  </si>
  <si>
    <t>Total non-current liabilities</t>
  </si>
  <si>
    <t>Accrued &amp; other liabilities</t>
  </si>
  <si>
    <t>Deferred &amp; other tax liabilities</t>
  </si>
  <si>
    <t>LT debt</t>
  </si>
  <si>
    <t>Total current liabilities</t>
  </si>
  <si>
    <t>Accrued Liabilities and other</t>
  </si>
  <si>
    <t>Deferred Tax Liabilities</t>
  </si>
  <si>
    <t>Trade and other payables</t>
  </si>
  <si>
    <t>Current Tax Liabilities</t>
  </si>
  <si>
    <t>Total assets</t>
  </si>
  <si>
    <t>Total non-current assets</t>
  </si>
  <si>
    <t>Equity method investments</t>
  </si>
  <si>
    <t>Goodwill</t>
  </si>
  <si>
    <t>Deferred tax assets</t>
  </si>
  <si>
    <t>Total current assets</t>
  </si>
  <si>
    <t>Current tax assets</t>
  </si>
  <si>
    <t>Finance rec., net</t>
  </si>
  <si>
    <t>Balance Sheet</t>
  </si>
  <si>
    <t>ASP booked systems (EUR m)</t>
  </si>
  <si>
    <t>Net bookings (units)</t>
  </si>
  <si>
    <t>Effective tax rate</t>
  </si>
  <si>
    <t>Net Income</t>
  </si>
  <si>
    <t>Other Income</t>
  </si>
  <si>
    <t>Gross Profit</t>
  </si>
  <si>
    <t xml:space="preserve">Total COGS </t>
  </si>
  <si>
    <t>Income Statement</t>
  </si>
  <si>
    <t>4Q22</t>
  </si>
  <si>
    <t>3Q22</t>
  </si>
  <si>
    <t>2Q22</t>
  </si>
  <si>
    <t>1Q22</t>
  </si>
  <si>
    <t>4Q21</t>
  </si>
  <si>
    <t>3Q21</t>
  </si>
  <si>
    <t>2Q21</t>
  </si>
  <si>
    <t>1Q21</t>
  </si>
  <si>
    <t>4Q20</t>
  </si>
  <si>
    <t>3Q20</t>
  </si>
  <si>
    <t>2Q20</t>
  </si>
  <si>
    <t>1Q20</t>
  </si>
  <si>
    <t>4Q19</t>
  </si>
  <si>
    <t>3Q19</t>
  </si>
  <si>
    <t>2Q19</t>
  </si>
  <si>
    <t>1Q19</t>
  </si>
  <si>
    <t>4Q18</t>
  </si>
  <si>
    <t>3Q18</t>
  </si>
  <si>
    <t>2Q18</t>
  </si>
  <si>
    <t>1Q18</t>
  </si>
  <si>
    <t>4Q17</t>
  </si>
  <si>
    <t>3Q17</t>
  </si>
  <si>
    <t>2Q17</t>
  </si>
  <si>
    <t>1Q17</t>
  </si>
  <si>
    <t>4Q16</t>
  </si>
  <si>
    <t>3Q16</t>
  </si>
  <si>
    <t>2Q16</t>
  </si>
  <si>
    <t>1Q16</t>
  </si>
  <si>
    <t>4Q15</t>
  </si>
  <si>
    <t>3Q15</t>
  </si>
  <si>
    <t>2Q15</t>
  </si>
  <si>
    <t>1Q15</t>
  </si>
  <si>
    <t>4Q14</t>
  </si>
  <si>
    <t>3Q14</t>
  </si>
  <si>
    <t>2Q14</t>
  </si>
  <si>
    <t>1Q14</t>
  </si>
  <si>
    <t>4Q13</t>
  </si>
  <si>
    <t>3Q13</t>
  </si>
  <si>
    <t>2Q13</t>
  </si>
  <si>
    <t>1Q13</t>
  </si>
  <si>
    <t>4Q12</t>
  </si>
  <si>
    <t>3Q12</t>
  </si>
  <si>
    <t>2Q12</t>
  </si>
  <si>
    <t>1Q12</t>
  </si>
  <si>
    <t>EURm unless otherwise stated</t>
  </si>
  <si>
    <t>Share Buybacks</t>
  </si>
  <si>
    <t>div/share</t>
  </si>
  <si>
    <t>Dividends</t>
  </si>
  <si>
    <t>capital intensity</t>
  </si>
  <si>
    <t>Capex - PP&amp;E</t>
  </si>
  <si>
    <t>as % of inv</t>
  </si>
  <si>
    <t>Allowances for obsolete inventory</t>
  </si>
  <si>
    <t>as % of net income</t>
  </si>
  <si>
    <t>SBC</t>
  </si>
  <si>
    <t>as % sales</t>
  </si>
  <si>
    <t>Cash at EOP</t>
  </si>
  <si>
    <t>Cash at BOP</t>
  </si>
  <si>
    <t>Other</t>
  </si>
  <si>
    <t>(Decrease) in creditors</t>
  </si>
  <si>
    <t>(Increase) in debtors</t>
  </si>
  <si>
    <t>(Increase) in stocks</t>
  </si>
  <si>
    <t>Cash Flow Drivers</t>
  </si>
  <si>
    <t>Payables</t>
  </si>
  <si>
    <t>Receivables</t>
  </si>
  <si>
    <t>Inventories</t>
  </si>
  <si>
    <t>% sales</t>
  </si>
  <si>
    <t>Days in Payables</t>
  </si>
  <si>
    <t>Day Sales Outstanding (DSO)</t>
  </si>
  <si>
    <t>Days in inventory (DIO)</t>
  </si>
  <si>
    <t>Working Capital</t>
  </si>
  <si>
    <t>Shareholders' Equity</t>
  </si>
  <si>
    <t>Provisions</t>
  </si>
  <si>
    <t>Current Liabilities</t>
  </si>
  <si>
    <t>Total Fixed Assets</t>
  </si>
  <si>
    <t>Financial receivables, net</t>
  </si>
  <si>
    <t>Deferred Tax Assets</t>
  </si>
  <si>
    <t>Other Intangibles</t>
  </si>
  <si>
    <t>Tangible Assets</t>
  </si>
  <si>
    <t>Balance Sheet Drivers</t>
  </si>
  <si>
    <t>Exchange Rate (US:EU)</t>
  </si>
  <si>
    <t># employees</t>
  </si>
  <si>
    <t>average</t>
  </si>
  <si>
    <t>include. Temps</t>
  </si>
  <si>
    <t>Other Data</t>
  </si>
  <si>
    <t>Options</t>
  </si>
  <si>
    <t>weighted average shares - diluted</t>
  </si>
  <si>
    <t>weighted average shares - basic</t>
  </si>
  <si>
    <t>EPS &amp; Share count</t>
  </si>
  <si>
    <t>Proft/Loss from Equity method investment</t>
  </si>
  <si>
    <t>Equity Method investment</t>
  </si>
  <si>
    <t>Tax rate</t>
  </si>
  <si>
    <t>Tax (credit)/charge (Reported)</t>
  </si>
  <si>
    <t>Tax</t>
  </si>
  <si>
    <t>Net Financials</t>
  </si>
  <si>
    <t>estimated interest rate, %</t>
  </si>
  <si>
    <t>Interest payable</t>
  </si>
  <si>
    <t>Interest Receivable &amp; other income</t>
  </si>
  <si>
    <t>R&amp;D (Reported)</t>
  </si>
  <si>
    <t>Share Based Compensation</t>
  </si>
  <si>
    <t>HMI</t>
  </si>
  <si>
    <t>qq growth</t>
  </si>
  <si>
    <t>%age of Sales</t>
  </si>
  <si>
    <t>R&amp;D (Underlying)</t>
  </si>
  <si>
    <t>SG&amp;A (Reported)</t>
  </si>
  <si>
    <t>Restructuring</t>
  </si>
  <si>
    <t xml:space="preserve">SG&amp;A (Underlying) </t>
  </si>
  <si>
    <t>Operating Expenses:</t>
  </si>
  <si>
    <t>Underlying CoGS (calculated)</t>
  </si>
  <si>
    <t>What is the FOS margin and what does it depend on?</t>
  </si>
  <si>
    <t>GM% - FOS</t>
  </si>
  <si>
    <t>Gross Profit (EURm) - FOS</t>
  </si>
  <si>
    <t>CoGS (EURm) - Service</t>
  </si>
  <si>
    <t>Sales (EURm) - FOS</t>
  </si>
  <si>
    <t>GM% - Total Systems</t>
  </si>
  <si>
    <t>Gross Profit (EURm) - Total Systems</t>
  </si>
  <si>
    <t>CoGS (EURm) - Total Systems</t>
  </si>
  <si>
    <t>Sales (EURm) - Total Systems</t>
  </si>
  <si>
    <t>GM% - Other Systems</t>
  </si>
  <si>
    <t>Gross Profit (EURm) - Other Systems</t>
  </si>
  <si>
    <t>CoGS (EURm) - Other Systems</t>
  </si>
  <si>
    <t>Sales (EURm) - Other Systems</t>
  </si>
  <si>
    <t>what is the EUV production capacity</t>
  </si>
  <si>
    <t>GM% - EUV Systems</t>
  </si>
  <si>
    <t>Gross Profit (EURm) - EUV Systems</t>
  </si>
  <si>
    <t>CoGS (EURm) - EUV Systems</t>
  </si>
  <si>
    <t>CoGS (EURm) - EUV shipped</t>
  </si>
  <si>
    <t>CoGS (EURm) - EUV catch-up</t>
  </si>
  <si>
    <t>CoGS (EURm) - EUV Higher NA</t>
  </si>
  <si>
    <t>when dd you reach breakeven and what is the marginal gain</t>
  </si>
  <si>
    <t>what is the margin on NXE 3400s?</t>
  </si>
  <si>
    <t>Sales (EURm) - EUV Systems</t>
  </si>
  <si>
    <t>Sales (EURm) - EUV shipped</t>
  </si>
  <si>
    <t>Sales (EURm) - EUV catch-up</t>
  </si>
  <si>
    <t>when first recognise High NA sales and how much upfront?</t>
  </si>
  <si>
    <t>Sales (EURm) - EUV Higher NA</t>
  </si>
  <si>
    <t>Gross Profit (Cymer)</t>
  </si>
  <si>
    <t>Gross Profit (Underlying Core)</t>
  </si>
  <si>
    <t>Other (PPA, amortisn, etc.)</t>
  </si>
  <si>
    <t>Cymer</t>
  </si>
  <si>
    <t>Cost of Sales (Underlying)</t>
  </si>
  <si>
    <t>% split</t>
  </si>
  <si>
    <t>assume: €19m for used immersion, €5m for ArF Dry, €1m elsewhere</t>
  </si>
  <si>
    <t>Total</t>
  </si>
  <si>
    <t>EUV - High NA</t>
  </si>
  <si>
    <t>i-Line</t>
  </si>
  <si>
    <t>ArF Immersion</t>
  </si>
  <si>
    <t>check:</t>
  </si>
  <si>
    <t>Subtotal (Litho systems)</t>
  </si>
  <si>
    <t>Field option and service sales</t>
  </si>
  <si>
    <t>System sales</t>
  </si>
  <si>
    <t>yy growth</t>
  </si>
  <si>
    <t>Net Sales</t>
  </si>
  <si>
    <t>Net Service &amp; Field Option sales</t>
  </si>
  <si>
    <t>Net System Sales</t>
  </si>
  <si>
    <t>4Q11</t>
  </si>
  <si>
    <t>3Q11</t>
  </si>
  <si>
    <t>2Q11</t>
  </si>
  <si>
    <t>1Q11</t>
  </si>
  <si>
    <t>4Q10</t>
  </si>
  <si>
    <t>3Q10</t>
  </si>
  <si>
    <t>2Q10</t>
  </si>
  <si>
    <t>1Q10</t>
  </si>
  <si>
    <t>4Q09</t>
  </si>
  <si>
    <t>3Q09</t>
  </si>
  <si>
    <t>2Q09</t>
  </si>
  <si>
    <t>1Q09</t>
  </si>
  <si>
    <t>4Q08</t>
  </si>
  <si>
    <t>3Q08</t>
  </si>
  <si>
    <t>2Q08</t>
  </si>
  <si>
    <t>1Q08</t>
  </si>
  <si>
    <t>4Q07</t>
  </si>
  <si>
    <t>3Q07</t>
  </si>
  <si>
    <t>2Q07</t>
  </si>
  <si>
    <t>1Q07</t>
  </si>
  <si>
    <t>4Q06</t>
  </si>
  <si>
    <t>3Q06</t>
  </si>
  <si>
    <t>2Q06</t>
  </si>
  <si>
    <t>1Q06</t>
  </si>
  <si>
    <t>4Q05</t>
  </si>
  <si>
    <t>3Q05</t>
  </si>
  <si>
    <t>2Q05</t>
  </si>
  <si>
    <t>1Q05</t>
  </si>
  <si>
    <t>4Q04</t>
  </si>
  <si>
    <t>3Q04</t>
  </si>
  <si>
    <t>2Q04</t>
  </si>
  <si>
    <t>1Q04</t>
  </si>
  <si>
    <t>ds</t>
  </si>
  <si>
    <t>dm</t>
  </si>
  <si>
    <t>dg</t>
  </si>
  <si>
    <t>da</t>
  </si>
  <si>
    <t>cu</t>
  </si>
  <si>
    <t>co</t>
  </si>
  <si>
    <t>ci</t>
  </si>
  <si>
    <t>FCF</t>
  </si>
  <si>
    <t>Check:</t>
  </si>
  <si>
    <t>Increase in cash in the period</t>
  </si>
  <si>
    <t>Exchange adjustments</t>
  </si>
  <si>
    <t>Net Cash Flow From Financing</t>
  </si>
  <si>
    <t>Net Cash Flow from Investing</t>
  </si>
  <si>
    <t>Acquisitions (net of cash)</t>
  </si>
  <si>
    <t>Sale of AFS securities</t>
  </si>
  <si>
    <t>Purchase of AFS securities</t>
  </si>
  <si>
    <t>Capex - Intangibles</t>
  </si>
  <si>
    <t>Net Cash Flow from Operations</t>
  </si>
  <si>
    <t>Net Change in WC</t>
  </si>
  <si>
    <t>Adjustments</t>
  </si>
  <si>
    <t>Allowances for bad debt, receivables</t>
  </si>
  <si>
    <t>Impairment charges</t>
  </si>
  <si>
    <t>Operating (Loss)/profit</t>
  </si>
  <si>
    <t>NAV/Share (€)</t>
  </si>
  <si>
    <t>Net Cash/(Debt) (EURm)</t>
  </si>
  <si>
    <t>Total Equity &amp; Liabilities</t>
  </si>
  <si>
    <t>Long-term Liabilities</t>
  </si>
  <si>
    <t>Short Term Debt</t>
  </si>
  <si>
    <t>Total Assets</t>
  </si>
  <si>
    <t>Total Current Assets</t>
  </si>
  <si>
    <t>ST Investments</t>
  </si>
  <si>
    <t>Deferred Tax</t>
  </si>
  <si>
    <t>Debtors</t>
  </si>
  <si>
    <t>Diluted (€)</t>
  </si>
  <si>
    <t>Basic (€)</t>
  </si>
  <si>
    <t>EPS (reported)</t>
  </si>
  <si>
    <t>EPS (before CIP)</t>
  </si>
  <si>
    <t>Share Options</t>
  </si>
  <si>
    <t>Weighted average shares in issue:</t>
  </si>
  <si>
    <t>Profit after Tax (before CIP)</t>
  </si>
  <si>
    <t>Profit after Tax (Reported)</t>
  </si>
  <si>
    <t>Equity Method investments</t>
  </si>
  <si>
    <t>Tax (credit)/charge</t>
  </si>
  <si>
    <t>PBT margin</t>
  </si>
  <si>
    <t>Pre-tax Profit (before CIP)</t>
  </si>
  <si>
    <t>Pre-tax Profit</t>
  </si>
  <si>
    <t>Operating margin</t>
  </si>
  <si>
    <t>Operating (loss)/profit (before CIP)</t>
  </si>
  <si>
    <t>Operating (loss)/profit</t>
  </si>
  <si>
    <t>Total Opex</t>
  </si>
  <si>
    <t>Gross margin</t>
  </si>
  <si>
    <t>Gross Profit (before CIP)</t>
  </si>
  <si>
    <t>Total Net Sales</t>
  </si>
  <si>
    <t>cc</t>
  </si>
  <si>
    <t>bw</t>
  </si>
  <si>
    <t>bq</t>
  </si>
  <si>
    <t>bk</t>
  </si>
  <si>
    <t>be</t>
  </si>
  <si>
    <t>ay</t>
  </si>
  <si>
    <t>as</t>
  </si>
  <si>
    <t>am</t>
  </si>
  <si>
    <t>ag</t>
  </si>
  <si>
    <t>aa</t>
  </si>
  <si>
    <t>u</t>
  </si>
  <si>
    <t>o</t>
  </si>
  <si>
    <t>i</t>
  </si>
  <si>
    <t>ROIC</t>
  </si>
  <si>
    <t>Tax saved (on net interest)</t>
  </si>
  <si>
    <t>EBIT</t>
  </si>
  <si>
    <t>EBITDA</t>
  </si>
  <si>
    <t>R&amp;D</t>
  </si>
  <si>
    <t>SG&amp;A</t>
  </si>
  <si>
    <t>Dividend yield</t>
  </si>
  <si>
    <t>FCF yield</t>
  </si>
  <si>
    <t>ROE</t>
  </si>
  <si>
    <t>ROCE</t>
  </si>
  <si>
    <t>Annual Ratio Analysis</t>
  </si>
  <si>
    <t>Notes</t>
  </si>
  <si>
    <t>+44 (0)20 7425 3378</t>
  </si>
  <si>
    <t>We should assume a growth in cost per tools - both supply of parts (and cost of sales) as well as sell-on ASP per toolset</t>
  </si>
  <si>
    <t>Financials (US GAAP)</t>
  </si>
  <si>
    <t>Cost of Sales</t>
  </si>
  <si>
    <t>check debt schedule</t>
  </si>
  <si>
    <t>Cash &amp; CE</t>
  </si>
  <si>
    <t>Depreciation &amp; amortisation</t>
  </si>
  <si>
    <t>Gain on disposal of PP&amp;E</t>
  </si>
  <si>
    <t>Annual Income Statement</t>
  </si>
  <si>
    <t>Revenues</t>
  </si>
  <si>
    <t>Cost of goods Sold</t>
  </si>
  <si>
    <t>Gross profit</t>
  </si>
  <si>
    <t>Other income/(expenses)</t>
  </si>
  <si>
    <t>EBIT (reported)</t>
  </si>
  <si>
    <t>Net Financials &amp; other</t>
  </si>
  <si>
    <t>PBT (reported)</t>
  </si>
  <si>
    <t>Income Tax</t>
  </si>
  <si>
    <t>Net Income (reported)</t>
  </si>
  <si>
    <t>Sales growth - yy</t>
  </si>
  <si>
    <t>EBIT margin (reported)</t>
  </si>
  <si>
    <t>EBIT margin - Adjusted</t>
  </si>
  <si>
    <t>EBITDA margin</t>
  </si>
  <si>
    <t>Net margin (reported)</t>
  </si>
  <si>
    <t>Net margin - Adjusted</t>
  </si>
  <si>
    <t>% of total EBIT</t>
  </si>
  <si>
    <t>CoGS &amp; Gross Profit</t>
  </si>
  <si>
    <t>P&amp;L: Cost Drivers</t>
  </si>
  <si>
    <t>CoGS</t>
  </si>
  <si>
    <t>DPS (EUR)</t>
  </si>
  <si>
    <t>Free cash flow</t>
  </si>
  <si>
    <t>Quarterly Income Statement</t>
  </si>
  <si>
    <t>Sales growth - qq</t>
  </si>
  <si>
    <t>Minorities</t>
  </si>
  <si>
    <t>--</t>
  </si>
  <si>
    <t>Annual Balance Sheet</t>
  </si>
  <si>
    <t>Cash &amp; cash equivalents</t>
  </si>
  <si>
    <t>Financial investments</t>
  </si>
  <si>
    <t>Trade receivables</t>
  </si>
  <si>
    <t>Goodwill &amp; Other Intagibles</t>
  </si>
  <si>
    <t>Other non-current assets</t>
  </si>
  <si>
    <t>Short-term debt</t>
  </si>
  <si>
    <t>Income tax payable</t>
  </si>
  <si>
    <t>Long-term debt</t>
  </si>
  <si>
    <t>Pensions and commitments</t>
  </si>
  <si>
    <t>Deferred tax liabilities</t>
  </si>
  <si>
    <t>Total net assets</t>
  </si>
  <si>
    <t>Total equity</t>
  </si>
  <si>
    <t>Net debt:</t>
  </si>
  <si>
    <t>Net cash/(debt)</t>
  </si>
  <si>
    <t>Deferred tax &amp; other current assets</t>
  </si>
  <si>
    <t>Trade &amp; other payables</t>
  </si>
  <si>
    <t>Other current liabilities (incl accrued liabs)</t>
  </si>
  <si>
    <t>Contract liabilities</t>
  </si>
  <si>
    <t>Other non-current liabilities (incl accrued liabs)</t>
  </si>
  <si>
    <t>Provisions (Contract liabilities)</t>
  </si>
  <si>
    <t>Total Debt</t>
  </si>
  <si>
    <t>Total "Cash"</t>
  </si>
  <si>
    <t>Annual Cash Flow Statement</t>
  </si>
  <si>
    <t>Net income (discontinued ops)</t>
  </si>
  <si>
    <t>Other non--cash items</t>
  </si>
  <si>
    <t>Deferred income tax</t>
  </si>
  <si>
    <t>Change in (assets)/liabilities</t>
  </si>
  <si>
    <t>Net cash from operating activities</t>
  </si>
  <si>
    <t>Proceeds/(purchase) - investments</t>
  </si>
  <si>
    <t>Acquisitions of subsidiaries, net</t>
  </si>
  <si>
    <t>Purchase of other intangibles, etc.</t>
  </si>
  <si>
    <t>Capital expenditure</t>
  </si>
  <si>
    <t>Other investing activities</t>
  </si>
  <si>
    <t>Net cash used in investing activities</t>
  </si>
  <si>
    <t>Raise/(Repay) debt</t>
  </si>
  <si>
    <t>Proceeds from share issuance</t>
  </si>
  <si>
    <t>Share buyback</t>
  </si>
  <si>
    <t>Dividend payments</t>
  </si>
  <si>
    <t>Other financing activities</t>
  </si>
  <si>
    <t>Net cash from financing activities</t>
  </si>
  <si>
    <t>Net change in cash</t>
  </si>
  <si>
    <t>F/x effect</t>
  </si>
  <si>
    <t>Cash &amp; CE - BoP</t>
  </si>
  <si>
    <t>Cash &amp; CE - EoP</t>
  </si>
  <si>
    <t>Free cash flow:</t>
  </si>
  <si>
    <t>Net OpCF (continuing ops)</t>
  </si>
  <si>
    <t>Net Investing cash flow</t>
  </si>
  <si>
    <t>Net investments and Acquistions</t>
  </si>
  <si>
    <t>Free cash flow (ASML definition)</t>
  </si>
  <si>
    <t>Share-based comp.</t>
  </si>
  <si>
    <t>Valuation Matrix (€m)</t>
  </si>
  <si>
    <t>Share Price (€)</t>
  </si>
  <si>
    <t>Number of Shares (m)</t>
  </si>
  <si>
    <t>Market Cap (€m) - average</t>
  </si>
  <si>
    <t>Enterprise Value (€m) - average</t>
  </si>
  <si>
    <t>Price/book value (x)</t>
  </si>
  <si>
    <t>Price/FCF (x)</t>
  </si>
  <si>
    <t>EV/Sales (x)</t>
  </si>
  <si>
    <t>EV/Sales FY1 (x)</t>
  </si>
  <si>
    <t>EV/EBITDA (x)</t>
  </si>
  <si>
    <t>EV/EBITDA FY1 (x)</t>
  </si>
  <si>
    <t>EV/IC (x)</t>
  </si>
  <si>
    <t>Per share data (€):</t>
  </si>
  <si>
    <t>Dividends per share</t>
  </si>
  <si>
    <t>FCF per share</t>
  </si>
  <si>
    <t>Book value per share</t>
  </si>
  <si>
    <t>Ratio Analysis</t>
  </si>
  <si>
    <t>Interest cover (x)</t>
  </si>
  <si>
    <t>Cash Conversion</t>
  </si>
  <si>
    <t>Net debt/Equity</t>
  </si>
  <si>
    <t>Dividend/FCF</t>
  </si>
  <si>
    <t>Payout ratio (DPS/EPS)</t>
  </si>
  <si>
    <t>Capex/Sales</t>
  </si>
  <si>
    <t>yy growth:</t>
  </si>
  <si>
    <t>Sales growth</t>
  </si>
  <si>
    <t>FCF growth</t>
  </si>
  <si>
    <t>Dividend growth</t>
  </si>
  <si>
    <t>Margin structure:</t>
  </si>
  <si>
    <t>ROIC calculation:</t>
  </si>
  <si>
    <t>Tax charge for the year - €m</t>
  </si>
  <si>
    <t>Net Interest Expense/(Income)- €m</t>
  </si>
  <si>
    <t>NOPLAT - €m</t>
  </si>
  <si>
    <t>Net WC</t>
  </si>
  <si>
    <t>Goodwill &amp; Other Intangibles</t>
  </si>
  <si>
    <t>Invested Capital</t>
  </si>
  <si>
    <t>Using historic averages or current price for forecast years</t>
  </si>
  <si>
    <t>This is an assumed average for the fiscal year</t>
  </si>
  <si>
    <t>This is taking the arithmetic median between YE current year and year before - proxy average</t>
  </si>
  <si>
    <t>1yr forward implied P/E</t>
  </si>
  <si>
    <t>Using net asset value from balance sheet (year end)</t>
  </si>
  <si>
    <t>Using MS definition of FCF</t>
  </si>
  <si>
    <t>1yr forward implied EV/Sales</t>
  </si>
  <si>
    <t>Assumed as proxy for dividend cover</t>
  </si>
  <si>
    <t>Dividend payout ratio using adj EPS</t>
  </si>
  <si>
    <t>Looking only at PP&amp;E spend (not incluidng spend on other intangibles as IFX often does)</t>
  </si>
  <si>
    <t>Operating profit- €m</t>
  </si>
  <si>
    <t>See working panel below for calculation</t>
  </si>
  <si>
    <t>Against M/cap</t>
  </si>
  <si>
    <r>
      <rPr>
        <u/>
        <sz val="9"/>
        <color theme="1"/>
        <rFont val="Arial"/>
        <family val="2"/>
      </rPr>
      <t>Note</t>
    </r>
    <r>
      <rPr>
        <sz val="10"/>
        <color theme="1"/>
        <rFont val="Arial"/>
        <family val="2"/>
      </rPr>
      <t>: Our definition of FCF is coincident with the company's this time</t>
    </r>
  </si>
  <si>
    <t>Net debt/(cash) (€m) - average</t>
  </si>
  <si>
    <t>EPS - Diluted</t>
  </si>
  <si>
    <t>EPS (€) - Basic</t>
  </si>
  <si>
    <t>EPS (€) - Diluted</t>
  </si>
  <si>
    <t>DPS (€)</t>
  </si>
  <si>
    <t>Using EBIT; capital employed as total assets minus current liabs</t>
  </si>
  <si>
    <t>Using net income over average shareholders equity</t>
  </si>
  <si>
    <t>Using EBITDA and actual OpCF (not just on continuing ops)</t>
  </si>
  <si>
    <t>EBIT growth</t>
  </si>
  <si>
    <t>EPS growth</t>
  </si>
  <si>
    <t>EBITDA growth</t>
  </si>
  <si>
    <t>EBIT margin</t>
  </si>
  <si>
    <t>Net margin</t>
  </si>
  <si>
    <t>2025e</t>
  </si>
  <si>
    <t>Any margin expansion is contingent on ASP rise, which in turn relies on productivity gain with new systems]</t>
  </si>
  <si>
    <t>check buyback schedule</t>
  </si>
  <si>
    <t>beware: shouldn’t go negative</t>
  </si>
  <si>
    <t>note: BS plug</t>
  </si>
  <si>
    <t>ASML won't recognise revenues until '2022' on first four R&amp;D tools (€270m each)</t>
  </si>
  <si>
    <t>Stock</t>
  </si>
  <si>
    <t>ASML Holding NV</t>
  </si>
  <si>
    <t>MW Required tags</t>
  </si>
  <si>
    <t>Statutory tax rate</t>
  </si>
  <si>
    <t>Period end basic shares</t>
  </si>
  <si>
    <t>Average basic shares</t>
  </si>
  <si>
    <t>Average diluted shares</t>
  </si>
  <si>
    <t>Accumulated depreciation</t>
  </si>
  <si>
    <t>ND</t>
  </si>
  <si>
    <t>Total share capital</t>
  </si>
  <si>
    <t>Retained earnings</t>
  </si>
  <si>
    <t>ADR Ratio</t>
  </si>
  <si>
    <t xml:space="preserve">Changes in cash </t>
  </si>
  <si>
    <t>Issuance of shares</t>
  </si>
  <si>
    <t>MW KEIs</t>
  </si>
  <si>
    <t>Current diluted shares</t>
  </si>
  <si>
    <t>EV Adj.</t>
  </si>
  <si>
    <t>Europe</t>
  </si>
  <si>
    <t>Sales by technology</t>
  </si>
  <si>
    <t>EUV - Low NA</t>
  </si>
  <si>
    <t>ArFi</t>
  </si>
  <si>
    <t>ArF Dry</t>
  </si>
  <si>
    <t>GM% - by technology</t>
  </si>
  <si>
    <t>Gross profit - by technology</t>
  </si>
  <si>
    <t>IBM per installed system</t>
  </si>
  <si>
    <t>margins heading towards immersion levels wrt time</t>
  </si>
  <si>
    <t>See better initial margins than low NA given the system supply chain is largely similar (bar mirrors)</t>
  </si>
  <si>
    <t>Immersion could see upaide to 60% margin assumed as better productitvity machines ship</t>
  </si>
  <si>
    <t>use of eBeam sees margins head towards 75%</t>
  </si>
  <si>
    <t xml:space="preserve">TMT Conference </t>
  </si>
  <si>
    <t>Share Price (EUR)</t>
  </si>
  <si>
    <t>Market Cap (EURm)</t>
  </si>
  <si>
    <t>Revenue</t>
  </si>
  <si>
    <t>R&amp;D/Sales</t>
  </si>
  <si>
    <t>SG&amp;A/Sales</t>
  </si>
  <si>
    <t>Cash Flow</t>
  </si>
  <si>
    <t>Operating Cash Flow</t>
  </si>
  <si>
    <t>Capex</t>
  </si>
  <si>
    <t>Inventory</t>
  </si>
  <si>
    <t>Days of Inventory</t>
  </si>
  <si>
    <t>Net Debt/(Cash)</t>
  </si>
  <si>
    <t>Net Debt/EBITDA</t>
  </si>
  <si>
    <t>Valuation</t>
  </si>
  <si>
    <t>Price/Book</t>
  </si>
  <si>
    <t>FCF Yield</t>
  </si>
  <si>
    <t>ASML - Financial Summary</t>
  </si>
  <si>
    <t>NOT LINKED</t>
  </si>
  <si>
    <t>EPS (EUR) - Diluted</t>
  </si>
  <si>
    <t xml:space="preserve">P/E FY1 (x) </t>
  </si>
  <si>
    <t>P/E FY1 (x)</t>
  </si>
  <si>
    <t>P/E (x)</t>
  </si>
  <si>
    <t>2026e</t>
  </si>
  <si>
    <t>2027e</t>
  </si>
  <si>
    <t>2028e</t>
  </si>
  <si>
    <t>2029e</t>
  </si>
  <si>
    <t>2030e</t>
  </si>
  <si>
    <t>CMD: 12bn program over three years</t>
  </si>
  <si>
    <t>TSMC</t>
  </si>
  <si>
    <t>Samsung</t>
  </si>
  <si>
    <t>Intel</t>
  </si>
  <si>
    <t>Micron</t>
  </si>
  <si>
    <t>Hynix</t>
  </si>
  <si>
    <t>EUV - Hyper NA</t>
  </si>
  <si>
    <t>DUV</t>
  </si>
  <si>
    <t>1Q23</t>
  </si>
  <si>
    <t>Fast shipments - carrying amount</t>
  </si>
  <si>
    <t>Recognised in Sales - qtr</t>
  </si>
  <si>
    <t>Added to carrying amount</t>
  </si>
  <si>
    <t>Fast shipments ('deferred revenues')</t>
  </si>
  <si>
    <t>Actual EUV shipped</t>
  </si>
  <si>
    <t>dy</t>
  </si>
  <si>
    <t>DUV (# systems)</t>
  </si>
  <si>
    <t>EUV - Low NA (# systems)</t>
  </si>
  <si>
    <t>EUV - High NA (# systems)</t>
  </si>
  <si>
    <t>2Q23</t>
  </si>
  <si>
    <t>assume asymptotes in time to c.5k</t>
  </si>
  <si>
    <t>3Q23</t>
  </si>
  <si>
    <t>4Q23</t>
  </si>
  <si>
    <t>1Q24</t>
  </si>
  <si>
    <t>2Q24</t>
  </si>
  <si>
    <t>3Q24</t>
  </si>
  <si>
    <t>4Q24</t>
  </si>
  <si>
    <t>EUV - Total (# systems)</t>
  </si>
  <si>
    <t>Total Backlog (# systems)</t>
  </si>
  <si>
    <t>assume trimming 8 from fast ships and as such cutting in half (or thereabouts) in 2024</t>
  </si>
  <si>
    <t>Target</t>
  </si>
  <si>
    <t>ee</t>
  </si>
  <si>
    <t>Workpad - EUV (Low NA) tools rev recognised, by customer, by quarter</t>
  </si>
  <si>
    <t>FY25e</t>
  </si>
  <si>
    <t>BtB ratio</t>
  </si>
  <si>
    <t>EXE:5000</t>
  </si>
  <si>
    <t>EXE:5200</t>
  </si>
  <si>
    <t>Total EUV</t>
  </si>
  <si>
    <t>units</t>
  </si>
  <si>
    <t>$m</t>
  </si>
  <si>
    <t>Basic (m)</t>
  </si>
  <si>
    <t>Diluted (m)</t>
  </si>
  <si>
    <t>shipping 1Q25; rev rec 4Q25</t>
  </si>
  <si>
    <t>shipped 1Q24; rev rec 4Q24</t>
  </si>
  <si>
    <t>Total High NA</t>
  </si>
  <si>
    <t>Total Backlog ($m)</t>
  </si>
  <si>
    <t>% EUV of total backlog</t>
  </si>
  <si>
    <t>We have already seen two EXE:5000s ship; one to Intel and one to veldhoven (joint run by ASML and iMEC research institute); Intel in 1Q24 and other in 2H23</t>
  </si>
  <si>
    <t>Backlog by customer (units)</t>
  </si>
  <si>
    <t>Revenue Recognised by customer (units)</t>
  </si>
  <si>
    <t>Order Intake by customer (units)</t>
  </si>
  <si>
    <t>Backlog by customer ($m)</t>
  </si>
  <si>
    <t>EXE:5200 - Average price per system ($m)</t>
  </si>
  <si>
    <t>Assume no more 5000 orders</t>
  </si>
  <si>
    <t>EXE:5000 - Average price per system ($m)</t>
  </si>
  <si>
    <t>Revenue by customer ($m)</t>
  </si>
  <si>
    <t>Hyper NA</t>
  </si>
  <si>
    <t>shipping 4Q24; rev rec 3Q25</t>
  </si>
  <si>
    <t>2Q26e</t>
  </si>
  <si>
    <t>3Q26e</t>
  </si>
  <si>
    <t>4Q26e</t>
  </si>
  <si>
    <t>Assume c.40 tools in 2022 and c.50 in 2023 and 2024; 70+ in 2025</t>
  </si>
  <si>
    <t>Assume 2 pilot tools in 2024; MSD tools in 2025 and 15-20 in 2027+ (??)</t>
  </si>
  <si>
    <t>Assume unlikely to see anything other than a pilot line shipment before 2030; HVM ramp c.2034/35</t>
  </si>
  <si>
    <t>Assume on growth in fabs for bulk semis (14nm - 28nm); for now, assume  c.90 in 2022 and 100-110 in 2023</t>
  </si>
  <si>
    <t>Assume matches same # tools as EUV + immersion (note: tracks at that level , with range of 0.8x - 1.2x, per Q for last 3-4 years)</t>
  </si>
  <si>
    <t xml:space="preserve">The Micron one is to go to Albany (NYCREATES) and think ships 1Q25; </t>
  </si>
  <si>
    <t>Ships 1Q25</t>
  </si>
  <si>
    <t>shipping 4Q24; rev rec 3Q26</t>
  </si>
  <si>
    <t>ship late 2025; rev rec 2026</t>
  </si>
  <si>
    <t>ship in 2027 and rev rec in 2028</t>
  </si>
  <si>
    <t>SUMMARY: EUV and total Backlog - by customer</t>
  </si>
  <si>
    <t>Sales, Units, Bookings &amp; Backlog</t>
  </si>
  <si>
    <t>Order Intake (units)</t>
  </si>
  <si>
    <t>Implied DUV Order Intake</t>
  </si>
  <si>
    <t>Order Intake (EURm)</t>
  </si>
  <si>
    <t>Implied Backlog (units)</t>
  </si>
  <si>
    <t>Implied Backlog (EURm)</t>
  </si>
  <si>
    <t>Bookings - Systems</t>
  </si>
  <si>
    <t>Sales - Systems</t>
  </si>
  <si>
    <t>(rounding, obsolesence, etc.)</t>
  </si>
  <si>
    <t>ek</t>
  </si>
  <si>
    <t>net off the other net change in WC here</t>
  </si>
  <si>
    <t>We think others like Rapidus in Japan will have access to this EXE:5000 tool; probably ships last</t>
  </si>
  <si>
    <t>System Sales (EURm) - by technology</t>
  </si>
  <si>
    <t>Units 'Shipped' (Rev. Recog.) - by technology</t>
  </si>
  <si>
    <t>System ASPs (EURm) - by techology</t>
  </si>
  <si>
    <t>WORKSHEET - SYSTEM TOOLS: UNITS, SALES, BOOKINGS and BACKLOG</t>
  </si>
  <si>
    <t>FY26e</t>
  </si>
  <si>
    <t>FY24</t>
  </si>
  <si>
    <t>1Q25</t>
  </si>
  <si>
    <t>2Q25</t>
  </si>
  <si>
    <t>guide: €44-60bn</t>
  </si>
  <si>
    <t>Expect to see ship 2026 for phase2 usage (running on dummy A14 process?); o/wise assume 2028+ and first 5400 ordered for A10; rev recognition 2029; HVM ramp 2030</t>
  </si>
  <si>
    <t>ship Mar/Apr 2026 and rev rec in late 2026</t>
  </si>
  <si>
    <t>Possible ship late 2025; rev rec 2026</t>
  </si>
  <si>
    <t>For 14A (dual path so only 2 and not 4); we assume HVM now delayed to 2027 - so, 2026 first install after late 2H25 ship</t>
  </si>
  <si>
    <t>Assume 2Q26 is last ordering of 5200 - assume 5400 launched 1H26.</t>
  </si>
  <si>
    <t>FY27e</t>
  </si>
  <si>
    <t>3Q25</t>
  </si>
  <si>
    <t>FY25</t>
  </si>
  <si>
    <t>High NA orders</t>
  </si>
  <si>
    <t>Low NA orders</t>
  </si>
  <si>
    <t>Total DUV</t>
  </si>
  <si>
    <t>Revenue by customer</t>
  </si>
  <si>
    <t>Backlog by customer</t>
  </si>
  <si>
    <t>EUV Low NA - Average price per system</t>
  </si>
  <si>
    <t>Big 6 total</t>
  </si>
  <si>
    <t>Samsung Foundry</t>
  </si>
  <si>
    <t>Samsung DRAM</t>
  </si>
  <si>
    <t>Non-EUV Logic</t>
  </si>
  <si>
    <t>China Memory</t>
  </si>
  <si>
    <t>China Logic</t>
  </si>
  <si>
    <t>DUV backlog</t>
  </si>
  <si>
    <t>Revenue by customer y/y</t>
  </si>
  <si>
    <t>Total installed base</t>
  </si>
  <si>
    <t>High NA - installled units</t>
  </si>
  <si>
    <t>Low NA - installled units</t>
  </si>
  <si>
    <t>FAST SHIPMENTS</t>
  </si>
  <si>
    <t>(Implied) DUV Order intake</t>
  </si>
  <si>
    <t>ORDER BOOK AND BACKLOG</t>
  </si>
  <si>
    <t>DUV Attach rate per customer (x EUV)</t>
  </si>
  <si>
    <t>Logic/ Foundry</t>
  </si>
  <si>
    <t>Reported Units</t>
  </si>
  <si>
    <t>Implied ASP</t>
  </si>
  <si>
    <t>ASP</t>
  </si>
  <si>
    <t>ArF - installled units</t>
  </si>
  <si>
    <t>Samsung Memory</t>
  </si>
  <si>
    <t>Calculated Memory</t>
  </si>
  <si>
    <t>Reported Memory</t>
  </si>
  <si>
    <t>Calculated Logic/Foundry</t>
  </si>
  <si>
    <t>Reported Logic/Foundry</t>
  </si>
  <si>
    <t>Non-EUV Logic (inc Analog)</t>
  </si>
  <si>
    <t>EUV companies &amp; Other</t>
  </si>
  <si>
    <t>Growth q/q</t>
  </si>
  <si>
    <t>Growth y/y</t>
  </si>
  <si>
    <t>Total systems sales</t>
  </si>
  <si>
    <t>SYSTEM SALES BY CUSTOMER (TYPE)</t>
  </si>
  <si>
    <t>Total DUV (inc Metrology &amp; Inspection)</t>
  </si>
  <si>
    <t>SYSTEM SALES - BY TECHNOLOGY</t>
  </si>
  <si>
    <t>INSTALLED BASE MANAGEMENT</t>
  </si>
  <si>
    <t>IBM revenue</t>
  </si>
  <si>
    <t>IBM y/y</t>
  </si>
  <si>
    <t>IBM / System sales</t>
  </si>
  <si>
    <t>DUV total</t>
  </si>
  <si>
    <t>el</t>
  </si>
  <si>
    <t>REVENUE SUMMARY</t>
  </si>
  <si>
    <t>SK Hynix</t>
  </si>
  <si>
    <t>EUV - HIGH NA</t>
  </si>
  <si>
    <t>EUV - LOW NA</t>
  </si>
  <si>
    <t>Estimate summary</t>
  </si>
  <si>
    <t>High NA summary estimates</t>
  </si>
  <si>
    <t>Units recognised</t>
  </si>
  <si>
    <t>Other leading edge</t>
  </si>
  <si>
    <t xml:space="preserve"> </t>
  </si>
  <si>
    <t>Memory (non China)</t>
  </si>
  <si>
    <t>Logic (non China)</t>
  </si>
  <si>
    <t>DRAM (ex China)</t>
  </si>
  <si>
    <t>China memory</t>
  </si>
  <si>
    <t>Potential upside from 4th foundry</t>
  </si>
  <si>
    <t>Used systems ASP</t>
  </si>
  <si>
    <t>Total y/y</t>
  </si>
  <si>
    <t>Total q/q</t>
  </si>
  <si>
    <t>High NA IBM rev  (2 yr warranty)</t>
  </si>
  <si>
    <t xml:space="preserve">Low NA - installled units </t>
  </si>
  <si>
    <t>Low NA IBM rev (1 yr warranty)</t>
  </si>
  <si>
    <t xml:space="preserve">ArF - installled units </t>
  </si>
  <si>
    <t>ArF IBM rev (1 year warranty)</t>
  </si>
  <si>
    <t>China equipment</t>
  </si>
  <si>
    <t>China services</t>
  </si>
  <si>
    <t>Total China revenue</t>
  </si>
  <si>
    <t>China / total equipment</t>
  </si>
  <si>
    <t>China / total services</t>
  </si>
  <si>
    <t>China / total revenue</t>
  </si>
  <si>
    <t>% total equipment revenue</t>
  </si>
  <si>
    <t>China equipment y/y</t>
  </si>
  <si>
    <t>China services y/y</t>
  </si>
  <si>
    <t>Total China revenue y/y</t>
  </si>
  <si>
    <t>CHINA SPLIT</t>
  </si>
  <si>
    <t>4Q25</t>
  </si>
  <si>
    <t>1Q26</t>
  </si>
  <si>
    <t>N2 is a big node as is A14 (2027 build, 2028 use); but A16 is not (maybe 50-60k); A10 is first possible High NA but likley more A7</t>
  </si>
  <si>
    <t>Samsung DRAM spend slows late 2025 as it manages price up on scarcity; HBM still a function but lighter than Hynix say - but more in 2026 and esp 2027</t>
  </si>
  <si>
    <t>Expect OB repair in 2026-27 on emergence of some customers - albeit not many - and need for internal production kicks in after backlog worked down (2024-26)</t>
  </si>
  <si>
    <t>Still building HBM capacity in 2025-27 OB</t>
  </si>
  <si>
    <t>Expect to build more in 2027 - OB in 2026 - as readies capacity (shells) in Japan and Idaho for buildout</t>
  </si>
  <si>
    <t>Rapidus - N2 test production Apr'25 (1x EUV); bu we see issues and a postponement of  initial ramp to maybe 2028; HVM production in 2029-30?</t>
  </si>
  <si>
    <t>Raise foundry to 5-6 tools per annum on new customers (TSLA, AMD, QCOM?) and need to buildout SF2 and SF1.6 in Texas at least</t>
  </si>
  <si>
    <t>Expect Samsung to be over alloted in HBM4 and 4e with NVDA; delays build out of capacity to 2026-27 as manages up DRAM prices on scaricty and control</t>
  </si>
  <si>
    <t>Assume now bigger spend in 2027</t>
  </si>
  <si>
    <t>Assume build stabilises at 8-10 tools per annum; but could go higher on any 'capacity battle' with Samsung</t>
  </si>
  <si>
    <t>Small in 2026 as deal with closing NYC state capacity and builds shells fro Idaho and Japan. Starts to ramp in 2027.</t>
  </si>
  <si>
    <t>Maybe just Rapidus - but think build out of 2nm HVM is postponed. Just test tools meantime.</t>
  </si>
  <si>
    <t>Raising estimates to 29 tools in 2026 and 40 in 2027 on strnger capacity buildout in lead edge (N2/A16/A14) over that period</t>
  </si>
  <si>
    <t>Still small in 2026 but assume grows in 2027 on new custmers and 14A ready for internal production needs.</t>
  </si>
  <si>
    <t>note: cutting 1700 out of R&amp;D mgmt; but adding engineers this year</t>
  </si>
  <si>
    <t>assume build out of capacity</t>
  </si>
  <si>
    <t>announced new buyback program (Jan'26) ; 3 years - runs to end of 2028 with €12bn max available for buybacks over that period.  2bn to cover employee share plans and rest will be cancelled.</t>
  </si>
  <si>
    <t xml:space="preserve">20 Bank Street, Canary Wharf </t>
  </si>
  <si>
    <t xml:space="preserve">London E14 4AD </t>
  </si>
  <si>
    <t xml:space="preserve">United Kingdom </t>
  </si>
  <si>
    <t>Tel: +44 (0)20 7425 8000</t>
  </si>
  <si>
    <t>Authors: Lee Simpson,Terence Tsui,Nigel van Putten,Amelia Scicluna</t>
  </si>
  <si>
    <t>Date: 16 Apr 2026</t>
  </si>
  <si>
    <t>Ticker: ASML.AS</t>
  </si>
  <si>
    <t>Stock Rating: Overweight</t>
  </si>
  <si>
    <t>Industry: Technology - European Semiconductors</t>
  </si>
  <si>
    <t>Industry View: In-Line</t>
  </si>
  <si>
    <t>Price as of 16 Apr 2026: 1230.00</t>
  </si>
  <si>
    <t>Target Price: 1400.00</t>
  </si>
  <si>
    <t>e = Morgan Stanley Research estimates unless otherwise noted</t>
  </si>
  <si>
    <t>Source: Morgan Stanley Research unless otherwise noted</t>
  </si>
  <si>
    <t>Stocks ratings are relative to the analyst's industry coverage universe.</t>
  </si>
  <si>
    <t>Morgan Stanley does and seeks to do business with companies covered in Morgan Stanley Research. As a</t>
  </si>
  <si>
    <t>result, investors should be aware that the firm may have a conflict of interest that could affect the</t>
  </si>
  <si>
    <t>objectivity of Morgan Stanley Research. Investors should consider Morgan Stanley Research as only a</t>
  </si>
  <si>
    <t>single factor in making their investment decision.</t>
  </si>
  <si>
    <t>The information and opinions in Morgan Stanley Research were prepared or are disseminated by Morgan</t>
  </si>
  <si>
    <t>Stanley Europe S.E., regulated by Bundesanstalt fuer Finanzdienstleistungsaufsicht (BaFin) and/or Morgan</t>
  </si>
  <si>
    <t>Stanley &amp; Co. International plc, authorized by the Prudential Regulation Authority and regulated by the</t>
  </si>
  <si>
    <t>Financial Conduct Authority and the Prudential Regulation Authority. Morgan Stanley &amp; Co. International</t>
  </si>
  <si>
    <t>plc disseminates in the UK research that it has prepared, and which has been prepared by any of its</t>
  </si>
  <si>
    <t>affiliates, only to persons who (i) are investment professionals falling within Article 19(5) of the</t>
  </si>
  <si>
    <t>Financial Services and Markets Act 2000 (Financial Promotion) Order 2005 (as amended, the “Order”); (ii)</t>
  </si>
  <si>
    <t>are persons who are high net worth entities falling within Article 49(2)(a) to (d) of the Order; or</t>
  </si>
  <si>
    <t>(iii) are persons to whom an invitation or inducement to engage in investment activity (within the</t>
  </si>
  <si>
    <t>meaning of section 21 of the Financial Services and Markets Act 2000, as amended) may otherwise lawfully</t>
  </si>
  <si>
    <t>be communicated or caused to be communicated. As used in this disclosure section, Morgan Stanley</t>
  </si>
  <si>
    <t>includes RMB Morgan Stanley Proprietary Limited, Morgan Stanley Europe S.E., Morgan Stanley &amp; Co</t>
  </si>
  <si>
    <t>International plc and its affiliates.</t>
  </si>
  <si>
    <t>For important disclosures, stock price charts and equity rating histories regarding companies that are</t>
  </si>
  <si>
    <t>the subject of this report, please see the Morgan Stanley Research Disclosure Website at</t>
  </si>
  <si>
    <t>www.morganstanley.com/eqr/disclosures/webapp/generalresearch, or contact your investment representative</t>
  </si>
  <si>
    <t>or Morgan Stanley Research at 1585 Broadway, (Attention: Research Management), New York, NY, 10036 USA.</t>
  </si>
  <si>
    <t>For valuation methodology and risks associated with any recommendation, rating or price target</t>
  </si>
  <si>
    <t>referenced in this research report, please contact the Client Support Team as follows: US/Canada +1 800</t>
  </si>
  <si>
    <t>303-2495; Hong Kong +852 2848-5999; Latin America +1 718 754-5444 (U.S.); London +44 (0)20-7425-8169;</t>
  </si>
  <si>
    <t>Singapore +65 6834-6860; Sydney +61 (0)2-9770-1505; Tokyo +81 (0)3-6836-9000. Alternatively you may</t>
  </si>
  <si>
    <t>contact your investment representative or Morgan Stanley Research at 1585 Broadway, (Attention: Research</t>
  </si>
  <si>
    <t>Management), New York, NY 10036 USA.</t>
  </si>
  <si>
    <t>Analyst Certification</t>
  </si>
  <si>
    <t>The following analysts hereby certify that their views about the companies and their securities</t>
  </si>
  <si>
    <t>discussed in this report are accurately expressed and that they have not received and will not receive</t>
  </si>
  <si>
    <t>direct or indirect compensation in exchange for expressing specific recommendations or views in this</t>
  </si>
  <si>
    <t>report: Lee Simpson.</t>
  </si>
  <si>
    <t>.</t>
  </si>
  <si>
    <t>Global Research Conflict Management Policy</t>
  </si>
  <si>
    <t>Morgan Stanley Research has been published in accordance with our conflict management policy, which is</t>
  </si>
  <si>
    <t>available at www.morganstanley.com/institutional/research/conflictpolicies. A Portuguese version of the</t>
  </si>
  <si>
    <t>policy can be found at www.morganstanley.com.br</t>
  </si>
  <si>
    <t>Important Regulatory Disclosures on Subject Companies</t>
  </si>
  <si>
    <t>As of March 31, 2026, Morgan Stanley beneficially owned 1% or more of a class of common equity</t>
  </si>
  <si>
    <t>securities of the following companies covered in Morgan Stanley Research: ASML Holding NV.</t>
  </si>
  <si>
    <t>In the next 3 months, Morgan Stanley expects to receive or intends to seek compensation for investment</t>
  </si>
  <si>
    <t>banking services from ASML Holding NV.</t>
  </si>
  <si>
    <t>Within the last 12 months, Morgan Stanley has provided or is providing investment banking services to,</t>
  </si>
  <si>
    <t>or has an investment banking client relationship with, the following company: ASML Holding NV.</t>
  </si>
  <si>
    <t>The equity research analysts or strategists principally responsible for the preparation of Morgan</t>
  </si>
  <si>
    <t>Stanley Research have received compensation based upon various factors, including quality of research,</t>
  </si>
  <si>
    <t>investor client feedback, stock picking, competitive factors, firm revenues and overall investment</t>
  </si>
  <si>
    <t>banking revenues. Equity Research analysts' or strategists' compensation is not linked to investment</t>
  </si>
  <si>
    <t>banking or capital markets transactions performed by Morgan Stanley or the profitability or revenues of</t>
  </si>
  <si>
    <t>particular trading desks.</t>
  </si>
  <si>
    <t>Morgan Stanley and its affiliates do business that relates to companies/instruments covered in Morgan</t>
  </si>
  <si>
    <t>Stanley Research, including market making, providing liquidity, fund management, commercial banking,</t>
  </si>
  <si>
    <t>extension of credit, investment services and investment banking. Morgan Stanley sells to and buys from</t>
  </si>
  <si>
    <t>customers the securities/instruments of companies covered in Morgan Stanley Research on a principal</t>
  </si>
  <si>
    <t>basis. Morgan Stanley may have a position in the debt of the Company or instruments discussed in this</t>
  </si>
  <si>
    <t>report. Morgan Stanley trades or may trade as principal in the debt securities (or in related</t>
  </si>
  <si>
    <t>derivatives) that are the subject of the debt research report.</t>
  </si>
  <si>
    <t>Certain disclosures listed above are also for compliance with applicable regulations in non-US</t>
  </si>
  <si>
    <t>jurisdictions.</t>
  </si>
  <si>
    <t>STOCK RATINGS</t>
  </si>
  <si>
    <t>Morgan Stanley uses a relative rating system using terms such as Overweight, Equal-weight, Not-Rated or</t>
  </si>
  <si>
    <t>Underweight (see definitions below). Morgan Stanley does not assign ratings of Buy, Hold or Sell to the</t>
  </si>
  <si>
    <t>stocks we cover. Overweight, Equal-weight, Not-Rated and Underweight are not the equivalent of buy, hold</t>
  </si>
  <si>
    <t>and sell. Investors should carefully read the definitions of all ratings used in Morgan Stanley</t>
  </si>
  <si>
    <t>Research. In addition, since Morgan Stanley Research contains more complete information concerning the</t>
  </si>
  <si>
    <t>analyst's views, investors should carefully read Morgan Stanley Research, in its entirety, and not infer</t>
  </si>
  <si>
    <t>the contents from the rating alone. In any case, ratings (or research) should not be used or relied</t>
  </si>
  <si>
    <t>upon as investment advice. An investor's decision to buy or sell a stock should depend on individual</t>
  </si>
  <si>
    <t>circumstances (such as the investor's existing holdings) and other considerations.</t>
  </si>
  <si>
    <t>Global Stock Ratings Distribution</t>
  </si>
  <si>
    <t>(as of March 31, 2026)</t>
  </si>
  <si>
    <t>The Stock Ratings described below apply to Morgan Stanley's Fundamental Equity Research and do not apply</t>
  </si>
  <si>
    <t>to Debt Research produced by the Firm.</t>
  </si>
  <si>
    <t>For disclosure purposes only (in accordance with FINRA requirements), we include the category headings</t>
  </si>
  <si>
    <t>of Buy, Hold, and Sell alongside our ratings of Overweight, Equal-weight, Not-Rated and Underweight.</t>
  </si>
  <si>
    <t>Morgan Stanley does not assign ratings of Buy, Hold or Sell to the stocks we cover. Overweight,</t>
  </si>
  <si>
    <t>Equal-weight, Not-Rated and Underweight are not the equivalent of buy, hold, and sell but represent</t>
  </si>
  <si>
    <t>recommended relative weightings (see definitions below). To satisfy regulatory requirements, we</t>
  </si>
  <si>
    <t>correspond Overweight, our most positive stock rating, with a buy recommendation; we correspond</t>
  </si>
  <si>
    <t>Equal-weight and Not-Rated to hold and Underweight to sell recommendations, respectively.</t>
  </si>
  <si>
    <t>Coverage Universe</t>
  </si>
  <si>
    <t>Investment Banking Clients (IBC)</t>
  </si>
  <si>
    <t>Other Material Investment Services Clients (MISC)</t>
  </si>
  <si>
    <t>Stock Rating Category</t>
  </si>
  <si>
    <t>Count</t>
  </si>
  <si>
    <t>% of Total</t>
  </si>
  <si>
    <t>% of Total IBC</t>
  </si>
  <si>
    <t>% of Rating Category</t>
  </si>
  <si>
    <t>% of Total Other MISC</t>
  </si>
  <si>
    <t>Overweight/Buy</t>
  </si>
  <si>
    <t>Equal-weight/Hold</t>
  </si>
  <si>
    <t>Not-Rated/Hold</t>
  </si>
  <si>
    <t>Underweight/Sell</t>
  </si>
  <si>
    <t>Data include common stock and ADRs currently assigned ratings. Investment Banking Clients are companies</t>
  </si>
  <si>
    <t>from whom Morgan Stanley received investment banking compensation in the last 12 months. Due to rounding</t>
  </si>
  <si>
    <t>off of decimals, the percentages provided in the "% of total" column may not add up to exactly 100</t>
  </si>
  <si>
    <t>percent.</t>
  </si>
  <si>
    <t>Analyst Stock Ratings</t>
  </si>
  <si>
    <t>Overweight (O). The stock's total return is expected to exceed the average total return of the analyst's</t>
  </si>
  <si>
    <t>industry (or industry team's) coverage universe, on a risk-adjusted basis, over the next 12-18 months.</t>
  </si>
  <si>
    <t>Equal-weight (E). The stock's total return is expected to be in line with the average total return of</t>
  </si>
  <si>
    <t>the analyst's industry (or industry team's) coverage universe, on a risk-adjusted basis, over the next</t>
  </si>
  <si>
    <t>12-18 months.</t>
  </si>
  <si>
    <t>Not-Rated (NR). Currently the analyst does not have adequate conviction about the stock's total return</t>
  </si>
  <si>
    <t>relative to the average total return of the analyst's industry (or industry team's) coverage universe,</t>
  </si>
  <si>
    <t>on a risk-adjusted basis, over the next 12-18 months.</t>
  </si>
  <si>
    <t>Underweight (U). The stock's total return is expected to be below the average total return of the</t>
  </si>
  <si>
    <t>analyst's industry (or industry team's) coverage universe, on a risk-adjusted basis, over the next 12-18</t>
  </si>
  <si>
    <t>months.</t>
  </si>
  <si>
    <t>Unless otherwise specified, the time frame for price targets included in Morgan Stanley Research is 12</t>
  </si>
  <si>
    <t>to 18 months.</t>
  </si>
  <si>
    <t>Analyst Industry Views</t>
  </si>
  <si>
    <t>Attractive (A): The analyst expects the performance of his or her industry coverage universe over the</t>
  </si>
  <si>
    <t>next 12-18 months to be attractive vs. the relevant broad market benchmark, as indicated below.</t>
  </si>
  <si>
    <t>In-Line (I): The analyst expects the performance of his or her industry coverage universe over the next</t>
  </si>
  <si>
    <t>12-18 months to be in line with the relevant broad market benchmark, as indicated below.</t>
  </si>
  <si>
    <t>Cautious (C): The analyst views the performance of his or her industry coverage universe over the next</t>
  </si>
  <si>
    <t>12-18 months with caution vs. the relevant broad market benchmark, as indicated below.</t>
  </si>
  <si>
    <t>Benchmarks for each region are as follows: North America - S&amp;P 500; Latin America - relevant MSCI</t>
  </si>
  <si>
    <t>country index or MSCI Latin America Index; Europe - MSCI Europe; Japan - TOPIX; Asia - relevant MSCI</t>
  </si>
  <si>
    <t>country index or MSCI sub-regional index or MSCI AC Asia Pacific ex Japan Index.</t>
  </si>
  <si>
    <t>Stock Price, Price Target and Rating History (See Rating Definitions)</t>
  </si>
  <si>
    <t>Important Disclosures for Morgan Stanley Smith Barney LLC Customers</t>
  </si>
  <si>
    <t>Important disclosures regarding any material conflict of interest that can reasonably be expected to</t>
  </si>
  <si>
    <t>have influenced Morgan Stanley Smith Barney LLC's choice of a third-party research provider or the</t>
  </si>
  <si>
    <t>subject company of a third-party research report, are available on the Morgan Stanley Wealth Management</t>
  </si>
  <si>
    <t>disclosure website at www.morganstanley.com/online/researchdisclosures. For Morgan Stanley specific</t>
  </si>
  <si>
    <t>disclosures, you may refer to https://www.morganstanley.com/eqr/disclosures/webapp/generalresearch.</t>
  </si>
  <si>
    <t>Each Morgan Stanley research report is reviewed and approved on behalf of Morgan Stanley Smith Barney</t>
  </si>
  <si>
    <t>LLC. This review and approval is conducted by the same person who reviews the research report on behalf</t>
  </si>
  <si>
    <t>of Morgan Stanley. This could create a conflict of interest.</t>
  </si>
  <si>
    <t>Other Important Disclosures</t>
  </si>
  <si>
    <t>Morgan Stanley Research policy is to update research reports as and when the Research Analyst and</t>
  </si>
  <si>
    <t>Research Management deem appropriate, based on developments with the issuer, the sector, or the market</t>
  </si>
  <si>
    <t>that may have a material impact on the research views or opinions stated therein. In addition, certain</t>
  </si>
  <si>
    <t>Research publications are intended to be updated on a regular periodic basis</t>
  </si>
  <si>
    <t>(weekly/monthly/quarterly/annual) and will ordinarily be updated with that frequency, unless the</t>
  </si>
  <si>
    <t>Research Analyst and Research Management determine that a different publication schedule is appropriate</t>
  </si>
  <si>
    <t>based on current conditions.</t>
  </si>
  <si>
    <t>Morgan Stanley is not acting as a municipal advisor and the opinions or views contained herein are not</t>
  </si>
  <si>
    <t>intended to be, and do not constitute, advice within the meaning of Section 975 of the Dodd-Frank Wall</t>
  </si>
  <si>
    <t>Street Reform and Consumer Protection Act.</t>
  </si>
  <si>
    <t>Morgan Stanley produces an equity research product called a "Tactical Idea." Views contained in a</t>
  </si>
  <si>
    <t>"Tactical Idea" on a particular stock may be contrary to the recommendations or views expressed in</t>
  </si>
  <si>
    <t>research on the same stock. This may be the result of differing time horizons, methodologies, market</t>
  </si>
  <si>
    <t>events, or other factors. For all research available on a particular stock, please contact your sales</t>
  </si>
  <si>
    <t>representative or go to Matrix at http://www.morganstanley.com/matrix.</t>
  </si>
  <si>
    <t>Morgan Stanley Research is provided to our clients through our proprietary research portal on Matrix and</t>
  </si>
  <si>
    <t>also distributed electronically by Morgan Stanley to clients. Certain, but not all, Morgan Stanley</t>
  </si>
  <si>
    <t>Research products are also made available to clients through third-party vendors or redistributed to</t>
  </si>
  <si>
    <t>clients through alternate electronic means as a convenience. For access to all available Morgan Stanley</t>
  </si>
  <si>
    <t>Research, please contact your sales representative or go to Matrix at</t>
  </si>
  <si>
    <t>http://www.morganstanley.com/matrix.</t>
  </si>
  <si>
    <t>Any access and/or use of Morgan Stanley Research is subject to Morgan Stanley's Terms of Use</t>
  </si>
  <si>
    <t>(http://www.morganstanley.com/terms.html). By accessing and/or using Morgan Stanley Research, you are</t>
  </si>
  <si>
    <t>indicating that you have read and agree to be bound by our Terms of Use</t>
  </si>
  <si>
    <t>(http://www.morganstanley.com/terms.html). In addition you consent to Morgan Stanley processing your</t>
  </si>
  <si>
    <t>personal data and using cookies in accordance with our Privacy Policy and our Global Cookies Policy</t>
  </si>
  <si>
    <t>(http://www.morganstanley.com/privacy_pledge.html), including for the purposes of setting your</t>
  </si>
  <si>
    <t>preferences and to collect readership data so that we can deliver better and more personalized service</t>
  </si>
  <si>
    <t>and products to you. To find out more information about how Morgan Stanley processes personal data, how</t>
  </si>
  <si>
    <t>we use cookies and how to reject cookies see our Privacy Policy and our Global Cookies Policy</t>
  </si>
  <si>
    <t>(http://www.morganstanley.com/privacy_pledge.html). Please use the provided link to review the Terms and</t>
  </si>
  <si>
    <t>Conditions and Most Important Terms and Conditions for Morgan Stanley India Company Private Limited</t>
  </si>
  <si>
    <t>(https://www.morganstanley.com/assets/pdfs/about-us-global-offices/india/Terms_and_conditions.pdf) and</t>
  </si>
  <si>
    <t>the following link to review the audit report</t>
  </si>
  <si>
    <t>(https://ny.matrix.ms.com/eqr/research/webapp/researchdocs/MSICPL_Morgan_Stanley_Research_Audit_Report.pdf).</t>
  </si>
  <si>
    <t>If you do not agree to our Terms of Use and/or if you do not wish to provide your consent to Morgan</t>
  </si>
  <si>
    <t>Stanley processing your personal data or using cookies please do not access our research.</t>
  </si>
  <si>
    <t>Morgan Stanley Research does not provide individually tailored investment advice. Morgan Stanley</t>
  </si>
  <si>
    <t>Research has been prepared without regard to the circumstances and objectives of those who receive it.</t>
  </si>
  <si>
    <t>Morgan Stanley recommends that investors independently evaluate particular investments and strategies,</t>
  </si>
  <si>
    <t>and encourages investors to seek the advice of a financial adviser. The appropriateness of an investment</t>
  </si>
  <si>
    <t>or strategy will depend on an investor's circumstances and objectives. The securities, instruments, or</t>
  </si>
  <si>
    <t>strategies discussed in Morgan Stanley Research may not be suitable for all investors, and certain</t>
  </si>
  <si>
    <t>investors may not be eligible to purchase or participate in some or all of them. Morgan Stanley Research</t>
  </si>
  <si>
    <t>is not an offer to buy or sell or the solicitation of an offer to buy or sell any security/instrument or</t>
  </si>
  <si>
    <t>to participate in any particular trading strategy. The value of and income from your investments may</t>
  </si>
  <si>
    <t>vary because of changes in interest rates, foreign exchange rates, default rates, prepayment rates,</t>
  </si>
  <si>
    <t>securities/instruments prices, market indexes, operational or financial conditions of companies or other</t>
  </si>
  <si>
    <t>factors. There may be time limitations on the exercise of options or other rights in</t>
  </si>
  <si>
    <t>securities/instruments transactions. Past performance is not necessarily a guide to future performance.</t>
  </si>
  <si>
    <t>Estimates of future performance are based on assumptions that may not be realized. If provided, and</t>
  </si>
  <si>
    <t>unless otherwise stated, the closing price on the cover page is that of the primary exchange for the</t>
  </si>
  <si>
    <t>subject company's securities/instruments.</t>
  </si>
  <si>
    <t>The fixed income research analysts, strategists or economists principally responsible for the</t>
  </si>
  <si>
    <t>preparation of Morgan Stanley Research have received compensation based upon various factors, including</t>
  </si>
  <si>
    <t>quality, accuracy and value of research, firm profitability or revenues (which include fixed income</t>
  </si>
  <si>
    <t>trading and capital markets profitability or revenues), client feedback and competitive factors. Fixed</t>
  </si>
  <si>
    <t>Income Research analysts', strategists' or economists' compensation is not linked to investment banking</t>
  </si>
  <si>
    <t>or capital markets transactions performed by Morgan Stanley or the profitability or revenues of</t>
  </si>
  <si>
    <t>The "Important Regulatory Disclosures on Subject Companies" section in Morgan Stanley Research lists all</t>
  </si>
  <si>
    <t>companies mentioned where Morgan Stanley owns 1% or more of a class of common equity securities of the</t>
  </si>
  <si>
    <t>companies. For all other companies mentioned in Morgan Stanley Research, Morgan Stanley may have an</t>
  </si>
  <si>
    <t>investment of less than 1% in securities/instruments or derivatives of securities/instruments of</t>
  </si>
  <si>
    <t>companies and may trade them in ways different from those discussed in Morgan Stanley Research.</t>
  </si>
  <si>
    <t>Employees of Morgan Stanley not involved in the preparation of Morgan Stanley Research may have</t>
  </si>
  <si>
    <t>investments in securities/instruments or derivatives of securities/instruments of companies mentioned</t>
  </si>
  <si>
    <t>and may trade them in ways different from those discussed in Morgan Stanley Research. Derivatives may be</t>
  </si>
  <si>
    <t>issued by Morgan Stanley or associated persons.</t>
  </si>
  <si>
    <t>With the exception of information regarding Morgan Stanley, Morgan Stanley Research is based on public</t>
  </si>
  <si>
    <t>information. Morgan Stanley makes every effort to use reliable, comprehensive information, but we make</t>
  </si>
  <si>
    <t>no representation that it is accurate or complete. We have no obligation to tell you when opinions or</t>
  </si>
  <si>
    <t>information in Morgan Stanley Research change apart from when we intend to discontinue equity research</t>
  </si>
  <si>
    <t>coverage of a subject company. Facts and views presented in Morgan Stanley Research have not been</t>
  </si>
  <si>
    <t>reviewed by, and may not reflect information known to, professionals in other Morgan Stanley business</t>
  </si>
  <si>
    <t>areas, including investment banking personnel.</t>
  </si>
  <si>
    <t>Morgan Stanley Research personnel may participate in company events such as site visits and are</t>
  </si>
  <si>
    <t>generally prohibited from accepting payment by the company of associated expenses unless pre-approved by</t>
  </si>
  <si>
    <t>authorized members of Research management.</t>
  </si>
  <si>
    <t>Morgan Stanley may make investment decisions that are inconsistent with the recommendations or views in</t>
  </si>
  <si>
    <t>this report.</t>
  </si>
  <si>
    <t>To our readers based in Taiwan or trading in Taiwan securities/instruments: Information on</t>
  </si>
  <si>
    <t>securities/instruments that trade in Taiwan is distributed by Morgan Stanley Taiwan Limited ("MSTL").</t>
  </si>
  <si>
    <t>Such information is for your reference only. The reader should independently evaluate the investment</t>
  </si>
  <si>
    <t>risks and is solely responsible for their investment decisions. Morgan Stanley Research may not be</t>
  </si>
  <si>
    <t>distributed to the public media or quoted or used by the public media without the express written</t>
  </si>
  <si>
    <t>consent of Morgan Stanley. Any non-customer reader within the scope of Article 7-1 of the Taiwan Stock</t>
  </si>
  <si>
    <t>Exchange Recommendation Regulations accessing and/or receiving Morgan Stanley Research is not permitted</t>
  </si>
  <si>
    <t>to provide Morgan Stanley Research to any third party (including but not limited to related parties,</t>
  </si>
  <si>
    <t>affiliated companies and any other third parties) or engage in any activities regarding Morgan Stanley</t>
  </si>
  <si>
    <t>Research which may create or give the appearance of creating a conflict of interest. Information on</t>
  </si>
  <si>
    <t>securities/instruments that do not trade in Taiwan is for informational purposes only and is not to be</t>
  </si>
  <si>
    <t>construed as a recommendation or a solicitation to trade in such securities/instruments. MSTL may not</t>
  </si>
  <si>
    <t>execute transactions for clients in these securities/instruments.</t>
  </si>
  <si>
    <t>Morgan Stanley is not incorporated under PRC law and the research in relation to this report is</t>
  </si>
  <si>
    <t>conducted outside the PRC. Morgan Stanley Research does not constitute an offer to sell or the</t>
  </si>
  <si>
    <t>solicitation of an offer to buy any securities in the PRC. PRC investors shall have the relevant</t>
  </si>
  <si>
    <t>qualifications to invest in such securities and shall be responsible for obtaining all relevant</t>
  </si>
  <si>
    <t>approvals, licenses, verifications and/or registrations from the relevant governmental authorities</t>
  </si>
  <si>
    <t>themselves. Neither this report nor any part of it is intended as, or shall constitute, provision of any</t>
  </si>
  <si>
    <t>consultancy or advisory service of securities investment as defined under PRC law. Such information is</t>
  </si>
  <si>
    <t>provided for your reference only.</t>
  </si>
  <si>
    <t>Morgan Stanley Research is disseminated in Brazil by Morgan Stanley C.T.V.M. S.A. located at Av.</t>
  </si>
  <si>
    <t>Brigadeiro Faria Lima, 3600, 6th floor, São Paulo - SP, Brazil; and is regulated by the Comissão de</t>
  </si>
  <si>
    <t>Valores Mobiliários; in Mexico by Morgan Stanley México, Casa de Bolsa, S.A. de C.V which is regulated</t>
  </si>
  <si>
    <t>by Comision Nacional Bancaria y de Valores. Paseo de los Tamarindos 90, Torre 1, Col. Bosques de las</t>
  </si>
  <si>
    <t>Lomas Floor 29, 05120 Mexico City; in Japan by Morgan Stanley MUFG Securities Co., Ltd. and, for</t>
  </si>
  <si>
    <t>Commodities related research reports only, Morgan Stanley Capital Group Japan Co., Ltd; in Hong Kong by</t>
  </si>
  <si>
    <t>Morgan Stanley Asia Limited (which accepts responsibility for its contents) and by Morgan Stanley Bank</t>
  </si>
  <si>
    <t>Asia Limited; in Singapore by Morgan Stanley Asia (Singapore) Pte. (Registration number 199206298Z)</t>
  </si>
  <si>
    <t>and/or Morgan Stanley Asia (Singapore) Securities Pte Ltd (Registration number 200008434H), regulated by</t>
  </si>
  <si>
    <t>the Monetary Authority of Singapore (which accepts legal responsibility for its contents and should be</t>
  </si>
  <si>
    <t>contacted with respect to any matters arising from, or in connection with, Morgan Stanley Research) and</t>
  </si>
  <si>
    <t>by Morgan Stanley Bank Asia Limited, Singapore Branch (Registration number T14FC0118J); in Australia to</t>
  </si>
  <si>
    <t>"wholesale clients" within the meaning of the Australian Corporations Act by Morgan Stanley Australia</t>
  </si>
  <si>
    <t>Limited A.B.N. 67 003 734 576, holder of Australian financial services license No. 233742, which accepts</t>
  </si>
  <si>
    <t>responsibility for its contents; in Australia to "wholesale clients" and "retail clients" within the</t>
  </si>
  <si>
    <t>meaning of the Australian Corporations Act by Morgan Stanley Wealth Management Australia Pty Ltd (A.B.N.</t>
  </si>
  <si>
    <t>19 009 145 555, holder of Australian financial services license No. 240813, which accepts responsibility</t>
  </si>
  <si>
    <t>for its contents; in Korea by Morgan Stanley &amp; Co International plc, Seoul Branch; in India by Morgan</t>
  </si>
  <si>
    <t>Stanley India Company Private Limited having Corporate Identification No (CIN) U22990MH1998PTC115305,</t>
  </si>
  <si>
    <t>regulated by the Securities and Exchange Board of India (“SEBI”) and holder of licenses as a Research</t>
  </si>
  <si>
    <t>Analyst (SEBI Registration No. INH000001105); Stock Broker (SEBI Stock Broker Registration No.</t>
  </si>
  <si>
    <t>INZ000244438), Merchant Banker (SEBI Registration No. INM000011203), and depository participant with</t>
  </si>
  <si>
    <t>National Securities Depository Limited (SEBI Registration No. IN-DP-NSDL-567-2021) having registered</t>
  </si>
  <si>
    <t>office at Altimus, Level 39 &amp; 40, Pandurang Budhkar Marg, Worli, Mumbai 400018, India; Telephone no.</t>
  </si>
  <si>
    <t>+91-22-61181000; Compliance Officer Details: Mr. Tejarshi Hardas, Tel. No.: +91-22-61181000 or Email:</t>
  </si>
  <si>
    <t>tejarshi.hardas@morganstanley.com; Grievance officer details: Mr. Tejarshi Hardas, Tel. No.:</t>
  </si>
  <si>
    <t>+91-22-61181000 or Email: msic-compliance@morganstanley.com. Morgan Stanley India Company Private</t>
  </si>
  <si>
    <t>Limited (MSICPL) may use AI tools in providing research services. All recommendations contained herein</t>
  </si>
  <si>
    <t>are made by the duly qualified research analysts; in Canada by Morgan Stanley Canada Limited; in Germany</t>
  </si>
  <si>
    <t>and the European Economic Area where required by Morgan Stanley Europe S.E., authorised and regulated by</t>
  </si>
  <si>
    <t>Bundesanstalt fuer Finanzdienstleistungsaufsicht (BaFin) under the reference number 149169; in the US by</t>
  </si>
  <si>
    <t>Morgan Stanley &amp; Co. LLC, which accepts responsibility for its contents. Morgan Stanley &amp; Co.</t>
  </si>
  <si>
    <t>International plc, authorized by the Prudential Regulation Authority and regulated by the Financial</t>
  </si>
  <si>
    <t>Conduct Authority and the Prudential Regulation Authority, disseminates in the UK research that it has</t>
  </si>
  <si>
    <t>prepared, and research which has been prepared by any of its affiliates, only to persons who (i) are</t>
  </si>
  <si>
    <t>investment professionals falling within Article 19(5) of the Financial Services and Markets Act 2000</t>
  </si>
  <si>
    <t>(Financial Promotion) Order 2005 (as amended, the “Order”); (ii) are persons who are high net worth</t>
  </si>
  <si>
    <t>entities falling within Article 49(2)(a) to (d) of the Order; or (iii) are persons to whom an invitation</t>
  </si>
  <si>
    <t>or inducement to engage in investment activity (within the meaning of section 21 of the Financial</t>
  </si>
  <si>
    <t>Services and Markets Act 2000, as amended) may otherwise lawfully be communicated or caused to be</t>
  </si>
  <si>
    <t>communicated. RMB Morgan Stanley Proprietary Limited is a member of the JSE Limited and A2X (Pty) Ltd.</t>
  </si>
  <si>
    <t>RMB Morgan Stanley Proprietary Limited is a joint venture owned equally by Morgan Stanley International</t>
  </si>
  <si>
    <t>Holdings Inc. and RMB Investment Advisory (Proprietary) Limited, which is wholly owned by FirstRand</t>
  </si>
  <si>
    <t>Limited. The information in Morgan Stanley Research is being disseminated by Morgan Stanley Saudi</t>
  </si>
  <si>
    <t>Arabia, regulated by the Capital Market Authority in the Kingdom of Saudi Arabia, and is directed at</t>
  </si>
  <si>
    <t>Sophisticated investors only.</t>
  </si>
  <si>
    <t>The information in Morgan Stanley Research is being communicated by Morgan Stanley &amp; Co. International</t>
  </si>
  <si>
    <t>plc (DIFC Branch), regulated by the Dubai Financial Services Authority (the DFSA) or by Morgan Stanley &amp;</t>
  </si>
  <si>
    <t>Co. International plc (ADGM Branch), regulated by the Financial Services Regulatory Authority Abu Dhabi</t>
  </si>
  <si>
    <t>(the FSRA), and is directed at Professional Clients only, as defined by the DFSA or the FSRA,</t>
  </si>
  <si>
    <t>respectively. The financial products or financial services to which this research relates will only be</t>
  </si>
  <si>
    <t>made available to a customer who we are satisfied meets the regulatory criteria of a Professional</t>
  </si>
  <si>
    <t>Client. A distribution of the different MS Research ratings or recommendations, in percentage terms for</t>
  </si>
  <si>
    <t>Investments in each sector covered, is available upon request from your sales representative.</t>
  </si>
  <si>
    <t>plc (QFC Branch), regulated by the Qatar Financial Centre Regulatory Authority (the QFCRA), and is</t>
  </si>
  <si>
    <t>directed at business customers and market counterparties only and is not intended for Retail Customers</t>
  </si>
  <si>
    <t>as defined by the QFCRA.</t>
  </si>
  <si>
    <t>As required by the Capital Markets Board of Turkey, investment information, comments and recommendations</t>
  </si>
  <si>
    <t>stated here, are not within the scope of investment advisory activity. Investment advisory service is</t>
  </si>
  <si>
    <t>provided exclusively to persons based on their risk and income preferences by the authorized firms.</t>
  </si>
  <si>
    <t>Comments and recommendations stated here are general in nature. These opinions may not fit to your</t>
  </si>
  <si>
    <t>financial status, risk and return preferences. For this reason, to make an investment decision by</t>
  </si>
  <si>
    <t>relying solely to this information stated here may not bring about outcomes that fit your expectations.</t>
  </si>
  <si>
    <t>The trademarks and service marks contained in Morgan Stanley Research are the property of their</t>
  </si>
  <si>
    <t>respective owners. Third-party data providers make no warranties or representations relating to the</t>
  </si>
  <si>
    <t>accuracy, completeness, or timeliness of the data they provide and shall not have liability for any</t>
  </si>
  <si>
    <t>damages relating to such data. The Global Industry Classification Standard (GICS) was developed by and</t>
  </si>
  <si>
    <t>is the exclusive property of MSCI and S&amp;P.</t>
  </si>
  <si>
    <t>Morgan Stanley Research, or any portion thereof may not be reprinted, sold or redistributed without the</t>
  </si>
  <si>
    <t>written consent of Morgan Stanley.</t>
  </si>
  <si>
    <t>Indicators and trackers referenced in Morgan Stanley Research may not be used as, or treated as, a</t>
  </si>
  <si>
    <t>benchmark under Regulation EU 2016/1011, or any other similar framework.</t>
  </si>
  <si>
    <t>The issuers and/or fixed income products recommended or discussed in certain fixed income research</t>
  </si>
  <si>
    <t>reports may not be continuously followed. Accordingly, investors should regard those fixed income</t>
  </si>
  <si>
    <t>research reports as providing stand-alone analysis and should not expect continuing analysis or</t>
  </si>
  <si>
    <t>additional reports relating to such issuers and/or individual fixed income products.</t>
  </si>
  <si>
    <t>Morgan Stanley may hold, from time to time, material financial and commercial interests regarding the</t>
  </si>
  <si>
    <t>company subject to the Research report.</t>
  </si>
  <si>
    <t>Registration granted by SEBI and certification from the National Institute of Securities Markets (NISM)</t>
  </si>
  <si>
    <t>in no way guarantee performance of the intermediary or provide any assurance of returns to investors.</t>
  </si>
  <si>
    <t>Investment in securities market are subject to market risks. Read all the related documents carefully</t>
  </si>
  <si>
    <t>before investing.</t>
  </si>
  <si>
    <t>© Copyright 2026 Morgan Stanley</t>
  </si>
  <si>
    <t>MacroVersion</t>
  </si>
  <si>
    <t>6.10</t>
  </si>
  <si>
    <t>PublishDate</t>
  </si>
  <si>
    <t>04/16/26 06:52</t>
  </si>
  <si>
    <t>Discipline</t>
  </si>
  <si>
    <t>Research</t>
  </si>
  <si>
    <t>ResearchTopic</t>
  </si>
  <si>
    <t>Company</t>
  </si>
  <si>
    <t>DocType</t>
  </si>
  <si>
    <t>Model</t>
  </si>
  <si>
    <t>SubjectCode</t>
  </si>
  <si>
    <t>Description</t>
  </si>
  <si>
    <t>KeepVersions</t>
  </si>
  <si>
    <t>All</t>
  </si>
  <si>
    <t>Rating</t>
  </si>
  <si>
    <t>Overweight / In-Line</t>
  </si>
  <si>
    <t>CurrYearTotalRevenue*</t>
  </si>
  <si>
    <t>CurrYearEPS*</t>
  </si>
  <si>
    <t>NextYearTotalRevenue*</t>
  </si>
  <si>
    <t>NextYearEPS*</t>
  </si>
  <si>
    <t>FollowingYearTotalRevenue*</t>
  </si>
  <si>
    <t>FollowingYearEPS*</t>
  </si>
  <si>
    <t>5YearGrowthRate</t>
  </si>
  <si>
    <t>UpdateReason</t>
  </si>
  <si>
    <t>Regular Update</t>
  </si>
  <si>
    <t>Authors</t>
  </si>
  <si>
    <t>MSA2G551, MSA12482, MSA6G696, MSA4L945</t>
  </si>
  <si>
    <t>Tickers</t>
  </si>
  <si>
    <t>CUSIP</t>
  </si>
  <si>
    <t>N07059137</t>
  </si>
  <si>
    <t>RIC</t>
  </si>
  <si>
    <t>SEDOL</t>
  </si>
  <si>
    <t>B929F46</t>
  </si>
  <si>
    <t>Current Stock Price</t>
  </si>
  <si>
    <t>1230.00</t>
  </si>
  <si>
    <t>Currency</t>
  </si>
  <si>
    <t>PathName</t>
  </si>
  <si>
    <t>L:\TECH\TECH HARDWARE\01. Semiconductors\01. Companies\ASML\02. Modelling\MS_ASML_WIP_150426.xlsx</t>
  </si>
  <si>
    <t>Distribution</t>
  </si>
  <si>
    <t>0</t>
  </si>
  <si>
    <t>Deleted</t>
  </si>
  <si>
    <t>NO</t>
  </si>
  <si>
    <t>EmailAlert</t>
  </si>
  <si>
    <t>YES</t>
  </si>
  <si>
    <t>CurrQtrEPS</t>
  </si>
  <si>
    <t>CYEnd</t>
  </si>
  <si>
    <t>CQEnd</t>
  </si>
  <si>
    <t>CurrYearTotalRevenueActual*</t>
  </si>
  <si>
    <t>NextYearTotalRevenueActual*</t>
  </si>
  <si>
    <t>FollowingYearTotalRevenueActual*</t>
  </si>
  <si>
    <t>Multiplier</t>
  </si>
  <si>
    <t>1000000</t>
  </si>
  <si>
    <t>TemplateRegion</t>
  </si>
  <si>
    <t>ObjectType</t>
  </si>
  <si>
    <t>excel</t>
  </si>
  <si>
    <t>LanguageCode</t>
  </si>
  <si>
    <t>en-US</t>
  </si>
  <si>
    <t>SubmitterUserId</t>
  </si>
  <si>
    <t>sciclame</t>
  </si>
  <si>
    <t>IndustryId</t>
  </si>
  <si>
    <t>1700000974</t>
  </si>
  <si>
    <t>TickerRegion</t>
  </si>
  <si>
    <t>4</t>
  </si>
  <si>
    <t>AdditionalInstructions</t>
  </si>
  <si>
    <t>*Estimated</t>
  </si>
  <si>
    <t>OwnerTeam</t>
  </si>
  <si>
    <t>I1700000668</t>
  </si>
  <si>
    <t>[BRO MSA]</t>
  </si>
  <si>
    <t>[DOCDAT 2026-04-16]</t>
  </si>
  <si>
    <t>[DOCTIME 06:52]</t>
  </si>
  <si>
    <t>[PSYM ASML.AS(S&amp;P) (None)]</t>
  </si>
  <si>
    <t>[COU Netherlands]</t>
  </si>
  <si>
    <t>[PRODUCT MODEL]</t>
  </si>
  <si>
    <t>[ANA MSA12482,MSA6G696,MSA4L945]</t>
  </si>
  <si>
    <t>[HL ASML.AS Model]</t>
  </si>
  <si>
    <t>[IND Technology - Semiconductors]</t>
  </si>
  <si>
    <t>[EMAIL_ALERT YES]</t>
  </si>
  <si>
    <t>[PANA  MSA2G551]</t>
  </si>
  <si>
    <t>[DISCIPLINE Company]</t>
  </si>
  <si>
    <t>[SUPPRESSED NO]</t>
  </si>
  <si>
    <t>This workbook contains formulas which intentionally use circular reference calculation. These calculations can be resolved as intended by the originating analyst by applying the following settings in the File &gt;&gt; Options &gt;&gt; Formulas:</t>
  </si>
  <si>
    <t>1) Select the Enable iterative calculation check box</t>
  </si>
  <si>
    <t>2) Set Maximum Iterations = 100</t>
  </si>
  <si>
    <t>3) Set Maximum Change = 0.001</t>
  </si>
  <si>
    <t>Failure to apply these settings can result in incorrect calculation or unexpected termination of your Microsoft Excel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</si>
</sst>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409]d\-mmm\-yy;@"/>
    <numFmt numFmtId="165" formatCode="#,##0.0"/>
    <numFmt numFmtId="166" formatCode="0.0"/>
    <numFmt numFmtId="167" formatCode="0.0%"/>
    <numFmt numFmtId="168" formatCode="#,##0.0000"/>
  </numFmts>
  <fonts count="115" x14ac:knownFonts="1">
    <font>
      <sz val="11"/>
      <color rgb="FF000000"/>
      <name val="Calibri"/>
      <family val="2"/>
      <scheme val="minor"/>
    </font>
    <font>
      <sz val="10"/>
      <color theme="1"/>
      <name val="Arial"/>
      <family val="2"/>
    </font>
    <font>
      <sz val="10"/>
      <color theme="1"/>
      <name val="Arial"/>
      <family val="2"/>
    </font>
    <font>
      <sz val="10"/>
      <color theme="1"/>
      <name val="Arial"/>
      <family val="2"/>
    </font>
    <font>
      <sz val="11"/>
      <color theme="1"/>
      <name val="Arial"/>
      <family val="2"/>
    </font>
    <font>
      <sz val="10"/>
      <name val="Arial"/>
      <family val="2"/>
    </font>
    <font>
      <sz val="8"/>
      <color theme="1"/>
      <name val="Arial"/>
      <family val="2"/>
    </font>
    <font>
      <sz val="11"/>
      <color rgb="FF000000"/>
      <name val="Arial"/>
      <family val="2"/>
    </font>
    <font>
      <i/>
      <sz val="10"/>
      <color theme="1"/>
      <name val="Arial"/>
      <family val="2"/>
    </font>
    <font>
      <b/>
      <sz val="8"/>
      <color theme="1"/>
      <name val="Arial"/>
      <family val="2"/>
    </font>
    <font>
      <sz val="9"/>
      <color rgb="FF000000"/>
      <name val="Arial"/>
      <family val="2"/>
    </font>
    <font>
      <sz val="9"/>
      <name val="Arial"/>
      <family val="2"/>
    </font>
    <font>
      <sz val="9"/>
      <color rgb="FFFF0000"/>
      <name val="Arial"/>
      <family val="2"/>
    </font>
    <font>
      <sz val="10"/>
      <color indexed="8"/>
      <name val="Arial"/>
      <family val="2"/>
    </font>
    <font>
      <b/>
      <sz val="11"/>
      <name val="Arial"/>
      <family val="2"/>
    </font>
    <font>
      <sz val="9"/>
      <color indexed="8"/>
      <name val="Arial"/>
      <family val="2"/>
    </font>
    <font>
      <b/>
      <sz val="9"/>
      <name val="Arial"/>
      <family val="2"/>
    </font>
    <font>
      <b/>
      <sz val="10"/>
      <name val="Arial"/>
      <family val="2"/>
    </font>
    <font>
      <u/>
      <sz val="10"/>
      <color theme="10"/>
      <name val="Arial"/>
      <family val="2"/>
    </font>
    <font>
      <u/>
      <sz val="9"/>
      <color theme="10"/>
      <name val="Arial"/>
      <family val="2"/>
    </font>
    <font>
      <b/>
      <sz val="10"/>
      <color rgb="FFFF0000"/>
      <name val="Arial"/>
      <family val="2"/>
    </font>
    <font>
      <i/>
      <u/>
      <sz val="10"/>
      <name val="Arial"/>
      <family val="2"/>
    </font>
    <font>
      <sz val="9"/>
      <color theme="1"/>
      <name val="Arial"/>
      <family val="2"/>
    </font>
    <font>
      <b/>
      <sz val="11"/>
      <color rgb="FF000000"/>
      <name val="Arial"/>
      <family val="2"/>
    </font>
    <font>
      <b/>
      <sz val="8"/>
      <color rgb="FF000000"/>
      <name val="Arial"/>
      <family val="2"/>
    </font>
    <font>
      <sz val="8"/>
      <name val="Arial"/>
      <family val="2"/>
    </font>
    <font>
      <sz val="8"/>
      <color rgb="FF000000"/>
      <name val="Arial"/>
      <family val="2"/>
    </font>
    <font>
      <sz val="10"/>
      <color theme="0"/>
      <name val="Arial"/>
      <family val="2"/>
    </font>
    <font>
      <b/>
      <sz val="10"/>
      <color theme="0"/>
      <name val="Arial"/>
      <family val="2"/>
    </font>
    <font>
      <b/>
      <sz val="10"/>
      <color theme="4"/>
      <name val="Arial"/>
      <family val="2"/>
    </font>
    <font>
      <b/>
      <sz val="9"/>
      <color rgb="FF000000"/>
      <name val="Arial"/>
      <family val="2"/>
    </font>
    <font>
      <b/>
      <sz val="12"/>
      <color rgb="FF000000"/>
      <name val="Arial"/>
      <family val="2"/>
    </font>
    <font>
      <sz val="11"/>
      <color theme="1"/>
      <name val="Calibri"/>
      <family val="2"/>
      <scheme val="minor"/>
    </font>
    <font>
      <i/>
      <sz val="10"/>
      <name val="Arial"/>
      <family val="2"/>
    </font>
    <font>
      <sz val="10"/>
      <color theme="4"/>
      <name val="Arial"/>
      <family val="2"/>
    </font>
    <font>
      <sz val="10"/>
      <color rgb="FFFF0000"/>
      <name val="Arial"/>
      <family val="2"/>
    </font>
    <font>
      <sz val="10"/>
      <name val="Verdana"/>
      <family val="2"/>
    </font>
    <font>
      <u/>
      <sz val="10"/>
      <name val="Arial"/>
      <family val="2"/>
    </font>
    <font>
      <u/>
      <sz val="10"/>
      <color rgb="FFFF0000"/>
      <name val="Arial"/>
      <family val="2"/>
    </font>
    <font>
      <sz val="10"/>
      <color theme="9"/>
      <name val="Arial"/>
      <family val="2"/>
    </font>
    <font>
      <sz val="10"/>
      <color rgb="FF000000"/>
      <name val="Arial"/>
      <family val="2"/>
    </font>
    <font>
      <b/>
      <u/>
      <sz val="10"/>
      <name val="Arial"/>
      <family val="2"/>
    </font>
    <font>
      <b/>
      <sz val="12"/>
      <name val="Arial"/>
      <family val="2"/>
    </font>
    <font>
      <b/>
      <sz val="9"/>
      <color indexed="81"/>
      <name val="Tahoma"/>
      <family val="2"/>
    </font>
    <font>
      <sz val="9"/>
      <color indexed="81"/>
      <name val="Tahoma"/>
      <family val="2"/>
    </font>
    <font>
      <sz val="10"/>
      <color indexed="10"/>
      <name val="Arial"/>
      <family val="2"/>
    </font>
    <font>
      <sz val="10"/>
      <color indexed="16"/>
      <name val="Arial"/>
      <family val="2"/>
    </font>
    <font>
      <sz val="10"/>
      <color rgb="FF00B050"/>
      <name val="Arial"/>
      <family val="2"/>
    </font>
    <font>
      <u/>
      <sz val="10"/>
      <color indexed="10"/>
      <name val="Arial"/>
      <family val="2"/>
    </font>
    <font>
      <u/>
      <sz val="10"/>
      <color theme="1"/>
      <name val="Arial"/>
      <family val="2"/>
    </font>
    <font>
      <b/>
      <sz val="10"/>
      <color indexed="23"/>
      <name val="Arial"/>
      <family val="2"/>
    </font>
    <font>
      <sz val="10"/>
      <color indexed="23"/>
      <name val="Arial"/>
      <family val="2"/>
    </font>
    <font>
      <b/>
      <sz val="10"/>
      <color theme="0" tint="-4.9989318521683403E-2"/>
      <name val="Arial"/>
      <family val="2"/>
    </font>
    <font>
      <sz val="10"/>
      <color theme="0" tint="-0.499984740745262"/>
      <name val="Arial"/>
      <family val="2"/>
    </font>
    <font>
      <b/>
      <sz val="10"/>
      <color indexed="9"/>
      <name val="Arial"/>
      <family val="2"/>
    </font>
    <font>
      <b/>
      <sz val="10"/>
      <color theme="1"/>
      <name val="Arial"/>
      <family val="2"/>
    </font>
    <font>
      <sz val="10"/>
      <color theme="8"/>
      <name val="Arial"/>
      <family val="2"/>
    </font>
    <font>
      <b/>
      <sz val="10"/>
      <color theme="8"/>
      <name val="Arial"/>
      <family val="2"/>
    </font>
    <font>
      <sz val="9"/>
      <color rgb="FF00B050"/>
      <name val="Arial"/>
      <family val="2"/>
    </font>
    <font>
      <b/>
      <sz val="9"/>
      <color rgb="FFFF0000"/>
      <name val="Arial"/>
      <family val="2"/>
    </font>
    <font>
      <sz val="9"/>
      <color theme="8"/>
      <name val="Arial"/>
      <family val="2"/>
    </font>
    <font>
      <b/>
      <sz val="11"/>
      <color theme="8"/>
      <name val="Arial"/>
      <family val="2"/>
    </font>
    <font>
      <b/>
      <sz val="9"/>
      <color theme="8"/>
      <name val="Arial"/>
      <family val="2"/>
    </font>
    <font>
      <b/>
      <i/>
      <u/>
      <sz val="10"/>
      <name val="Arial"/>
      <family val="2"/>
    </font>
    <font>
      <i/>
      <u/>
      <sz val="10"/>
      <color theme="1"/>
      <name val="Arial"/>
      <family val="2"/>
    </font>
    <font>
      <u/>
      <sz val="9"/>
      <color theme="1"/>
      <name val="Arial"/>
      <family val="2"/>
    </font>
    <font>
      <i/>
      <sz val="9"/>
      <name val="Arial"/>
      <family val="2"/>
    </font>
    <font>
      <sz val="9"/>
      <color theme="9"/>
      <name val="Arial"/>
      <family val="2"/>
    </font>
    <font>
      <u/>
      <sz val="11"/>
      <color theme="10"/>
      <name val="Calibri"/>
      <family val="2"/>
      <scheme val="minor"/>
    </font>
    <font>
      <b/>
      <sz val="9"/>
      <color theme="1"/>
      <name val="Arial"/>
      <family val="2"/>
    </font>
    <font>
      <sz val="9"/>
      <color theme="0"/>
      <name val="Arial"/>
      <family val="2"/>
    </font>
    <font>
      <b/>
      <sz val="9"/>
      <color theme="0"/>
      <name val="Arial"/>
      <family val="2"/>
    </font>
    <font>
      <b/>
      <sz val="12"/>
      <color theme="1"/>
      <name val="Arial"/>
      <family val="2"/>
    </font>
    <font>
      <i/>
      <sz val="9"/>
      <color theme="1"/>
      <name val="Arial"/>
      <family val="2"/>
    </font>
    <font>
      <b/>
      <u/>
      <sz val="9"/>
      <color theme="1"/>
      <name val="Arial"/>
      <family val="2"/>
    </font>
    <font>
      <sz val="8"/>
      <name val="Calibri"/>
      <family val="2"/>
      <scheme val="minor"/>
    </font>
    <font>
      <sz val="8"/>
      <color rgb="FFFF0000"/>
      <name val="Arial"/>
      <family val="2"/>
    </font>
    <font>
      <b/>
      <sz val="8.5"/>
      <color theme="0" tint="-4.9989318521683403E-2"/>
      <name val="Roboto"/>
    </font>
    <font>
      <b/>
      <sz val="8.5"/>
      <color theme="1"/>
      <name val="Roboto"/>
    </font>
    <font>
      <sz val="8.5"/>
      <color theme="1"/>
      <name val="Roboto Light"/>
    </font>
    <font>
      <b/>
      <sz val="14"/>
      <name val="Arial"/>
      <family val="2"/>
    </font>
    <font>
      <sz val="12"/>
      <name val="Arial"/>
      <family val="2"/>
    </font>
    <font>
      <sz val="9"/>
      <color theme="4"/>
      <name val="Arial"/>
      <family val="2"/>
    </font>
    <font>
      <b/>
      <sz val="9"/>
      <color theme="4"/>
      <name val="Arial"/>
      <family val="2"/>
    </font>
    <font>
      <i/>
      <u/>
      <sz val="9"/>
      <name val="Arial"/>
      <family val="2"/>
    </font>
    <font>
      <b/>
      <u/>
      <sz val="9"/>
      <name val="Arial"/>
      <family val="2"/>
    </font>
    <font>
      <u/>
      <sz val="9"/>
      <name val="Arial"/>
      <family val="2"/>
    </font>
    <font>
      <sz val="9"/>
      <color indexed="10"/>
      <name val="Arial"/>
      <family val="2"/>
    </font>
    <font>
      <b/>
      <i/>
      <u/>
      <sz val="9"/>
      <name val="Arial"/>
      <family val="2"/>
    </font>
    <font>
      <sz val="9"/>
      <color rgb="FF0070C0"/>
      <name val="Arial"/>
      <family val="2"/>
    </font>
    <font>
      <sz val="9"/>
      <color indexed="12"/>
      <name val="Arial"/>
      <family val="2"/>
    </font>
    <font>
      <b/>
      <sz val="9"/>
      <color rgb="FF00B050"/>
      <name val="Arial"/>
      <family val="2"/>
    </font>
    <font>
      <u/>
      <sz val="9"/>
      <color rgb="FFFF0000"/>
      <name val="Arial"/>
      <family val="2"/>
    </font>
    <font>
      <i/>
      <u/>
      <sz val="9"/>
      <color theme="1"/>
      <name val="Arial"/>
      <family val="2"/>
    </font>
    <font>
      <i/>
      <sz val="9"/>
      <color rgb="FFFF0000"/>
      <name val="Arial"/>
      <family val="2"/>
    </font>
    <font>
      <b/>
      <i/>
      <sz val="9"/>
      <color theme="1"/>
      <name val="Arial"/>
      <family val="2"/>
    </font>
    <font>
      <b/>
      <sz val="9"/>
      <color theme="9"/>
      <name val="Arial"/>
      <family val="2"/>
    </font>
    <font>
      <b/>
      <sz val="9"/>
      <color indexed="12"/>
      <name val="Arial"/>
      <family val="2"/>
    </font>
    <font>
      <b/>
      <sz val="9"/>
      <color rgb="FF0070C0"/>
      <name val="Arial"/>
      <family val="2"/>
    </font>
    <font>
      <sz val="5.5"/>
      <color theme="1"/>
      <name val="Roboto"/>
    </font>
    <font>
      <b/>
      <sz val="8.5"/>
      <color theme="0" tint="-4.9989318521683403E-2"/>
      <name val="Meiryo"/>
      <family val="2"/>
    </font>
    <font>
      <b/>
      <sz val="8.5"/>
      <color theme="1"/>
      <name val="Meiryo"/>
      <family val="2"/>
    </font>
    <font>
      <sz val="8.5"/>
      <color theme="1"/>
      <name val="Meiryo"/>
      <family val="2"/>
    </font>
    <font>
      <sz val="5.5"/>
      <color theme="1"/>
      <name val="Meiryo"/>
      <family val="2"/>
    </font>
    <font>
      <sz val="11"/>
      <color theme="1"/>
      <name val="Meiryo"/>
      <family val="2"/>
    </font>
    <font>
      <u/>
      <sz val="8"/>
      <color theme="1"/>
      <name val="Arial"/>
      <family val="2"/>
    </font>
    <font>
      <u/>
      <sz val="8"/>
      <name val="Arial"/>
      <family val="2"/>
    </font>
    <font>
      <sz val="9"/>
      <color indexed="81"/>
      <name val="Tahoma"/>
      <charset val="1"/>
    </font>
    <font>
      <b/>
      <sz val="9"/>
      <color indexed="81"/>
      <name val="Tahoma"/>
      <charset val="1"/>
    </font>
    <font>
      <sz val="9"/>
      <color indexed="81"/>
      <name val="Tahoma"/>
    </font>
    <font>
      <b/>
      <sz val="9"/>
      <color indexed="81"/>
      <name val="Tahoma"/>
    </font>
    <font>
      <i/>
      <sz val="10"/>
      <color rgb="FF000000"/>
      <name val="Arial"/>
      <family val="2"/>
    </font>
    <font>
      <b/>
      <sz val="12"/>
      <color rgb="FF000080"/>
      <name val="Arial"/>
      <family val="2"/>
    </font>
    <font>
      <sz val="14"/>
      <color rgb="FF000000"/>
      <name val="Arial"/>
      <family val="2"/>
    </font>
    <font>
      <b/>
      <u/>
      <sz val="14"/>
      <color rgb="FFFF0000"/>
      <name val="Arial"/>
      <family val="2"/>
    </font>
  </fonts>
  <fills count="29">
    <fill>
      <patternFill patternType="none"/>
    </fill>
    <fill>
      <patternFill patternType="gray125"/>
    </fill>
    <fill>
      <patternFill patternType="solid">
        <fgColor theme="0"/>
        <bgColor indexed="64"/>
      </patternFill>
    </fill>
    <fill>
      <patternFill patternType="solid">
        <fgColor theme="0" tint="-0.14999847407452621"/>
        <bgColor rgb="FF000000"/>
      </patternFill>
    </fill>
    <fill>
      <patternFill patternType="solid">
        <fgColor theme="4"/>
        <bgColor indexed="64"/>
      </patternFill>
    </fill>
    <fill>
      <patternFill patternType="solid">
        <fgColor indexed="9"/>
        <bgColor indexed="64"/>
      </patternFill>
    </fill>
    <fill>
      <patternFill patternType="solid">
        <fgColor theme="0"/>
        <bgColor rgb="FF000000"/>
      </patternFill>
    </fill>
    <fill>
      <patternFill patternType="solid">
        <fgColor theme="4"/>
        <bgColor rgb="FF000000"/>
      </patternFill>
    </fill>
    <fill>
      <patternFill patternType="solid">
        <fgColor theme="0"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005AA4"/>
        <bgColor indexed="64"/>
      </patternFill>
    </fill>
    <fill>
      <patternFill patternType="solid">
        <fgColor rgb="FF2673B2"/>
        <bgColor indexed="64"/>
      </patternFill>
    </fill>
    <fill>
      <patternFill patternType="solid">
        <fgColor rgb="FFD9E6F1"/>
        <bgColor indexed="64"/>
      </patternFill>
    </fill>
    <fill>
      <patternFill patternType="solid">
        <fgColor rgb="FFF6F1E1"/>
        <bgColor indexed="64"/>
      </patternFill>
    </fill>
    <fill>
      <patternFill patternType="solid">
        <fgColor rgb="FF80ADD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FF"/>
        <bgColor indexed="64"/>
      </patternFill>
    </fill>
    <fill>
      <patternFill patternType="solid">
        <fgColor theme="8"/>
        <bgColor indexed="64"/>
      </patternFill>
    </fill>
    <fill>
      <patternFill patternType="solid">
        <fgColor theme="1"/>
        <bgColor indexed="64"/>
      </patternFill>
    </fill>
    <fill>
      <patternFill patternType="solid">
        <fgColor rgb="FFE9EAEB"/>
        <bgColor indexed="64"/>
      </patternFill>
    </fill>
    <fill>
      <patternFill patternType="solid">
        <fgColor rgb="FFE0EEEB"/>
        <bgColor indexed="64"/>
      </patternFill>
    </fill>
    <fill>
      <patternFill patternType="solid">
        <fgColor theme="7"/>
        <bgColor indexed="64"/>
      </patternFill>
    </fill>
    <fill>
      <patternFill patternType="solid">
        <fgColor indexed="65"/>
        <bgColor indexed="64"/>
      </patternFill>
    </fill>
  </fills>
  <borders count="20">
    <border>
      <left/>
      <right/>
      <top/>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style="thin">
        <color indexed="64"/>
      </left>
      <right style="thin">
        <color indexed="64"/>
      </right>
      <top/>
      <bottom/>
      <diagonal/>
    </border>
    <border>
      <left/>
      <right/>
      <top/>
      <bottom style="hair">
        <color auto="1"/>
      </bottom>
      <diagonal/>
    </border>
    <border>
      <left style="thin">
        <color indexed="64"/>
      </left>
      <right/>
      <top style="thin">
        <color indexed="64"/>
      </top>
      <bottom style="thin">
        <color indexed="64"/>
      </bottom>
      <diagonal/>
    </border>
    <border>
      <left/>
      <right/>
      <top style="medium">
        <color theme="0" tint="-4.9989318521683403E-2"/>
      </top>
      <bottom style="medium">
        <color theme="0" tint="-4.9989318521683403E-2"/>
      </bottom>
      <diagonal/>
    </border>
    <border>
      <left/>
      <right/>
      <top/>
      <bottom style="thin">
        <color theme="0" tint="-0.34998626667073579"/>
      </bottom>
      <diagonal/>
    </border>
    <border>
      <left style="thin">
        <color indexed="64"/>
      </left>
      <right style="thin">
        <color indexed="64"/>
      </right>
      <top/>
      <bottom style="hair">
        <color indexed="64"/>
      </bottom>
      <diagonal/>
    </border>
  </borders>
  <cellStyleXfs count="31">
    <xf numFmtId="0" fontId="0" fillId="0" borderId="0"/>
    <xf numFmtId="0" fontId="5" fillId="0" borderId="0"/>
    <xf numFmtId="0" fontId="5" fillId="0" borderId="0"/>
    <xf numFmtId="0" fontId="18" fillId="0" borderId="0" applyNumberFormat="0" applyFill="0" applyBorder="0" applyAlignment="0" applyProtection="0"/>
    <xf numFmtId="9" fontId="32" fillId="0" borderId="0" applyFont="0" applyFill="0" applyBorder="0" applyAlignment="0" applyProtection="0"/>
    <xf numFmtId="0" fontId="36" fillId="0" borderId="0"/>
    <xf numFmtId="43" fontId="32" fillId="0" borderId="0" applyFont="0" applyFill="0" applyBorder="0" applyAlignment="0" applyProtection="0"/>
    <xf numFmtId="0" fontId="77" fillId="15" borderId="0" applyNumberFormat="0" applyAlignment="0">
      <alignment horizontal="center" vertical="center"/>
    </xf>
    <xf numFmtId="0" fontId="77" fillId="15" borderId="0" applyNumberFormat="0">
      <alignment horizontal="center" vertical="center"/>
    </xf>
    <xf numFmtId="0" fontId="78" fillId="25" borderId="17" applyNumberFormat="0" applyAlignment="0">
      <alignment vertical="center"/>
    </xf>
    <xf numFmtId="0" fontId="79" fillId="0" borderId="18" applyNumberFormat="0"/>
    <xf numFmtId="0" fontId="79" fillId="0" borderId="0" applyNumberFormat="0"/>
    <xf numFmtId="0" fontId="99" fillId="0" borderId="0" applyNumberFormat="0"/>
    <xf numFmtId="0" fontId="32" fillId="0" borderId="0"/>
    <xf numFmtId="0" fontId="79" fillId="17" borderId="0" applyNumberFormat="0">
      <alignment vertical="center"/>
    </xf>
    <xf numFmtId="0" fontId="79" fillId="18" borderId="0" applyNumberFormat="0">
      <alignment vertical="center"/>
    </xf>
    <xf numFmtId="0" fontId="79" fillId="26" borderId="0" applyNumberFormat="0">
      <alignment vertical="center"/>
    </xf>
    <xf numFmtId="0" fontId="79" fillId="0" borderId="18" applyNumberFormat="0">
      <alignment vertical="center"/>
    </xf>
    <xf numFmtId="0" fontId="100" fillId="15" borderId="0">
      <alignment horizontal="center" vertical="center"/>
    </xf>
    <xf numFmtId="0" fontId="100" fillId="15" borderId="0" applyAlignment="0">
      <alignment horizontal="center" vertical="center"/>
    </xf>
    <xf numFmtId="0" fontId="101" fillId="25" borderId="17" applyAlignment="0">
      <alignment vertical="center"/>
    </xf>
    <xf numFmtId="0" fontId="102" fillId="0" borderId="0"/>
    <xf numFmtId="0" fontId="102" fillId="0" borderId="18"/>
    <xf numFmtId="0" fontId="103" fillId="0" borderId="0"/>
    <xf numFmtId="0" fontId="104" fillId="0" borderId="0"/>
    <xf numFmtId="0" fontId="102" fillId="17" borderId="0">
      <alignment vertical="center"/>
    </xf>
    <xf numFmtId="0" fontId="102" fillId="18" borderId="0">
      <alignment vertical="center"/>
    </xf>
    <xf numFmtId="0" fontId="102" fillId="26" borderId="0">
      <alignment vertical="center"/>
    </xf>
    <xf numFmtId="0" fontId="102" fillId="0" borderId="18">
      <alignment vertical="center"/>
    </xf>
    <xf numFmtId="0" fontId="68" fillId="0" borderId="0" applyNumberFormat="0" applyFill="0" applyBorder="0" applyAlignment="0" applyProtection="0"/>
    <xf numFmtId="43" fontId="32" fillId="0" borderId="0" applyFont="0" applyFill="0" applyBorder="0" applyAlignment="0" applyProtection="0"/>
  </cellStyleXfs>
  <cellXfs count="925">
    <xf numFmtId="0" fontId="0" fillId="0" borderId="0" xfId="0"/>
    <xf numFmtId="0" fontId="5" fillId="3" borderId="1" xfId="1" applyFill="1" applyBorder="1"/>
    <xf numFmtId="0" fontId="5" fillId="3" borderId="2" xfId="1" applyFill="1" applyBorder="1"/>
    <xf numFmtId="0" fontId="5" fillId="3" borderId="3" xfId="1" applyFill="1" applyBorder="1"/>
    <xf numFmtId="0" fontId="5" fillId="2" borderId="4" xfId="1" applyFill="1" applyBorder="1"/>
    <xf numFmtId="0" fontId="4" fillId="2" borderId="0" xfId="0" applyFont="1" applyFill="1"/>
    <xf numFmtId="0" fontId="5" fillId="2" borderId="0" xfId="1" applyFill="1"/>
    <xf numFmtId="0" fontId="5" fillId="4" borderId="5" xfId="1" applyFill="1" applyBorder="1"/>
    <xf numFmtId="0" fontId="6" fillId="2" borderId="0" xfId="0" applyFont="1" applyFill="1"/>
    <xf numFmtId="0" fontId="7" fillId="2" borderId="0" xfId="1" applyFont="1" applyFill="1"/>
    <xf numFmtId="0" fontId="7" fillId="4" borderId="5" xfId="1" applyFont="1" applyFill="1" applyBorder="1"/>
    <xf numFmtId="0" fontId="8" fillId="2" borderId="0" xfId="0" applyFont="1" applyFill="1" applyAlignment="1">
      <alignment vertical="top" wrapText="1"/>
    </xf>
    <xf numFmtId="0" fontId="9" fillId="2" borderId="0" xfId="0" applyFont="1" applyFill="1" applyAlignment="1">
      <alignment vertical="top"/>
    </xf>
    <xf numFmtId="0" fontId="5" fillId="3" borderId="4" xfId="1" applyFill="1" applyBorder="1"/>
    <xf numFmtId="0" fontId="5" fillId="3" borderId="0" xfId="1" applyFill="1"/>
    <xf numFmtId="0" fontId="5" fillId="3" borderId="5" xfId="1" applyFill="1" applyBorder="1"/>
    <xf numFmtId="0" fontId="10" fillId="2" borderId="0" xfId="1" applyFont="1" applyFill="1"/>
    <xf numFmtId="0" fontId="11" fillId="2" borderId="3" xfId="0" applyFont="1" applyFill="1" applyBorder="1" applyAlignment="1">
      <alignment horizontal="left"/>
    </xf>
    <xf numFmtId="0" fontId="11" fillId="2" borderId="1" xfId="0" applyFont="1" applyFill="1" applyBorder="1"/>
    <xf numFmtId="0" fontId="12" fillId="2" borderId="2" xfId="0" applyFont="1" applyFill="1" applyBorder="1" applyAlignment="1">
      <alignment horizontal="center" wrapText="1"/>
    </xf>
    <xf numFmtId="3" fontId="11" fillId="2" borderId="2" xfId="0" applyNumberFormat="1" applyFont="1" applyFill="1" applyBorder="1" applyAlignment="1">
      <alignment horizontal="left" wrapText="1"/>
    </xf>
    <xf numFmtId="0" fontId="11" fillId="2" borderId="2" xfId="0" applyFont="1" applyFill="1" applyBorder="1"/>
    <xf numFmtId="0" fontId="11" fillId="2" borderId="0" xfId="0" applyFont="1" applyFill="1"/>
    <xf numFmtId="0" fontId="11" fillId="2" borderId="0" xfId="0" applyFont="1" applyFill="1" applyAlignment="1">
      <alignment horizontal="left"/>
    </xf>
    <xf numFmtId="0" fontId="11" fillId="2" borderId="5" xfId="0" applyFont="1" applyFill="1" applyBorder="1" applyAlignment="1">
      <alignment horizontal="left"/>
    </xf>
    <xf numFmtId="0" fontId="11" fillId="2" borderId="4" xfId="0" applyFont="1" applyFill="1" applyBorder="1"/>
    <xf numFmtId="0" fontId="12" fillId="2" borderId="0" xfId="0" applyFont="1" applyFill="1" applyAlignment="1">
      <alignment horizontal="center" wrapText="1"/>
    </xf>
    <xf numFmtId="3" fontId="11" fillId="2" borderId="0" xfId="0" applyNumberFormat="1" applyFont="1" applyFill="1" applyAlignment="1">
      <alignment horizontal="left" wrapText="1"/>
    </xf>
    <xf numFmtId="0" fontId="5" fillId="2" borderId="0" xfId="0" applyFont="1" applyFill="1"/>
    <xf numFmtId="0" fontId="11" fillId="2" borderId="7" xfId="0" applyFont="1" applyFill="1" applyBorder="1"/>
    <xf numFmtId="0" fontId="11" fillId="2" borderId="7" xfId="0" applyFont="1" applyFill="1" applyBorder="1" applyAlignment="1">
      <alignment horizontal="left"/>
    </xf>
    <xf numFmtId="0" fontId="11" fillId="2" borderId="8" xfId="0" applyFont="1" applyFill="1" applyBorder="1" applyAlignment="1">
      <alignment horizontal="left"/>
    </xf>
    <xf numFmtId="0" fontId="11" fillId="2" borderId="0" xfId="0" applyFont="1" applyFill="1" applyAlignment="1">
      <alignment horizontal="center" wrapText="1"/>
    </xf>
    <xf numFmtId="0" fontId="14" fillId="2" borderId="0" xfId="0" applyFont="1" applyFill="1"/>
    <xf numFmtId="0" fontId="11" fillId="2" borderId="2" xfId="2" applyFont="1" applyFill="1" applyBorder="1"/>
    <xf numFmtId="3" fontId="15" fillId="2" borderId="0" xfId="0" applyNumberFormat="1" applyFont="1" applyFill="1" applyAlignment="1">
      <alignment horizontal="center" wrapText="1"/>
    </xf>
    <xf numFmtId="9" fontId="11" fillId="2" borderId="0" xfId="0" applyNumberFormat="1" applyFont="1" applyFill="1" applyAlignment="1">
      <alignment horizontal="left" wrapText="1"/>
    </xf>
    <xf numFmtId="0" fontId="11" fillId="2" borderId="0" xfId="2" applyFont="1" applyFill="1"/>
    <xf numFmtId="0" fontId="16" fillId="2" borderId="0" xfId="2" applyFont="1" applyFill="1" applyAlignment="1">
      <alignment horizontal="left"/>
    </xf>
    <xf numFmtId="0" fontId="11" fillId="2" borderId="5" xfId="0" applyFont="1" applyFill="1" applyBorder="1"/>
    <xf numFmtId="0" fontId="11" fillId="2" borderId="7" xfId="2" applyFont="1" applyFill="1" applyBorder="1"/>
    <xf numFmtId="0" fontId="11" fillId="2" borderId="7" xfId="2" applyFont="1" applyFill="1" applyBorder="1" applyAlignment="1">
      <alignment horizontal="left"/>
    </xf>
    <xf numFmtId="0" fontId="19" fillId="2" borderId="7" xfId="3" applyFont="1" applyFill="1" applyBorder="1" applyAlignment="1" applyProtection="1"/>
    <xf numFmtId="0" fontId="11" fillId="2" borderId="6" xfId="0" applyFont="1" applyFill="1" applyBorder="1"/>
    <xf numFmtId="0" fontId="16" fillId="2" borderId="7" xfId="0" applyFont="1" applyFill="1" applyBorder="1" applyAlignment="1">
      <alignment horizontal="left"/>
    </xf>
    <xf numFmtId="0" fontId="11" fillId="2" borderId="8" xfId="0" applyFont="1" applyFill="1" applyBorder="1"/>
    <xf numFmtId="0" fontId="20" fillId="2" borderId="0" xfId="0" applyFont="1" applyFill="1" applyAlignment="1">
      <alignment horizontal="center" wrapText="1"/>
    </xf>
    <xf numFmtId="0" fontId="14" fillId="2" borderId="0" xfId="0" applyFont="1" applyFill="1" applyAlignment="1">
      <alignment horizontal="left"/>
    </xf>
    <xf numFmtId="0" fontId="5" fillId="6" borderId="0" xfId="1" applyFill="1"/>
    <xf numFmtId="0" fontId="5" fillId="7" borderId="5" xfId="1" applyFill="1" applyBorder="1"/>
    <xf numFmtId="0" fontId="5" fillId="2" borderId="1" xfId="1" applyFill="1" applyBorder="1"/>
    <xf numFmtId="0" fontId="5" fillId="2" borderId="2" xfId="1" applyFill="1" applyBorder="1"/>
    <xf numFmtId="0" fontId="5" fillId="2" borderId="3" xfId="1" applyFill="1" applyBorder="1"/>
    <xf numFmtId="0" fontId="11" fillId="2" borderId="0" xfId="1" applyFont="1" applyFill="1"/>
    <xf numFmtId="0" fontId="22" fillId="2" borderId="5" xfId="0" applyFont="1" applyFill="1" applyBorder="1" applyAlignment="1">
      <alignment horizontal="left"/>
    </xf>
    <xf numFmtId="0" fontId="10" fillId="2" borderId="5" xfId="0" applyFont="1" applyFill="1" applyBorder="1" applyAlignment="1">
      <alignment horizontal="left"/>
    </xf>
    <xf numFmtId="0" fontId="5" fillId="2" borderId="6" xfId="1" applyFill="1" applyBorder="1"/>
    <xf numFmtId="0" fontId="23" fillId="2" borderId="0" xfId="1" applyFont="1" applyFill="1"/>
    <xf numFmtId="164" fontId="24" fillId="2" borderId="0" xfId="1" applyNumberFormat="1" applyFont="1" applyFill="1" applyAlignment="1">
      <alignment horizontal="center"/>
    </xf>
    <xf numFmtId="0" fontId="25" fillId="2" borderId="0" xfId="1" applyFont="1" applyFill="1" applyAlignment="1">
      <alignment horizontal="right"/>
    </xf>
    <xf numFmtId="0" fontId="10" fillId="2" borderId="0" xfId="1" quotePrefix="1" applyFont="1" applyFill="1"/>
    <xf numFmtId="0" fontId="25" fillId="2" borderId="0" xfId="0" applyFont="1" applyFill="1"/>
    <xf numFmtId="0" fontId="25" fillId="2" borderId="0" xfId="1" applyFont="1" applyFill="1" applyAlignment="1">
      <alignment horizontal="left"/>
    </xf>
    <xf numFmtId="0" fontId="27" fillId="8" borderId="0" xfId="0" applyFont="1" applyFill="1"/>
    <xf numFmtId="0" fontId="28" fillId="8" borderId="0" xfId="0" applyFont="1" applyFill="1"/>
    <xf numFmtId="0" fontId="30" fillId="2" borderId="0" xfId="1" applyFont="1" applyFill="1"/>
    <xf numFmtId="0" fontId="16" fillId="2" borderId="0" xfId="1" applyFont="1" applyFill="1"/>
    <xf numFmtId="0" fontId="31" fillId="2" borderId="0" xfId="1" applyFont="1" applyFill="1"/>
    <xf numFmtId="0" fontId="5" fillId="9" borderId="6" xfId="1" applyFill="1" applyBorder="1"/>
    <xf numFmtId="0" fontId="5" fillId="9" borderId="7" xfId="1" applyFill="1" applyBorder="1"/>
    <xf numFmtId="0" fontId="7" fillId="9" borderId="7" xfId="1" applyFont="1" applyFill="1" applyBorder="1"/>
    <xf numFmtId="0" fontId="5" fillId="3" borderId="7" xfId="1" applyFill="1" applyBorder="1"/>
    <xf numFmtId="3" fontId="34" fillId="2" borderId="0" xfId="0" applyNumberFormat="1" applyFont="1" applyFill="1" applyAlignment="1">
      <alignment horizontal="center"/>
    </xf>
    <xf numFmtId="3" fontId="35" fillId="2" borderId="0" xfId="0" applyNumberFormat="1" applyFont="1" applyFill="1" applyAlignment="1">
      <alignment horizontal="center"/>
    </xf>
    <xf numFmtId="0" fontId="17" fillId="2" borderId="0" xfId="5" applyFont="1" applyFill="1"/>
    <xf numFmtId="0" fontId="21" fillId="2" borderId="0" xfId="5" applyFont="1" applyFill="1" applyAlignment="1">
      <alignment horizontal="right"/>
    </xf>
    <xf numFmtId="3" fontId="37" fillId="2" borderId="0" xfId="5" applyNumberFormat="1" applyFont="1" applyFill="1" applyAlignment="1">
      <alignment horizontal="center"/>
    </xf>
    <xf numFmtId="3" fontId="5" fillId="2" borderId="0" xfId="5" applyNumberFormat="1" applyFont="1" applyFill="1" applyAlignment="1">
      <alignment horizontal="center"/>
    </xf>
    <xf numFmtId="0" fontId="37" fillId="2" borderId="0" xfId="5" applyFont="1" applyFill="1" applyAlignment="1">
      <alignment horizontal="right"/>
    </xf>
    <xf numFmtId="165" fontId="39" fillId="2" borderId="0" xfId="0" applyNumberFormat="1" applyFont="1" applyFill="1" applyAlignment="1">
      <alignment horizontal="center"/>
    </xf>
    <xf numFmtId="0" fontId="40" fillId="2" borderId="0" xfId="0" applyFont="1" applyFill="1" applyAlignment="1">
      <alignment horizontal="left"/>
    </xf>
    <xf numFmtId="0" fontId="28" fillId="8" borderId="0" xfId="0" applyFont="1" applyFill="1" applyAlignment="1">
      <alignment horizontal="center"/>
    </xf>
    <xf numFmtId="0" fontId="17" fillId="2" borderId="0" xfId="0" applyFont="1" applyFill="1" applyAlignment="1">
      <alignment horizontal="center"/>
    </xf>
    <xf numFmtId="0" fontId="37" fillId="2" borderId="0" xfId="5" applyFont="1" applyFill="1"/>
    <xf numFmtId="0" fontId="5" fillId="2" borderId="0" xfId="5" applyFont="1" applyFill="1"/>
    <xf numFmtId="0" fontId="33" fillId="2" borderId="0" xfId="0" applyFont="1" applyFill="1"/>
    <xf numFmtId="0" fontId="17" fillId="11" borderId="0" xfId="0" applyFont="1" applyFill="1" applyAlignment="1">
      <alignment horizontal="center"/>
    </xf>
    <xf numFmtId="3" fontId="17" fillId="2" borderId="0" xfId="5" applyNumberFormat="1" applyFont="1" applyFill="1" applyAlignment="1">
      <alignment horizontal="center"/>
    </xf>
    <xf numFmtId="3" fontId="17" fillId="2" borderId="0" xfId="5" applyNumberFormat="1" applyFont="1" applyFill="1"/>
    <xf numFmtId="3" fontId="29" fillId="2" borderId="0" xfId="0" applyNumberFormat="1" applyFont="1" applyFill="1" applyAlignment="1">
      <alignment horizontal="center"/>
    </xf>
    <xf numFmtId="1" fontId="17" fillId="11" borderId="0" xfId="5" applyNumberFormat="1" applyFont="1" applyFill="1" applyAlignment="1">
      <alignment horizontal="center"/>
    </xf>
    <xf numFmtId="1" fontId="20" fillId="11" borderId="0" xfId="5" applyNumberFormat="1" applyFont="1" applyFill="1" applyAlignment="1">
      <alignment horizontal="center"/>
    </xf>
    <xf numFmtId="0" fontId="11" fillId="11" borderId="0" xfId="0" applyFont="1" applyFill="1"/>
    <xf numFmtId="0" fontId="17" fillId="11" borderId="0" xfId="0" applyFont="1" applyFill="1"/>
    <xf numFmtId="0" fontId="42" fillId="11" borderId="0" xfId="0" applyFont="1" applyFill="1"/>
    <xf numFmtId="3" fontId="35" fillId="2" borderId="0" xfId="5" applyNumberFormat="1" applyFont="1" applyFill="1" applyAlignment="1">
      <alignment horizontal="center"/>
    </xf>
    <xf numFmtId="3" fontId="45" fillId="2" borderId="0" xfId="5" applyNumberFormat="1" applyFont="1" applyFill="1" applyAlignment="1">
      <alignment horizontal="center"/>
    </xf>
    <xf numFmtId="9" fontId="5" fillId="2" borderId="0" xfId="4" applyFont="1" applyFill="1" applyAlignment="1">
      <alignment horizontal="center"/>
    </xf>
    <xf numFmtId="4" fontId="35" fillId="2" borderId="0" xfId="5" applyNumberFormat="1" applyFont="1" applyFill="1" applyAlignment="1">
      <alignment horizontal="center"/>
    </xf>
    <xf numFmtId="4" fontId="5" fillId="2" borderId="0" xfId="5" applyNumberFormat="1" applyFont="1" applyFill="1" applyAlignment="1">
      <alignment horizontal="center"/>
    </xf>
    <xf numFmtId="167" fontId="35" fillId="2" borderId="0" xfId="4" applyNumberFormat="1" applyFont="1" applyFill="1" applyAlignment="1">
      <alignment horizontal="center"/>
    </xf>
    <xf numFmtId="167" fontId="5" fillId="2" borderId="0" xfId="4" applyNumberFormat="1" applyFont="1" applyFill="1" applyAlignment="1">
      <alignment horizontal="center"/>
    </xf>
    <xf numFmtId="167" fontId="17" fillId="2" borderId="0" xfId="5" applyNumberFormat="1" applyFont="1" applyFill="1"/>
    <xf numFmtId="0" fontId="17" fillId="11" borderId="0" xfId="5" applyFont="1" applyFill="1"/>
    <xf numFmtId="0" fontId="41" fillId="2" borderId="0" xfId="5" applyFont="1" applyFill="1"/>
    <xf numFmtId="3" fontId="38" fillId="2" borderId="0" xfId="5" applyNumberFormat="1" applyFont="1" applyFill="1" applyAlignment="1">
      <alignment horizontal="center"/>
    </xf>
    <xf numFmtId="1" fontId="28" fillId="8" borderId="0" xfId="5" applyNumberFormat="1" applyFont="1" applyFill="1" applyAlignment="1">
      <alignment horizontal="center"/>
    </xf>
    <xf numFmtId="9" fontId="46" fillId="2" borderId="0" xfId="4" applyFont="1" applyFill="1" applyAlignment="1">
      <alignment horizontal="center"/>
    </xf>
    <xf numFmtId="9" fontId="17" fillId="2" borderId="0" xfId="5" applyNumberFormat="1" applyFont="1" applyFill="1"/>
    <xf numFmtId="0" fontId="21" fillId="2" borderId="0" xfId="5" applyFont="1" applyFill="1"/>
    <xf numFmtId="0" fontId="47" fillId="2" borderId="0" xfId="5" applyFont="1" applyFill="1"/>
    <xf numFmtId="0" fontId="5" fillId="2" borderId="0" xfId="5" applyFont="1" applyFill="1" applyAlignment="1">
      <alignment horizontal="center"/>
    </xf>
    <xf numFmtId="3" fontId="20" fillId="2" borderId="0" xfId="5" applyNumberFormat="1" applyFont="1" applyFill="1" applyAlignment="1">
      <alignment horizontal="center"/>
    </xf>
    <xf numFmtId="3" fontId="35" fillId="11" borderId="0" xfId="5" applyNumberFormat="1" applyFont="1" applyFill="1" applyAlignment="1">
      <alignment horizontal="center"/>
    </xf>
    <xf numFmtId="0" fontId="17" fillId="2" borderId="0" xfId="5" applyFont="1" applyFill="1" applyAlignment="1">
      <alignment horizontal="center"/>
    </xf>
    <xf numFmtId="2" fontId="17" fillId="2" borderId="0" xfId="5" applyNumberFormat="1" applyFont="1" applyFill="1" applyAlignment="1">
      <alignment horizontal="center"/>
    </xf>
    <xf numFmtId="4" fontId="17" fillId="2" borderId="0" xfId="5" applyNumberFormat="1" applyFont="1" applyFill="1" applyAlignment="1">
      <alignment horizontal="center"/>
    </xf>
    <xf numFmtId="3" fontId="41" fillId="2" borderId="0" xfId="5" applyNumberFormat="1" applyFont="1" applyFill="1" applyAlignment="1">
      <alignment horizontal="center"/>
    </xf>
    <xf numFmtId="10" fontId="17" fillId="2" borderId="0" xfId="5" applyNumberFormat="1" applyFont="1" applyFill="1" applyAlignment="1">
      <alignment horizontal="center"/>
    </xf>
    <xf numFmtId="9" fontId="35" fillId="2" borderId="0" xfId="5" applyNumberFormat="1" applyFont="1" applyFill="1" applyAlignment="1">
      <alignment horizontal="center"/>
    </xf>
    <xf numFmtId="9" fontId="5" fillId="2" borderId="0" xfId="5" applyNumberFormat="1" applyFont="1" applyFill="1" applyAlignment="1">
      <alignment horizontal="center"/>
    </xf>
    <xf numFmtId="9" fontId="35" fillId="2" borderId="0" xfId="4" applyFont="1" applyFill="1" applyAlignment="1">
      <alignment horizontal="center"/>
    </xf>
    <xf numFmtId="49" fontId="41" fillId="2" borderId="0" xfId="5" applyNumberFormat="1" applyFont="1" applyFill="1"/>
    <xf numFmtId="0" fontId="17" fillId="2" borderId="0" xfId="5" applyFont="1" applyFill="1" applyAlignment="1">
      <alignment horizontal="right"/>
    </xf>
    <xf numFmtId="3" fontId="48" fillId="2" borderId="0" xfId="5" applyNumberFormat="1" applyFont="1" applyFill="1" applyAlignment="1">
      <alignment horizontal="center"/>
    </xf>
    <xf numFmtId="9" fontId="17" fillId="2" borderId="0" xfId="4" applyFont="1" applyFill="1" applyBorder="1"/>
    <xf numFmtId="167" fontId="45" fillId="2" borderId="0" xfId="5" applyNumberFormat="1" applyFont="1" applyFill="1" applyAlignment="1">
      <alignment horizontal="center"/>
    </xf>
    <xf numFmtId="0" fontId="41" fillId="2" borderId="0" xfId="5" applyFont="1" applyFill="1" applyAlignment="1">
      <alignment horizontal="left"/>
    </xf>
    <xf numFmtId="0" fontId="17" fillId="2" borderId="0" xfId="0" applyFont="1" applyFill="1" applyAlignment="1">
      <alignment horizontal="right"/>
    </xf>
    <xf numFmtId="3" fontId="35" fillId="2" borderId="2" xfId="5" applyNumberFormat="1" applyFont="1" applyFill="1" applyBorder="1" applyAlignment="1">
      <alignment horizontal="center"/>
    </xf>
    <xf numFmtId="0" fontId="33" fillId="2" borderId="0" xfId="5" applyFont="1" applyFill="1" applyAlignment="1">
      <alignment horizontal="right"/>
    </xf>
    <xf numFmtId="167" fontId="35" fillId="2" borderId="0" xfId="5" applyNumberFormat="1" applyFont="1" applyFill="1" applyAlignment="1">
      <alignment horizontal="center"/>
    </xf>
    <xf numFmtId="3" fontId="41" fillId="2" borderId="0" xfId="5" applyNumberFormat="1" applyFont="1" applyFill="1"/>
    <xf numFmtId="0" fontId="41" fillId="2" borderId="0" xfId="5" applyFont="1" applyFill="1" applyAlignment="1">
      <alignment horizontal="center"/>
    </xf>
    <xf numFmtId="0" fontId="17" fillId="2" borderId="2" xfId="5" applyFont="1" applyFill="1" applyBorder="1"/>
    <xf numFmtId="167" fontId="35" fillId="2" borderId="0" xfId="4" applyNumberFormat="1" applyFont="1" applyFill="1" applyBorder="1" applyAlignment="1">
      <alignment horizontal="center"/>
    </xf>
    <xf numFmtId="167" fontId="5" fillId="2" borderId="0" xfId="4" applyNumberFormat="1" applyFont="1" applyFill="1" applyBorder="1" applyAlignment="1">
      <alignment horizontal="center"/>
    </xf>
    <xf numFmtId="9" fontId="5" fillId="2" borderId="0" xfId="4" applyFont="1" applyFill="1" applyBorder="1" applyAlignment="1">
      <alignment horizontal="center"/>
    </xf>
    <xf numFmtId="0" fontId="37" fillId="2" borderId="0" xfId="5" applyFont="1" applyFill="1" applyAlignment="1">
      <alignment horizontal="left"/>
    </xf>
    <xf numFmtId="0" fontId="5" fillId="2" borderId="0" xfId="5" applyFont="1" applyFill="1" applyAlignment="1">
      <alignment horizontal="left"/>
    </xf>
    <xf numFmtId="3" fontId="47" fillId="2" borderId="0" xfId="5" applyNumberFormat="1" applyFont="1" applyFill="1" applyAlignment="1">
      <alignment horizontal="center"/>
    </xf>
    <xf numFmtId="165" fontId="17" fillId="2" borderId="0" xfId="5" applyNumberFormat="1" applyFont="1" applyFill="1" applyAlignment="1">
      <alignment horizontal="center"/>
    </xf>
    <xf numFmtId="3" fontId="49" fillId="2" borderId="0" xfId="5" applyNumberFormat="1" applyFont="1" applyFill="1" applyAlignment="1">
      <alignment horizontal="center"/>
    </xf>
    <xf numFmtId="0" fontId="35" fillId="2" borderId="0" xfId="0" applyFont="1" applyFill="1" applyAlignment="1">
      <alignment horizontal="center"/>
    </xf>
    <xf numFmtId="0" fontId="47" fillId="2" borderId="0" xfId="5" applyFont="1" applyFill="1" applyAlignment="1">
      <alignment horizontal="right"/>
    </xf>
    <xf numFmtId="9" fontId="35" fillId="2" borderId="0" xfId="0" applyNumberFormat="1" applyFont="1" applyFill="1" applyAlignment="1">
      <alignment horizontal="center"/>
    </xf>
    <xf numFmtId="1" fontId="17" fillId="2" borderId="0" xfId="5" applyNumberFormat="1" applyFont="1" applyFill="1" applyAlignment="1">
      <alignment horizontal="center"/>
    </xf>
    <xf numFmtId="0" fontId="17" fillId="11" borderId="0" xfId="5" applyFont="1" applyFill="1" applyAlignment="1">
      <alignment horizontal="center"/>
    </xf>
    <xf numFmtId="0" fontId="20" fillId="11" borderId="0" xfId="0" applyFont="1" applyFill="1" applyAlignment="1">
      <alignment horizontal="center"/>
    </xf>
    <xf numFmtId="0" fontId="5" fillId="11" borderId="0" xfId="5" applyFont="1" applyFill="1" applyAlignment="1">
      <alignment horizontal="center"/>
    </xf>
    <xf numFmtId="3" fontId="17" fillId="2" borderId="13" xfId="5" applyNumberFormat="1" applyFont="1" applyFill="1" applyBorder="1" applyAlignment="1">
      <alignment horizontal="center"/>
    </xf>
    <xf numFmtId="0" fontId="17" fillId="2" borderId="13" xfId="5" applyFont="1" applyFill="1" applyBorder="1"/>
    <xf numFmtId="3" fontId="5" fillId="2" borderId="2" xfId="5" applyNumberFormat="1" applyFont="1" applyFill="1" applyBorder="1" applyAlignment="1">
      <alignment horizontal="center"/>
    </xf>
    <xf numFmtId="0" fontId="50" fillId="2" borderId="0" xfId="5" applyFont="1" applyFill="1"/>
    <xf numFmtId="3" fontId="51" fillId="2" borderId="0" xfId="5" applyNumberFormat="1" applyFont="1" applyFill="1" applyAlignment="1">
      <alignment horizontal="center"/>
    </xf>
    <xf numFmtId="0" fontId="28" fillId="8" borderId="0" xfId="5" applyFont="1" applyFill="1" applyAlignment="1">
      <alignment horizontal="center"/>
    </xf>
    <xf numFmtId="0" fontId="17" fillId="8" borderId="0" xfId="5" applyFont="1" applyFill="1"/>
    <xf numFmtId="0" fontId="52" fillId="8" borderId="0" xfId="5" applyFont="1" applyFill="1"/>
    <xf numFmtId="3" fontId="46" fillId="2" borderId="0" xfId="5" applyNumberFormat="1" applyFont="1" applyFill="1" applyAlignment="1">
      <alignment horizontal="center"/>
    </xf>
    <xf numFmtId="3" fontId="53" fillId="2" borderId="0" xfId="5" applyNumberFormat="1" applyFont="1" applyFill="1" applyAlignment="1">
      <alignment horizontal="center"/>
    </xf>
    <xf numFmtId="9" fontId="45" fillId="2" borderId="0" xfId="4" applyFont="1" applyFill="1" applyAlignment="1">
      <alignment horizontal="center"/>
    </xf>
    <xf numFmtId="166" fontId="17" fillId="2" borderId="0" xfId="5" applyNumberFormat="1" applyFont="1" applyFill="1" applyAlignment="1">
      <alignment horizontal="center"/>
    </xf>
    <xf numFmtId="9" fontId="17" fillId="2" borderId="0" xfId="4" applyFont="1" applyFill="1" applyBorder="1" applyAlignment="1">
      <alignment horizontal="center"/>
    </xf>
    <xf numFmtId="0" fontId="20" fillId="2" borderId="0" xfId="5" applyFont="1" applyFill="1" applyAlignment="1">
      <alignment horizontal="center"/>
    </xf>
    <xf numFmtId="9" fontId="17" fillId="2" borderId="0" xfId="5" applyNumberFormat="1" applyFont="1" applyFill="1" applyAlignment="1">
      <alignment horizontal="center"/>
    </xf>
    <xf numFmtId="168" fontId="5" fillId="2" borderId="0" xfId="5" applyNumberFormat="1" applyFont="1" applyFill="1" applyAlignment="1">
      <alignment horizontal="center"/>
    </xf>
    <xf numFmtId="3" fontId="5" fillId="2" borderId="0" xfId="4" applyNumberFormat="1" applyFont="1" applyFill="1" applyBorder="1" applyAlignment="1">
      <alignment horizontal="center"/>
    </xf>
    <xf numFmtId="3" fontId="17" fillId="2" borderId="7" xfId="5" applyNumberFormat="1" applyFont="1" applyFill="1" applyBorder="1" applyAlignment="1">
      <alignment horizontal="center"/>
    </xf>
    <xf numFmtId="0" fontId="17" fillId="11" borderId="7" xfId="5" applyFont="1" applyFill="1" applyBorder="1"/>
    <xf numFmtId="0" fontId="17" fillId="2" borderId="7" xfId="5" applyFont="1" applyFill="1" applyBorder="1"/>
    <xf numFmtId="3" fontId="5" fillId="2" borderId="0" xfId="0" applyNumberFormat="1" applyFont="1" applyFill="1" applyAlignment="1">
      <alignment horizontal="center"/>
    </xf>
    <xf numFmtId="0" fontId="20" fillId="5" borderId="0" xfId="5" applyFont="1" applyFill="1"/>
    <xf numFmtId="0" fontId="54" fillId="2" borderId="0" xfId="5" applyFont="1" applyFill="1"/>
    <xf numFmtId="1" fontId="20" fillId="2" borderId="0" xfId="5" applyNumberFormat="1" applyFont="1" applyFill="1" applyAlignment="1">
      <alignment horizontal="center"/>
    </xf>
    <xf numFmtId="1" fontId="55" fillId="2" borderId="0" xfId="5" applyNumberFormat="1" applyFont="1" applyFill="1" applyAlignment="1">
      <alignment horizontal="center"/>
    </xf>
    <xf numFmtId="0" fontId="20" fillId="11" borderId="0" xfId="5" applyFont="1" applyFill="1" applyAlignment="1">
      <alignment horizontal="center"/>
    </xf>
    <xf numFmtId="1" fontId="55" fillId="11" borderId="0" xfId="5" applyNumberFormat="1" applyFont="1" applyFill="1" applyAlignment="1">
      <alignment horizontal="center"/>
    </xf>
    <xf numFmtId="0" fontId="55" fillId="2" borderId="0" xfId="0" applyFont="1" applyFill="1"/>
    <xf numFmtId="0" fontId="55" fillId="2" borderId="0" xfId="0" applyFont="1" applyFill="1" applyAlignment="1">
      <alignment horizontal="center"/>
    </xf>
    <xf numFmtId="0" fontId="17" fillId="11" borderId="0" xfId="0" applyFont="1" applyFill="1" applyAlignment="1">
      <alignment horizontal="left"/>
    </xf>
    <xf numFmtId="0" fontId="3" fillId="2" borderId="0" xfId="0" applyFont="1" applyFill="1"/>
    <xf numFmtId="0" fontId="3" fillId="2" borderId="0" xfId="0" applyFont="1" applyFill="1" applyAlignment="1">
      <alignment horizontal="center"/>
    </xf>
    <xf numFmtId="166" fontId="3" fillId="2" borderId="0" xfId="0" applyNumberFormat="1" applyFont="1" applyFill="1" applyAlignment="1">
      <alignment horizontal="center"/>
    </xf>
    <xf numFmtId="1" fontId="3" fillId="2" borderId="0" xfId="0" applyNumberFormat="1" applyFont="1" applyFill="1" applyAlignment="1">
      <alignment horizontal="center"/>
    </xf>
    <xf numFmtId="9" fontId="3" fillId="2" borderId="0" xfId="4" applyFont="1" applyFill="1" applyAlignment="1">
      <alignment horizontal="center"/>
    </xf>
    <xf numFmtId="0" fontId="3" fillId="2" borderId="2" xfId="0" applyFont="1" applyFill="1" applyBorder="1"/>
    <xf numFmtId="9" fontId="3" fillId="2" borderId="2" xfId="4" applyFont="1" applyFill="1" applyBorder="1" applyAlignment="1">
      <alignment horizontal="center"/>
    </xf>
    <xf numFmtId="0" fontId="3" fillId="10" borderId="0" xfId="0" applyFont="1" applyFill="1"/>
    <xf numFmtId="167" fontId="3" fillId="2" borderId="0" xfId="4" applyNumberFormat="1" applyFont="1" applyFill="1" applyAlignment="1">
      <alignment horizontal="center"/>
    </xf>
    <xf numFmtId="3" fontId="5" fillId="10" borderId="0" xfId="5" applyNumberFormat="1" applyFont="1" applyFill="1" applyAlignment="1">
      <alignment horizontal="center"/>
    </xf>
    <xf numFmtId="0" fontId="4" fillId="2" borderId="2" xfId="0" applyFont="1" applyFill="1" applyBorder="1"/>
    <xf numFmtId="3" fontId="3" fillId="2" borderId="0" xfId="0" applyNumberFormat="1" applyFont="1" applyFill="1" applyAlignment="1">
      <alignment horizontal="center"/>
    </xf>
    <xf numFmtId="0" fontId="3" fillId="11" borderId="0" xfId="0" applyFont="1" applyFill="1"/>
    <xf numFmtId="0" fontId="3" fillId="11" borderId="0" xfId="0" applyFont="1" applyFill="1" applyAlignment="1">
      <alignment horizontal="center"/>
    </xf>
    <xf numFmtId="0" fontId="3" fillId="11" borderId="0" xfId="5" applyFont="1" applyFill="1" applyAlignment="1">
      <alignment horizontal="right"/>
    </xf>
    <xf numFmtId="0" fontId="3" fillId="0" borderId="0" xfId="0" applyFont="1"/>
    <xf numFmtId="3" fontId="3" fillId="2" borderId="0" xfId="5" applyNumberFormat="1" applyFont="1" applyFill="1" applyAlignment="1">
      <alignment horizontal="center"/>
    </xf>
    <xf numFmtId="0" fontId="3" fillId="2" borderId="0" xfId="0" applyFont="1" applyFill="1" applyAlignment="1">
      <alignment horizontal="right"/>
    </xf>
    <xf numFmtId="0" fontId="3" fillId="2" borderId="0" xfId="5" applyFont="1" applyFill="1"/>
    <xf numFmtId="9" fontId="3" fillId="2" borderId="0" xfId="4" applyFont="1" applyFill="1" applyBorder="1" applyAlignment="1">
      <alignment horizontal="center"/>
    </xf>
    <xf numFmtId="0" fontId="3" fillId="2" borderId="0" xfId="5" applyFont="1" applyFill="1" applyAlignment="1">
      <alignment horizontal="right"/>
    </xf>
    <xf numFmtId="3" fontId="3" fillId="2" borderId="0" xfId="0" applyNumberFormat="1" applyFont="1" applyFill="1"/>
    <xf numFmtId="3" fontId="3" fillId="11" borderId="0" xfId="5" applyNumberFormat="1" applyFont="1" applyFill="1" applyAlignment="1">
      <alignment horizontal="center"/>
    </xf>
    <xf numFmtId="0" fontId="3" fillId="2" borderId="0" xfId="5" applyFont="1" applyFill="1" applyAlignment="1">
      <alignment horizontal="left"/>
    </xf>
    <xf numFmtId="167" fontId="3" fillId="2" borderId="0" xfId="4" applyNumberFormat="1" applyFont="1" applyFill="1" applyBorder="1" applyAlignment="1">
      <alignment horizontal="center"/>
    </xf>
    <xf numFmtId="0" fontId="3" fillId="11" borderId="0" xfId="5" applyFont="1" applyFill="1"/>
    <xf numFmtId="9" fontId="3" fillId="2" borderId="0" xfId="5" applyNumberFormat="1" applyFont="1" applyFill="1" applyAlignment="1">
      <alignment horizontal="center"/>
    </xf>
    <xf numFmtId="0" fontId="3" fillId="2" borderId="0" xfId="0" applyFont="1" applyFill="1" applyAlignment="1">
      <alignment horizontal="left"/>
    </xf>
    <xf numFmtId="3" fontId="3" fillId="2" borderId="2" xfId="5" applyNumberFormat="1" applyFont="1" applyFill="1" applyBorder="1" applyAlignment="1">
      <alignment horizontal="center"/>
    </xf>
    <xf numFmtId="49" fontId="3" fillId="2" borderId="0" xfId="5" applyNumberFormat="1" applyFont="1" applyFill="1"/>
    <xf numFmtId="165" fontId="3" fillId="2" borderId="0" xfId="0" applyNumberFormat="1" applyFont="1" applyFill="1" applyAlignment="1">
      <alignment horizontal="left"/>
    </xf>
    <xf numFmtId="1" fontId="3" fillId="2" borderId="0" xfId="5" applyNumberFormat="1" applyFont="1" applyFill="1"/>
    <xf numFmtId="0" fontId="3" fillId="11" borderId="0" xfId="2" applyFont="1" applyFill="1"/>
    <xf numFmtId="0" fontId="3" fillId="11" borderId="0" xfId="2" applyFont="1" applyFill="1" applyAlignment="1">
      <alignment horizontal="center"/>
    </xf>
    <xf numFmtId="0" fontId="3" fillId="2" borderId="0" xfId="0" applyFont="1" applyFill="1" applyAlignment="1">
      <alignment horizontal="left" vertical="top" wrapText="1"/>
    </xf>
    <xf numFmtId="9" fontId="3" fillId="2" borderId="0" xfId="0" applyNumberFormat="1" applyFont="1" applyFill="1" applyAlignment="1">
      <alignment horizontal="center"/>
    </xf>
    <xf numFmtId="2" fontId="3" fillId="2" borderId="0" xfId="0" applyNumberFormat="1" applyFont="1" applyFill="1" applyAlignment="1">
      <alignment horizontal="center"/>
    </xf>
    <xf numFmtId="9" fontId="3" fillId="2" borderId="0" xfId="4" applyFont="1" applyFill="1" applyBorder="1"/>
    <xf numFmtId="0" fontId="18" fillId="2" borderId="0" xfId="3" applyFill="1" applyBorder="1"/>
    <xf numFmtId="0" fontId="4" fillId="2" borderId="8" xfId="0" applyFont="1" applyFill="1" applyBorder="1"/>
    <xf numFmtId="0" fontId="4" fillId="2" borderId="7" xfId="0" applyFont="1" applyFill="1" applyBorder="1"/>
    <xf numFmtId="0" fontId="4" fillId="2" borderId="5" xfId="0" applyFont="1" applyFill="1" applyBorder="1"/>
    <xf numFmtId="0" fontId="4" fillId="0" borderId="0" xfId="0" applyFont="1" applyAlignment="1">
      <alignment horizontal="center" vertical="center"/>
    </xf>
    <xf numFmtId="0" fontId="4" fillId="2" borderId="6" xfId="0" applyFont="1" applyFill="1" applyBorder="1"/>
    <xf numFmtId="0" fontId="4" fillId="2" borderId="4" xfId="0" applyFont="1" applyFill="1" applyBorder="1"/>
    <xf numFmtId="0" fontId="4" fillId="2" borderId="3" xfId="0" applyFont="1" applyFill="1" applyBorder="1"/>
    <xf numFmtId="0" fontId="4" fillId="2" borderId="1" xfId="0" applyFont="1" applyFill="1" applyBorder="1"/>
    <xf numFmtId="0" fontId="4" fillId="2" borderId="0" xfId="0" applyFont="1" applyFill="1" applyAlignment="1">
      <alignment horizontal="left" vertical="top" wrapText="1"/>
    </xf>
    <xf numFmtId="0" fontId="4" fillId="2" borderId="2" xfId="0" applyFont="1" applyFill="1" applyBorder="1" applyAlignment="1">
      <alignment horizontal="left"/>
    </xf>
    <xf numFmtId="0" fontId="4" fillId="2" borderId="2" xfId="0" applyFont="1" applyFill="1" applyBorder="1" applyAlignment="1">
      <alignment horizontal="center"/>
    </xf>
    <xf numFmtId="0" fontId="4" fillId="2" borderId="1" xfId="0" applyFont="1" applyFill="1" applyBorder="1" applyAlignment="1">
      <alignment horizontal="center"/>
    </xf>
    <xf numFmtId="0" fontId="4" fillId="2" borderId="0" xfId="0" applyFont="1" applyFill="1" applyAlignment="1">
      <alignment horizontal="center"/>
    </xf>
    <xf numFmtId="0" fontId="4" fillId="2" borderId="0" xfId="0" applyFont="1" applyFill="1" applyAlignment="1">
      <alignment vertical="top" wrapText="1"/>
    </xf>
    <xf numFmtId="0" fontId="3" fillId="2" borderId="0" xfId="0" applyFont="1" applyFill="1" applyAlignment="1">
      <alignment wrapText="1"/>
    </xf>
    <xf numFmtId="0" fontId="4" fillId="4" borderId="5" xfId="0" applyFont="1" applyFill="1" applyBorder="1"/>
    <xf numFmtId="3" fontId="3" fillId="2" borderId="0" xfId="5" applyNumberFormat="1" applyFont="1" applyFill="1" applyAlignment="1">
      <alignment horizontal="right"/>
    </xf>
    <xf numFmtId="0" fontId="3" fillId="2" borderId="2" xfId="5" applyFont="1" applyFill="1" applyBorder="1" applyAlignment="1">
      <alignment horizontal="right"/>
    </xf>
    <xf numFmtId="167" fontId="3" fillId="2" borderId="2" xfId="4" applyNumberFormat="1" applyFont="1" applyFill="1" applyBorder="1" applyAlignment="1">
      <alignment horizontal="center"/>
    </xf>
    <xf numFmtId="0" fontId="3" fillId="11" borderId="2" xfId="5" applyFont="1" applyFill="1" applyBorder="1" applyAlignment="1">
      <alignment horizontal="right"/>
    </xf>
    <xf numFmtId="168" fontId="3" fillId="2" borderId="0" xfId="5" applyNumberFormat="1" applyFont="1" applyFill="1" applyAlignment="1">
      <alignment horizontal="center"/>
    </xf>
    <xf numFmtId="4" fontId="3" fillId="2" borderId="0" xfId="5" applyNumberFormat="1" applyFont="1" applyFill="1" applyAlignment="1">
      <alignment horizontal="center"/>
    </xf>
    <xf numFmtId="0" fontId="14" fillId="11" borderId="0" xfId="5" applyFont="1" applyFill="1"/>
    <xf numFmtId="3" fontId="35" fillId="10" borderId="0" xfId="5" applyNumberFormat="1" applyFont="1" applyFill="1" applyAlignment="1">
      <alignment horizontal="center"/>
    </xf>
    <xf numFmtId="3" fontId="49" fillId="2" borderId="0" xfId="0" applyNumberFormat="1" applyFont="1" applyFill="1" applyAlignment="1">
      <alignment horizontal="center"/>
    </xf>
    <xf numFmtId="1" fontId="5" fillId="2" borderId="0" xfId="5" applyNumberFormat="1" applyFont="1" applyFill="1"/>
    <xf numFmtId="4" fontId="3" fillId="2" borderId="0" xfId="0" applyNumberFormat="1" applyFont="1" applyFill="1" applyAlignment="1">
      <alignment horizontal="center"/>
    </xf>
    <xf numFmtId="3" fontId="3" fillId="2" borderId="2" xfId="0" applyNumberFormat="1" applyFont="1" applyFill="1" applyBorder="1" applyAlignment="1">
      <alignment horizontal="center"/>
    </xf>
    <xf numFmtId="167" fontId="22" fillId="2" borderId="0" xfId="4" applyNumberFormat="1" applyFont="1" applyFill="1" applyAlignment="1">
      <alignment horizontal="center"/>
    </xf>
    <xf numFmtId="3" fontId="55" fillId="2" borderId="0" xfId="0" applyNumberFormat="1" applyFont="1" applyFill="1" applyAlignment="1">
      <alignment horizontal="center"/>
    </xf>
    <xf numFmtId="3" fontId="3" fillId="10" borderId="0" xfId="5" applyNumberFormat="1" applyFont="1" applyFill="1" applyAlignment="1">
      <alignment horizontal="center"/>
    </xf>
    <xf numFmtId="3" fontId="55" fillId="2" borderId="0" xfId="5" applyNumberFormat="1" applyFont="1" applyFill="1" applyAlignment="1">
      <alignment horizontal="center"/>
    </xf>
    <xf numFmtId="165" fontId="58" fillId="2" borderId="0" xfId="0" applyNumberFormat="1" applyFont="1" applyFill="1" applyAlignment="1">
      <alignment horizontal="center"/>
    </xf>
    <xf numFmtId="1" fontId="55" fillId="11" borderId="0" xfId="0" applyNumberFormat="1" applyFont="1" applyFill="1" applyAlignment="1">
      <alignment horizontal="center"/>
    </xf>
    <xf numFmtId="0" fontId="17" fillId="10" borderId="0" xfId="5" applyFont="1" applyFill="1"/>
    <xf numFmtId="1" fontId="17" fillId="10" borderId="0" xfId="5" applyNumberFormat="1" applyFont="1" applyFill="1" applyAlignment="1">
      <alignment horizontal="center"/>
    </xf>
    <xf numFmtId="0" fontId="5" fillId="10" borderId="0" xfId="5" applyFont="1" applyFill="1"/>
    <xf numFmtId="0" fontId="60" fillId="2" borderId="7" xfId="2" applyFont="1" applyFill="1" applyBorder="1"/>
    <xf numFmtId="0" fontId="60" fillId="2" borderId="0" xfId="2" applyFont="1" applyFill="1"/>
    <xf numFmtId="0" fontId="60" fillId="2" borderId="0" xfId="2" quotePrefix="1" applyFont="1" applyFill="1"/>
    <xf numFmtId="0" fontId="60" fillId="2" borderId="2" xfId="2" quotePrefix="1" applyFont="1" applyFill="1" applyBorder="1"/>
    <xf numFmtId="0" fontId="60" fillId="2" borderId="0" xfId="0" applyFont="1" applyFill="1" applyAlignment="1">
      <alignment horizontal="left"/>
    </xf>
    <xf numFmtId="0" fontId="60" fillId="2" borderId="0" xfId="0" applyFont="1" applyFill="1"/>
    <xf numFmtId="0" fontId="60" fillId="2" borderId="7" xfId="0" applyFont="1" applyFill="1" applyBorder="1"/>
    <xf numFmtId="0" fontId="60" fillId="2" borderId="2" xfId="0" applyFont="1" applyFill="1" applyBorder="1"/>
    <xf numFmtId="0" fontId="61" fillId="2" borderId="7" xfId="1" applyFont="1" applyFill="1" applyBorder="1"/>
    <xf numFmtId="0" fontId="61" fillId="2" borderId="0" xfId="1" applyFont="1" applyFill="1" applyAlignment="1">
      <alignment horizontal="left" vertical="center"/>
    </xf>
    <xf numFmtId="16" fontId="60" fillId="2" borderId="0" xfId="1" applyNumberFormat="1" applyFont="1" applyFill="1" applyAlignment="1">
      <alignment horizontal="left"/>
    </xf>
    <xf numFmtId="0" fontId="57" fillId="2" borderId="0" xfId="1" applyFont="1" applyFill="1"/>
    <xf numFmtId="0" fontId="62" fillId="2" borderId="0" xfId="1" applyFont="1" applyFill="1"/>
    <xf numFmtId="0" fontId="55" fillId="2" borderId="2" xfId="0" applyFont="1" applyFill="1" applyBorder="1"/>
    <xf numFmtId="0" fontId="3" fillId="2" borderId="0" xfId="0" applyFont="1" applyFill="1" applyAlignment="1">
      <alignment horizontal="left" indent="1"/>
    </xf>
    <xf numFmtId="0" fontId="49" fillId="2" borderId="0" xfId="0" applyFont="1" applyFill="1" applyAlignment="1">
      <alignment horizontal="left" indent="1"/>
    </xf>
    <xf numFmtId="0" fontId="55" fillId="10" borderId="2" xfId="0" applyFont="1" applyFill="1" applyBorder="1" applyAlignment="1">
      <alignment horizontal="center"/>
    </xf>
    <xf numFmtId="9" fontId="22" fillId="2" borderId="0" xfId="4" quotePrefix="1" applyFont="1" applyFill="1" applyAlignment="1">
      <alignment horizontal="center"/>
    </xf>
    <xf numFmtId="9" fontId="22" fillId="2" borderId="0" xfId="4" applyFont="1" applyFill="1" applyAlignment="1">
      <alignment horizontal="center"/>
    </xf>
    <xf numFmtId="3" fontId="56" fillId="2" borderId="0" xfId="5" applyNumberFormat="1" applyFont="1" applyFill="1" applyAlignment="1">
      <alignment horizontal="center"/>
    </xf>
    <xf numFmtId="167" fontId="5" fillId="2" borderId="0" xfId="5" applyNumberFormat="1" applyFont="1" applyFill="1" applyAlignment="1">
      <alignment horizontal="center"/>
    </xf>
    <xf numFmtId="0" fontId="63" fillId="2" borderId="0" xfId="5" applyFont="1" applyFill="1"/>
    <xf numFmtId="3" fontId="3" fillId="13" borderId="0" xfId="5" applyNumberFormat="1" applyFont="1" applyFill="1" applyAlignment="1">
      <alignment horizontal="center"/>
    </xf>
    <xf numFmtId="3" fontId="5" fillId="13" borderId="0" xfId="5" applyNumberFormat="1" applyFont="1" applyFill="1" applyAlignment="1">
      <alignment horizontal="center"/>
    </xf>
    <xf numFmtId="0" fontId="35" fillId="2" borderId="0" xfId="0" applyFont="1" applyFill="1"/>
    <xf numFmtId="165" fontId="58" fillId="10" borderId="0" xfId="0" applyNumberFormat="1" applyFont="1" applyFill="1" applyAlignment="1">
      <alignment horizontal="center"/>
    </xf>
    <xf numFmtId="4" fontId="55" fillId="2" borderId="0" xfId="0" applyNumberFormat="1" applyFont="1" applyFill="1" applyAlignment="1">
      <alignment horizontal="center"/>
    </xf>
    <xf numFmtId="0" fontId="55" fillId="2" borderId="0" xfId="0" applyFont="1" applyFill="1" applyAlignment="1">
      <alignment horizontal="left" vertical="top" wrapText="1"/>
    </xf>
    <xf numFmtId="0" fontId="3" fillId="2" borderId="2" xfId="0" applyFont="1" applyFill="1" applyBorder="1" applyAlignment="1">
      <alignment horizontal="center"/>
    </xf>
    <xf numFmtId="3" fontId="55" fillId="2" borderId="2" xfId="0" applyNumberFormat="1" applyFont="1" applyFill="1" applyBorder="1" applyAlignment="1">
      <alignment horizontal="center"/>
    </xf>
    <xf numFmtId="0" fontId="64" fillId="10" borderId="0" xfId="0" applyFont="1" applyFill="1"/>
    <xf numFmtId="0" fontId="17" fillId="10" borderId="0" xfId="0" applyFont="1" applyFill="1"/>
    <xf numFmtId="9" fontId="35" fillId="10" borderId="0" xfId="0" applyNumberFormat="1" applyFont="1" applyFill="1" applyAlignment="1">
      <alignment horizontal="center"/>
    </xf>
    <xf numFmtId="0" fontId="64" fillId="2" borderId="0" xfId="0" applyFont="1" applyFill="1"/>
    <xf numFmtId="3" fontId="5" fillId="5" borderId="0" xfId="0" applyNumberFormat="1" applyFont="1" applyFill="1" applyAlignment="1">
      <alignment horizontal="center"/>
    </xf>
    <xf numFmtId="3" fontId="17" fillId="5" borderId="0" xfId="0" applyNumberFormat="1" applyFont="1" applyFill="1" applyAlignment="1">
      <alignment horizontal="center"/>
    </xf>
    <xf numFmtId="165" fontId="13" fillId="2" borderId="0" xfId="0" applyNumberFormat="1" applyFont="1" applyFill="1" applyAlignment="1">
      <alignment horizontal="left"/>
    </xf>
    <xf numFmtId="165" fontId="13" fillId="2" borderId="0" xfId="0" applyNumberFormat="1" applyFont="1" applyFill="1"/>
    <xf numFmtId="9" fontId="3" fillId="10" borderId="0" xfId="4" applyFont="1" applyFill="1" applyAlignment="1">
      <alignment horizontal="center"/>
    </xf>
    <xf numFmtId="0" fontId="3" fillId="2" borderId="0" xfId="0" applyFont="1" applyFill="1" applyAlignment="1">
      <alignment horizontal="left" vertical="top"/>
    </xf>
    <xf numFmtId="0" fontId="22" fillId="2" borderId="0" xfId="0" applyFont="1" applyFill="1" applyAlignment="1">
      <alignment horizontal="left"/>
    </xf>
    <xf numFmtId="0" fontId="5" fillId="10" borderId="0" xfId="0" applyFont="1" applyFill="1"/>
    <xf numFmtId="0" fontId="55" fillId="10" borderId="0" xfId="0" applyFont="1" applyFill="1"/>
    <xf numFmtId="37" fontId="3" fillId="10" borderId="0" xfId="0" applyNumberFormat="1" applyFont="1" applyFill="1" applyAlignment="1">
      <alignment horizontal="center"/>
    </xf>
    <xf numFmtId="37" fontId="55" fillId="10" borderId="0" xfId="0" applyNumberFormat="1" applyFont="1" applyFill="1" applyAlignment="1">
      <alignment horizontal="center"/>
    </xf>
    <xf numFmtId="3" fontId="3" fillId="10" borderId="0" xfId="0" applyNumberFormat="1" applyFont="1" applyFill="1" applyAlignment="1">
      <alignment horizontal="center"/>
    </xf>
    <xf numFmtId="3" fontId="55" fillId="10" borderId="0" xfId="0" applyNumberFormat="1" applyFont="1" applyFill="1" applyAlignment="1">
      <alignment horizontal="center"/>
    </xf>
    <xf numFmtId="166" fontId="55" fillId="2" borderId="0" xfId="0" applyNumberFormat="1" applyFont="1" applyFill="1" applyAlignment="1">
      <alignment horizontal="center"/>
    </xf>
    <xf numFmtId="9" fontId="3" fillId="2" borderId="2" xfId="4" quotePrefix="1" applyFont="1" applyFill="1" applyBorder="1" applyAlignment="1">
      <alignment horizontal="center"/>
    </xf>
    <xf numFmtId="0" fontId="66" fillId="2" borderId="0" xfId="5" applyFont="1" applyFill="1"/>
    <xf numFmtId="0" fontId="55" fillId="11" borderId="0" xfId="0" applyFont="1" applyFill="1"/>
    <xf numFmtId="165" fontId="67" fillId="2" borderId="0" xfId="0" applyNumberFormat="1" applyFont="1" applyFill="1" applyAlignment="1">
      <alignment horizontal="center"/>
    </xf>
    <xf numFmtId="3" fontId="3" fillId="14" borderId="0" xfId="5" applyNumberFormat="1" applyFont="1" applyFill="1" applyAlignment="1">
      <alignment horizontal="center"/>
    </xf>
    <xf numFmtId="0" fontId="20" fillId="2" borderId="0" xfId="0" applyFont="1" applyFill="1"/>
    <xf numFmtId="3" fontId="22" fillId="2" borderId="0" xfId="0" applyNumberFormat="1" applyFont="1" applyFill="1" applyAlignment="1">
      <alignment horizontal="center"/>
    </xf>
    <xf numFmtId="0" fontId="22" fillId="2" borderId="0" xfId="0" applyFont="1" applyFill="1"/>
    <xf numFmtId="166" fontId="22" fillId="2" borderId="0" xfId="0" applyNumberFormat="1" applyFont="1" applyFill="1" applyAlignment="1">
      <alignment horizontal="center"/>
    </xf>
    <xf numFmtId="9" fontId="3" fillId="2" borderId="0" xfId="0" applyNumberFormat="1" applyFont="1" applyFill="1"/>
    <xf numFmtId="0" fontId="22" fillId="2" borderId="0" xfId="5" applyFont="1" applyFill="1" applyAlignment="1">
      <alignment horizontal="left"/>
    </xf>
    <xf numFmtId="0" fontId="22" fillId="2" borderId="2" xfId="5" applyFont="1" applyFill="1" applyBorder="1" applyAlignment="1">
      <alignment horizontal="left" indent="1"/>
    </xf>
    <xf numFmtId="0" fontId="22" fillId="2" borderId="0" xfId="5" applyFont="1" applyFill="1" applyAlignment="1">
      <alignment horizontal="left" indent="1"/>
    </xf>
    <xf numFmtId="2" fontId="55" fillId="2" borderId="0" xfId="0" applyNumberFormat="1" applyFont="1" applyFill="1" applyAlignment="1">
      <alignment horizontal="center"/>
    </xf>
    <xf numFmtId="0" fontId="5" fillId="2" borderId="0" xfId="0" applyFont="1" applyFill="1" applyAlignment="1">
      <alignment horizontal="right"/>
    </xf>
    <xf numFmtId="4" fontId="5" fillId="13" borderId="0" xfId="5" applyNumberFormat="1" applyFont="1" applyFill="1" applyAlignment="1">
      <alignment horizontal="center"/>
    </xf>
    <xf numFmtId="9" fontId="3" fillId="2" borderId="0" xfId="4" applyFont="1" applyFill="1"/>
    <xf numFmtId="0" fontId="72" fillId="2" borderId="0" xfId="0" applyFont="1" applyFill="1"/>
    <xf numFmtId="0" fontId="73" fillId="2" borderId="0" xfId="0" applyFont="1" applyFill="1"/>
    <xf numFmtId="167" fontId="3" fillId="2" borderId="0" xfId="0" applyNumberFormat="1" applyFont="1" applyFill="1" applyAlignment="1">
      <alignment horizontal="center"/>
    </xf>
    <xf numFmtId="0" fontId="55" fillId="2" borderId="0" xfId="0" applyFont="1" applyFill="1" applyAlignment="1">
      <alignment horizontal="left"/>
    </xf>
    <xf numFmtId="0" fontId="22" fillId="2" borderId="0" xfId="0" applyFont="1" applyFill="1" applyAlignment="1">
      <alignment horizontal="left" indent="1"/>
    </xf>
    <xf numFmtId="3" fontId="5" fillId="11" borderId="0" xfId="5" applyNumberFormat="1" applyFont="1" applyFill="1" applyAlignment="1">
      <alignment horizontal="center"/>
    </xf>
    <xf numFmtId="9" fontId="22" fillId="11" borderId="0" xfId="4" applyFont="1" applyFill="1" applyAlignment="1">
      <alignment horizontal="center"/>
    </xf>
    <xf numFmtId="3" fontId="22" fillId="11" borderId="0" xfId="0" applyNumberFormat="1" applyFont="1" applyFill="1" applyAlignment="1">
      <alignment horizontal="center"/>
    </xf>
    <xf numFmtId="0" fontId="55" fillId="11" borderId="0" xfId="0" applyFont="1" applyFill="1" applyAlignment="1">
      <alignment horizontal="center"/>
    </xf>
    <xf numFmtId="9" fontId="35" fillId="20" borderId="0" xfId="0" applyNumberFormat="1" applyFont="1" applyFill="1" applyAlignment="1">
      <alignment horizontal="center"/>
    </xf>
    <xf numFmtId="9" fontId="3" fillId="11" borderId="0" xfId="4" applyFont="1" applyFill="1" applyAlignment="1">
      <alignment horizontal="center"/>
    </xf>
    <xf numFmtId="9" fontId="3" fillId="20" borderId="0" xfId="4" applyFont="1" applyFill="1" applyAlignment="1">
      <alignment horizontal="center"/>
    </xf>
    <xf numFmtId="0" fontId="65" fillId="2" borderId="0" xfId="0" applyFont="1" applyFill="1" applyAlignment="1">
      <alignment horizontal="center"/>
    </xf>
    <xf numFmtId="4" fontId="3" fillId="2" borderId="0" xfId="0" applyNumberFormat="1" applyFont="1" applyFill="1"/>
    <xf numFmtId="3" fontId="35" fillId="13" borderId="0" xfId="5" applyNumberFormat="1" applyFont="1" applyFill="1" applyAlignment="1">
      <alignment horizontal="center"/>
    </xf>
    <xf numFmtId="167" fontId="3" fillId="13" borderId="0" xfId="4" applyNumberFormat="1" applyFont="1" applyFill="1" applyAlignment="1">
      <alignment horizontal="center"/>
    </xf>
    <xf numFmtId="9" fontId="17" fillId="10" borderId="0" xfId="4" applyFont="1" applyFill="1" applyAlignment="1">
      <alignment horizontal="center"/>
    </xf>
    <xf numFmtId="1" fontId="3" fillId="2" borderId="0" xfId="0" applyNumberFormat="1" applyFont="1" applyFill="1" applyAlignment="1">
      <alignment horizontal="center" vertical="top" wrapText="1"/>
    </xf>
    <xf numFmtId="167" fontId="3" fillId="2" borderId="0" xfId="4" applyNumberFormat="1" applyFont="1" applyFill="1" applyAlignment="1">
      <alignment horizontal="center" vertical="top" wrapText="1"/>
    </xf>
    <xf numFmtId="0" fontId="3" fillId="2" borderId="0" xfId="0" applyFont="1" applyFill="1" applyAlignment="1">
      <alignment horizontal="center" vertical="top" wrapText="1"/>
    </xf>
    <xf numFmtId="0" fontId="55" fillId="2" borderId="0" xfId="0" applyFont="1" applyFill="1" applyAlignment="1">
      <alignment horizontal="center" vertical="top" wrapText="1"/>
    </xf>
    <xf numFmtId="0" fontId="55" fillId="10" borderId="0" xfId="0" applyFont="1" applyFill="1" applyAlignment="1">
      <alignment horizontal="center"/>
    </xf>
    <xf numFmtId="167" fontId="3" fillId="11" borderId="0" xfId="4" applyNumberFormat="1" applyFont="1" applyFill="1" applyBorder="1" applyAlignment="1">
      <alignment horizontal="center"/>
    </xf>
    <xf numFmtId="3" fontId="17" fillId="11" borderId="0" xfId="5" applyNumberFormat="1" applyFont="1" applyFill="1" applyAlignment="1">
      <alignment horizontal="center"/>
    </xf>
    <xf numFmtId="0" fontId="20" fillId="14" borderId="0" xfId="0" applyFont="1" applyFill="1" applyAlignment="1">
      <alignment horizontal="center"/>
    </xf>
    <xf numFmtId="3" fontId="2" fillId="2" borderId="0" xfId="5" applyNumberFormat="1" applyFont="1" applyFill="1" applyAlignment="1">
      <alignment horizontal="center"/>
    </xf>
    <xf numFmtId="0" fontId="11" fillId="11" borderId="0" xfId="0" applyFont="1" applyFill="1" applyAlignment="1">
      <alignment horizontal="center"/>
    </xf>
    <xf numFmtId="0" fontId="35" fillId="20" borderId="0" xfId="0" applyFont="1" applyFill="1" applyAlignment="1">
      <alignment horizontal="center"/>
    </xf>
    <xf numFmtId="4" fontId="3" fillId="11" borderId="0" xfId="0" applyNumberFormat="1" applyFont="1" applyFill="1" applyAlignment="1">
      <alignment horizontal="center"/>
    </xf>
    <xf numFmtId="0" fontId="73" fillId="2" borderId="2" xfId="0" applyFont="1" applyFill="1" applyBorder="1"/>
    <xf numFmtId="0" fontId="73" fillId="2" borderId="11" xfId="0" applyFont="1" applyFill="1" applyBorder="1"/>
    <xf numFmtId="167" fontId="3" fillId="2" borderId="0" xfId="4" applyNumberFormat="1" applyFont="1" applyFill="1"/>
    <xf numFmtId="0" fontId="1" fillId="2" borderId="0" xfId="0" applyFont="1" applyFill="1" applyAlignment="1">
      <alignment horizontal="right"/>
    </xf>
    <xf numFmtId="4" fontId="3" fillId="10" borderId="0" xfId="0" applyNumberFormat="1" applyFont="1" applyFill="1" applyAlignment="1">
      <alignment horizontal="center" vertical="top" wrapText="1"/>
    </xf>
    <xf numFmtId="0" fontId="11" fillId="2" borderId="0" xfId="0" applyFont="1" applyFill="1" applyAlignment="1">
      <alignment horizontal="center"/>
    </xf>
    <xf numFmtId="0" fontId="12" fillId="2" borderId="0" xfId="0" applyFont="1" applyFill="1" applyAlignment="1">
      <alignment horizontal="center"/>
    </xf>
    <xf numFmtId="0" fontId="22" fillId="2" borderId="0" xfId="0" applyFont="1" applyFill="1" applyAlignment="1">
      <alignment horizontal="right"/>
    </xf>
    <xf numFmtId="0" fontId="35" fillId="2" borderId="12" xfId="0" applyFont="1" applyFill="1" applyBorder="1" applyAlignment="1">
      <alignment horizontal="center"/>
    </xf>
    <xf numFmtId="0" fontId="69" fillId="2" borderId="0" xfId="0" applyFont="1" applyFill="1" applyAlignment="1">
      <alignment horizontal="center"/>
    </xf>
    <xf numFmtId="0" fontId="1" fillId="2" borderId="0" xfId="0" applyFont="1" applyFill="1"/>
    <xf numFmtId="3" fontId="1" fillId="2" borderId="0" xfId="0" applyNumberFormat="1" applyFont="1" applyFill="1" applyAlignment="1">
      <alignment horizontal="center"/>
    </xf>
    <xf numFmtId="9" fontId="3" fillId="13" borderId="0" xfId="4" applyFont="1" applyFill="1" applyAlignment="1">
      <alignment horizontal="center"/>
    </xf>
    <xf numFmtId="9" fontId="1" fillId="2" borderId="0" xfId="0" applyNumberFormat="1" applyFont="1" applyFill="1" applyAlignment="1">
      <alignment horizontal="center"/>
    </xf>
    <xf numFmtId="0" fontId="1" fillId="2" borderId="2" xfId="0" applyFont="1" applyFill="1" applyBorder="1"/>
    <xf numFmtId="3" fontId="3" fillId="2" borderId="0" xfId="0" applyNumberFormat="1" applyFont="1" applyFill="1" applyAlignment="1">
      <alignment horizontal="center" vertical="top" wrapText="1"/>
    </xf>
    <xf numFmtId="0" fontId="35" fillId="2" borderId="0" xfId="0" applyFont="1" applyFill="1" applyAlignment="1">
      <alignment horizontal="center" vertical="top" wrapText="1"/>
    </xf>
    <xf numFmtId="0" fontId="55" fillId="11" borderId="2" xfId="0" applyFont="1" applyFill="1" applyBorder="1" applyAlignment="1">
      <alignment horizontal="center"/>
    </xf>
    <xf numFmtId="0" fontId="67" fillId="2" borderId="2" xfId="0" applyFont="1" applyFill="1" applyBorder="1"/>
    <xf numFmtId="0" fontId="67" fillId="2" borderId="0" xfId="0" applyFont="1" applyFill="1"/>
    <xf numFmtId="3" fontId="11" fillId="2" borderId="2" xfId="0" applyNumberFormat="1" applyFont="1" applyFill="1" applyBorder="1" applyAlignment="1">
      <alignment horizontal="center"/>
    </xf>
    <xf numFmtId="0" fontId="11" fillId="2" borderId="2" xfId="0" applyFont="1" applyFill="1" applyBorder="1" applyAlignment="1">
      <alignment horizontal="center"/>
    </xf>
    <xf numFmtId="0" fontId="11" fillId="10" borderId="0" xfId="0" applyFont="1" applyFill="1" applyAlignment="1">
      <alignment horizontal="center"/>
    </xf>
    <xf numFmtId="3" fontId="11" fillId="2" borderId="0" xfId="0" applyNumberFormat="1" applyFont="1" applyFill="1" applyAlignment="1">
      <alignment horizontal="center"/>
    </xf>
    <xf numFmtId="3" fontId="11" fillId="10" borderId="0" xfId="0" applyNumberFormat="1" applyFont="1" applyFill="1" applyAlignment="1">
      <alignment horizontal="center"/>
    </xf>
    <xf numFmtId="0" fontId="11" fillId="10" borderId="2" xfId="0" applyFont="1" applyFill="1" applyBorder="1" applyAlignment="1">
      <alignment horizontal="center"/>
    </xf>
    <xf numFmtId="2" fontId="22" fillId="2" borderId="0" xfId="0" applyNumberFormat="1" applyFont="1" applyFill="1" applyAlignment="1">
      <alignment horizontal="center"/>
    </xf>
    <xf numFmtId="3" fontId="1" fillId="2" borderId="2" xfId="0" applyNumberFormat="1" applyFont="1" applyFill="1" applyBorder="1" applyAlignment="1">
      <alignment horizontal="center"/>
    </xf>
    <xf numFmtId="3" fontId="3" fillId="13" borderId="12" xfId="0" applyNumberFormat="1" applyFont="1" applyFill="1" applyBorder="1" applyAlignment="1">
      <alignment horizontal="center"/>
    </xf>
    <xf numFmtId="9" fontId="1" fillId="2" borderId="0" xfId="0" applyNumberFormat="1" applyFont="1" applyFill="1"/>
    <xf numFmtId="37" fontId="3" fillId="2" borderId="0" xfId="0" applyNumberFormat="1" applyFont="1" applyFill="1"/>
    <xf numFmtId="0" fontId="22" fillId="2" borderId="2" xfId="0" applyFont="1" applyFill="1" applyBorder="1" applyAlignment="1">
      <alignment horizontal="left" indent="1"/>
    </xf>
    <xf numFmtId="0" fontId="22" fillId="2" borderId="2" xfId="0" applyFont="1" applyFill="1" applyBorder="1"/>
    <xf numFmtId="9" fontId="22" fillId="2" borderId="2" xfId="4" applyFont="1" applyFill="1" applyBorder="1" applyAlignment="1">
      <alignment horizontal="center"/>
    </xf>
    <xf numFmtId="9" fontId="3" fillId="12" borderId="0" xfId="4" applyFont="1" applyFill="1" applyAlignment="1">
      <alignment horizontal="center"/>
    </xf>
    <xf numFmtId="9" fontId="1" fillId="2" borderId="0" xfId="4" applyFont="1" applyFill="1"/>
    <xf numFmtId="166" fontId="1" fillId="2" borderId="0" xfId="0" applyNumberFormat="1" applyFont="1" applyFill="1"/>
    <xf numFmtId="0" fontId="35" fillId="2" borderId="0" xfId="0" applyFont="1" applyFill="1" applyAlignment="1">
      <alignment horizontal="left"/>
    </xf>
    <xf numFmtId="9" fontId="35" fillId="14" borderId="12" xfId="0" applyNumberFormat="1" applyFont="1" applyFill="1" applyBorder="1" applyAlignment="1">
      <alignment horizontal="center"/>
    </xf>
    <xf numFmtId="9" fontId="35" fillId="14" borderId="0" xfId="5" applyNumberFormat="1" applyFont="1" applyFill="1" applyAlignment="1">
      <alignment horizontal="center"/>
    </xf>
    <xf numFmtId="9" fontId="3" fillId="2" borderId="12" xfId="4" applyFont="1" applyFill="1" applyBorder="1" applyAlignment="1">
      <alignment horizontal="center"/>
    </xf>
    <xf numFmtId="14" fontId="6" fillId="2" borderId="12" xfId="0" applyNumberFormat="1" applyFont="1" applyFill="1" applyBorder="1" applyAlignment="1">
      <alignment horizontal="center"/>
    </xf>
    <xf numFmtId="1" fontId="3" fillId="2" borderId="12" xfId="0" applyNumberFormat="1" applyFont="1" applyFill="1" applyBorder="1" applyAlignment="1">
      <alignment horizontal="center"/>
    </xf>
    <xf numFmtId="1" fontId="3" fillId="14" borderId="0" xfId="0" applyNumberFormat="1" applyFont="1" applyFill="1" applyAlignment="1">
      <alignment horizontal="center"/>
    </xf>
    <xf numFmtId="9" fontId="6" fillId="14" borderId="0" xfId="4" applyFont="1" applyFill="1" applyAlignment="1">
      <alignment horizontal="center"/>
    </xf>
    <xf numFmtId="9" fontId="76" fillId="14" borderId="0" xfId="4" applyFont="1" applyFill="1" applyAlignment="1">
      <alignment horizontal="center"/>
    </xf>
    <xf numFmtId="9" fontId="5" fillId="2" borderId="0" xfId="4" applyFont="1" applyFill="1"/>
    <xf numFmtId="0" fontId="1" fillId="2" borderId="2" xfId="0" applyFont="1" applyFill="1" applyBorder="1" applyAlignment="1">
      <alignment horizontal="left" indent="1"/>
    </xf>
    <xf numFmtId="0" fontId="1" fillId="2" borderId="0" xfId="0" applyFont="1" applyFill="1" applyAlignment="1">
      <alignment horizontal="left" indent="1"/>
    </xf>
    <xf numFmtId="9" fontId="22" fillId="2" borderId="5" xfId="4" applyFont="1" applyFill="1" applyBorder="1" applyAlignment="1">
      <alignment horizontal="center"/>
    </xf>
    <xf numFmtId="0" fontId="11" fillId="2" borderId="5" xfId="0" applyFont="1" applyFill="1" applyBorder="1" applyAlignment="1">
      <alignment horizontal="center"/>
    </xf>
    <xf numFmtId="0" fontId="11" fillId="2" borderId="3" xfId="0" applyFont="1" applyFill="1" applyBorder="1" applyAlignment="1">
      <alignment horizontal="center"/>
    </xf>
    <xf numFmtId="2" fontId="22" fillId="2" borderId="5" xfId="0" applyNumberFormat="1" applyFont="1" applyFill="1" applyBorder="1" applyAlignment="1">
      <alignment horizontal="center"/>
    </xf>
    <xf numFmtId="0" fontId="22" fillId="2" borderId="5" xfId="0" applyFont="1" applyFill="1" applyBorder="1"/>
    <xf numFmtId="9" fontId="22" fillId="2" borderId="14" xfId="4" applyFont="1" applyFill="1" applyBorder="1" applyAlignment="1">
      <alignment horizontal="center"/>
    </xf>
    <xf numFmtId="0" fontId="11" fillId="2" borderId="14" xfId="0" applyFont="1" applyFill="1" applyBorder="1" applyAlignment="1">
      <alignment horizontal="center"/>
    </xf>
    <xf numFmtId="2" fontId="22" fillId="2" borderId="14" xfId="0" applyNumberFormat="1" applyFont="1" applyFill="1" applyBorder="1" applyAlignment="1">
      <alignment horizontal="center"/>
    </xf>
    <xf numFmtId="0" fontId="22" fillId="2" borderId="14" xfId="0" applyFont="1" applyFill="1" applyBorder="1"/>
    <xf numFmtId="0" fontId="11" fillId="10" borderId="14" xfId="0" applyFont="1" applyFill="1" applyBorder="1" applyAlignment="1">
      <alignment horizontal="center"/>
    </xf>
    <xf numFmtId="0" fontId="11" fillId="10" borderId="9" xfId="0" applyFont="1" applyFill="1" applyBorder="1" applyAlignment="1">
      <alignment horizontal="center"/>
    </xf>
    <xf numFmtId="166" fontId="22" fillId="2" borderId="14" xfId="0" applyNumberFormat="1" applyFont="1" applyFill="1" applyBorder="1" applyAlignment="1">
      <alignment horizontal="center"/>
    </xf>
    <xf numFmtId="165" fontId="22" fillId="2" borderId="0" xfId="0" applyNumberFormat="1" applyFont="1" applyFill="1" applyAlignment="1">
      <alignment horizontal="center"/>
    </xf>
    <xf numFmtId="166" fontId="12" fillId="10" borderId="0" xfId="0" applyNumberFormat="1" applyFont="1" applyFill="1" applyAlignment="1">
      <alignment horizontal="center"/>
    </xf>
    <xf numFmtId="0" fontId="22" fillId="0" borderId="0" xfId="0" applyFont="1"/>
    <xf numFmtId="0" fontId="1" fillId="2" borderId="0" xfId="5" applyFont="1" applyFill="1" applyAlignment="1">
      <alignment horizontal="right"/>
    </xf>
    <xf numFmtId="0" fontId="71" fillId="15" borderId="0" xfId="0" applyFont="1" applyFill="1"/>
    <xf numFmtId="0" fontId="80" fillId="11" borderId="0" xfId="0" applyFont="1" applyFill="1"/>
    <xf numFmtId="0" fontId="42" fillId="11" borderId="0" xfId="5" applyFont="1" applyFill="1"/>
    <xf numFmtId="0" fontId="81" fillId="11" borderId="0" xfId="0" applyFont="1" applyFill="1"/>
    <xf numFmtId="0" fontId="22" fillId="11" borderId="0" xfId="0" applyFont="1" applyFill="1"/>
    <xf numFmtId="0" fontId="16" fillId="11" borderId="0" xfId="5" applyFont="1" applyFill="1"/>
    <xf numFmtId="0" fontId="16" fillId="11" borderId="0" xfId="5" applyFont="1" applyFill="1" applyAlignment="1">
      <alignment horizontal="center"/>
    </xf>
    <xf numFmtId="0" fontId="22" fillId="11" borderId="0" xfId="0" applyFont="1" applyFill="1" applyAlignment="1">
      <alignment horizontal="center"/>
    </xf>
    <xf numFmtId="0" fontId="22" fillId="11" borderId="14" xfId="0" applyFont="1" applyFill="1" applyBorder="1"/>
    <xf numFmtId="3" fontId="22" fillId="11" borderId="14" xfId="0" applyNumberFormat="1" applyFont="1" applyFill="1" applyBorder="1" applyAlignment="1">
      <alignment horizontal="center"/>
    </xf>
    <xf numFmtId="3" fontId="11" fillId="0" borderId="0" xfId="5" applyNumberFormat="1" applyFont="1" applyAlignment="1">
      <alignment horizontal="center"/>
    </xf>
    <xf numFmtId="3" fontId="11" fillId="11" borderId="0" xfId="5" applyNumberFormat="1" applyFont="1" applyFill="1" applyAlignment="1">
      <alignment horizontal="center"/>
    </xf>
    <xf numFmtId="0" fontId="22" fillId="11" borderId="0" xfId="5" applyFont="1" applyFill="1" applyAlignment="1">
      <alignment horizontal="right"/>
    </xf>
    <xf numFmtId="0" fontId="16" fillId="11" borderId="14" xfId="5" applyFont="1" applyFill="1" applyBorder="1" applyAlignment="1">
      <alignment horizontal="center"/>
    </xf>
    <xf numFmtId="0" fontId="16" fillId="0" borderId="0" xfId="5" applyFont="1" applyAlignment="1">
      <alignment horizontal="center"/>
    </xf>
    <xf numFmtId="0" fontId="11" fillId="11" borderId="0" xfId="5" applyFont="1" applyFill="1" applyAlignment="1">
      <alignment horizontal="center"/>
    </xf>
    <xf numFmtId="4" fontId="11" fillId="11" borderId="0" xfId="5" applyNumberFormat="1" applyFont="1" applyFill="1" applyAlignment="1">
      <alignment horizontal="center"/>
    </xf>
    <xf numFmtId="0" fontId="22" fillId="11" borderId="0" xfId="5" applyFont="1" applyFill="1"/>
    <xf numFmtId="1" fontId="16" fillId="11" borderId="0" xfId="5" applyNumberFormat="1" applyFont="1" applyFill="1" applyAlignment="1">
      <alignment horizontal="center"/>
    </xf>
    <xf numFmtId="1" fontId="69" fillId="11" borderId="0" xfId="5" applyNumberFormat="1" applyFont="1" applyFill="1" applyAlignment="1">
      <alignment horizontal="center"/>
    </xf>
    <xf numFmtId="0" fontId="16" fillId="11" borderId="0" xfId="0" applyFont="1" applyFill="1" applyAlignment="1">
      <alignment horizontal="center"/>
    </xf>
    <xf numFmtId="0" fontId="16" fillId="11" borderId="14" xfId="0" applyFont="1" applyFill="1" applyBorder="1" applyAlignment="1">
      <alignment horizontal="center"/>
    </xf>
    <xf numFmtId="1" fontId="59" fillId="11" borderId="0" xfId="5" applyNumberFormat="1" applyFont="1" applyFill="1" applyAlignment="1">
      <alignment horizontal="center"/>
    </xf>
    <xf numFmtId="0" fontId="59" fillId="11" borderId="14" xfId="0" applyFont="1" applyFill="1" applyBorder="1" applyAlignment="1">
      <alignment horizontal="center"/>
    </xf>
    <xf numFmtId="0" fontId="59" fillId="11" borderId="14" xfId="5" applyFont="1" applyFill="1" applyBorder="1" applyAlignment="1">
      <alignment horizontal="center"/>
    </xf>
    <xf numFmtId="0" fontId="59" fillId="0" borderId="0" xfId="5" applyFont="1" applyAlignment="1">
      <alignment horizontal="center"/>
    </xf>
    <xf numFmtId="0" fontId="16" fillId="11" borderId="0" xfId="0" applyFont="1" applyFill="1" applyAlignment="1">
      <alignment horizontal="left"/>
    </xf>
    <xf numFmtId="0" fontId="59" fillId="11" borderId="0" xfId="0" applyFont="1" applyFill="1" applyAlignment="1">
      <alignment horizontal="center"/>
    </xf>
    <xf numFmtId="0" fontId="59" fillId="11" borderId="0" xfId="5" applyFont="1" applyFill="1" applyAlignment="1">
      <alignment horizontal="center"/>
    </xf>
    <xf numFmtId="0" fontId="69" fillId="2" borderId="0" xfId="0" applyFont="1" applyFill="1"/>
    <xf numFmtId="0" fontId="16" fillId="2" borderId="0" xfId="5" applyFont="1" applyFill="1"/>
    <xf numFmtId="1" fontId="71" fillId="8" borderId="0" xfId="5" applyNumberFormat="1" applyFont="1" applyFill="1" applyAlignment="1">
      <alignment horizontal="center"/>
    </xf>
    <xf numFmtId="1" fontId="71" fillId="0" borderId="0" xfId="5" applyNumberFormat="1" applyFont="1" applyAlignment="1">
      <alignment horizontal="center"/>
    </xf>
    <xf numFmtId="0" fontId="22" fillId="2" borderId="0" xfId="5" applyFont="1" applyFill="1"/>
    <xf numFmtId="3" fontId="82" fillId="2" borderId="0" xfId="0" applyNumberFormat="1" applyFont="1" applyFill="1" applyAlignment="1">
      <alignment horizontal="center"/>
    </xf>
    <xf numFmtId="3" fontId="22" fillId="2" borderId="14" xfId="0" applyNumberFormat="1" applyFont="1" applyFill="1" applyBorder="1" applyAlignment="1">
      <alignment horizontal="center"/>
    </xf>
    <xf numFmtId="3" fontId="22" fillId="0" borderId="0" xfId="0" applyNumberFormat="1" applyFont="1" applyAlignment="1">
      <alignment horizontal="center"/>
    </xf>
    <xf numFmtId="3" fontId="11" fillId="2" borderId="0" xfId="5" applyNumberFormat="1" applyFont="1" applyFill="1" applyAlignment="1">
      <alignment horizontal="center"/>
    </xf>
    <xf numFmtId="9" fontId="16" fillId="2" borderId="0" xfId="4" applyFont="1" applyFill="1" applyAlignment="1">
      <alignment horizontal="center"/>
    </xf>
    <xf numFmtId="0" fontId="16" fillId="2" borderId="0" xfId="0" applyFont="1" applyFill="1" applyAlignment="1">
      <alignment horizontal="left"/>
    </xf>
    <xf numFmtId="0" fontId="16" fillId="2" borderId="0" xfId="0" applyFont="1" applyFill="1"/>
    <xf numFmtId="3" fontId="83" fillId="2" borderId="0" xfId="0" applyNumberFormat="1" applyFont="1" applyFill="1" applyAlignment="1">
      <alignment horizontal="center"/>
    </xf>
    <xf numFmtId="3" fontId="16" fillId="2" borderId="0" xfId="5" applyNumberFormat="1" applyFont="1" applyFill="1" applyAlignment="1">
      <alignment horizontal="center"/>
    </xf>
    <xf numFmtId="3" fontId="16" fillId="2" borderId="0" xfId="5" applyNumberFormat="1" applyFont="1" applyFill="1"/>
    <xf numFmtId="3" fontId="16" fillId="2" borderId="14" xfId="5" applyNumberFormat="1" applyFont="1" applyFill="1" applyBorder="1" applyAlignment="1">
      <alignment horizontal="center"/>
    </xf>
    <xf numFmtId="3" fontId="16" fillId="2" borderId="14" xfId="0" applyNumberFormat="1" applyFont="1" applyFill="1" applyBorder="1" applyAlignment="1">
      <alignment horizontal="center"/>
    </xf>
    <xf numFmtId="3" fontId="16" fillId="0" borderId="0" xfId="0" applyNumberFormat="1" applyFont="1" applyAlignment="1">
      <alignment horizontal="center"/>
    </xf>
    <xf numFmtId="3" fontId="16" fillId="2" borderId="0" xfId="0" applyNumberFormat="1" applyFont="1" applyFill="1" applyAlignment="1">
      <alignment horizontal="center"/>
    </xf>
    <xf numFmtId="0" fontId="66" fillId="2" borderId="0" xfId="0" applyFont="1" applyFill="1" applyAlignment="1">
      <alignment horizontal="left"/>
    </xf>
    <xf numFmtId="3" fontId="11" fillId="12" borderId="0" xfId="0" applyNumberFormat="1" applyFont="1" applyFill="1" applyAlignment="1">
      <alignment horizontal="center"/>
    </xf>
    <xf numFmtId="3" fontId="12" fillId="2" borderId="0" xfId="0" applyNumberFormat="1" applyFont="1" applyFill="1" applyAlignment="1">
      <alignment horizontal="center"/>
    </xf>
    <xf numFmtId="0" fontId="84" fillId="2" borderId="0" xfId="5" applyFont="1" applyFill="1" applyAlignment="1">
      <alignment horizontal="left"/>
    </xf>
    <xf numFmtId="0" fontId="69" fillId="2" borderId="0" xfId="5" applyFont="1" applyFill="1" applyAlignment="1">
      <alignment horizontal="left"/>
    </xf>
    <xf numFmtId="9" fontId="22" fillId="2" borderId="0" xfId="4" applyFont="1" applyFill="1" applyBorder="1" applyAlignment="1">
      <alignment horizontal="center"/>
    </xf>
    <xf numFmtId="9" fontId="11" fillId="2" borderId="14" xfId="4" applyFont="1" applyFill="1" applyBorder="1" applyAlignment="1">
      <alignment horizontal="center"/>
    </xf>
    <xf numFmtId="9" fontId="11" fillId="0" borderId="0" xfId="4" applyFont="1" applyFill="1" applyBorder="1" applyAlignment="1">
      <alignment horizontal="center"/>
    </xf>
    <xf numFmtId="9" fontId="11" fillId="2" borderId="0" xfId="4" applyFont="1" applyFill="1" applyAlignment="1">
      <alignment horizontal="center"/>
    </xf>
    <xf numFmtId="9" fontId="16" fillId="2" borderId="14" xfId="4" applyFont="1" applyFill="1" applyBorder="1" applyAlignment="1">
      <alignment horizontal="center"/>
    </xf>
    <xf numFmtId="9" fontId="16" fillId="0" borderId="0" xfId="4" applyFont="1" applyFill="1" applyBorder="1" applyAlignment="1">
      <alignment horizontal="center"/>
    </xf>
    <xf numFmtId="0" fontId="22" fillId="2" borderId="0" xfId="5" applyFont="1" applyFill="1" applyAlignment="1">
      <alignment horizontal="right"/>
    </xf>
    <xf numFmtId="1" fontId="69" fillId="11" borderId="0" xfId="0" applyNumberFormat="1" applyFont="1" applyFill="1" applyAlignment="1">
      <alignment horizontal="center"/>
    </xf>
    <xf numFmtId="1" fontId="69" fillId="0" borderId="0" xfId="0" applyNumberFormat="1" applyFont="1" applyAlignment="1">
      <alignment horizontal="center"/>
    </xf>
    <xf numFmtId="0" fontId="85" fillId="2" borderId="0" xfId="5" applyFont="1" applyFill="1"/>
    <xf numFmtId="0" fontId="22" fillId="2" borderId="0" xfId="0" applyFont="1" applyFill="1" applyAlignment="1">
      <alignment horizontal="center"/>
    </xf>
    <xf numFmtId="3" fontId="86" fillId="2" borderId="0" xfId="5" applyNumberFormat="1" applyFont="1" applyFill="1" applyAlignment="1">
      <alignment horizontal="center"/>
    </xf>
    <xf numFmtId="0" fontId="16" fillId="2" borderId="0" xfId="5" applyFont="1" applyFill="1" applyAlignment="1">
      <alignment horizontal="center"/>
    </xf>
    <xf numFmtId="3" fontId="22" fillId="2" borderId="0" xfId="5" applyNumberFormat="1" applyFont="1" applyFill="1" applyAlignment="1">
      <alignment horizontal="center"/>
    </xf>
    <xf numFmtId="3" fontId="22" fillId="2" borderId="2" xfId="0" applyNumberFormat="1" applyFont="1" applyFill="1" applyBorder="1" applyAlignment="1">
      <alignment horizontal="center"/>
    </xf>
    <xf numFmtId="3" fontId="22" fillId="2" borderId="9" xfId="0" applyNumberFormat="1" applyFont="1" applyFill="1" applyBorder="1" applyAlignment="1">
      <alignment horizontal="center"/>
    </xf>
    <xf numFmtId="3" fontId="11" fillId="2" borderId="9" xfId="0" applyNumberFormat="1" applyFont="1" applyFill="1" applyBorder="1" applyAlignment="1">
      <alignment horizontal="center"/>
    </xf>
    <xf numFmtId="3" fontId="11" fillId="0" borderId="0" xfId="0" applyNumberFormat="1" applyFont="1" applyAlignment="1">
      <alignment horizontal="center"/>
    </xf>
    <xf numFmtId="3" fontId="11" fillId="2" borderId="2" xfId="5" applyNumberFormat="1" applyFont="1" applyFill="1" applyBorder="1" applyAlignment="1">
      <alignment horizontal="center"/>
    </xf>
    <xf numFmtId="0" fontId="11" fillId="2" borderId="0" xfId="5" applyFont="1" applyFill="1"/>
    <xf numFmtId="3" fontId="11" fillId="2" borderId="0" xfId="5" applyNumberFormat="1" applyFont="1" applyFill="1"/>
    <xf numFmtId="2" fontId="11" fillId="2" borderId="0" xfId="0" applyNumberFormat="1" applyFont="1" applyFill="1" applyAlignment="1">
      <alignment horizontal="center"/>
    </xf>
    <xf numFmtId="2" fontId="12" fillId="2" borderId="0" xfId="0" applyNumberFormat="1" applyFont="1" applyFill="1" applyAlignment="1">
      <alignment horizontal="center"/>
    </xf>
    <xf numFmtId="166" fontId="12" fillId="2" borderId="14" xfId="0" applyNumberFormat="1" applyFont="1" applyFill="1" applyBorder="1" applyAlignment="1">
      <alignment horizontal="center"/>
    </xf>
    <xf numFmtId="166" fontId="12" fillId="0" borderId="0" xfId="0" applyNumberFormat="1" applyFont="1" applyAlignment="1">
      <alignment horizontal="center"/>
    </xf>
    <xf numFmtId="166" fontId="12" fillId="2" borderId="0" xfId="0" applyNumberFormat="1" applyFont="1" applyFill="1" applyAlignment="1">
      <alignment horizontal="center"/>
    </xf>
    <xf numFmtId="1" fontId="16" fillId="2" borderId="0" xfId="5" applyNumberFormat="1" applyFont="1" applyFill="1" applyAlignment="1">
      <alignment horizontal="center"/>
    </xf>
    <xf numFmtId="3" fontId="22" fillId="2" borderId="0" xfId="0" applyNumberFormat="1" applyFont="1" applyFill="1"/>
    <xf numFmtId="167" fontId="16" fillId="2" borderId="0" xfId="4" applyNumberFormat="1" applyFont="1" applyFill="1" applyAlignment="1">
      <alignment horizontal="center"/>
    </xf>
    <xf numFmtId="3" fontId="16" fillId="13" borderId="0" xfId="5" applyNumberFormat="1" applyFont="1" applyFill="1" applyAlignment="1">
      <alignment horizontal="center"/>
    </xf>
    <xf numFmtId="3" fontId="16" fillId="0" borderId="0" xfId="5" applyNumberFormat="1" applyFont="1" applyAlignment="1">
      <alignment horizontal="center"/>
    </xf>
    <xf numFmtId="9" fontId="22" fillId="0" borderId="0" xfId="4" applyFont="1" applyFill="1" applyBorder="1" applyAlignment="1">
      <alignment horizontal="center"/>
    </xf>
    <xf numFmtId="0" fontId="74" fillId="2" borderId="0" xfId="0" applyFont="1" applyFill="1"/>
    <xf numFmtId="3" fontId="11" fillId="2" borderId="14" xfId="5" applyNumberFormat="1" applyFont="1" applyFill="1" applyBorder="1" applyAlignment="1">
      <alignment horizontal="center"/>
    </xf>
    <xf numFmtId="3" fontId="22" fillId="2" borderId="14" xfId="5" applyNumberFormat="1" applyFont="1" applyFill="1" applyBorder="1" applyAlignment="1">
      <alignment horizontal="center"/>
    </xf>
    <xf numFmtId="3" fontId="22" fillId="11" borderId="2" xfId="5" applyNumberFormat="1" applyFont="1" applyFill="1" applyBorder="1" applyAlignment="1">
      <alignment horizontal="center"/>
    </xf>
    <xf numFmtId="3" fontId="22" fillId="2" borderId="2" xfId="5" applyNumberFormat="1" applyFont="1" applyFill="1" applyBorder="1" applyAlignment="1">
      <alignment horizontal="center"/>
    </xf>
    <xf numFmtId="3" fontId="22" fillId="2" borderId="9" xfId="5" applyNumberFormat="1" applyFont="1" applyFill="1" applyBorder="1" applyAlignment="1">
      <alignment horizontal="center"/>
    </xf>
    <xf numFmtId="3" fontId="11" fillId="2" borderId="9" xfId="5" applyNumberFormat="1" applyFont="1" applyFill="1" applyBorder="1" applyAlignment="1">
      <alignment horizontal="center"/>
    </xf>
    <xf numFmtId="3" fontId="87" fillId="2" borderId="0" xfId="5" applyNumberFormat="1" applyFont="1" applyFill="1" applyAlignment="1">
      <alignment horizontal="center"/>
    </xf>
    <xf numFmtId="3" fontId="86" fillId="2" borderId="2" xfId="5" applyNumberFormat="1" applyFont="1" applyFill="1" applyBorder="1" applyAlignment="1">
      <alignment horizontal="center"/>
    </xf>
    <xf numFmtId="3" fontId="16" fillId="2" borderId="2" xfId="5" applyNumberFormat="1" applyFont="1" applyFill="1" applyBorder="1"/>
    <xf numFmtId="0" fontId="58" fillId="2" borderId="0" xfId="5" applyFont="1" applyFill="1" applyAlignment="1">
      <alignment horizontal="right"/>
    </xf>
    <xf numFmtId="165" fontId="67" fillId="2" borderId="14" xfId="0" applyNumberFormat="1" applyFont="1" applyFill="1" applyBorder="1" applyAlignment="1">
      <alignment horizontal="center"/>
    </xf>
    <xf numFmtId="165" fontId="67" fillId="0" borderId="0" xfId="0" applyNumberFormat="1" applyFont="1" applyAlignment="1">
      <alignment horizontal="center"/>
    </xf>
    <xf numFmtId="9" fontId="89" fillId="2" borderId="0" xfId="4" applyFont="1" applyFill="1" applyAlignment="1">
      <alignment horizontal="center"/>
    </xf>
    <xf numFmtId="9" fontId="90" fillId="2" borderId="0" xfId="4" applyFont="1" applyFill="1" applyAlignment="1">
      <alignment horizontal="center"/>
    </xf>
    <xf numFmtId="9" fontId="82" fillId="2" borderId="0" xfId="4" applyFont="1" applyFill="1" applyAlignment="1">
      <alignment horizontal="center"/>
    </xf>
    <xf numFmtId="0" fontId="91" fillId="2" borderId="0" xfId="5" applyFont="1" applyFill="1"/>
    <xf numFmtId="0" fontId="91" fillId="2" borderId="0" xfId="5" applyFont="1" applyFill="1" applyAlignment="1">
      <alignment horizontal="center"/>
    </xf>
    <xf numFmtId="3" fontId="58" fillId="2" borderId="0" xfId="5" applyNumberFormat="1" applyFont="1" applyFill="1" applyAlignment="1">
      <alignment horizontal="center"/>
    </xf>
    <xf numFmtId="9" fontId="58" fillId="2" borderId="0" xfId="4" applyFont="1" applyFill="1" applyAlignment="1">
      <alignment horizontal="center"/>
    </xf>
    <xf numFmtId="3" fontId="91" fillId="2" borderId="0" xfId="5" applyNumberFormat="1" applyFont="1" applyFill="1"/>
    <xf numFmtId="9" fontId="58" fillId="2" borderId="0" xfId="5" applyNumberFormat="1" applyFont="1" applyFill="1" applyAlignment="1">
      <alignment horizontal="center"/>
    </xf>
    <xf numFmtId="9" fontId="58" fillId="2" borderId="14" xfId="5" applyNumberFormat="1" applyFont="1" applyFill="1" applyBorder="1" applyAlignment="1">
      <alignment horizontal="center"/>
    </xf>
    <xf numFmtId="9" fontId="67" fillId="2" borderId="14" xfId="0" applyNumberFormat="1" applyFont="1" applyFill="1" applyBorder="1" applyAlignment="1">
      <alignment horizontal="center"/>
    </xf>
    <xf numFmtId="9" fontId="67" fillId="0" borderId="0" xfId="0" applyNumberFormat="1" applyFont="1" applyAlignment="1">
      <alignment horizontal="center"/>
    </xf>
    <xf numFmtId="9" fontId="67" fillId="2" borderId="0" xfId="0" applyNumberFormat="1" applyFont="1" applyFill="1" applyAlignment="1">
      <alignment horizontal="center"/>
    </xf>
    <xf numFmtId="166" fontId="65" fillId="2" borderId="0" xfId="0" applyNumberFormat="1" applyFont="1" applyFill="1" applyAlignment="1">
      <alignment horizontal="center"/>
    </xf>
    <xf numFmtId="166" fontId="92" fillId="0" borderId="0" xfId="0" applyNumberFormat="1" applyFont="1" applyAlignment="1">
      <alignment horizontal="center"/>
    </xf>
    <xf numFmtId="3" fontId="82" fillId="2" borderId="0" xfId="5" applyNumberFormat="1" applyFont="1" applyFill="1" applyAlignment="1">
      <alignment horizontal="center"/>
    </xf>
    <xf numFmtId="3" fontId="89" fillId="2" borderId="0" xfId="5" applyNumberFormat="1" applyFont="1" applyFill="1" applyAlignment="1">
      <alignment horizontal="center"/>
    </xf>
    <xf numFmtId="3" fontId="12" fillId="10" borderId="14" xfId="0" applyNumberFormat="1" applyFont="1" applyFill="1" applyBorder="1" applyAlignment="1">
      <alignment horizontal="center"/>
    </xf>
    <xf numFmtId="3" fontId="12" fillId="0" borderId="0" xfId="0" applyNumberFormat="1" applyFont="1" applyAlignment="1">
      <alignment horizontal="center"/>
    </xf>
    <xf numFmtId="3" fontId="12" fillId="10" borderId="0" xfId="0" applyNumberFormat="1" applyFont="1" applyFill="1" applyAlignment="1">
      <alignment horizontal="center"/>
    </xf>
    <xf numFmtId="3" fontId="12" fillId="2" borderId="0" xfId="5" applyNumberFormat="1" applyFont="1" applyFill="1" applyAlignment="1">
      <alignment horizontal="center"/>
    </xf>
    <xf numFmtId="3" fontId="12" fillId="2" borderId="14" xfId="5" applyNumberFormat="1" applyFont="1" applyFill="1" applyBorder="1" applyAlignment="1">
      <alignment horizontal="center"/>
    </xf>
    <xf numFmtId="0" fontId="12" fillId="2" borderId="14" xfId="0" applyFont="1" applyFill="1" applyBorder="1" applyAlignment="1">
      <alignment horizontal="center"/>
    </xf>
    <xf numFmtId="3" fontId="12" fillId="2" borderId="14" xfId="0" applyNumberFormat="1" applyFont="1" applyFill="1" applyBorder="1" applyAlignment="1">
      <alignment horizontal="center"/>
    </xf>
    <xf numFmtId="3" fontId="11" fillId="10" borderId="14" xfId="0" applyNumberFormat="1" applyFont="1" applyFill="1" applyBorder="1" applyAlignment="1">
      <alignment horizontal="center"/>
    </xf>
    <xf numFmtId="0" fontId="12" fillId="2" borderId="0" xfId="5" applyFont="1" applyFill="1" applyAlignment="1">
      <alignment horizontal="center"/>
    </xf>
    <xf numFmtId="0" fontId="22" fillId="2" borderId="0" xfId="5" applyFont="1" applyFill="1" applyAlignment="1">
      <alignment horizontal="left" indent="2"/>
    </xf>
    <xf numFmtId="3" fontId="15" fillId="2" borderId="0" xfId="5" applyNumberFormat="1" applyFont="1" applyFill="1" applyAlignment="1">
      <alignment horizontal="center"/>
    </xf>
    <xf numFmtId="0" fontId="11" fillId="0" borderId="0" xfId="0" applyFont="1" applyAlignment="1">
      <alignment horizontal="center"/>
    </xf>
    <xf numFmtId="0" fontId="12" fillId="10" borderId="0" xfId="0" applyFont="1" applyFill="1" applyAlignment="1">
      <alignment horizontal="center"/>
    </xf>
    <xf numFmtId="3" fontId="86" fillId="2" borderId="14" xfId="5" applyNumberFormat="1" applyFont="1" applyFill="1" applyBorder="1" applyAlignment="1">
      <alignment horizontal="center"/>
    </xf>
    <xf numFmtId="0" fontId="22" fillId="10" borderId="14" xfId="0" applyFont="1" applyFill="1" applyBorder="1"/>
    <xf numFmtId="165" fontId="11" fillId="2" borderId="0" xfId="5" applyNumberFormat="1" applyFont="1" applyFill="1" applyAlignment="1">
      <alignment horizontal="center"/>
    </xf>
    <xf numFmtId="165" fontId="22" fillId="2" borderId="0" xfId="5" applyNumberFormat="1" applyFont="1" applyFill="1" applyAlignment="1">
      <alignment horizontal="center"/>
    </xf>
    <xf numFmtId="3" fontId="22" fillId="12" borderId="0" xfId="5" applyNumberFormat="1" applyFont="1" applyFill="1" applyAlignment="1">
      <alignment horizontal="center"/>
    </xf>
    <xf numFmtId="1" fontId="12" fillId="10" borderId="0" xfId="0" applyNumberFormat="1" applyFont="1" applyFill="1" applyAlignment="1">
      <alignment horizontal="center"/>
    </xf>
    <xf numFmtId="9" fontId="12" fillId="2" borderId="0" xfId="4" applyFont="1" applyFill="1" applyAlignment="1">
      <alignment horizontal="center"/>
    </xf>
    <xf numFmtId="3" fontId="22" fillId="20" borderId="0" xfId="5" applyNumberFormat="1" applyFont="1" applyFill="1" applyAlignment="1">
      <alignment horizontal="center"/>
    </xf>
    <xf numFmtId="165" fontId="12" fillId="0" borderId="0" xfId="0" applyNumberFormat="1" applyFont="1" applyAlignment="1">
      <alignment horizontal="center"/>
    </xf>
    <xf numFmtId="2" fontId="22" fillId="2" borderId="0" xfId="5" applyNumberFormat="1" applyFont="1" applyFill="1"/>
    <xf numFmtId="165" fontId="12" fillId="10" borderId="0" xfId="0" applyNumberFormat="1" applyFont="1" applyFill="1" applyAlignment="1">
      <alignment horizontal="center"/>
    </xf>
    <xf numFmtId="165" fontId="86" fillId="2" borderId="0" xfId="5" applyNumberFormat="1" applyFont="1" applyFill="1" applyAlignment="1">
      <alignment horizontal="center"/>
    </xf>
    <xf numFmtId="3" fontId="92" fillId="10" borderId="0" xfId="0" applyNumberFormat="1" applyFont="1" applyFill="1" applyAlignment="1">
      <alignment horizontal="center"/>
    </xf>
    <xf numFmtId="165" fontId="92" fillId="10" borderId="14" xfId="0" applyNumberFormat="1" applyFont="1" applyFill="1" applyBorder="1" applyAlignment="1">
      <alignment horizontal="center"/>
    </xf>
    <xf numFmtId="165" fontId="92" fillId="0" borderId="0" xfId="0" applyNumberFormat="1" applyFont="1" applyAlignment="1">
      <alignment horizontal="center"/>
    </xf>
    <xf numFmtId="165" fontId="86" fillId="2" borderId="0" xfId="0" applyNumberFormat="1" applyFont="1" applyFill="1" applyAlignment="1">
      <alignment horizontal="center"/>
    </xf>
    <xf numFmtId="165" fontId="65" fillId="2" borderId="0" xfId="0" applyNumberFormat="1" applyFont="1" applyFill="1" applyAlignment="1">
      <alignment horizontal="center"/>
    </xf>
    <xf numFmtId="165" fontId="92" fillId="10" borderId="0" xfId="0" applyNumberFormat="1" applyFont="1" applyFill="1" applyAlignment="1">
      <alignment horizontal="center"/>
    </xf>
    <xf numFmtId="0" fontId="71" fillId="8" borderId="0" xfId="0" applyFont="1" applyFill="1"/>
    <xf numFmtId="0" fontId="65" fillId="2" borderId="0" xfId="0" applyFont="1" applyFill="1"/>
    <xf numFmtId="0" fontId="60" fillId="2" borderId="0" xfId="0" applyFont="1" applyFill="1" applyAlignment="1">
      <alignment horizontal="center"/>
    </xf>
    <xf numFmtId="3" fontId="60" fillId="2" borderId="0" xfId="0" applyNumberFormat="1" applyFont="1" applyFill="1" applyAlignment="1">
      <alignment horizontal="center"/>
    </xf>
    <xf numFmtId="3" fontId="11" fillId="13" borderId="0" xfId="0" applyNumberFormat="1" applyFont="1" applyFill="1" applyAlignment="1">
      <alignment horizontal="center"/>
    </xf>
    <xf numFmtId="3" fontId="22" fillId="0" borderId="14" xfId="0" applyNumberFormat="1" applyFont="1" applyBorder="1" applyAlignment="1">
      <alignment horizontal="center"/>
    </xf>
    <xf numFmtId="0" fontId="69" fillId="2" borderId="14" xfId="0" applyFont="1" applyFill="1" applyBorder="1"/>
    <xf numFmtId="3" fontId="62" fillId="10" borderId="0" xfId="0" applyNumberFormat="1" applyFont="1" applyFill="1" applyAlignment="1">
      <alignment horizontal="center"/>
    </xf>
    <xf numFmtId="3" fontId="69" fillId="2" borderId="14" xfId="0" applyNumberFormat="1" applyFont="1" applyFill="1" applyBorder="1" applyAlignment="1">
      <alignment horizontal="center"/>
    </xf>
    <xf numFmtId="3" fontId="69" fillId="10" borderId="0" xfId="0" applyNumberFormat="1" applyFont="1" applyFill="1" applyAlignment="1">
      <alignment horizontal="center"/>
    </xf>
    <xf numFmtId="3" fontId="69" fillId="2" borderId="0" xfId="0" applyNumberFormat="1" applyFont="1" applyFill="1" applyAlignment="1">
      <alignment horizontal="center"/>
    </xf>
    <xf numFmtId="0" fontId="69" fillId="0" borderId="0" xfId="0" applyFont="1"/>
    <xf numFmtId="0" fontId="71" fillId="24" borderId="2" xfId="4" applyNumberFormat="1" applyFont="1" applyFill="1" applyBorder="1" applyAlignment="1">
      <alignment horizontal="center"/>
    </xf>
    <xf numFmtId="0" fontId="71" fillId="0" borderId="0" xfId="4" applyNumberFormat="1" applyFont="1" applyFill="1" applyBorder="1" applyAlignment="1">
      <alignment horizontal="center"/>
    </xf>
    <xf numFmtId="0" fontId="70" fillId="8" borderId="2" xfId="0" applyFont="1" applyFill="1" applyBorder="1"/>
    <xf numFmtId="3" fontId="22" fillId="10" borderId="0" xfId="0" applyNumberFormat="1" applyFont="1" applyFill="1" applyAlignment="1">
      <alignment horizontal="center"/>
    </xf>
    <xf numFmtId="165" fontId="22" fillId="2" borderId="14" xfId="0" applyNumberFormat="1" applyFont="1" applyFill="1" applyBorder="1" applyAlignment="1">
      <alignment horizontal="center"/>
    </xf>
    <xf numFmtId="0" fontId="22" fillId="2" borderId="14" xfId="0" applyFont="1" applyFill="1" applyBorder="1" applyAlignment="1">
      <alignment horizontal="center"/>
    </xf>
    <xf numFmtId="0" fontId="22" fillId="2" borderId="2" xfId="0" applyFont="1" applyFill="1" applyBorder="1" applyAlignment="1">
      <alignment horizontal="center"/>
    </xf>
    <xf numFmtId="3" fontId="22" fillId="13" borderId="2" xfId="0" applyNumberFormat="1" applyFont="1" applyFill="1" applyBorder="1" applyAlignment="1">
      <alignment horizontal="center"/>
    </xf>
    <xf numFmtId="0" fontId="71" fillId="24" borderId="0" xfId="0" applyFont="1" applyFill="1"/>
    <xf numFmtId="0" fontId="71" fillId="0" borderId="0" xfId="0" applyFont="1"/>
    <xf numFmtId="0" fontId="71" fillId="8" borderId="11" xfId="0" applyFont="1" applyFill="1" applyBorder="1"/>
    <xf numFmtId="0" fontId="71" fillId="8" borderId="2" xfId="0" applyFont="1" applyFill="1" applyBorder="1"/>
    <xf numFmtId="0" fontId="71" fillId="8" borderId="9" xfId="0" applyFont="1" applyFill="1" applyBorder="1"/>
    <xf numFmtId="1" fontId="71" fillId="8" borderId="2" xfId="0" applyNumberFormat="1" applyFont="1" applyFill="1" applyBorder="1" applyAlignment="1">
      <alignment horizontal="center"/>
    </xf>
    <xf numFmtId="1" fontId="71" fillId="0" borderId="0" xfId="0" applyNumberFormat="1" applyFont="1" applyAlignment="1">
      <alignment horizontal="center"/>
    </xf>
    <xf numFmtId="0" fontId="93" fillId="2" borderId="0" xfId="0" applyFont="1" applyFill="1"/>
    <xf numFmtId="0" fontId="12" fillId="0" borderId="0" xfId="0" applyFont="1" applyAlignment="1">
      <alignment horizontal="center"/>
    </xf>
    <xf numFmtId="0" fontId="69" fillId="2" borderId="11" xfId="0" applyFont="1" applyFill="1" applyBorder="1"/>
    <xf numFmtId="3" fontId="69" fillId="2" borderId="11" xfId="0" applyNumberFormat="1" applyFont="1" applyFill="1" applyBorder="1" applyAlignment="1">
      <alignment horizontal="center"/>
    </xf>
    <xf numFmtId="3" fontId="69" fillId="2" borderId="12" xfId="0" applyNumberFormat="1" applyFont="1" applyFill="1" applyBorder="1" applyAlignment="1">
      <alignment horizontal="center"/>
    </xf>
    <xf numFmtId="3" fontId="69" fillId="0" borderId="0" xfId="0" applyNumberFormat="1" applyFont="1" applyAlignment="1">
      <alignment horizontal="center"/>
    </xf>
    <xf numFmtId="3" fontId="67" fillId="2" borderId="0" xfId="0" applyNumberFormat="1" applyFont="1" applyFill="1" applyAlignment="1">
      <alignment horizontal="center"/>
    </xf>
    <xf numFmtId="3" fontId="67" fillId="2" borderId="14" xfId="0" applyNumberFormat="1" applyFont="1" applyFill="1" applyBorder="1" applyAlignment="1">
      <alignment horizontal="center"/>
    </xf>
    <xf numFmtId="3" fontId="22" fillId="0" borderId="0" xfId="0" applyNumberFormat="1" applyFont="1"/>
    <xf numFmtId="9" fontId="22" fillId="0" borderId="0" xfId="4" applyFont="1" applyFill="1" applyBorder="1"/>
    <xf numFmtId="3" fontId="94" fillId="2" borderId="0" xfId="0" applyNumberFormat="1" applyFont="1" applyFill="1" applyAlignment="1">
      <alignment horizontal="center"/>
    </xf>
    <xf numFmtId="3" fontId="22" fillId="14" borderId="0" xfId="0" applyNumberFormat="1" applyFont="1" applyFill="1" applyAlignment="1">
      <alignment horizontal="center"/>
    </xf>
    <xf numFmtId="3" fontId="67" fillId="0" borderId="0" xfId="0" applyNumberFormat="1" applyFont="1" applyAlignment="1">
      <alignment horizontal="center"/>
    </xf>
    <xf numFmtId="3" fontId="11" fillId="2" borderId="14" xfId="0" applyNumberFormat="1" applyFont="1" applyFill="1" applyBorder="1" applyAlignment="1">
      <alignment horizontal="center"/>
    </xf>
    <xf numFmtId="3" fontId="12" fillId="10" borderId="2" xfId="0" applyNumberFormat="1" applyFont="1" applyFill="1" applyBorder="1" applyAlignment="1">
      <alignment horizontal="center"/>
    </xf>
    <xf numFmtId="0" fontId="95" fillId="2" borderId="11" xfId="0" applyFont="1" applyFill="1" applyBorder="1"/>
    <xf numFmtId="0" fontId="22" fillId="2" borderId="11" xfId="0" applyFont="1" applyFill="1" applyBorder="1"/>
    <xf numFmtId="0" fontId="22" fillId="2" borderId="12" xfId="0" applyFont="1" applyFill="1" applyBorder="1"/>
    <xf numFmtId="1" fontId="59" fillId="10" borderId="11" xfId="0" applyNumberFormat="1" applyFont="1" applyFill="1" applyBorder="1" applyAlignment="1">
      <alignment horizontal="center"/>
    </xf>
    <xf numFmtId="0" fontId="69" fillId="2" borderId="12" xfId="0" applyFont="1" applyFill="1" applyBorder="1"/>
    <xf numFmtId="1" fontId="59" fillId="10" borderId="12" xfId="0" applyNumberFormat="1" applyFont="1" applyFill="1" applyBorder="1" applyAlignment="1">
      <alignment horizontal="center"/>
    </xf>
    <xf numFmtId="1" fontId="59" fillId="0" borderId="0" xfId="0" applyNumberFormat="1" applyFont="1" applyAlignment="1">
      <alignment horizontal="center"/>
    </xf>
    <xf numFmtId="1" fontId="71" fillId="23" borderId="2" xfId="0" applyNumberFormat="1" applyFont="1" applyFill="1" applyBorder="1" applyAlignment="1">
      <alignment horizontal="center"/>
    </xf>
    <xf numFmtId="1" fontId="16" fillId="11" borderId="0" xfId="0" applyNumberFormat="1" applyFont="1" applyFill="1" applyAlignment="1">
      <alignment horizontal="center"/>
    </xf>
    <xf numFmtId="1" fontId="16" fillId="11" borderId="14" xfId="0" applyNumberFormat="1" applyFont="1" applyFill="1" applyBorder="1" applyAlignment="1">
      <alignment horizontal="center"/>
    </xf>
    <xf numFmtId="1" fontId="16" fillId="0" borderId="0" xfId="0" applyNumberFormat="1" applyFont="1" applyAlignment="1">
      <alignment horizontal="center"/>
    </xf>
    <xf numFmtId="1" fontId="16" fillId="11" borderId="2" xfId="0" applyNumberFormat="1" applyFont="1" applyFill="1" applyBorder="1" applyAlignment="1">
      <alignment horizontal="center"/>
    </xf>
    <xf numFmtId="0" fontId="22" fillId="10" borderId="0" xfId="0" applyFont="1" applyFill="1"/>
    <xf numFmtId="3" fontId="12" fillId="11" borderId="0" xfId="0" applyNumberFormat="1" applyFont="1" applyFill="1" applyAlignment="1">
      <alignment horizontal="center"/>
    </xf>
    <xf numFmtId="3" fontId="12" fillId="20" borderId="0" xfId="0" applyNumberFormat="1" applyFont="1" applyFill="1" applyAlignment="1">
      <alignment horizontal="center"/>
    </xf>
    <xf numFmtId="3" fontId="12" fillId="14" borderId="0" xfId="0" applyNumberFormat="1" applyFont="1" applyFill="1" applyAlignment="1">
      <alignment horizontal="center"/>
    </xf>
    <xf numFmtId="3" fontId="12" fillId="11" borderId="2" xfId="0" applyNumberFormat="1" applyFont="1" applyFill="1" applyBorder="1" applyAlignment="1">
      <alignment horizontal="center"/>
    </xf>
    <xf numFmtId="3" fontId="12" fillId="2" borderId="2" xfId="0" applyNumberFormat="1" applyFont="1" applyFill="1" applyBorder="1" applyAlignment="1">
      <alignment horizontal="center"/>
    </xf>
    <xf numFmtId="3" fontId="59" fillId="2" borderId="11" xfId="0" applyNumberFormat="1" applyFont="1" applyFill="1" applyBorder="1" applyAlignment="1">
      <alignment horizontal="center"/>
    </xf>
    <xf numFmtId="3" fontId="59" fillId="2" borderId="12" xfId="0" applyNumberFormat="1" applyFont="1" applyFill="1" applyBorder="1" applyAlignment="1">
      <alignment horizontal="center"/>
    </xf>
    <xf numFmtId="0" fontId="12" fillId="14" borderId="0" xfId="0" applyFont="1" applyFill="1" applyAlignment="1">
      <alignment horizontal="center"/>
    </xf>
    <xf numFmtId="0" fontId="12" fillId="21" borderId="14" xfId="0" applyFont="1" applyFill="1" applyBorder="1" applyAlignment="1">
      <alignment horizontal="center"/>
    </xf>
    <xf numFmtId="0" fontId="22" fillId="13" borderId="0" xfId="0" applyFont="1" applyFill="1" applyAlignment="1">
      <alignment horizontal="center"/>
    </xf>
    <xf numFmtId="0" fontId="12" fillId="21" borderId="0" xfId="0" applyFont="1" applyFill="1" applyAlignment="1">
      <alignment horizontal="center"/>
    </xf>
    <xf numFmtId="0" fontId="12" fillId="20" borderId="0" xfId="0" applyFont="1" applyFill="1" applyAlignment="1">
      <alignment horizontal="center"/>
    </xf>
    <xf numFmtId="0" fontId="12" fillId="10" borderId="14" xfId="0" applyFont="1" applyFill="1" applyBorder="1" applyAlignment="1">
      <alignment horizontal="center"/>
    </xf>
    <xf numFmtId="0" fontId="22" fillId="2" borderId="0" xfId="0" applyFont="1" applyFill="1" applyAlignment="1">
      <alignment wrapText="1"/>
    </xf>
    <xf numFmtId="3" fontId="59" fillId="0" borderId="0" xfId="0" applyNumberFormat="1" applyFont="1" applyAlignment="1">
      <alignment horizontal="center"/>
    </xf>
    <xf numFmtId="0" fontId="16" fillId="0" borderId="0" xfId="0" applyFont="1" applyAlignment="1">
      <alignment horizontal="left"/>
    </xf>
    <xf numFmtId="3" fontId="22" fillId="2" borderId="9" xfId="5" applyNumberFormat="1" applyFont="1" applyFill="1" applyBorder="1" applyAlignment="1">
      <alignment horizontal="center" vertical="center"/>
    </xf>
    <xf numFmtId="3" fontId="22" fillId="2" borderId="3" xfId="5" applyNumberFormat="1" applyFont="1" applyFill="1" applyBorder="1" applyAlignment="1">
      <alignment horizontal="center" vertical="center"/>
    </xf>
    <xf numFmtId="9" fontId="11" fillId="2" borderId="10" xfId="4" applyFont="1" applyFill="1" applyBorder="1" applyAlignment="1">
      <alignment horizontal="center"/>
    </xf>
    <xf numFmtId="9" fontId="22" fillId="2" borderId="10" xfId="4" applyFont="1" applyFill="1" applyBorder="1" applyAlignment="1">
      <alignment horizontal="center"/>
    </xf>
    <xf numFmtId="9" fontId="89" fillId="2" borderId="9" xfId="4" applyFont="1" applyFill="1" applyBorder="1" applyAlignment="1">
      <alignment horizontal="center"/>
    </xf>
    <xf numFmtId="9" fontId="22" fillId="2" borderId="9" xfId="4" applyFont="1" applyFill="1" applyBorder="1" applyAlignment="1">
      <alignment horizontal="center"/>
    </xf>
    <xf numFmtId="0" fontId="69" fillId="14" borderId="0" xfId="0" applyFont="1" applyFill="1"/>
    <xf numFmtId="0" fontId="22" fillId="14" borderId="0" xfId="0" applyFont="1" applyFill="1"/>
    <xf numFmtId="1" fontId="69" fillId="14" borderId="0" xfId="0" applyNumberFormat="1" applyFont="1" applyFill="1" applyAlignment="1">
      <alignment horizontal="center"/>
    </xf>
    <xf numFmtId="1" fontId="69" fillId="14" borderId="14" xfId="0" applyNumberFormat="1" applyFont="1" applyFill="1" applyBorder="1" applyAlignment="1">
      <alignment horizontal="center"/>
    </xf>
    <xf numFmtId="3" fontId="11" fillId="11" borderId="0" xfId="0" applyNumberFormat="1" applyFont="1" applyFill="1" applyAlignment="1">
      <alignment horizontal="center"/>
    </xf>
    <xf numFmtId="3" fontId="22" fillId="11" borderId="2" xfId="0" applyNumberFormat="1" applyFont="1" applyFill="1" applyBorder="1" applyAlignment="1">
      <alignment horizontal="center"/>
    </xf>
    <xf numFmtId="3" fontId="22" fillId="11" borderId="9" xfId="0" applyNumberFormat="1" applyFont="1" applyFill="1" applyBorder="1" applyAlignment="1">
      <alignment horizontal="center"/>
    </xf>
    <xf numFmtId="3" fontId="69" fillId="11" borderId="11" xfId="0" applyNumberFormat="1" applyFont="1" applyFill="1" applyBorder="1" applyAlignment="1">
      <alignment horizontal="center"/>
    </xf>
    <xf numFmtId="3" fontId="69" fillId="11" borderId="12" xfId="0" applyNumberFormat="1" applyFont="1" applyFill="1" applyBorder="1" applyAlignment="1">
      <alignment horizontal="center"/>
    </xf>
    <xf numFmtId="3" fontId="67" fillId="2" borderId="11" xfId="0" applyNumberFormat="1" applyFont="1" applyFill="1" applyBorder="1" applyAlignment="1">
      <alignment horizontal="center"/>
    </xf>
    <xf numFmtId="3" fontId="67" fillId="2" borderId="12" xfId="0" applyNumberFormat="1" applyFont="1" applyFill="1" applyBorder="1" applyAlignment="1">
      <alignment horizontal="center"/>
    </xf>
    <xf numFmtId="0" fontId="71" fillId="8" borderId="12" xfId="0" applyFont="1" applyFill="1" applyBorder="1"/>
    <xf numFmtId="0" fontId="11" fillId="0" borderId="2" xfId="0" applyFont="1" applyBorder="1" applyAlignment="1">
      <alignment horizontal="center"/>
    </xf>
    <xf numFmtId="165" fontId="12" fillId="2" borderId="0" xfId="0" applyNumberFormat="1" applyFont="1" applyFill="1" applyAlignment="1">
      <alignment horizontal="center"/>
    </xf>
    <xf numFmtId="9" fontId="89" fillId="0" borderId="0" xfId="4" applyFont="1" applyFill="1" applyBorder="1" applyAlignment="1">
      <alignment horizontal="center"/>
    </xf>
    <xf numFmtId="3" fontId="22" fillId="2" borderId="0" xfId="5" applyNumberFormat="1" applyFont="1" applyFill="1" applyAlignment="1">
      <alignment horizontal="center" vertical="center"/>
    </xf>
    <xf numFmtId="166" fontId="69" fillId="2" borderId="0" xfId="0" applyNumberFormat="1" applyFont="1" applyFill="1" applyAlignment="1">
      <alignment horizontal="center"/>
    </xf>
    <xf numFmtId="2" fontId="69" fillId="2" borderId="0" xfId="0" applyNumberFormat="1" applyFont="1" applyFill="1" applyAlignment="1">
      <alignment horizontal="center"/>
    </xf>
    <xf numFmtId="2" fontId="69" fillId="2" borderId="14" xfId="0" applyNumberFormat="1" applyFont="1" applyFill="1" applyBorder="1" applyAlignment="1">
      <alignment horizontal="center"/>
    </xf>
    <xf numFmtId="3" fontId="69" fillId="2" borderId="0" xfId="5" applyNumberFormat="1" applyFont="1" applyFill="1" applyAlignment="1">
      <alignment horizontal="center"/>
    </xf>
    <xf numFmtId="3" fontId="85" fillId="2" borderId="0" xfId="5" applyNumberFormat="1" applyFont="1" applyFill="1" applyAlignment="1">
      <alignment horizontal="center"/>
    </xf>
    <xf numFmtId="166" fontId="59" fillId="0" borderId="0" xfId="0" applyNumberFormat="1" applyFont="1" applyAlignment="1">
      <alignment horizontal="center"/>
    </xf>
    <xf numFmtId="3" fontId="22" fillId="11" borderId="0" xfId="5" applyNumberFormat="1" applyFont="1" applyFill="1" applyAlignment="1">
      <alignment horizontal="center"/>
    </xf>
    <xf numFmtId="0" fontId="11" fillId="2" borderId="0" xfId="5" applyFont="1" applyFill="1" applyAlignment="1">
      <alignment horizontal="left" indent="2"/>
    </xf>
    <xf numFmtId="1" fontId="71" fillId="8" borderId="0" xfId="0" applyNumberFormat="1" applyFont="1" applyFill="1" applyAlignment="1">
      <alignment horizontal="center"/>
    </xf>
    <xf numFmtId="0" fontId="22" fillId="2" borderId="2" xfId="5" applyFont="1" applyFill="1" applyBorder="1" applyAlignment="1">
      <alignment horizontal="left" indent="2"/>
    </xf>
    <xf numFmtId="0" fontId="16" fillId="2" borderId="2" xfId="5" applyFont="1" applyFill="1" applyBorder="1"/>
    <xf numFmtId="0" fontId="16" fillId="2" borderId="2" xfId="5" applyFont="1" applyFill="1" applyBorder="1" applyAlignment="1">
      <alignment horizontal="center"/>
    </xf>
    <xf numFmtId="0" fontId="69" fillId="2" borderId="0" xfId="5" applyFont="1" applyFill="1" applyAlignment="1">
      <alignment horizontal="left" indent="1"/>
    </xf>
    <xf numFmtId="3" fontId="22" fillId="2" borderId="2" xfId="0" applyNumberFormat="1" applyFont="1" applyFill="1" applyBorder="1"/>
    <xf numFmtId="0" fontId="88" fillId="2" borderId="0" xfId="5" applyFont="1" applyFill="1" applyAlignment="1">
      <alignment horizontal="left"/>
    </xf>
    <xf numFmtId="0" fontId="58" fillId="2" borderId="0" xfId="5" applyFont="1" applyFill="1" applyAlignment="1">
      <alignment horizontal="left"/>
    </xf>
    <xf numFmtId="4" fontId="12" fillId="2" borderId="0" xfId="0" applyNumberFormat="1" applyFont="1" applyFill="1" applyAlignment="1">
      <alignment horizontal="center"/>
    </xf>
    <xf numFmtId="9" fontId="12" fillId="2" borderId="0" xfId="4" applyFont="1" applyFill="1" applyBorder="1" applyAlignment="1">
      <alignment horizontal="center"/>
    </xf>
    <xf numFmtId="9" fontId="69" fillId="2" borderId="0" xfId="4" applyFont="1" applyFill="1" applyBorder="1" applyAlignment="1">
      <alignment horizontal="center"/>
    </xf>
    <xf numFmtId="3" fontId="69" fillId="2" borderId="14" xfId="5" applyNumberFormat="1" applyFont="1" applyFill="1" applyBorder="1" applyAlignment="1">
      <alignment horizontal="center"/>
    </xf>
    <xf numFmtId="3" fontId="11" fillId="0" borderId="2" xfId="5" applyNumberFormat="1" applyFont="1" applyBorder="1" applyAlignment="1">
      <alignment horizontal="center"/>
    </xf>
    <xf numFmtId="3" fontId="12" fillId="0" borderId="2" xfId="5" applyNumberFormat="1" applyFont="1" applyBorder="1" applyAlignment="1">
      <alignment horizontal="center"/>
    </xf>
    <xf numFmtId="9" fontId="22" fillId="0" borderId="14" xfId="4" applyFont="1" applyFill="1" applyBorder="1" applyAlignment="1">
      <alignment horizontal="center"/>
    </xf>
    <xf numFmtId="0" fontId="22" fillId="2" borderId="3" xfId="0" applyFont="1" applyFill="1" applyBorder="1"/>
    <xf numFmtId="0" fontId="22" fillId="2" borderId="16" xfId="0" applyFont="1" applyFill="1" applyBorder="1"/>
    <xf numFmtId="3" fontId="96" fillId="2" borderId="11" xfId="0" applyNumberFormat="1" applyFont="1" applyFill="1" applyBorder="1" applyAlignment="1">
      <alignment horizontal="center"/>
    </xf>
    <xf numFmtId="9" fontId="69" fillId="2" borderId="0" xfId="4" applyFont="1" applyFill="1" applyAlignment="1">
      <alignment horizontal="center"/>
    </xf>
    <xf numFmtId="9" fontId="69" fillId="2" borderId="14" xfId="4" applyFont="1" applyFill="1" applyBorder="1" applyAlignment="1">
      <alignment horizontal="center"/>
    </xf>
    <xf numFmtId="9" fontId="69" fillId="11" borderId="14" xfId="4" applyFont="1" applyFill="1" applyBorder="1" applyAlignment="1">
      <alignment horizontal="center"/>
    </xf>
    <xf numFmtId="3" fontId="59" fillId="2" borderId="0" xfId="0" applyNumberFormat="1" applyFont="1" applyFill="1" applyAlignment="1">
      <alignment horizontal="center"/>
    </xf>
    <xf numFmtId="9" fontId="97" fillId="2" borderId="0" xfId="4" applyFont="1" applyFill="1" applyAlignment="1">
      <alignment horizontal="center"/>
    </xf>
    <xf numFmtId="9" fontId="98" fillId="2" borderId="0" xfId="4" applyFont="1" applyFill="1" applyAlignment="1">
      <alignment horizontal="center"/>
    </xf>
    <xf numFmtId="9" fontId="69" fillId="0" borderId="0" xfId="4" applyFont="1" applyFill="1" applyBorder="1" applyAlignment="1">
      <alignment horizontal="center"/>
    </xf>
    <xf numFmtId="165" fontId="86" fillId="2" borderId="2" xfId="5" applyNumberFormat="1" applyFont="1" applyFill="1" applyBorder="1" applyAlignment="1">
      <alignment horizontal="center"/>
    </xf>
    <xf numFmtId="1" fontId="12" fillId="10" borderId="14" xfId="0" applyNumberFormat="1" applyFont="1" applyFill="1" applyBorder="1" applyAlignment="1">
      <alignment horizontal="center"/>
    </xf>
    <xf numFmtId="1" fontId="12" fillId="10" borderId="9" xfId="0" applyNumberFormat="1" applyFont="1" applyFill="1" applyBorder="1" applyAlignment="1">
      <alignment horizontal="center"/>
    </xf>
    <xf numFmtId="0" fontId="22" fillId="2" borderId="9" xfId="0" applyFont="1" applyFill="1" applyBorder="1"/>
    <xf numFmtId="9" fontId="12" fillId="2" borderId="2" xfId="5" applyNumberFormat="1" applyFont="1" applyFill="1" applyBorder="1" applyAlignment="1">
      <alignment horizontal="center"/>
    </xf>
    <xf numFmtId="3" fontId="22" fillId="2" borderId="12" xfId="5" applyNumberFormat="1" applyFont="1" applyFill="1" applyBorder="1" applyAlignment="1">
      <alignment horizontal="center" vertical="center"/>
    </xf>
    <xf numFmtId="3" fontId="22" fillId="2" borderId="2" xfId="5" applyNumberFormat="1" applyFont="1" applyFill="1" applyBorder="1" applyAlignment="1">
      <alignment horizontal="center" vertical="center"/>
    </xf>
    <xf numFmtId="3" fontId="22" fillId="2" borderId="5" xfId="0" applyNumberFormat="1" applyFont="1" applyFill="1" applyBorder="1" applyAlignment="1">
      <alignment horizontal="center"/>
    </xf>
    <xf numFmtId="3" fontId="12" fillId="2" borderId="2" xfId="5" applyNumberFormat="1" applyFont="1" applyFill="1" applyBorder="1" applyAlignment="1">
      <alignment horizontal="center"/>
    </xf>
    <xf numFmtId="165" fontId="12" fillId="2" borderId="2" xfId="0" applyNumberFormat="1" applyFont="1" applyFill="1" applyBorder="1" applyAlignment="1">
      <alignment horizontal="center"/>
    </xf>
    <xf numFmtId="165" fontId="22" fillId="2" borderId="2" xfId="0" applyNumberFormat="1" applyFont="1" applyFill="1" applyBorder="1" applyAlignment="1">
      <alignment horizontal="center"/>
    </xf>
    <xf numFmtId="166" fontId="22" fillId="2" borderId="2" xfId="0" applyNumberFormat="1" applyFont="1" applyFill="1" applyBorder="1" applyAlignment="1">
      <alignment horizontal="center"/>
    </xf>
    <xf numFmtId="0" fontId="12" fillId="2" borderId="2" xfId="5" applyFont="1" applyFill="1" applyBorder="1" applyAlignment="1">
      <alignment horizontal="center"/>
    </xf>
    <xf numFmtId="3" fontId="82" fillId="2" borderId="2" xfId="5" applyNumberFormat="1" applyFont="1" applyFill="1" applyBorder="1" applyAlignment="1">
      <alignment horizontal="center"/>
    </xf>
    <xf numFmtId="3" fontId="89" fillId="2" borderId="2" xfId="5" applyNumberFormat="1" applyFont="1" applyFill="1" applyBorder="1" applyAlignment="1">
      <alignment horizontal="center"/>
    </xf>
    <xf numFmtId="3" fontId="15" fillId="2" borderId="2" xfId="5" applyNumberFormat="1" applyFont="1" applyFill="1" applyBorder="1" applyAlignment="1">
      <alignment horizontal="center"/>
    </xf>
    <xf numFmtId="3" fontId="12" fillId="0" borderId="2" xfId="0" applyNumberFormat="1" applyFont="1" applyBorder="1" applyAlignment="1">
      <alignment horizontal="center"/>
    </xf>
    <xf numFmtId="166" fontId="65" fillId="0" borderId="0" xfId="0" applyNumberFormat="1" applyFont="1" applyAlignment="1">
      <alignment horizontal="center"/>
    </xf>
    <xf numFmtId="0" fontId="22" fillId="0" borderId="14" xfId="0" applyFont="1" applyBorder="1"/>
    <xf numFmtId="166" fontId="92" fillId="0" borderId="14" xfId="0" applyNumberFormat="1" applyFont="1" applyBorder="1" applyAlignment="1">
      <alignment horizontal="center"/>
    </xf>
    <xf numFmtId="3" fontId="11" fillId="0" borderId="14" xfId="5" applyNumberFormat="1" applyFont="1" applyBorder="1" applyAlignment="1">
      <alignment horizontal="center"/>
    </xf>
    <xf numFmtId="3" fontId="12" fillId="0" borderId="14" xfId="0" applyNumberFormat="1" applyFont="1" applyBorder="1" applyAlignment="1">
      <alignment horizontal="center"/>
    </xf>
    <xf numFmtId="3" fontId="22" fillId="0" borderId="14" xfId="5" applyNumberFormat="1" applyFont="1" applyBorder="1" applyAlignment="1">
      <alignment horizontal="center"/>
    </xf>
    <xf numFmtId="3" fontId="11" fillId="0" borderId="2" xfId="0" applyNumberFormat="1" applyFont="1" applyBorder="1" applyAlignment="1">
      <alignment horizontal="center"/>
    </xf>
    <xf numFmtId="3" fontId="11" fillId="0" borderId="9" xfId="5" applyNumberFormat="1" applyFont="1" applyBorder="1" applyAlignment="1">
      <alignment horizontal="center"/>
    </xf>
    <xf numFmtId="3" fontId="11" fillId="0" borderId="9" xfId="0" applyNumberFormat="1" applyFont="1" applyBorder="1" applyAlignment="1">
      <alignment horizontal="center"/>
    </xf>
    <xf numFmtId="3" fontId="11" fillId="0" borderId="14" xfId="0" applyNumberFormat="1" applyFont="1" applyBorder="1" applyAlignment="1">
      <alignment horizontal="center"/>
    </xf>
    <xf numFmtId="0" fontId="11" fillId="0" borderId="14" xfId="0" applyFont="1" applyBorder="1" applyAlignment="1">
      <alignment horizontal="center"/>
    </xf>
    <xf numFmtId="3" fontId="16" fillId="0" borderId="14" xfId="5" applyNumberFormat="1" applyFont="1" applyBorder="1" applyAlignment="1">
      <alignment horizontal="center"/>
    </xf>
    <xf numFmtId="165" fontId="12" fillId="2" borderId="0" xfId="5" applyNumberFormat="1" applyFont="1" applyFill="1" applyAlignment="1">
      <alignment horizontal="center"/>
    </xf>
    <xf numFmtId="165" fontId="11" fillId="2" borderId="14" xfId="5" applyNumberFormat="1" applyFont="1" applyFill="1" applyBorder="1" applyAlignment="1">
      <alignment horizontal="center"/>
    </xf>
    <xf numFmtId="0" fontId="12" fillId="0" borderId="2" xfId="0" applyFont="1" applyBorder="1" applyAlignment="1">
      <alignment horizontal="center"/>
    </xf>
    <xf numFmtId="0" fontId="11" fillId="0" borderId="9" xfId="0" applyFont="1" applyBorder="1" applyAlignment="1">
      <alignment horizontal="center"/>
    </xf>
    <xf numFmtId="0" fontId="12" fillId="2" borderId="2" xfId="0" applyFont="1" applyFill="1" applyBorder="1" applyAlignment="1">
      <alignment horizontal="center"/>
    </xf>
    <xf numFmtId="0" fontId="22" fillId="2" borderId="9" xfId="0" applyFont="1" applyFill="1" applyBorder="1" applyAlignment="1">
      <alignment horizontal="center"/>
    </xf>
    <xf numFmtId="0" fontId="12" fillId="2" borderId="9" xfId="0" applyFont="1" applyFill="1" applyBorder="1" applyAlignment="1">
      <alignment horizontal="center"/>
    </xf>
    <xf numFmtId="3" fontId="12" fillId="20" borderId="2" xfId="0" applyNumberFormat="1" applyFont="1" applyFill="1" applyBorder="1" applyAlignment="1">
      <alignment horizontal="center"/>
    </xf>
    <xf numFmtId="3" fontId="12" fillId="14" borderId="2" xfId="0" applyNumberFormat="1" applyFont="1" applyFill="1" applyBorder="1" applyAlignment="1">
      <alignment horizontal="center"/>
    </xf>
    <xf numFmtId="3" fontId="12" fillId="2" borderId="9" xfId="0" applyNumberFormat="1" applyFont="1" applyFill="1" applyBorder="1" applyAlignment="1">
      <alignment horizontal="center"/>
    </xf>
    <xf numFmtId="3" fontId="22" fillId="10" borderId="2" xfId="0" applyNumberFormat="1" applyFont="1" applyFill="1" applyBorder="1" applyAlignment="1">
      <alignment horizontal="center"/>
    </xf>
    <xf numFmtId="0" fontId="69" fillId="2" borderId="0" xfId="0" applyFont="1" applyFill="1" applyAlignment="1">
      <alignment horizontal="left"/>
    </xf>
    <xf numFmtId="0" fontId="71" fillId="15" borderId="5" xfId="0" applyFont="1" applyFill="1" applyBorder="1"/>
    <xf numFmtId="165" fontId="22" fillId="2" borderId="5" xfId="0" applyNumberFormat="1" applyFont="1" applyFill="1" applyBorder="1" applyAlignment="1">
      <alignment horizontal="center"/>
    </xf>
    <xf numFmtId="165" fontId="22" fillId="2" borderId="3" xfId="0" applyNumberFormat="1" applyFont="1" applyFill="1" applyBorder="1" applyAlignment="1">
      <alignment horizontal="center"/>
    </xf>
    <xf numFmtId="2" fontId="69" fillId="2" borderId="5" xfId="0" applyNumberFormat="1" applyFont="1" applyFill="1" applyBorder="1" applyAlignment="1">
      <alignment horizontal="center"/>
    </xf>
    <xf numFmtId="3" fontId="11" fillId="2" borderId="5" xfId="5" applyNumberFormat="1" applyFont="1" applyFill="1" applyBorder="1" applyAlignment="1">
      <alignment horizontal="center"/>
    </xf>
    <xf numFmtId="3" fontId="11" fillId="2" borderId="3" xfId="5" applyNumberFormat="1" applyFont="1" applyFill="1" applyBorder="1" applyAlignment="1">
      <alignment horizontal="center"/>
    </xf>
    <xf numFmtId="3" fontId="16" fillId="2" borderId="5" xfId="5" applyNumberFormat="1" applyFont="1" applyFill="1" applyBorder="1" applyAlignment="1">
      <alignment horizontal="center"/>
    </xf>
    <xf numFmtId="165" fontId="67" fillId="2" borderId="5" xfId="0" applyNumberFormat="1" applyFont="1" applyFill="1" applyBorder="1" applyAlignment="1">
      <alignment horizontal="center"/>
    </xf>
    <xf numFmtId="9" fontId="11" fillId="2" borderId="5" xfId="4" applyFont="1" applyFill="1" applyBorder="1" applyAlignment="1">
      <alignment horizontal="center"/>
    </xf>
    <xf numFmtId="9" fontId="16" fillId="2" borderId="5" xfId="4" applyFont="1" applyFill="1" applyBorder="1" applyAlignment="1">
      <alignment horizontal="center"/>
    </xf>
    <xf numFmtId="0" fontId="71" fillId="8" borderId="5" xfId="0" applyFont="1" applyFill="1" applyBorder="1"/>
    <xf numFmtId="1" fontId="71" fillId="8" borderId="5" xfId="0" applyNumberFormat="1" applyFont="1" applyFill="1" applyBorder="1" applyAlignment="1">
      <alignment horizontal="center"/>
    </xf>
    <xf numFmtId="1" fontId="59" fillId="10" borderId="16" xfId="0" applyNumberFormat="1" applyFont="1" applyFill="1" applyBorder="1" applyAlignment="1">
      <alignment horizontal="center"/>
    </xf>
    <xf numFmtId="0" fontId="22" fillId="2" borderId="5" xfId="0" applyFont="1" applyFill="1" applyBorder="1" applyAlignment="1">
      <alignment horizontal="center"/>
    </xf>
    <xf numFmtId="1" fontId="16" fillId="11" borderId="5" xfId="0" applyNumberFormat="1" applyFont="1" applyFill="1" applyBorder="1" applyAlignment="1">
      <alignment horizontal="center"/>
    </xf>
    <xf numFmtId="3" fontId="69" fillId="2" borderId="5" xfId="0" applyNumberFormat="1" applyFont="1" applyFill="1" applyBorder="1" applyAlignment="1">
      <alignment horizontal="center"/>
    </xf>
    <xf numFmtId="0" fontId="69" fillId="2" borderId="5" xfId="0" applyFont="1" applyFill="1" applyBorder="1"/>
    <xf numFmtId="3" fontId="22" fillId="2" borderId="3" xfId="0" applyNumberFormat="1" applyFont="1" applyFill="1" applyBorder="1" applyAlignment="1">
      <alignment horizontal="center"/>
    </xf>
    <xf numFmtId="3" fontId="12" fillId="2" borderId="5" xfId="0" applyNumberFormat="1" applyFont="1" applyFill="1" applyBorder="1" applyAlignment="1">
      <alignment horizontal="center"/>
    </xf>
    <xf numFmtId="3" fontId="69" fillId="2" borderId="16" xfId="0" applyNumberFormat="1" applyFont="1" applyFill="1" applyBorder="1" applyAlignment="1">
      <alignment horizontal="center"/>
    </xf>
    <xf numFmtId="4" fontId="12" fillId="2" borderId="5" xfId="0" applyNumberFormat="1" applyFont="1" applyFill="1" applyBorder="1" applyAlignment="1">
      <alignment horizontal="center"/>
    </xf>
    <xf numFmtId="0" fontId="69" fillId="2" borderId="16" xfId="0" applyFont="1" applyFill="1" applyBorder="1"/>
    <xf numFmtId="3" fontId="22" fillId="2" borderId="5" xfId="5" applyNumberFormat="1" applyFont="1" applyFill="1" applyBorder="1" applyAlignment="1">
      <alignment horizontal="center"/>
    </xf>
    <xf numFmtId="3" fontId="22" fillId="2" borderId="3" xfId="5" applyNumberFormat="1" applyFont="1" applyFill="1" applyBorder="1" applyAlignment="1">
      <alignment horizontal="center"/>
    </xf>
    <xf numFmtId="3" fontId="69" fillId="2" borderId="5" xfId="5" applyNumberFormat="1" applyFont="1" applyFill="1" applyBorder="1" applyAlignment="1">
      <alignment horizontal="center"/>
    </xf>
    <xf numFmtId="9" fontId="22" fillId="0" borderId="5" xfId="4" applyFont="1" applyFill="1" applyBorder="1" applyAlignment="1">
      <alignment horizontal="center"/>
    </xf>
    <xf numFmtId="3" fontId="22" fillId="2" borderId="5" xfId="5" applyNumberFormat="1" applyFont="1" applyFill="1" applyBorder="1" applyAlignment="1">
      <alignment horizontal="center" vertical="center"/>
    </xf>
    <xf numFmtId="0" fontId="71" fillId="15" borderId="14" xfId="0" applyFont="1" applyFill="1" applyBorder="1"/>
    <xf numFmtId="165" fontId="22" fillId="2" borderId="9" xfId="0" applyNumberFormat="1" applyFont="1" applyFill="1" applyBorder="1" applyAlignment="1">
      <alignment horizontal="center"/>
    </xf>
    <xf numFmtId="0" fontId="71" fillId="8" borderId="14" xfId="0" applyFont="1" applyFill="1" applyBorder="1"/>
    <xf numFmtId="1" fontId="71" fillId="8" borderId="14" xfId="0" applyNumberFormat="1" applyFont="1" applyFill="1" applyBorder="1" applyAlignment="1">
      <alignment horizontal="center"/>
    </xf>
    <xf numFmtId="4" fontId="12" fillId="2" borderId="14" xfId="0" applyNumberFormat="1" applyFont="1" applyFill="1" applyBorder="1" applyAlignment="1">
      <alignment horizontal="center"/>
    </xf>
    <xf numFmtId="3" fontId="22" fillId="2" borderId="14" xfId="5" applyNumberFormat="1" applyFont="1" applyFill="1" applyBorder="1" applyAlignment="1">
      <alignment horizontal="center" vertical="center"/>
    </xf>
    <xf numFmtId="9" fontId="22" fillId="2" borderId="1" xfId="4" applyFont="1" applyFill="1" applyBorder="1" applyAlignment="1">
      <alignment horizontal="center"/>
    </xf>
    <xf numFmtId="9" fontId="12" fillId="2" borderId="14" xfId="4" applyFont="1" applyFill="1" applyBorder="1" applyAlignment="1">
      <alignment horizontal="center"/>
    </xf>
    <xf numFmtId="167" fontId="69" fillId="2" borderId="12" xfId="4" applyNumberFormat="1" applyFont="1" applyFill="1" applyBorder="1" applyAlignment="1">
      <alignment horizontal="center"/>
    </xf>
    <xf numFmtId="3" fontId="67" fillId="2" borderId="5" xfId="0" applyNumberFormat="1" applyFont="1" applyFill="1" applyBorder="1" applyAlignment="1">
      <alignment horizontal="center"/>
    </xf>
    <xf numFmtId="9" fontId="22" fillId="2" borderId="3" xfId="4" applyFont="1" applyFill="1" applyBorder="1" applyAlignment="1">
      <alignment horizontal="center"/>
    </xf>
    <xf numFmtId="9" fontId="69" fillId="2" borderId="5" xfId="4" applyFont="1" applyFill="1" applyBorder="1" applyAlignment="1">
      <alignment horizontal="center"/>
    </xf>
    <xf numFmtId="9" fontId="12" fillId="2" borderId="5" xfId="4" applyFont="1" applyFill="1" applyBorder="1" applyAlignment="1">
      <alignment horizontal="center"/>
    </xf>
    <xf numFmtId="167" fontId="69" fillId="2" borderId="16" xfId="4" applyNumberFormat="1" applyFont="1" applyFill="1" applyBorder="1" applyAlignment="1">
      <alignment horizontal="center"/>
    </xf>
    <xf numFmtId="165" fontId="12" fillId="2" borderId="9" xfId="0" applyNumberFormat="1" applyFont="1" applyFill="1" applyBorder="1" applyAlignment="1">
      <alignment horizontal="center"/>
    </xf>
    <xf numFmtId="2" fontId="12" fillId="2" borderId="14" xfId="0" applyNumberFormat="1" applyFont="1" applyFill="1" applyBorder="1" applyAlignment="1">
      <alignment horizontal="center"/>
    </xf>
    <xf numFmtId="3" fontId="12" fillId="0" borderId="9" xfId="5" applyNumberFormat="1" applyFont="1" applyBorder="1" applyAlignment="1">
      <alignment horizontal="center"/>
    </xf>
    <xf numFmtId="3" fontId="16" fillId="0" borderId="14" xfId="0" applyNumberFormat="1" applyFont="1" applyBorder="1" applyAlignment="1">
      <alignment horizontal="center"/>
    </xf>
    <xf numFmtId="9" fontId="69" fillId="0" borderId="14" xfId="4" applyFont="1" applyFill="1" applyBorder="1" applyAlignment="1">
      <alignment horizontal="center"/>
    </xf>
    <xf numFmtId="166" fontId="22" fillId="2" borderId="5" xfId="0" applyNumberFormat="1" applyFont="1" applyFill="1" applyBorder="1" applyAlignment="1">
      <alignment horizontal="center"/>
    </xf>
    <xf numFmtId="9" fontId="69" fillId="0" borderId="5" xfId="4" applyFont="1" applyFill="1" applyBorder="1" applyAlignment="1">
      <alignment horizontal="center"/>
    </xf>
    <xf numFmtId="0" fontId="11" fillId="0" borderId="5" xfId="0" applyFont="1" applyBorder="1" applyAlignment="1">
      <alignment horizontal="center"/>
    </xf>
    <xf numFmtId="9" fontId="89" fillId="2" borderId="2" xfId="4" applyFont="1" applyFill="1" applyBorder="1" applyAlignment="1">
      <alignment horizontal="center"/>
    </xf>
    <xf numFmtId="9" fontId="11" fillId="2" borderId="2" xfId="4" applyFont="1" applyFill="1" applyBorder="1" applyAlignment="1">
      <alignment horizontal="center"/>
    </xf>
    <xf numFmtId="9" fontId="11" fillId="2" borderId="9" xfId="4" applyFont="1" applyFill="1" applyBorder="1" applyAlignment="1">
      <alignment horizontal="center"/>
    </xf>
    <xf numFmtId="9" fontId="82" fillId="2" borderId="2" xfId="4" applyFont="1" applyFill="1" applyBorder="1" applyAlignment="1">
      <alignment horizontal="center"/>
    </xf>
    <xf numFmtId="9" fontId="16" fillId="2" borderId="2" xfId="4" applyFont="1" applyFill="1" applyBorder="1" applyAlignment="1">
      <alignment horizontal="center"/>
    </xf>
    <xf numFmtId="0" fontId="16" fillId="2" borderId="11" xfId="5" applyFont="1" applyFill="1" applyBorder="1"/>
    <xf numFmtId="0" fontId="16" fillId="2" borderId="11" xfId="5" applyFont="1" applyFill="1" applyBorder="1" applyAlignment="1">
      <alignment horizontal="center"/>
    </xf>
    <xf numFmtId="3" fontId="22" fillId="2" borderId="11" xfId="5" applyNumberFormat="1" applyFont="1" applyFill="1" applyBorder="1" applyAlignment="1">
      <alignment horizontal="center"/>
    </xf>
    <xf numFmtId="3" fontId="16" fillId="2" borderId="11" xfId="5" applyNumberFormat="1" applyFont="1" applyFill="1" applyBorder="1"/>
    <xf numFmtId="9" fontId="90" fillId="2" borderId="11" xfId="4" applyFont="1" applyFill="1" applyBorder="1" applyAlignment="1">
      <alignment horizontal="center"/>
    </xf>
    <xf numFmtId="9" fontId="22" fillId="2" borderId="11" xfId="4" applyFont="1" applyFill="1" applyBorder="1" applyAlignment="1">
      <alignment horizontal="center"/>
    </xf>
    <xf numFmtId="9" fontId="89" fillId="2" borderId="11" xfId="4" applyFont="1" applyFill="1" applyBorder="1" applyAlignment="1">
      <alignment horizontal="center"/>
    </xf>
    <xf numFmtId="9" fontId="11" fillId="2" borderId="11" xfId="4" applyFont="1" applyFill="1" applyBorder="1" applyAlignment="1">
      <alignment horizontal="center"/>
    </xf>
    <xf numFmtId="9" fontId="16" fillId="2" borderId="11" xfId="4" applyFont="1" applyFill="1" applyBorder="1" applyAlignment="1">
      <alignment horizontal="center"/>
    </xf>
    <xf numFmtId="9" fontId="16" fillId="2" borderId="12" xfId="4" applyFont="1" applyFill="1" applyBorder="1" applyAlignment="1">
      <alignment horizontal="center"/>
    </xf>
    <xf numFmtId="0" fontId="11" fillId="2" borderId="2" xfId="0" applyFont="1" applyFill="1" applyBorder="1" applyAlignment="1">
      <alignment horizontal="left" indent="1"/>
    </xf>
    <xf numFmtId="0" fontId="22" fillId="2" borderId="2" xfId="5" applyFont="1" applyFill="1" applyBorder="1"/>
    <xf numFmtId="3" fontId="82" fillId="2" borderId="2" xfId="0" applyNumberFormat="1" applyFont="1" applyFill="1" applyBorder="1" applyAlignment="1">
      <alignment horizontal="center"/>
    </xf>
    <xf numFmtId="9" fontId="16" fillId="2" borderId="2" xfId="4" applyFont="1" applyFill="1" applyBorder="1"/>
    <xf numFmtId="3" fontId="16" fillId="2" borderId="2" xfId="5" applyNumberFormat="1" applyFont="1" applyFill="1" applyBorder="1" applyAlignment="1">
      <alignment horizontal="center"/>
    </xf>
    <xf numFmtId="0" fontId="3" fillId="2" borderId="2" xfId="0" applyFont="1" applyFill="1" applyBorder="1" applyAlignment="1">
      <alignment horizontal="left" indent="1"/>
    </xf>
    <xf numFmtId="3" fontId="22" fillId="11" borderId="5" xfId="0" applyNumberFormat="1" applyFont="1" applyFill="1" applyBorder="1" applyAlignment="1">
      <alignment horizontal="center"/>
    </xf>
    <xf numFmtId="0" fontId="22" fillId="11" borderId="5" xfId="0" applyFont="1" applyFill="1" applyBorder="1"/>
    <xf numFmtId="0" fontId="16" fillId="2" borderId="5" xfId="5" applyFont="1" applyFill="1" applyBorder="1"/>
    <xf numFmtId="9" fontId="69" fillId="10" borderId="5" xfId="4" applyFont="1" applyFill="1" applyBorder="1" applyAlignment="1">
      <alignment horizontal="center"/>
    </xf>
    <xf numFmtId="9" fontId="22" fillId="2" borderId="5" xfId="4" applyFont="1" applyFill="1" applyBorder="1"/>
    <xf numFmtId="9" fontId="11" fillId="2" borderId="3" xfId="4" applyFont="1" applyFill="1" applyBorder="1" applyAlignment="1">
      <alignment horizontal="center"/>
    </xf>
    <xf numFmtId="9" fontId="16" fillId="2" borderId="16" xfId="4" applyFont="1" applyFill="1" applyBorder="1" applyAlignment="1">
      <alignment horizontal="center"/>
    </xf>
    <xf numFmtId="9" fontId="58" fillId="2" borderId="5" xfId="5" applyNumberFormat="1" applyFont="1" applyFill="1" applyBorder="1" applyAlignment="1">
      <alignment horizontal="center"/>
    </xf>
    <xf numFmtId="3" fontId="86" fillId="2" borderId="5" xfId="5" applyNumberFormat="1" applyFont="1" applyFill="1" applyBorder="1" applyAlignment="1">
      <alignment horizontal="center"/>
    </xf>
    <xf numFmtId="165" fontId="11" fillId="2" borderId="5" xfId="5" applyNumberFormat="1" applyFont="1" applyFill="1" applyBorder="1" applyAlignment="1">
      <alignment horizontal="center"/>
    </xf>
    <xf numFmtId="3" fontId="22" fillId="0" borderId="5" xfId="0" applyNumberFormat="1" applyFont="1" applyBorder="1" applyAlignment="1">
      <alignment horizontal="center"/>
    </xf>
    <xf numFmtId="0" fontId="11" fillId="0" borderId="3" xfId="0" applyFont="1" applyBorder="1" applyAlignment="1">
      <alignment horizontal="center"/>
    </xf>
    <xf numFmtId="3" fontId="16" fillId="2" borderId="5" xfId="0" applyNumberFormat="1" applyFont="1" applyFill="1" applyBorder="1" applyAlignment="1">
      <alignment horizontal="center"/>
    </xf>
    <xf numFmtId="0" fontId="69" fillId="2" borderId="5" xfId="0" applyFont="1" applyFill="1" applyBorder="1" applyAlignment="1">
      <alignment horizontal="center"/>
    </xf>
    <xf numFmtId="0" fontId="22" fillId="10" borderId="5" xfId="0" applyFont="1" applyFill="1" applyBorder="1" applyAlignment="1">
      <alignment horizontal="center"/>
    </xf>
    <xf numFmtId="3" fontId="22" fillId="10" borderId="5" xfId="5" applyNumberFormat="1" applyFont="1" applyFill="1" applyBorder="1" applyAlignment="1">
      <alignment horizontal="center"/>
    </xf>
    <xf numFmtId="0" fontId="22" fillId="2" borderId="3" xfId="0" applyFont="1" applyFill="1" applyBorder="1" applyAlignment="1">
      <alignment horizontal="center"/>
    </xf>
    <xf numFmtId="1" fontId="69" fillId="14" borderId="5" xfId="0" applyNumberFormat="1" applyFont="1" applyFill="1" applyBorder="1" applyAlignment="1">
      <alignment horizontal="center"/>
    </xf>
    <xf numFmtId="0" fontId="71" fillId="8" borderId="3" xfId="0" applyFont="1" applyFill="1" applyBorder="1"/>
    <xf numFmtId="3" fontId="22" fillId="11" borderId="3" xfId="0" applyNumberFormat="1" applyFont="1" applyFill="1" applyBorder="1" applyAlignment="1">
      <alignment horizontal="center"/>
    </xf>
    <xf numFmtId="3" fontId="69" fillId="11" borderId="16" xfId="0" applyNumberFormat="1" applyFont="1" applyFill="1" applyBorder="1" applyAlignment="1">
      <alignment horizontal="center"/>
    </xf>
    <xf numFmtId="3" fontId="67" fillId="2" borderId="16" xfId="0" applyNumberFormat="1" applyFont="1" applyFill="1" applyBorder="1" applyAlignment="1">
      <alignment horizontal="center"/>
    </xf>
    <xf numFmtId="0" fontId="71" fillId="8" borderId="16" xfId="0" applyFont="1" applyFill="1" applyBorder="1"/>
    <xf numFmtId="0" fontId="69" fillId="11" borderId="5" xfId="0" applyFont="1" applyFill="1" applyBorder="1" applyAlignment="1">
      <alignment horizontal="center"/>
    </xf>
    <xf numFmtId="9" fontId="69" fillId="11" borderId="5" xfId="4" applyFont="1" applyFill="1" applyBorder="1" applyAlignment="1">
      <alignment horizontal="center"/>
    </xf>
    <xf numFmtId="0" fontId="12" fillId="2" borderId="5" xfId="0" applyFont="1" applyFill="1" applyBorder="1" applyAlignment="1">
      <alignment horizontal="center"/>
    </xf>
    <xf numFmtId="3" fontId="22" fillId="2" borderId="5" xfId="0" applyNumberFormat="1" applyFont="1" applyFill="1" applyBorder="1"/>
    <xf numFmtId="9" fontId="22" fillId="11" borderId="5" xfId="4" applyFont="1" applyFill="1" applyBorder="1" applyAlignment="1">
      <alignment horizontal="center"/>
    </xf>
    <xf numFmtId="9" fontId="22" fillId="2" borderId="5" xfId="4" applyFont="1" applyFill="1" applyBorder="1" applyAlignment="1">
      <alignment horizontal="left"/>
    </xf>
    <xf numFmtId="9" fontId="22" fillId="2" borderId="5" xfId="0" applyNumberFormat="1" applyFont="1" applyFill="1" applyBorder="1"/>
    <xf numFmtId="0" fontId="22" fillId="0" borderId="5" xfId="0" applyFont="1" applyBorder="1"/>
    <xf numFmtId="0" fontId="16" fillId="11" borderId="5" xfId="0" applyFont="1" applyFill="1" applyBorder="1"/>
    <xf numFmtId="9" fontId="22" fillId="10" borderId="5" xfId="4" applyFont="1" applyFill="1" applyBorder="1" applyAlignment="1">
      <alignment horizontal="center"/>
    </xf>
    <xf numFmtId="0" fontId="12" fillId="2" borderId="5" xfId="0" applyFont="1" applyFill="1" applyBorder="1"/>
    <xf numFmtId="0" fontId="69" fillId="0" borderId="5" xfId="0" applyFont="1" applyBorder="1"/>
    <xf numFmtId="9" fontId="16" fillId="2" borderId="5" xfId="4" applyFont="1" applyFill="1" applyBorder="1"/>
    <xf numFmtId="3" fontId="12" fillId="2" borderId="5" xfId="5" applyNumberFormat="1" applyFont="1" applyFill="1" applyBorder="1" applyAlignment="1">
      <alignment horizontal="center"/>
    </xf>
    <xf numFmtId="0" fontId="16" fillId="2" borderId="5" xfId="0" applyFont="1" applyFill="1" applyBorder="1"/>
    <xf numFmtId="0" fontId="11" fillId="11" borderId="5" xfId="0" applyFont="1" applyFill="1" applyBorder="1"/>
    <xf numFmtId="0" fontId="11" fillId="11" borderId="14" xfId="0" applyFont="1" applyFill="1" applyBorder="1"/>
    <xf numFmtId="0" fontId="16" fillId="11" borderId="5" xfId="0" applyFont="1" applyFill="1" applyBorder="1" applyAlignment="1">
      <alignment horizontal="center"/>
    </xf>
    <xf numFmtId="3" fontId="60" fillId="2" borderId="5" xfId="0" applyNumberFormat="1" applyFont="1" applyFill="1" applyBorder="1" applyAlignment="1">
      <alignment horizontal="center"/>
    </xf>
    <xf numFmtId="9" fontId="22" fillId="10" borderId="5" xfId="4" applyFont="1" applyFill="1" applyBorder="1" applyAlignment="1">
      <alignment horizontal="left"/>
    </xf>
    <xf numFmtId="3" fontId="22" fillId="10" borderId="5" xfId="0" applyNumberFormat="1" applyFont="1" applyFill="1" applyBorder="1" applyAlignment="1">
      <alignment horizontal="left"/>
    </xf>
    <xf numFmtId="165" fontId="12" fillId="2" borderId="5" xfId="0" applyNumberFormat="1" applyFont="1" applyFill="1" applyBorder="1" applyAlignment="1">
      <alignment horizontal="center"/>
    </xf>
    <xf numFmtId="9" fontId="11" fillId="2" borderId="0" xfId="4" applyFont="1" applyFill="1" applyBorder="1" applyAlignment="1">
      <alignment horizontal="center"/>
    </xf>
    <xf numFmtId="9" fontId="16" fillId="2" borderId="0" xfId="4" applyFont="1" applyFill="1" applyBorder="1" applyAlignment="1">
      <alignment horizontal="center"/>
    </xf>
    <xf numFmtId="166" fontId="65" fillId="10" borderId="0" xfId="0" applyNumberFormat="1" applyFont="1" applyFill="1" applyAlignment="1">
      <alignment horizontal="center"/>
    </xf>
    <xf numFmtId="3" fontId="16" fillId="10" borderId="0" xfId="0" applyNumberFormat="1" applyFont="1" applyFill="1" applyAlignment="1">
      <alignment horizontal="center"/>
    </xf>
    <xf numFmtId="3" fontId="16" fillId="10" borderId="0" xfId="5" applyNumberFormat="1" applyFont="1" applyFill="1" applyAlignment="1">
      <alignment horizontal="center"/>
    </xf>
    <xf numFmtId="3" fontId="16" fillId="2" borderId="6" xfId="5" applyNumberFormat="1" applyFont="1" applyFill="1" applyBorder="1" applyAlignment="1">
      <alignment horizontal="center"/>
    </xf>
    <xf numFmtId="3" fontId="16" fillId="2" borderId="10" xfId="5" applyNumberFormat="1" applyFont="1" applyFill="1" applyBorder="1" applyAlignment="1">
      <alignment horizontal="center"/>
    </xf>
    <xf numFmtId="0" fontId="12" fillId="0" borderId="9" xfId="0" applyFont="1" applyBorder="1" applyAlignment="1">
      <alignment horizontal="center"/>
    </xf>
    <xf numFmtId="3" fontId="6" fillId="10" borderId="0" xfId="0" applyNumberFormat="1" applyFont="1" applyFill="1" applyAlignment="1">
      <alignment horizontal="center"/>
    </xf>
    <xf numFmtId="3" fontId="25" fillId="10" borderId="0" xfId="0" applyNumberFormat="1" applyFont="1" applyFill="1" applyAlignment="1">
      <alignment horizontal="center"/>
    </xf>
    <xf numFmtId="3" fontId="105" fillId="10" borderId="0" xfId="0" applyNumberFormat="1" applyFont="1" applyFill="1" applyAlignment="1">
      <alignment horizontal="center"/>
    </xf>
    <xf numFmtId="3" fontId="106" fillId="10" borderId="0" xfId="0" applyNumberFormat="1" applyFont="1" applyFill="1" applyAlignment="1">
      <alignment horizontal="center"/>
    </xf>
    <xf numFmtId="4" fontId="22" fillId="2" borderId="0" xfId="0" applyNumberFormat="1" applyFont="1" applyFill="1" applyAlignment="1">
      <alignment horizontal="center"/>
    </xf>
    <xf numFmtId="4" fontId="11" fillId="2" borderId="0" xfId="0" applyNumberFormat="1" applyFont="1" applyFill="1" applyAlignment="1">
      <alignment horizontal="center"/>
    </xf>
    <xf numFmtId="3" fontId="69" fillId="11" borderId="0" xfId="0" applyNumberFormat="1" applyFont="1" applyFill="1" applyAlignment="1">
      <alignment horizontal="center"/>
    </xf>
    <xf numFmtId="167" fontId="69" fillId="2" borderId="0" xfId="4" applyNumberFormat="1" applyFont="1" applyFill="1" applyBorder="1" applyAlignment="1">
      <alignment horizontal="center"/>
    </xf>
    <xf numFmtId="2" fontId="69" fillId="2" borderId="7" xfId="0" applyNumberFormat="1" applyFont="1" applyFill="1" applyBorder="1" applyAlignment="1">
      <alignment horizontal="center"/>
    </xf>
    <xf numFmtId="9" fontId="12" fillId="2" borderId="2" xfId="4" applyFont="1" applyFill="1" applyBorder="1" applyAlignment="1">
      <alignment horizontal="center"/>
    </xf>
    <xf numFmtId="0" fontId="55" fillId="2" borderId="0" xfId="5" applyFont="1" applyFill="1" applyAlignment="1">
      <alignment horizontal="right"/>
    </xf>
    <xf numFmtId="0" fontId="65" fillId="2" borderId="0" xfId="5" applyFont="1" applyFill="1" applyAlignment="1">
      <alignment horizontal="left"/>
    </xf>
    <xf numFmtId="0" fontId="11" fillId="2" borderId="0" xfId="5" applyFont="1" applyFill="1" applyAlignment="1">
      <alignment horizontal="center"/>
    </xf>
    <xf numFmtId="9" fontId="12" fillId="27" borderId="14" xfId="4" applyFont="1" applyFill="1" applyBorder="1" applyAlignment="1">
      <alignment horizontal="center"/>
    </xf>
    <xf numFmtId="4" fontId="12" fillId="27" borderId="14" xfId="0" applyNumberFormat="1" applyFont="1" applyFill="1" applyBorder="1" applyAlignment="1">
      <alignment horizontal="center"/>
    </xf>
    <xf numFmtId="3" fontId="16" fillId="27" borderId="11" xfId="0" applyNumberFormat="1" applyFont="1" applyFill="1" applyBorder="1" applyAlignment="1">
      <alignment horizontal="center"/>
    </xf>
    <xf numFmtId="9" fontId="22" fillId="27" borderId="0" xfId="4" applyFont="1" applyFill="1" applyAlignment="1">
      <alignment horizontal="center"/>
    </xf>
    <xf numFmtId="2" fontId="55" fillId="22" borderId="0" xfId="0" applyNumberFormat="1" applyFont="1" applyFill="1" applyAlignment="1">
      <alignment horizontal="center"/>
    </xf>
    <xf numFmtId="3" fontId="55" fillId="22" borderId="0" xfId="0" applyNumberFormat="1" applyFont="1" applyFill="1" applyAlignment="1">
      <alignment horizontal="center"/>
    </xf>
    <xf numFmtId="0" fontId="28" fillId="19" borderId="0" xfId="0" applyFont="1" applyFill="1"/>
    <xf numFmtId="0" fontId="28" fillId="19" borderId="0" xfId="0" applyFont="1" applyFill="1" applyAlignment="1">
      <alignment horizontal="center"/>
    </xf>
    <xf numFmtId="0" fontId="28" fillId="16" borderId="0" xfId="0" applyFont="1" applyFill="1" applyAlignment="1">
      <alignment horizontal="center"/>
    </xf>
    <xf numFmtId="1" fontId="59" fillId="22" borderId="0" xfId="0" applyNumberFormat="1" applyFont="1" applyFill="1" applyAlignment="1">
      <alignment horizontal="left" wrapText="1"/>
    </xf>
    <xf numFmtId="3" fontId="55" fillId="22" borderId="2" xfId="0" applyNumberFormat="1" applyFont="1" applyFill="1" applyBorder="1" applyAlignment="1">
      <alignment horizontal="center"/>
    </xf>
    <xf numFmtId="3" fontId="3" fillId="22" borderId="2" xfId="0" applyNumberFormat="1" applyFont="1" applyFill="1" applyBorder="1" applyAlignment="1">
      <alignment horizontal="center"/>
    </xf>
    <xf numFmtId="3" fontId="1" fillId="22" borderId="0" xfId="0" applyNumberFormat="1" applyFont="1" applyFill="1" applyAlignment="1">
      <alignment horizontal="center"/>
    </xf>
    <xf numFmtId="3" fontId="3" fillId="22" borderId="0" xfId="0" applyNumberFormat="1" applyFont="1" applyFill="1" applyAlignment="1">
      <alignment horizontal="center"/>
    </xf>
    <xf numFmtId="3" fontId="1" fillId="22" borderId="2" xfId="0" applyNumberFormat="1" applyFont="1" applyFill="1" applyBorder="1" applyAlignment="1">
      <alignment horizontal="center"/>
    </xf>
    <xf numFmtId="167" fontId="22" fillId="2" borderId="0" xfId="4" applyNumberFormat="1" applyFont="1" applyFill="1"/>
    <xf numFmtId="9" fontId="12" fillId="2" borderId="0" xfId="5" applyNumberFormat="1" applyFont="1" applyFill="1" applyAlignment="1">
      <alignment horizontal="center"/>
    </xf>
    <xf numFmtId="9" fontId="3" fillId="10" borderId="0" xfId="4" applyFont="1" applyFill="1" applyAlignment="1">
      <alignment horizontal="center" vertical="top" wrapText="1"/>
    </xf>
    <xf numFmtId="3" fontId="22" fillId="12" borderId="2" xfId="0" applyNumberFormat="1" applyFont="1" applyFill="1" applyBorder="1" applyAlignment="1">
      <alignment horizontal="center"/>
    </xf>
    <xf numFmtId="0" fontId="25" fillId="2" borderId="0" xfId="0" applyFont="1" applyFill="1" applyAlignment="1">
      <alignment horizontal="center"/>
    </xf>
    <xf numFmtId="0" fontId="76" fillId="2" borderId="0" xfId="0" applyFont="1" applyFill="1" applyAlignment="1">
      <alignment horizontal="center"/>
    </xf>
    <xf numFmtId="3" fontId="25" fillId="2" borderId="14" xfId="5" applyNumberFormat="1" applyFont="1" applyFill="1" applyBorder="1" applyAlignment="1">
      <alignment horizontal="center"/>
    </xf>
    <xf numFmtId="3" fontId="76" fillId="2" borderId="14" xfId="0" applyNumberFormat="1" applyFont="1" applyFill="1" applyBorder="1" applyAlignment="1">
      <alignment horizontal="center"/>
    </xf>
    <xf numFmtId="0" fontId="76" fillId="2" borderId="15" xfId="0" applyFont="1" applyFill="1" applyBorder="1" applyAlignment="1">
      <alignment horizontal="center"/>
    </xf>
    <xf numFmtId="3" fontId="76" fillId="2" borderId="19" xfId="0" applyNumberFormat="1" applyFont="1" applyFill="1" applyBorder="1" applyAlignment="1">
      <alignment horizontal="center"/>
    </xf>
    <xf numFmtId="3" fontId="76" fillId="2" borderId="15" xfId="0" applyNumberFormat="1" applyFont="1" applyFill="1" applyBorder="1" applyAlignment="1">
      <alignment horizontal="center"/>
    </xf>
    <xf numFmtId="3" fontId="25" fillId="2" borderId="19" xfId="5" applyNumberFormat="1" applyFont="1" applyFill="1" applyBorder="1" applyAlignment="1">
      <alignment horizontal="center"/>
    </xf>
    <xf numFmtId="0" fontId="11" fillId="2" borderId="15" xfId="0" applyFont="1" applyFill="1" applyBorder="1" applyAlignment="1">
      <alignment horizontal="center"/>
    </xf>
    <xf numFmtId="3" fontId="12" fillId="2" borderId="19" xfId="5" applyNumberFormat="1" applyFont="1" applyFill="1" applyBorder="1" applyAlignment="1">
      <alignment horizontal="center"/>
    </xf>
    <xf numFmtId="4" fontId="17" fillId="11" borderId="0" xfId="5" applyNumberFormat="1" applyFont="1" applyFill="1" applyAlignment="1">
      <alignment horizontal="center"/>
    </xf>
    <xf numFmtId="3" fontId="22" fillId="0" borderId="5" xfId="0" applyNumberFormat="1" applyFont="1" applyBorder="1"/>
    <xf numFmtId="9" fontId="12" fillId="2" borderId="0" xfId="0" applyNumberFormat="1" applyFont="1" applyFill="1" applyAlignment="1">
      <alignment horizontal="center"/>
    </xf>
    <xf numFmtId="3" fontId="25" fillId="2" borderId="14" xfId="0" applyNumberFormat="1" applyFont="1" applyFill="1" applyBorder="1" applyAlignment="1">
      <alignment horizontal="center"/>
    </xf>
    <xf numFmtId="3" fontId="25" fillId="2" borderId="19" xfId="0" applyNumberFormat="1" applyFont="1" applyFill="1" applyBorder="1" applyAlignment="1">
      <alignment horizontal="center"/>
    </xf>
    <xf numFmtId="3" fontId="60" fillId="0" borderId="0" xfId="0" applyNumberFormat="1" applyFont="1" applyAlignment="1">
      <alignment horizontal="center"/>
    </xf>
    <xf numFmtId="9" fontId="3" fillId="14" borderId="0" xfId="4" applyFont="1" applyFill="1" applyAlignment="1">
      <alignment horizontal="center"/>
    </xf>
    <xf numFmtId="49" fontId="40" fillId="0" borderId="0" xfId="0" applyNumberFormat="1" applyFont="1"/>
    <xf numFmtId="49" fontId="111" fillId="0" borderId="0" xfId="0" applyNumberFormat="1" applyFont="1"/>
    <xf numFmtId="49" fontId="4" fillId="0" borderId="0" xfId="0" applyNumberFormat="1" applyFont="1" applyAlignment="1">
      <alignment horizontal="left" vertical="center"/>
    </xf>
    <xf numFmtId="49" fontId="4" fillId="0" borderId="0" xfId="0" applyNumberFormat="1" applyFont="1"/>
    <xf numFmtId="49" fontId="1" fillId="0" borderId="0" xfId="0" applyNumberFormat="1" applyFont="1"/>
    <xf numFmtId="49" fontId="112" fillId="0" borderId="0" xfId="0" applyNumberFormat="1" applyFont="1"/>
    <xf numFmtId="49" fontId="1" fillId="0" borderId="12" xfId="0" applyNumberFormat="1" applyFont="1" applyBorder="1"/>
    <xf numFmtId="0" fontId="1" fillId="0" borderId="0" xfId="0" applyFont="1"/>
    <xf numFmtId="2" fontId="40" fillId="0" borderId="0" xfId="0" applyNumberFormat="1" applyFont="1"/>
    <xf numFmtId="49" fontId="113" fillId="28" borderId="0" xfId="0" applyNumberFormat="1" applyFont="1" applyFill="1" applyAlignment="1">
      <alignment wrapText="1"/>
    </xf>
    <xf numFmtId="0" fontId="0" fillId="28" borderId="0" xfId="0" applyFill="1"/>
    <xf numFmtId="49" fontId="114" fillId="28" borderId="0" xfId="0" applyNumberFormat="1" applyFont="1" applyFill="1" applyAlignment="1">
      <alignment wrapText="1"/>
    </xf>
    <xf numFmtId="49" fontId="1" fillId="0" borderId="12" xfId="0" applyNumberFormat="1" applyFont="1" applyBorder="1"/>
    <xf numFmtId="164" fontId="26" fillId="2" borderId="0" xfId="1" applyNumberFormat="1" applyFont="1" applyFill="1" applyAlignment="1">
      <alignment horizontal="left" wrapText="1"/>
    </xf>
    <xf numFmtId="0" fontId="25" fillId="0" borderId="0" xfId="0" applyFont="1" applyAlignment="1">
      <alignment horizontal="left" wrapText="1"/>
    </xf>
    <xf numFmtId="0" fontId="11" fillId="2" borderId="8" xfId="1" applyFont="1" applyFill="1" applyBorder="1" applyAlignment="1">
      <alignment vertical="center" wrapText="1"/>
    </xf>
    <xf numFmtId="0" fontId="11" fillId="0" borderId="7" xfId="0" applyFont="1" applyBorder="1" applyAlignment="1">
      <alignment vertical="center" wrapText="1"/>
    </xf>
    <xf numFmtId="0" fontId="11" fillId="0" borderId="6" xfId="0" applyFont="1" applyBorder="1" applyAlignment="1">
      <alignment vertical="center" wrapText="1"/>
    </xf>
    <xf numFmtId="0" fontId="11" fillId="0" borderId="5" xfId="0" applyFont="1" applyBorder="1" applyAlignment="1">
      <alignment vertical="center" wrapText="1"/>
    </xf>
    <xf numFmtId="0" fontId="11" fillId="0" borderId="0" xfId="0" applyFont="1" applyAlignment="1">
      <alignment vertical="center" wrapText="1"/>
    </xf>
    <xf numFmtId="0" fontId="11" fillId="0" borderId="4" xfId="0" applyFont="1" applyBorder="1" applyAlignment="1">
      <alignment vertical="center" wrapText="1"/>
    </xf>
    <xf numFmtId="0" fontId="11" fillId="0" borderId="3" xfId="0" applyFont="1" applyBorder="1" applyAlignment="1">
      <alignment vertical="center" wrapText="1"/>
    </xf>
    <xf numFmtId="0" fontId="11" fillId="0" borderId="2" xfId="0" applyFont="1" applyBorder="1" applyAlignment="1">
      <alignment vertical="center" wrapText="1"/>
    </xf>
    <xf numFmtId="0" fontId="11" fillId="0" borderId="1" xfId="0" applyFont="1" applyBorder="1" applyAlignment="1">
      <alignment vertical="center" wrapText="1"/>
    </xf>
    <xf numFmtId="9" fontId="1" fillId="0" borderId="12" xfId="4" applyFont="1" applyBorder="1"/>
  </cellXfs>
  <cellStyles count="31">
    <cellStyle name="Comma 2 2" xfId="6" xr:uid="{63F36D48-6DB7-453A-ABF2-516F2396C703}"/>
    <cellStyle name="Comma 2 2 2" xfId="30" xr:uid="{03A79862-D6D5-44D9-A4F1-7F5C255D1D8F}"/>
    <cellStyle name="Hyperlink" xfId="3" builtinId="8"/>
    <cellStyle name="Hyperlink 2" xfId="29" xr:uid="{D6B36ED3-A7AF-4F8C-A4BF-631861F358DE}"/>
    <cellStyle name="MS Header 1" xfId="8" xr:uid="{A29BE279-3DFE-4D79-8C47-F5ABEDC97825}"/>
    <cellStyle name="MS Header 1j" xfId="18" xr:uid="{C05FF4AA-4950-49E9-9F16-D20178170046}"/>
    <cellStyle name="MS Header 2" xfId="7" xr:uid="{98740B4C-449D-4094-AB47-1B2F85F1F6C0}"/>
    <cellStyle name="MS Header 2j" xfId="19" xr:uid="{AC663E53-AB9B-41D5-A6F5-7A9BADF8298D}"/>
    <cellStyle name="MS Normal" xfId="13" xr:uid="{1AA1BC62-C6BC-47F3-809A-58A4BC978EA2}"/>
    <cellStyle name="MS Normal j" xfId="24" xr:uid="{6273D24D-0D47-462A-91CB-03D0F9FE6FA4}"/>
    <cellStyle name="MS Row" xfId="11" xr:uid="{586E1AEB-F892-4346-A36C-728271FA56EA}"/>
    <cellStyle name="MS Row Blue" xfId="14" xr:uid="{D11F7095-B3F1-4394-A98F-7B443E474E3B}"/>
    <cellStyle name="MS Row Blue j" xfId="25" xr:uid="{4F4F4462-1A8A-4F5B-8E65-F3E4D4C1FB50}"/>
    <cellStyle name="MS Row Border" xfId="10" xr:uid="{F0C4FCED-3306-45B2-8049-893B33674642}"/>
    <cellStyle name="MS Row Border j" xfId="22" xr:uid="{BB51DEC9-4E78-4179-ACF0-8C6EFC9A2352}"/>
    <cellStyle name="MS Row Gold" xfId="15" xr:uid="{4A248EE9-02D9-407A-AFB3-B4495E97D7A4}"/>
    <cellStyle name="MS Row Gold j" xfId="26" xr:uid="{B9061DFA-C258-4427-9463-DE553189F53F}"/>
    <cellStyle name="MS Row Green" xfId="16" xr:uid="{FCCE7C77-9F41-4EC3-93CC-73BB91318CEB}"/>
    <cellStyle name="MS Row Green j" xfId="27" xr:uid="{9A8E5D24-FCEF-4B3E-9F29-4E47D1297482}"/>
    <cellStyle name="MS Row j" xfId="21" xr:uid="{47A6CAF6-A891-450E-BEC9-4C1D025E82CE}"/>
    <cellStyle name="MS Row Line" xfId="17" xr:uid="{05D7DE65-D88D-4304-915C-7A2945DD927B}"/>
    <cellStyle name="MS Row Line j" xfId="28" xr:uid="{11B0A81B-0EB2-4A36-9110-86DAD99E90A8}"/>
    <cellStyle name="MS Source" xfId="12" xr:uid="{69631954-FED4-4BE4-98FF-630AD9140FBF}"/>
    <cellStyle name="MS Source j" xfId="23" xr:uid="{5B507760-FDD4-4D7F-9379-AB864F13EE23}"/>
    <cellStyle name="MS Subheader" xfId="9" xr:uid="{9A19DBED-8E6D-41C5-91E7-E1BA0E4B87BA}"/>
    <cellStyle name="MS Subheader j" xfId="20" xr:uid="{5EA5C0F7-F632-4C5F-9ABB-D064E7999744}"/>
    <cellStyle name="Normal" xfId="0" builtinId="0" customBuiltin="1"/>
    <cellStyle name="Normal 4 2" xfId="1" xr:uid="{00000000-0005-0000-0000-000003000000}"/>
    <cellStyle name="Normal_Clear Wolfson" xfId="5" xr:uid="{00000000-0005-0000-0000-000004000000}"/>
    <cellStyle name="Normal_Sage" xfId="2" xr:uid="{00000000-0005-0000-0000-000005000000}"/>
    <cellStyle name="Percent" xfId="4" builtinId="5"/>
  </cellStyles>
  <dxfs count="0"/>
  <tableStyles count="1" defaultTableStyle="TableStyleMedium2" defaultPivotStyle="PivotStyleLight16">
    <tableStyle name="Invisible" pivot="0" table="0" count="0" xr9:uid="{73295039-0329-4847-BBF4-104C8AA970D3}"/>
  </tableStyles>
  <colors>
    <mruColors>
      <color rgb="FF6284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1.7094017094017096E-2"/>
          <c:y val="8.0337552742616031E-2"/>
          <c:w val="0.98290598290598286"/>
          <c:h val="0.85400843881856536"/>
        </c:manualLayout>
      </c:layout>
      <c:barChart>
        <c:barDir val="col"/>
        <c:grouping val="stacked"/>
        <c:varyColors val="0"/>
        <c:ser>
          <c:idx val="0"/>
          <c:order val="0"/>
          <c:tx>
            <c:strRef>
              <c:f>Sales!$FT$390</c:f>
              <c:strCache>
                <c:ptCount val="1"/>
                <c:pt idx="0">
                  <c:v>TSMC</c:v>
                </c:pt>
              </c:strCache>
            </c:strRef>
          </c:tx>
          <c:spPr>
            <a:solidFill>
              <a:srgbClr val="005AA4"/>
            </a:solidFill>
          </c:spPr>
          <c:invertIfNegative val="0"/>
          <c:cat>
            <c:strRef>
              <c:f>Sales!$FU$389:$FX$389</c:f>
              <c:strCache>
                <c:ptCount val="4"/>
                <c:pt idx="0">
                  <c:v>FY24</c:v>
                </c:pt>
                <c:pt idx="1">
                  <c:v>FY25e</c:v>
                </c:pt>
                <c:pt idx="2">
                  <c:v>FY26e</c:v>
                </c:pt>
                <c:pt idx="3">
                  <c:v>FY27e</c:v>
                </c:pt>
              </c:strCache>
            </c:strRef>
          </c:cat>
          <c:val>
            <c:numRef>
              <c:f>Sales!$FU$390:$FX$390</c:f>
              <c:numCache>
                <c:formatCode>#,##0</c:formatCode>
                <c:ptCount val="4"/>
                <c:pt idx="0">
                  <c:v>3713.9535757575759</c:v>
                </c:pt>
                <c:pt idx="1">
                  <c:v>5634.28</c:v>
                </c:pt>
                <c:pt idx="2">
                  <c:v>7728</c:v>
                </c:pt>
                <c:pt idx="3">
                  <c:v>13671</c:v>
                </c:pt>
              </c:numCache>
            </c:numRef>
          </c:val>
          <c:extLst>
            <c:ext xmlns:c16="http://schemas.microsoft.com/office/drawing/2014/chart" uri="{C3380CC4-5D6E-409C-BE32-E72D297353CC}">
              <c16:uniqueId val="{00000000-DD45-4B38-AAC4-33A7C1A45B0B}"/>
            </c:ext>
          </c:extLst>
        </c:ser>
        <c:ser>
          <c:idx val="1"/>
          <c:order val="1"/>
          <c:tx>
            <c:strRef>
              <c:f>Sales!$FT$391</c:f>
              <c:strCache>
                <c:ptCount val="1"/>
                <c:pt idx="0">
                  <c:v>Other leading edge</c:v>
                </c:pt>
              </c:strCache>
            </c:strRef>
          </c:tx>
          <c:spPr>
            <a:solidFill>
              <a:srgbClr val="EADFBC"/>
            </a:solidFill>
          </c:spPr>
          <c:invertIfNegative val="0"/>
          <c:cat>
            <c:strRef>
              <c:f>Sales!$FU$389:$FX$389</c:f>
              <c:strCache>
                <c:ptCount val="4"/>
                <c:pt idx="0">
                  <c:v>FY24</c:v>
                </c:pt>
                <c:pt idx="1">
                  <c:v>FY25e</c:v>
                </c:pt>
                <c:pt idx="2">
                  <c:v>FY26e</c:v>
                </c:pt>
                <c:pt idx="3">
                  <c:v>FY27e</c:v>
                </c:pt>
              </c:strCache>
            </c:strRef>
          </c:cat>
          <c:val>
            <c:numRef>
              <c:f>Sales!$FU$391:$FX$391</c:f>
              <c:numCache>
                <c:formatCode>#,##0</c:formatCode>
                <c:ptCount val="4"/>
                <c:pt idx="0">
                  <c:v>3041.2624182900436</c:v>
                </c:pt>
                <c:pt idx="1">
                  <c:v>1452.8448000000001</c:v>
                </c:pt>
                <c:pt idx="2">
                  <c:v>3116</c:v>
                </c:pt>
                <c:pt idx="3">
                  <c:v>4373</c:v>
                </c:pt>
              </c:numCache>
            </c:numRef>
          </c:val>
          <c:extLst>
            <c:ext xmlns:c16="http://schemas.microsoft.com/office/drawing/2014/chart" uri="{C3380CC4-5D6E-409C-BE32-E72D297353CC}">
              <c16:uniqueId val="{00000001-DD45-4B38-AAC4-33A7C1A45B0B}"/>
            </c:ext>
          </c:extLst>
        </c:ser>
        <c:ser>
          <c:idx val="2"/>
          <c:order val="2"/>
          <c:tx>
            <c:strRef>
              <c:f>Sales!$FT$392</c:f>
              <c:strCache>
                <c:ptCount val="1"/>
                <c:pt idx="0">
                  <c:v>Potential upside from 4th foundry</c:v>
                </c:pt>
              </c:strCache>
            </c:strRef>
          </c:tx>
          <c:spPr>
            <a:solidFill>
              <a:srgbClr val="F6F1E1"/>
            </a:solidFill>
          </c:spPr>
          <c:invertIfNegative val="0"/>
          <c:cat>
            <c:strRef>
              <c:f>Sales!$FU$389:$FX$389</c:f>
              <c:strCache>
                <c:ptCount val="4"/>
                <c:pt idx="0">
                  <c:v>FY24</c:v>
                </c:pt>
                <c:pt idx="1">
                  <c:v>FY25e</c:v>
                </c:pt>
                <c:pt idx="2">
                  <c:v>FY26e</c:v>
                </c:pt>
                <c:pt idx="3">
                  <c:v>FY27e</c:v>
                </c:pt>
              </c:strCache>
            </c:strRef>
          </c:cat>
          <c:val>
            <c:numRef>
              <c:f>Sales!$FU$392:$FX$392</c:f>
              <c:numCache>
                <c:formatCode>General</c:formatCode>
                <c:ptCount val="4"/>
                <c:pt idx="3">
                  <c:v>3000</c:v>
                </c:pt>
              </c:numCache>
            </c:numRef>
          </c:val>
          <c:extLst>
            <c:ext xmlns:c16="http://schemas.microsoft.com/office/drawing/2014/chart" uri="{C3380CC4-5D6E-409C-BE32-E72D297353CC}">
              <c16:uniqueId val="{00000014-AE92-41E1-AC67-2C79B2A5E294}"/>
            </c:ext>
          </c:extLst>
        </c:ser>
        <c:dLbls>
          <c:showLegendKey val="0"/>
          <c:showVal val="0"/>
          <c:showCatName val="0"/>
          <c:showSerName val="0"/>
          <c:showPercent val="0"/>
          <c:showBubbleSize val="0"/>
        </c:dLbls>
        <c:gapWidth val="150"/>
        <c:overlap val="100"/>
        <c:axId val="96755072"/>
        <c:axId val="96760960"/>
      </c:barChart>
      <c:catAx>
        <c:axId val="96755072"/>
        <c:scaling>
          <c:orientation val="minMax"/>
        </c:scaling>
        <c:delete val="0"/>
        <c:axPos val="b"/>
        <c:numFmt formatCode="General" sourceLinked="1"/>
        <c:majorTickMark val="none"/>
        <c:minorTickMark val="none"/>
        <c:tickLblPos val="nextTo"/>
        <c:spPr>
          <a:ln w="15875" cap="rnd" cmpd="sng" algn="ctr">
            <a:solidFill>
              <a:srgbClr val="808080"/>
            </a:solidFill>
            <a:prstDash val="solid"/>
            <a:round/>
            <a:headEnd type="none" w="med" len="med"/>
            <a:tailEnd type="none" w="med" len="med"/>
          </a:ln>
        </c:spPr>
        <c:crossAx val="96760960"/>
        <c:crosses val="autoZero"/>
        <c:auto val="1"/>
        <c:lblAlgn val="ctr"/>
        <c:lblOffset val="100"/>
        <c:noMultiLvlLbl val="0"/>
      </c:catAx>
      <c:valAx>
        <c:axId val="96760960"/>
        <c:scaling>
          <c:orientation val="minMax"/>
        </c:scaling>
        <c:delete val="0"/>
        <c:axPos val="l"/>
        <c:majorGridlines>
          <c:spPr>
            <a:ln w="6350" cap="rnd" cmpd="sng" algn="ctr">
              <a:solidFill>
                <a:srgbClr val="C0C0C0"/>
              </a:solidFill>
              <a:prstDash val="solid"/>
              <a:round/>
              <a:headEnd type="none" w="med" len="med"/>
              <a:tailEnd type="none" w="med" len="med"/>
            </a:ln>
          </c:spPr>
        </c:majorGridlines>
        <c:numFmt formatCode="#,##0" sourceLinked="1"/>
        <c:majorTickMark val="out"/>
        <c:minorTickMark val="none"/>
        <c:tickLblPos val="nextTo"/>
        <c:spPr>
          <a:ln>
            <a:noFill/>
          </a:ln>
        </c:spPr>
        <c:crossAx val="96755072"/>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legend>
      <c:legendPos val="t"/>
      <c:overlay val="0"/>
      <c:spPr>
        <a:solidFill>
          <a:srgbClr val="FFFFFF"/>
        </a:solidFill>
      </c:spPr>
    </c:legend>
    <c:plotVisOnly val="1"/>
    <c:dispBlanksAs val="gap"/>
    <c:showDLblsOverMax val="0"/>
    <c:extLst/>
  </c:chart>
  <c:spPr>
    <a:solidFill>
      <a:srgbClr val="FFFFFF"/>
    </a:solidFill>
    <a:ln>
      <a:noFill/>
    </a:ln>
  </c:spPr>
  <c:txPr>
    <a:bodyPr/>
    <a:lstStyle/>
    <a:p>
      <a:pPr>
        <a:defRPr sz="9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0</xdr:rowOff>
    </xdr:from>
    <xdr:to>
      <xdr:col>2</xdr:col>
      <xdr:colOff>406618</xdr:colOff>
      <xdr:row>1</xdr:row>
      <xdr:rowOff>5756</xdr:rowOff>
    </xdr:to>
    <xdr:pic>
      <xdr:nvPicPr>
        <xdr:cNvPr id="3" name="Picture 2">
          <a:extLst>
            <a:ext uri="{FF2B5EF4-FFF2-40B4-BE49-F238E27FC236}">
              <a16:creationId xmlns:a16="http://schemas.microsoft.com/office/drawing/2014/main" id="{8CA8C3F6-E3CF-C152-B2F1-0EE857E533CC}"/>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500" y="0"/>
          <a:ext cx="1562318" cy="295316"/>
        </a:xfrm>
        <a:prstGeom prst="rect">
          <a:avLst/>
        </a:prstGeom>
      </xdr:spPr>
    </xdr:pic>
    <xdr:clientData/>
  </xdr:twoCellAnchor>
  <xdr:twoCellAnchor editAs="oneCell">
    <xdr:from>
      <xdr:col>0</xdr:col>
      <xdr:colOff>127000</xdr:colOff>
      <xdr:row>176</xdr:row>
      <xdr:rowOff>0</xdr:rowOff>
    </xdr:from>
    <xdr:to>
      <xdr:col>10</xdr:col>
      <xdr:colOff>527050</xdr:colOff>
      <xdr:row>198</xdr:row>
      <xdr:rowOff>62865</xdr:rowOff>
    </xdr:to>
    <xdr:pic>
      <xdr:nvPicPr>
        <xdr:cNvPr id="5" name="Picture 4">
          <a:extLst>
            <a:ext uri="{FF2B5EF4-FFF2-40B4-BE49-F238E27FC236}">
              <a16:creationId xmlns:a16="http://schemas.microsoft.com/office/drawing/2014/main" id="{D7A59688-288C-903E-BB88-C60BD60C9CA3}"/>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000" y="32415480"/>
          <a:ext cx="6496050" cy="4086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224790</xdr:colOff>
      <xdr:row>37</xdr:row>
      <xdr:rowOff>0</xdr:rowOff>
    </xdr:from>
    <xdr:to>
      <xdr:col>17</xdr:col>
      <xdr:colOff>592455</xdr:colOff>
      <xdr:row>42</xdr:row>
      <xdr:rowOff>133350</xdr:rowOff>
    </xdr:to>
    <xdr:sp macro="" textlink="">
      <xdr:nvSpPr>
        <xdr:cNvPr id="2" name="TextBox 1">
          <a:extLst>
            <a:ext uri="{FF2B5EF4-FFF2-40B4-BE49-F238E27FC236}">
              <a16:creationId xmlns:a16="http://schemas.microsoft.com/office/drawing/2014/main" id="{1FCF13AA-CA3A-4BBE-9CA9-5059D5A1E2AF}"/>
            </a:ext>
          </a:extLst>
        </xdr:cNvPr>
        <xdr:cNvSpPr txBox="1"/>
      </xdr:nvSpPr>
      <xdr:spPr>
        <a:xfrm>
          <a:off x="3558540" y="5991225"/>
          <a:ext cx="5815965" cy="9525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latin typeface="Arial" panose="020B0604020202020204" pitchFamily="34" charset="0"/>
              <a:cs typeface="Arial" panose="020B0604020202020204" pitchFamily="34" charset="0"/>
            </a:rPr>
            <a:t>Disclaimer: </a:t>
          </a:r>
        </a:p>
      </xdr:txBody>
    </xdr:sp>
    <xdr:clientData/>
  </xdr:twoCellAnchor>
  <xdr:oneCellAnchor>
    <xdr:from>
      <xdr:col>13</xdr:col>
      <xdr:colOff>352425</xdr:colOff>
      <xdr:row>2</xdr:row>
      <xdr:rowOff>57150</xdr:rowOff>
    </xdr:from>
    <xdr:ext cx="2546032" cy="417036"/>
    <xdr:pic>
      <xdr:nvPicPr>
        <xdr:cNvPr id="3" name="Picture 2">
          <a:extLst>
            <a:ext uri="{FF2B5EF4-FFF2-40B4-BE49-F238E27FC236}">
              <a16:creationId xmlns:a16="http://schemas.microsoft.com/office/drawing/2014/main" id="{1AF904D2-2A4C-4E12-8822-675DFBF48629}"/>
            </a:ext>
          </a:extLst>
        </xdr:cNvPr>
        <xdr:cNvPicPr>
          <a:picLocks noChangeAspect="1"/>
        </xdr:cNvPicPr>
      </xdr:nvPicPr>
      <xdr:blipFill>
        <a:blip xmlns:r="http://schemas.openxmlformats.org/officeDocument/2006/relationships" r:embed="rId1"/>
        <a:stretch>
          <a:fillRect/>
        </a:stretch>
      </xdr:blipFill>
      <xdr:spPr>
        <a:xfrm>
          <a:off x="6819900" y="381000"/>
          <a:ext cx="2546032" cy="417036"/>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180</xdr:col>
      <xdr:colOff>336550</xdr:colOff>
      <xdr:row>387</xdr:row>
      <xdr:rowOff>27214</xdr:rowOff>
    </xdr:from>
    <xdr:to>
      <xdr:col>185</xdr:col>
      <xdr:colOff>114301</xdr:colOff>
      <xdr:row>404</xdr:row>
      <xdr:rowOff>78014</xdr:rowOff>
    </xdr:to>
    <xdr:graphicFrame macro="">
      <xdr:nvGraphicFramePr>
        <xdr:cNvPr id="3" name="Chart 2">
          <a:extLst>
            <a:ext uri="{FF2B5EF4-FFF2-40B4-BE49-F238E27FC236}">
              <a16:creationId xmlns:a16="http://schemas.microsoft.com/office/drawing/2014/main" id="{40314CB1-CAF0-AB93-5C66-16BFE15E6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_NewOffice365">
    <a:dk1>
      <a:sysClr val="windowText" lastClr="000000"/>
    </a:dk1>
    <a:lt1>
      <a:sysClr val="window" lastClr="FFFFFF"/>
    </a:lt1>
    <a:dk2>
      <a:srgbClr val="003366"/>
    </a:dk2>
    <a:lt2>
      <a:srgbClr val="C6D9E2"/>
    </a:lt2>
    <a:accent1>
      <a:srgbClr val="005AA4"/>
    </a:accent1>
    <a:accent2>
      <a:srgbClr val="D0B86A"/>
    </a:accent2>
    <a:accent3>
      <a:srgbClr val="226B5A"/>
    </a:accent3>
    <a:accent4>
      <a:srgbClr val="00A1E2"/>
    </a:accent4>
    <a:accent5>
      <a:srgbClr val="873246"/>
    </a:accent5>
    <a:accent6>
      <a:srgbClr val="6769E2"/>
    </a:accent6>
    <a:hlink>
      <a:srgbClr val="0000FF"/>
    </a:hlink>
    <a:folHlink>
      <a:srgbClr val="800080"/>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asml.com/"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2B9E8-758C-496F-8B46-887BC435933B}">
  <dimension ref="B2:B9"/>
  <sheetViews>
    <sheetView showGridLines="0" showRowColHeaders="0" workbookViewId="0">
      <selection activeCell="Z1" sqref="Z1"/>
    </sheetView>
  </sheetViews>
  <sheetFormatPr defaultRowHeight="14.4" x14ac:dyDescent="0.3"/>
  <cols>
    <col min="1" max="1" width="8.88671875" style="910"/>
    <col min="2" max="2" width="101.109375" style="910" customWidth="1"/>
    <col min="3" max="16384" width="8.88671875" style="910"/>
  </cols>
  <sheetData>
    <row r="2" spans="2:2" ht="52.2" x14ac:dyDescent="0.3">
      <c r="B2" s="909" t="s">
        <v>1188</v>
      </c>
    </row>
    <row r="3" spans="2:2" ht="17.399999999999999" x14ac:dyDescent="0.3">
      <c r="B3" s="909"/>
    </row>
    <row r="4" spans="2:2" ht="17.399999999999999" x14ac:dyDescent="0.3">
      <c r="B4" s="909"/>
    </row>
    <row r="5" spans="2:2" ht="17.399999999999999" x14ac:dyDescent="0.3">
      <c r="B5" s="909" t="s">
        <v>1189</v>
      </c>
    </row>
    <row r="6" spans="2:2" ht="17.399999999999999" x14ac:dyDescent="0.3">
      <c r="B6" s="909" t="s">
        <v>1190</v>
      </c>
    </row>
    <row r="7" spans="2:2" ht="17.399999999999999" x14ac:dyDescent="0.3">
      <c r="B7" s="909" t="s">
        <v>1191</v>
      </c>
    </row>
    <row r="8" spans="2:2" ht="17.399999999999999" x14ac:dyDescent="0.3">
      <c r="B8" s="909"/>
    </row>
    <row r="9" spans="2:2" ht="34.799999999999997" x14ac:dyDescent="0.3">
      <c r="B9" s="911" t="s">
        <v>1192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C41A2-AAD5-4F39-9885-34D4A0D0E565}">
  <dimension ref="A1:H424"/>
  <sheetViews>
    <sheetView showGridLines="0" tabSelected="1" workbookViewId="0">
      <selection activeCell="M124" sqref="M124"/>
    </sheetView>
  </sheetViews>
  <sheetFormatPr defaultRowHeight="14.4" x14ac:dyDescent="0.3"/>
  <sheetData>
    <row r="1" spans="1:8" ht="23.25" customHeight="1" x14ac:dyDescent="0.3">
      <c r="A1" s="902"/>
      <c r="B1" s="903"/>
      <c r="C1" s="903"/>
      <c r="D1" s="903"/>
      <c r="E1" s="903"/>
      <c r="F1" s="903"/>
      <c r="G1" s="903"/>
      <c r="H1" s="903"/>
    </row>
    <row r="2" spans="1:8" x14ac:dyDescent="0.3">
      <c r="A2" s="900" t="s">
        <v>777</v>
      </c>
      <c r="B2" s="903"/>
      <c r="C2" s="903"/>
      <c r="D2" s="903"/>
      <c r="E2" s="903"/>
      <c r="F2" s="903"/>
      <c r="G2" s="903"/>
      <c r="H2" s="903"/>
    </row>
    <row r="3" spans="1:8" x14ac:dyDescent="0.3">
      <c r="A3" s="900" t="s">
        <v>778</v>
      </c>
      <c r="B3" s="903"/>
      <c r="C3" s="903"/>
      <c r="D3" s="903"/>
      <c r="E3" s="903"/>
      <c r="F3" s="903"/>
      <c r="G3" s="903"/>
      <c r="H3" s="903"/>
    </row>
    <row r="4" spans="1:8" x14ac:dyDescent="0.3">
      <c r="A4" s="900" t="s">
        <v>779</v>
      </c>
      <c r="B4" s="903"/>
      <c r="C4" s="903"/>
      <c r="D4" s="903"/>
      <c r="E4" s="903"/>
      <c r="F4" s="903"/>
      <c r="G4" s="903"/>
      <c r="H4" s="903"/>
    </row>
    <row r="5" spans="1:8" x14ac:dyDescent="0.3">
      <c r="A5" s="900" t="s">
        <v>780</v>
      </c>
      <c r="B5" s="903"/>
      <c r="C5" s="903"/>
      <c r="D5" s="903"/>
      <c r="E5" s="903"/>
      <c r="F5" s="903"/>
      <c r="G5" s="903"/>
      <c r="H5" s="903"/>
    </row>
    <row r="6" spans="1:8" x14ac:dyDescent="0.3">
      <c r="A6" s="900"/>
      <c r="B6" s="903"/>
      <c r="C6" s="903"/>
      <c r="D6" s="903"/>
      <c r="E6" s="903"/>
      <c r="F6" s="903"/>
      <c r="G6" s="903"/>
      <c r="H6" s="903"/>
    </row>
    <row r="7" spans="1:8" x14ac:dyDescent="0.3">
      <c r="A7" s="900" t="s">
        <v>781</v>
      </c>
      <c r="B7" s="903"/>
      <c r="C7" s="903"/>
      <c r="D7" s="903"/>
      <c r="E7" s="903"/>
      <c r="F7" s="903"/>
      <c r="G7" s="903"/>
      <c r="H7" s="903"/>
    </row>
    <row r="8" spans="1:8" x14ac:dyDescent="0.3">
      <c r="A8" s="900" t="s">
        <v>782</v>
      </c>
      <c r="B8" s="903"/>
      <c r="C8" s="903"/>
      <c r="D8" s="903"/>
      <c r="E8" s="903"/>
      <c r="F8" s="903"/>
      <c r="G8" s="903"/>
      <c r="H8" s="903"/>
    </row>
    <row r="9" spans="1:8" x14ac:dyDescent="0.3">
      <c r="A9" s="900"/>
      <c r="B9" s="903"/>
      <c r="C9" s="903"/>
      <c r="D9" s="903"/>
      <c r="E9" s="903"/>
      <c r="F9" s="903"/>
      <c r="G9" s="903"/>
      <c r="H9" s="903"/>
    </row>
    <row r="10" spans="1:8" x14ac:dyDescent="0.3">
      <c r="A10" s="900" t="s">
        <v>783</v>
      </c>
      <c r="B10" s="903"/>
      <c r="C10" s="903"/>
      <c r="D10" s="903"/>
      <c r="E10" s="903"/>
      <c r="F10" s="903"/>
      <c r="G10" s="903"/>
      <c r="H10" s="903"/>
    </row>
    <row r="11" spans="1:8" x14ac:dyDescent="0.3">
      <c r="A11" s="900" t="s">
        <v>784</v>
      </c>
      <c r="B11" s="903"/>
      <c r="C11" s="903"/>
      <c r="D11" s="903"/>
      <c r="E11" s="903"/>
      <c r="F11" s="903"/>
      <c r="G11" s="903"/>
      <c r="H11" s="903"/>
    </row>
    <row r="12" spans="1:8" x14ac:dyDescent="0.3">
      <c r="A12" s="900" t="s">
        <v>785</v>
      </c>
      <c r="B12" s="903"/>
      <c r="C12" s="903"/>
      <c r="D12" s="903"/>
      <c r="E12" s="903"/>
      <c r="F12" s="903"/>
      <c r="G12" s="903"/>
      <c r="H12" s="903"/>
    </row>
    <row r="13" spans="1:8" x14ac:dyDescent="0.3">
      <c r="A13" s="900" t="s">
        <v>786</v>
      </c>
      <c r="B13" s="903"/>
      <c r="C13" s="903"/>
      <c r="D13" s="903"/>
      <c r="E13" s="903"/>
      <c r="F13" s="903"/>
      <c r="G13" s="903"/>
      <c r="H13" s="903"/>
    </row>
    <row r="14" spans="1:8" x14ac:dyDescent="0.3">
      <c r="A14" s="900" t="s">
        <v>787</v>
      </c>
      <c r="B14" s="903"/>
      <c r="C14" s="903"/>
      <c r="D14" s="903"/>
      <c r="E14" s="903"/>
      <c r="F14" s="903"/>
      <c r="G14" s="903"/>
      <c r="H14" s="903"/>
    </row>
    <row r="15" spans="1:8" x14ac:dyDescent="0.3">
      <c r="A15" s="900" t="s">
        <v>788</v>
      </c>
      <c r="B15" s="903"/>
      <c r="C15" s="903"/>
      <c r="D15" s="903"/>
      <c r="E15" s="903"/>
      <c r="F15" s="903"/>
      <c r="G15" s="903"/>
      <c r="H15" s="903"/>
    </row>
    <row r="16" spans="1:8" x14ac:dyDescent="0.3">
      <c r="A16" s="900"/>
      <c r="B16" s="903"/>
      <c r="C16" s="903"/>
      <c r="D16" s="903"/>
      <c r="E16" s="903"/>
      <c r="F16" s="903"/>
      <c r="G16" s="903"/>
      <c r="H16" s="903"/>
    </row>
    <row r="17" spans="1:8" x14ac:dyDescent="0.3">
      <c r="A17" s="900" t="s">
        <v>789</v>
      </c>
      <c r="B17" s="903"/>
      <c r="C17" s="903"/>
      <c r="D17" s="903"/>
      <c r="E17" s="903"/>
      <c r="F17" s="903"/>
      <c r="G17" s="903"/>
      <c r="H17" s="903"/>
    </row>
    <row r="18" spans="1:8" x14ac:dyDescent="0.3">
      <c r="A18" s="900"/>
      <c r="B18" s="903"/>
      <c r="C18" s="903"/>
      <c r="D18" s="903"/>
      <c r="E18" s="903"/>
      <c r="F18" s="903"/>
      <c r="G18" s="903"/>
      <c r="H18" s="903"/>
    </row>
    <row r="19" spans="1:8" x14ac:dyDescent="0.3">
      <c r="A19" s="900" t="s">
        <v>790</v>
      </c>
      <c r="B19" s="903"/>
      <c r="C19" s="903"/>
      <c r="D19" s="903"/>
      <c r="E19" s="903"/>
      <c r="F19" s="903"/>
      <c r="G19" s="903"/>
      <c r="H19" s="903"/>
    </row>
    <row r="20" spans="1:8" x14ac:dyDescent="0.3">
      <c r="A20" s="900"/>
      <c r="B20" s="903"/>
      <c r="C20" s="903"/>
      <c r="D20" s="903"/>
      <c r="E20" s="903"/>
      <c r="F20" s="903"/>
      <c r="G20" s="903"/>
      <c r="H20" s="903"/>
    </row>
    <row r="21" spans="1:8" x14ac:dyDescent="0.3">
      <c r="A21" s="901" t="s">
        <v>791</v>
      </c>
      <c r="B21" s="903"/>
      <c r="C21" s="903"/>
      <c r="D21" s="903"/>
      <c r="E21" s="903"/>
      <c r="F21" s="903"/>
      <c r="G21" s="903"/>
      <c r="H21" s="903"/>
    </row>
    <row r="22" spans="1:8" x14ac:dyDescent="0.3">
      <c r="A22" s="903"/>
      <c r="B22" s="903"/>
      <c r="C22" s="903"/>
      <c r="D22" s="903"/>
      <c r="E22" s="903"/>
      <c r="F22" s="903"/>
      <c r="G22" s="903"/>
      <c r="H22" s="903"/>
    </row>
    <row r="23" spans="1:8" x14ac:dyDescent="0.3">
      <c r="A23" s="904" t="s">
        <v>792</v>
      </c>
      <c r="B23" s="903"/>
      <c r="C23" s="903"/>
      <c r="D23" s="903"/>
      <c r="E23" s="903"/>
      <c r="F23" s="903"/>
      <c r="G23" s="903"/>
      <c r="H23" s="903"/>
    </row>
    <row r="24" spans="1:8" x14ac:dyDescent="0.3">
      <c r="A24" s="904" t="s">
        <v>793</v>
      </c>
      <c r="B24" s="903"/>
      <c r="C24" s="903"/>
      <c r="D24" s="903"/>
      <c r="E24" s="903"/>
      <c r="F24" s="903"/>
      <c r="G24" s="903"/>
      <c r="H24" s="903"/>
    </row>
    <row r="25" spans="1:8" x14ac:dyDescent="0.3">
      <c r="A25" s="904" t="s">
        <v>794</v>
      </c>
      <c r="B25" s="903"/>
      <c r="C25" s="903"/>
      <c r="D25" s="903"/>
      <c r="E25" s="903"/>
      <c r="F25" s="903"/>
      <c r="G25" s="903"/>
      <c r="H25" s="903"/>
    </row>
    <row r="26" spans="1:8" x14ac:dyDescent="0.3">
      <c r="A26" s="904" t="s">
        <v>795</v>
      </c>
      <c r="B26" s="903"/>
      <c r="C26" s="903"/>
      <c r="D26" s="903"/>
      <c r="E26" s="903"/>
      <c r="F26" s="903"/>
      <c r="G26" s="903"/>
      <c r="H26" s="903"/>
    </row>
    <row r="27" spans="1:8" x14ac:dyDescent="0.3">
      <c r="A27" s="903"/>
      <c r="B27" s="903"/>
      <c r="C27" s="903"/>
      <c r="D27" s="903"/>
      <c r="E27" s="903"/>
      <c r="F27" s="903"/>
      <c r="G27" s="903"/>
      <c r="H27" s="903"/>
    </row>
    <row r="28" spans="1:8" x14ac:dyDescent="0.3">
      <c r="A28" s="904" t="s">
        <v>796</v>
      </c>
      <c r="B28" s="903"/>
      <c r="C28" s="903"/>
      <c r="D28" s="903"/>
      <c r="E28" s="903"/>
      <c r="F28" s="903"/>
      <c r="G28" s="903"/>
      <c r="H28" s="903"/>
    </row>
    <row r="29" spans="1:8" x14ac:dyDescent="0.3">
      <c r="A29" s="904" t="s">
        <v>797</v>
      </c>
      <c r="B29" s="903"/>
      <c r="C29" s="903"/>
      <c r="D29" s="903"/>
      <c r="E29" s="903"/>
      <c r="F29" s="903"/>
      <c r="G29" s="903"/>
      <c r="H29" s="903"/>
    </row>
    <row r="30" spans="1:8" x14ac:dyDescent="0.3">
      <c r="A30" s="904" t="s">
        <v>798</v>
      </c>
      <c r="B30" s="903"/>
      <c r="C30" s="903"/>
      <c r="D30" s="903"/>
      <c r="E30" s="903"/>
      <c r="F30" s="903"/>
      <c r="G30" s="903"/>
      <c r="H30" s="903"/>
    </row>
    <row r="31" spans="1:8" x14ac:dyDescent="0.3">
      <c r="A31" s="904" t="s">
        <v>799</v>
      </c>
      <c r="B31" s="903"/>
      <c r="C31" s="903"/>
      <c r="D31" s="903"/>
      <c r="E31" s="903"/>
      <c r="F31" s="903"/>
      <c r="G31" s="903"/>
      <c r="H31" s="903"/>
    </row>
    <row r="32" spans="1:8" x14ac:dyDescent="0.3">
      <c r="A32" s="904" t="s">
        <v>800</v>
      </c>
      <c r="B32" s="903"/>
      <c r="C32" s="903"/>
      <c r="D32" s="903"/>
      <c r="E32" s="903"/>
      <c r="F32" s="903"/>
      <c r="G32" s="903"/>
      <c r="H32" s="903"/>
    </row>
    <row r="33" spans="1:8" x14ac:dyDescent="0.3">
      <c r="A33" s="904" t="s">
        <v>801</v>
      </c>
      <c r="B33" s="903"/>
      <c r="C33" s="903"/>
      <c r="D33" s="903"/>
      <c r="E33" s="903"/>
      <c r="F33" s="903"/>
      <c r="G33" s="903"/>
      <c r="H33" s="903"/>
    </row>
    <row r="34" spans="1:8" x14ac:dyDescent="0.3">
      <c r="A34" s="904" t="s">
        <v>802</v>
      </c>
      <c r="B34" s="903"/>
      <c r="C34" s="903"/>
      <c r="D34" s="903"/>
      <c r="E34" s="903"/>
      <c r="F34" s="903"/>
      <c r="G34" s="903"/>
      <c r="H34" s="903"/>
    </row>
    <row r="35" spans="1:8" x14ac:dyDescent="0.3">
      <c r="A35" s="904" t="s">
        <v>803</v>
      </c>
      <c r="B35" s="903"/>
      <c r="C35" s="903"/>
      <c r="D35" s="903"/>
      <c r="E35" s="903"/>
      <c r="F35" s="903"/>
      <c r="G35" s="903"/>
      <c r="H35" s="903"/>
    </row>
    <row r="36" spans="1:8" x14ac:dyDescent="0.3">
      <c r="A36" s="904" t="s">
        <v>804</v>
      </c>
      <c r="B36" s="903"/>
      <c r="C36" s="903"/>
      <c r="D36" s="903"/>
      <c r="E36" s="903"/>
      <c r="F36" s="903"/>
      <c r="G36" s="903"/>
      <c r="H36" s="903"/>
    </row>
    <row r="37" spans="1:8" x14ac:dyDescent="0.3">
      <c r="A37" s="904" t="s">
        <v>805</v>
      </c>
      <c r="B37" s="903"/>
      <c r="C37" s="903"/>
      <c r="D37" s="903"/>
      <c r="E37" s="903"/>
      <c r="F37" s="903"/>
      <c r="G37" s="903"/>
      <c r="H37" s="903"/>
    </row>
    <row r="38" spans="1:8" x14ac:dyDescent="0.3">
      <c r="A38" s="904" t="s">
        <v>806</v>
      </c>
      <c r="B38" s="903"/>
      <c r="C38" s="903"/>
      <c r="D38" s="903"/>
      <c r="E38" s="903"/>
      <c r="F38" s="903"/>
      <c r="G38" s="903"/>
      <c r="H38" s="903"/>
    </row>
    <row r="39" spans="1:8" x14ac:dyDescent="0.3">
      <c r="A39" s="904" t="s">
        <v>807</v>
      </c>
      <c r="B39" s="903"/>
      <c r="C39" s="903"/>
      <c r="D39" s="903"/>
      <c r="E39" s="903"/>
      <c r="F39" s="903"/>
      <c r="G39" s="903"/>
      <c r="H39" s="903"/>
    </row>
    <row r="40" spans="1:8" x14ac:dyDescent="0.3">
      <c r="A40" s="904" t="s">
        <v>808</v>
      </c>
      <c r="B40" s="903"/>
      <c r="C40" s="903"/>
      <c r="D40" s="903"/>
      <c r="E40" s="903"/>
      <c r="F40" s="903"/>
      <c r="G40" s="903"/>
      <c r="H40" s="903"/>
    </row>
    <row r="41" spans="1:8" x14ac:dyDescent="0.3">
      <c r="A41" s="903"/>
      <c r="B41" s="903"/>
      <c r="C41" s="903"/>
      <c r="D41" s="903"/>
      <c r="E41" s="903"/>
      <c r="F41" s="903"/>
      <c r="G41" s="903"/>
      <c r="H41" s="903"/>
    </row>
    <row r="42" spans="1:8" x14ac:dyDescent="0.3">
      <c r="A42" s="904" t="s">
        <v>809</v>
      </c>
      <c r="B42" s="903"/>
      <c r="C42" s="903"/>
      <c r="D42" s="903"/>
      <c r="E42" s="903"/>
      <c r="F42" s="903"/>
      <c r="G42" s="903"/>
      <c r="H42" s="903"/>
    </row>
    <row r="43" spans="1:8" x14ac:dyDescent="0.3">
      <c r="A43" s="904" t="s">
        <v>810</v>
      </c>
      <c r="B43" s="903"/>
      <c r="C43" s="903"/>
      <c r="D43" s="903"/>
      <c r="E43" s="903"/>
      <c r="F43" s="903"/>
      <c r="G43" s="903"/>
      <c r="H43" s="903"/>
    </row>
    <row r="44" spans="1:8" x14ac:dyDescent="0.3">
      <c r="A44" s="904" t="s">
        <v>811</v>
      </c>
      <c r="B44" s="903"/>
      <c r="C44" s="903"/>
      <c r="D44" s="903"/>
      <c r="E44" s="903"/>
      <c r="F44" s="903"/>
      <c r="G44" s="903"/>
      <c r="H44" s="903"/>
    </row>
    <row r="45" spans="1:8" x14ac:dyDescent="0.3">
      <c r="A45" s="904" t="s">
        <v>812</v>
      </c>
      <c r="B45" s="903"/>
      <c r="C45" s="903"/>
      <c r="D45" s="903"/>
      <c r="E45" s="903"/>
      <c r="F45" s="903"/>
      <c r="G45" s="903"/>
      <c r="H45" s="903"/>
    </row>
    <row r="46" spans="1:8" x14ac:dyDescent="0.3">
      <c r="A46" s="903"/>
      <c r="B46" s="903"/>
      <c r="C46" s="903"/>
      <c r="D46" s="903"/>
      <c r="E46" s="903"/>
      <c r="F46" s="903"/>
      <c r="G46" s="903"/>
      <c r="H46" s="903"/>
    </row>
    <row r="47" spans="1:8" x14ac:dyDescent="0.3">
      <c r="A47" s="904" t="s">
        <v>813</v>
      </c>
      <c r="B47" s="903"/>
      <c r="C47" s="903"/>
      <c r="D47" s="903"/>
      <c r="E47" s="903"/>
      <c r="F47" s="903"/>
      <c r="G47" s="903"/>
      <c r="H47" s="903"/>
    </row>
    <row r="48" spans="1:8" x14ac:dyDescent="0.3">
      <c r="A48" s="904" t="s">
        <v>814</v>
      </c>
      <c r="B48" s="903"/>
      <c r="C48" s="903"/>
      <c r="D48" s="903"/>
      <c r="E48" s="903"/>
      <c r="F48" s="903"/>
      <c r="G48" s="903"/>
      <c r="H48" s="903"/>
    </row>
    <row r="49" spans="1:8" x14ac:dyDescent="0.3">
      <c r="A49" s="904" t="s">
        <v>815</v>
      </c>
      <c r="B49" s="903"/>
      <c r="C49" s="903"/>
      <c r="D49" s="903"/>
      <c r="E49" s="903"/>
      <c r="F49" s="903"/>
      <c r="G49" s="903"/>
      <c r="H49" s="903"/>
    </row>
    <row r="50" spans="1:8" x14ac:dyDescent="0.3">
      <c r="A50" s="904" t="s">
        <v>816</v>
      </c>
      <c r="B50" s="903"/>
      <c r="C50" s="903"/>
      <c r="D50" s="903"/>
      <c r="E50" s="903"/>
      <c r="F50" s="903"/>
      <c r="G50" s="903"/>
      <c r="H50" s="903"/>
    </row>
    <row r="51" spans="1:8" x14ac:dyDescent="0.3">
      <c r="A51" s="904" t="s">
        <v>817</v>
      </c>
      <c r="B51" s="903"/>
      <c r="C51" s="903"/>
      <c r="D51" s="903"/>
      <c r="E51" s="903"/>
      <c r="F51" s="903"/>
      <c r="G51" s="903"/>
      <c r="H51" s="903"/>
    </row>
    <row r="52" spans="1:8" x14ac:dyDescent="0.3">
      <c r="A52" s="904" t="s">
        <v>818</v>
      </c>
      <c r="B52" s="903"/>
      <c r="C52" s="903"/>
      <c r="D52" s="903"/>
      <c r="E52" s="903"/>
      <c r="F52" s="903"/>
      <c r="G52" s="903"/>
      <c r="H52" s="903"/>
    </row>
    <row r="53" spans="1:8" x14ac:dyDescent="0.3">
      <c r="A53" s="903"/>
      <c r="B53" s="903"/>
      <c r="C53" s="903"/>
      <c r="D53" s="903"/>
      <c r="E53" s="903"/>
      <c r="F53" s="903"/>
      <c r="G53" s="903"/>
      <c r="H53" s="903"/>
    </row>
    <row r="54" spans="1:8" ht="15.6" x14ac:dyDescent="0.3">
      <c r="A54" s="905" t="s">
        <v>819</v>
      </c>
      <c r="B54" s="903"/>
      <c r="C54" s="903"/>
      <c r="D54" s="903"/>
      <c r="E54" s="903"/>
      <c r="F54" s="903"/>
      <c r="G54" s="903"/>
      <c r="H54" s="903"/>
    </row>
    <row r="55" spans="1:8" x14ac:dyDescent="0.3">
      <c r="A55" s="903"/>
      <c r="B55" s="903"/>
      <c r="C55" s="903"/>
      <c r="D55" s="903"/>
      <c r="E55" s="903"/>
      <c r="F55" s="903"/>
      <c r="G55" s="903"/>
      <c r="H55" s="903"/>
    </row>
    <row r="56" spans="1:8" x14ac:dyDescent="0.3">
      <c r="A56" s="904" t="s">
        <v>820</v>
      </c>
      <c r="B56" s="903"/>
      <c r="C56" s="903"/>
      <c r="D56" s="903"/>
      <c r="E56" s="903"/>
      <c r="F56" s="903"/>
      <c r="G56" s="903"/>
      <c r="H56" s="903"/>
    </row>
    <row r="57" spans="1:8" x14ac:dyDescent="0.3">
      <c r="A57" s="904" t="s">
        <v>821</v>
      </c>
      <c r="B57" s="903"/>
      <c r="C57" s="903"/>
      <c r="D57" s="903"/>
      <c r="E57" s="903"/>
      <c r="F57" s="903"/>
      <c r="G57" s="903"/>
      <c r="H57" s="903"/>
    </row>
    <row r="58" spans="1:8" x14ac:dyDescent="0.3">
      <c r="A58" s="904" t="s">
        <v>822</v>
      </c>
      <c r="B58" s="903"/>
      <c r="C58" s="903"/>
      <c r="D58" s="903"/>
      <c r="E58" s="903"/>
      <c r="F58" s="903"/>
      <c r="G58" s="903"/>
      <c r="H58" s="903"/>
    </row>
    <row r="59" spans="1:8" x14ac:dyDescent="0.3">
      <c r="A59" s="904" t="s">
        <v>823</v>
      </c>
      <c r="B59" s="903"/>
      <c r="C59" s="903"/>
      <c r="D59" s="903"/>
      <c r="E59" s="903"/>
      <c r="F59" s="903"/>
      <c r="G59" s="903"/>
      <c r="H59" s="903"/>
    </row>
    <row r="60" spans="1:8" x14ac:dyDescent="0.3">
      <c r="A60" s="903"/>
      <c r="B60" s="903"/>
      <c r="C60" s="903"/>
      <c r="D60" s="903"/>
      <c r="E60" s="903"/>
      <c r="F60" s="903"/>
      <c r="G60" s="903"/>
      <c r="H60" s="903"/>
    </row>
    <row r="61" spans="1:8" x14ac:dyDescent="0.3">
      <c r="A61" s="904" t="s">
        <v>824</v>
      </c>
      <c r="B61" s="903"/>
      <c r="C61" s="903"/>
      <c r="D61" s="903"/>
      <c r="E61" s="903"/>
      <c r="F61" s="903"/>
      <c r="G61" s="903"/>
      <c r="H61" s="903"/>
    </row>
    <row r="62" spans="1:8" x14ac:dyDescent="0.3">
      <c r="A62" s="903"/>
      <c r="B62" s="903"/>
      <c r="C62" s="903"/>
      <c r="D62" s="903"/>
      <c r="E62" s="903"/>
      <c r="F62" s="903"/>
      <c r="G62" s="903"/>
      <c r="H62" s="903"/>
    </row>
    <row r="63" spans="1:8" ht="15.6" x14ac:dyDescent="0.3">
      <c r="A63" s="905" t="s">
        <v>825</v>
      </c>
      <c r="B63" s="903"/>
      <c r="C63" s="903"/>
      <c r="D63" s="903"/>
      <c r="E63" s="903"/>
      <c r="F63" s="903"/>
      <c r="G63" s="903"/>
      <c r="H63" s="903"/>
    </row>
    <row r="64" spans="1:8" x14ac:dyDescent="0.3">
      <c r="A64" s="903"/>
      <c r="B64" s="903"/>
      <c r="C64" s="903"/>
      <c r="D64" s="903"/>
      <c r="E64" s="903"/>
      <c r="F64" s="903"/>
      <c r="G64" s="903"/>
      <c r="H64" s="903"/>
    </row>
    <row r="65" spans="1:8" x14ac:dyDescent="0.3">
      <c r="A65" s="904" t="s">
        <v>826</v>
      </c>
      <c r="B65" s="903"/>
      <c r="C65" s="903"/>
      <c r="D65" s="903"/>
      <c r="E65" s="903"/>
      <c r="F65" s="903"/>
      <c r="G65" s="903"/>
      <c r="H65" s="903"/>
    </row>
    <row r="66" spans="1:8" x14ac:dyDescent="0.3">
      <c r="A66" s="904" t="s">
        <v>827</v>
      </c>
      <c r="B66" s="903"/>
      <c r="C66" s="903"/>
      <c r="D66" s="903"/>
      <c r="E66" s="903"/>
      <c r="F66" s="903"/>
      <c r="G66" s="903"/>
      <c r="H66" s="903"/>
    </row>
    <row r="67" spans="1:8" x14ac:dyDescent="0.3">
      <c r="A67" s="904" t="s">
        <v>828</v>
      </c>
      <c r="B67" s="903"/>
      <c r="C67" s="903"/>
      <c r="D67" s="903"/>
      <c r="E67" s="903"/>
      <c r="F67" s="903"/>
      <c r="G67" s="903"/>
      <c r="H67" s="903"/>
    </row>
    <row r="68" spans="1:8" x14ac:dyDescent="0.3">
      <c r="A68" s="903"/>
      <c r="B68" s="903"/>
      <c r="C68" s="903"/>
      <c r="D68" s="903"/>
      <c r="E68" s="903"/>
      <c r="F68" s="903"/>
      <c r="G68" s="903"/>
      <c r="H68" s="903"/>
    </row>
    <row r="69" spans="1:8" ht="15.6" x14ac:dyDescent="0.3">
      <c r="A69" s="905" t="s">
        <v>829</v>
      </c>
      <c r="B69" s="903"/>
      <c r="C69" s="903"/>
      <c r="D69" s="903"/>
      <c r="E69" s="903"/>
      <c r="F69" s="903"/>
      <c r="G69" s="903"/>
      <c r="H69" s="903"/>
    </row>
    <row r="70" spans="1:8" x14ac:dyDescent="0.3">
      <c r="A70" s="903"/>
      <c r="B70" s="903"/>
      <c r="C70" s="903"/>
      <c r="D70" s="903"/>
      <c r="E70" s="903"/>
      <c r="F70" s="903"/>
      <c r="G70" s="903"/>
      <c r="H70" s="903"/>
    </row>
    <row r="71" spans="1:8" x14ac:dyDescent="0.3">
      <c r="A71" s="904" t="s">
        <v>830</v>
      </c>
      <c r="B71" s="903"/>
      <c r="C71" s="903"/>
      <c r="D71" s="903"/>
      <c r="E71" s="903"/>
      <c r="F71" s="903"/>
      <c r="G71" s="903"/>
      <c r="H71" s="903"/>
    </row>
    <row r="72" spans="1:8" x14ac:dyDescent="0.3">
      <c r="A72" s="904" t="s">
        <v>831</v>
      </c>
      <c r="B72" s="903"/>
      <c r="C72" s="903"/>
      <c r="D72" s="903"/>
      <c r="E72" s="903"/>
      <c r="F72" s="903"/>
      <c r="G72" s="903"/>
      <c r="H72" s="903"/>
    </row>
    <row r="73" spans="1:8" x14ac:dyDescent="0.3">
      <c r="A73" s="903"/>
      <c r="B73" s="903"/>
      <c r="C73" s="903"/>
      <c r="D73" s="903"/>
      <c r="E73" s="903"/>
      <c r="F73" s="903"/>
      <c r="G73" s="903"/>
      <c r="H73" s="903"/>
    </row>
    <row r="74" spans="1:8" x14ac:dyDescent="0.3">
      <c r="A74" s="904" t="s">
        <v>832</v>
      </c>
      <c r="B74" s="903"/>
      <c r="C74" s="903"/>
      <c r="D74" s="903"/>
      <c r="E74" s="903"/>
      <c r="F74" s="903"/>
      <c r="G74" s="903"/>
      <c r="H74" s="903"/>
    </row>
    <row r="75" spans="1:8" x14ac:dyDescent="0.3">
      <c r="A75" s="904" t="s">
        <v>833</v>
      </c>
      <c r="B75" s="903"/>
      <c r="C75" s="903"/>
      <c r="D75" s="903"/>
      <c r="E75" s="903"/>
      <c r="F75" s="903"/>
      <c r="G75" s="903"/>
      <c r="H75" s="903"/>
    </row>
    <row r="76" spans="1:8" x14ac:dyDescent="0.3">
      <c r="A76" s="903"/>
      <c r="B76" s="903"/>
      <c r="C76" s="903"/>
      <c r="D76" s="903"/>
      <c r="E76" s="903"/>
      <c r="F76" s="903"/>
      <c r="G76" s="903"/>
      <c r="H76" s="903"/>
    </row>
    <row r="77" spans="1:8" x14ac:dyDescent="0.3">
      <c r="A77" s="904" t="s">
        <v>834</v>
      </c>
      <c r="B77" s="903"/>
      <c r="C77" s="903"/>
      <c r="D77" s="903"/>
      <c r="E77" s="903"/>
      <c r="F77" s="903"/>
      <c r="G77" s="903"/>
      <c r="H77" s="903"/>
    </row>
    <row r="78" spans="1:8" x14ac:dyDescent="0.3">
      <c r="A78" s="904" t="s">
        <v>835</v>
      </c>
      <c r="B78" s="903"/>
      <c r="C78" s="903"/>
      <c r="D78" s="903"/>
      <c r="E78" s="903"/>
      <c r="F78" s="903"/>
      <c r="G78" s="903"/>
      <c r="H78" s="903"/>
    </row>
    <row r="79" spans="1:8" x14ac:dyDescent="0.3">
      <c r="A79" s="903"/>
      <c r="B79" s="903"/>
      <c r="C79" s="903"/>
      <c r="D79" s="903"/>
      <c r="E79" s="903"/>
      <c r="F79" s="903"/>
      <c r="G79" s="903"/>
      <c r="H79" s="903"/>
    </row>
    <row r="80" spans="1:8" x14ac:dyDescent="0.3">
      <c r="A80" s="904" t="s">
        <v>836</v>
      </c>
      <c r="B80" s="903"/>
      <c r="C80" s="903"/>
      <c r="D80" s="903"/>
      <c r="E80" s="903"/>
      <c r="F80" s="903"/>
      <c r="G80" s="903"/>
      <c r="H80" s="903"/>
    </row>
    <row r="81" spans="1:8" x14ac:dyDescent="0.3">
      <c r="A81" s="904" t="s">
        <v>837</v>
      </c>
      <c r="B81" s="903"/>
      <c r="C81" s="903"/>
      <c r="D81" s="903"/>
      <c r="E81" s="903"/>
      <c r="F81" s="903"/>
      <c r="G81" s="903"/>
      <c r="H81" s="903"/>
    </row>
    <row r="82" spans="1:8" x14ac:dyDescent="0.3">
      <c r="A82" s="904" t="s">
        <v>838</v>
      </c>
      <c r="B82" s="903"/>
      <c r="C82" s="903"/>
      <c r="D82" s="903"/>
      <c r="E82" s="903"/>
      <c r="F82" s="903"/>
      <c r="G82" s="903"/>
      <c r="H82" s="903"/>
    </row>
    <row r="83" spans="1:8" x14ac:dyDescent="0.3">
      <c r="A83" s="904" t="s">
        <v>839</v>
      </c>
      <c r="B83" s="903"/>
      <c r="C83" s="903"/>
      <c r="D83" s="903"/>
      <c r="E83" s="903"/>
      <c r="F83" s="903"/>
      <c r="G83" s="903"/>
      <c r="H83" s="903"/>
    </row>
    <row r="84" spans="1:8" x14ac:dyDescent="0.3">
      <c r="A84" s="904" t="s">
        <v>840</v>
      </c>
      <c r="B84" s="903"/>
      <c r="C84" s="903"/>
      <c r="D84" s="903"/>
      <c r="E84" s="903"/>
      <c r="F84" s="903"/>
      <c r="G84" s="903"/>
      <c r="H84" s="903"/>
    </row>
    <row r="85" spans="1:8" x14ac:dyDescent="0.3">
      <c r="A85" s="904" t="s">
        <v>841</v>
      </c>
      <c r="B85" s="903"/>
      <c r="C85" s="903"/>
      <c r="D85" s="903"/>
      <c r="E85" s="903"/>
      <c r="F85" s="903"/>
      <c r="G85" s="903"/>
      <c r="H85" s="903"/>
    </row>
    <row r="86" spans="1:8" x14ac:dyDescent="0.3">
      <c r="A86" s="903"/>
      <c r="B86" s="903"/>
      <c r="C86" s="903"/>
      <c r="D86" s="903"/>
      <c r="E86" s="903"/>
      <c r="F86" s="903"/>
      <c r="G86" s="903"/>
      <c r="H86" s="903"/>
    </row>
    <row r="87" spans="1:8" x14ac:dyDescent="0.3">
      <c r="A87" s="904" t="s">
        <v>842</v>
      </c>
      <c r="B87" s="903"/>
      <c r="C87" s="903"/>
      <c r="D87" s="903"/>
      <c r="E87" s="903"/>
      <c r="F87" s="903"/>
      <c r="G87" s="903"/>
      <c r="H87" s="903"/>
    </row>
    <row r="88" spans="1:8" x14ac:dyDescent="0.3">
      <c r="A88" s="904" t="s">
        <v>843</v>
      </c>
      <c r="B88" s="903"/>
      <c r="C88" s="903"/>
      <c r="D88" s="903"/>
      <c r="E88" s="903"/>
      <c r="F88" s="903"/>
      <c r="G88" s="903"/>
      <c r="H88" s="903"/>
    </row>
    <row r="89" spans="1:8" x14ac:dyDescent="0.3">
      <c r="A89" s="904" t="s">
        <v>844</v>
      </c>
      <c r="B89" s="903"/>
      <c r="C89" s="903"/>
      <c r="D89" s="903"/>
      <c r="E89" s="903"/>
      <c r="F89" s="903"/>
      <c r="G89" s="903"/>
      <c r="H89" s="903"/>
    </row>
    <row r="90" spans="1:8" x14ac:dyDescent="0.3">
      <c r="A90" s="904" t="s">
        <v>845</v>
      </c>
      <c r="B90" s="903"/>
      <c r="C90" s="903"/>
      <c r="D90" s="903"/>
      <c r="E90" s="903"/>
      <c r="F90" s="903"/>
      <c r="G90" s="903"/>
      <c r="H90" s="903"/>
    </row>
    <row r="91" spans="1:8" x14ac:dyDescent="0.3">
      <c r="A91" s="904" t="s">
        <v>846</v>
      </c>
      <c r="B91" s="903"/>
      <c r="C91" s="903"/>
      <c r="D91" s="903"/>
      <c r="E91" s="903"/>
      <c r="F91" s="903"/>
      <c r="G91" s="903"/>
      <c r="H91" s="903"/>
    </row>
    <row r="92" spans="1:8" x14ac:dyDescent="0.3">
      <c r="A92" s="904" t="s">
        <v>847</v>
      </c>
      <c r="B92" s="903"/>
      <c r="C92" s="903"/>
      <c r="D92" s="903"/>
      <c r="E92" s="903"/>
      <c r="F92" s="903"/>
      <c r="G92" s="903"/>
      <c r="H92" s="903"/>
    </row>
    <row r="93" spans="1:8" x14ac:dyDescent="0.3">
      <c r="A93" s="904" t="s">
        <v>848</v>
      </c>
      <c r="B93" s="903"/>
      <c r="C93" s="903"/>
      <c r="D93" s="903"/>
      <c r="E93" s="903"/>
      <c r="F93" s="903"/>
      <c r="G93" s="903"/>
      <c r="H93" s="903"/>
    </row>
    <row r="94" spans="1:8" x14ac:dyDescent="0.3">
      <c r="A94" s="903"/>
      <c r="B94" s="903"/>
      <c r="C94" s="903"/>
      <c r="D94" s="903"/>
      <c r="E94" s="903"/>
      <c r="F94" s="903"/>
      <c r="G94" s="903"/>
      <c r="H94" s="903"/>
    </row>
    <row r="95" spans="1:8" x14ac:dyDescent="0.3">
      <c r="A95" s="904" t="s">
        <v>849</v>
      </c>
      <c r="B95" s="903"/>
      <c r="C95" s="903"/>
      <c r="D95" s="903"/>
      <c r="E95" s="903"/>
      <c r="F95" s="903"/>
      <c r="G95" s="903"/>
      <c r="H95" s="903"/>
    </row>
    <row r="96" spans="1:8" x14ac:dyDescent="0.3">
      <c r="A96" s="904" t="s">
        <v>850</v>
      </c>
      <c r="B96" s="903"/>
      <c r="C96" s="903"/>
      <c r="D96" s="903"/>
      <c r="E96" s="903"/>
      <c r="F96" s="903"/>
      <c r="G96" s="903"/>
      <c r="H96" s="903"/>
    </row>
    <row r="97" spans="1:8" x14ac:dyDescent="0.3">
      <c r="A97" s="903"/>
      <c r="B97" s="903"/>
      <c r="C97" s="903"/>
      <c r="D97" s="903"/>
      <c r="E97" s="903"/>
      <c r="F97" s="903"/>
      <c r="G97" s="903"/>
      <c r="H97" s="903"/>
    </row>
    <row r="98" spans="1:8" ht="15.6" x14ac:dyDescent="0.3">
      <c r="A98" s="905" t="s">
        <v>851</v>
      </c>
      <c r="B98" s="903"/>
      <c r="C98" s="903"/>
      <c r="D98" s="903"/>
      <c r="E98" s="903"/>
      <c r="F98" s="903"/>
      <c r="G98" s="903"/>
      <c r="H98" s="903"/>
    </row>
    <row r="99" spans="1:8" x14ac:dyDescent="0.3">
      <c r="A99" s="903"/>
      <c r="B99" s="903"/>
      <c r="C99" s="903"/>
      <c r="D99" s="903"/>
      <c r="E99" s="903"/>
      <c r="F99" s="903"/>
      <c r="G99" s="903"/>
      <c r="H99" s="903"/>
    </row>
    <row r="100" spans="1:8" x14ac:dyDescent="0.3">
      <c r="A100" s="904" t="s">
        <v>852</v>
      </c>
      <c r="B100" s="903"/>
      <c r="C100" s="903"/>
      <c r="D100" s="903"/>
      <c r="E100" s="903"/>
      <c r="F100" s="903"/>
      <c r="G100" s="903"/>
      <c r="H100" s="903"/>
    </row>
    <row r="101" spans="1:8" x14ac:dyDescent="0.3">
      <c r="A101" s="904" t="s">
        <v>853</v>
      </c>
      <c r="B101" s="903"/>
      <c r="C101" s="903"/>
      <c r="D101" s="903"/>
      <c r="E101" s="903"/>
      <c r="F101" s="903"/>
      <c r="G101" s="903"/>
      <c r="H101" s="903"/>
    </row>
    <row r="102" spans="1:8" x14ac:dyDescent="0.3">
      <c r="A102" s="904" t="s">
        <v>854</v>
      </c>
      <c r="B102" s="903"/>
      <c r="C102" s="903"/>
      <c r="D102" s="903"/>
      <c r="E102" s="903"/>
      <c r="F102" s="903"/>
      <c r="G102" s="903"/>
      <c r="H102" s="903"/>
    </row>
    <row r="103" spans="1:8" x14ac:dyDescent="0.3">
      <c r="A103" s="904" t="s">
        <v>855</v>
      </c>
      <c r="B103" s="903"/>
      <c r="C103" s="903"/>
      <c r="D103" s="903"/>
      <c r="E103" s="903"/>
      <c r="F103" s="903"/>
      <c r="G103" s="903"/>
      <c r="H103" s="903"/>
    </row>
    <row r="104" spans="1:8" x14ac:dyDescent="0.3">
      <c r="A104" s="904" t="s">
        <v>856</v>
      </c>
      <c r="B104" s="903"/>
      <c r="C104" s="903"/>
      <c r="D104" s="903"/>
      <c r="E104" s="903"/>
      <c r="F104" s="903"/>
      <c r="G104" s="903"/>
      <c r="H104" s="903"/>
    </row>
    <row r="105" spans="1:8" x14ac:dyDescent="0.3">
      <c r="A105" s="904" t="s">
        <v>857</v>
      </c>
      <c r="B105" s="903"/>
      <c r="C105" s="903"/>
      <c r="D105" s="903"/>
      <c r="E105" s="903"/>
      <c r="F105" s="903"/>
      <c r="G105" s="903"/>
      <c r="H105" s="903"/>
    </row>
    <row r="106" spans="1:8" x14ac:dyDescent="0.3">
      <c r="A106" s="904" t="s">
        <v>858</v>
      </c>
      <c r="B106" s="903"/>
      <c r="C106" s="903"/>
      <c r="D106" s="903"/>
      <c r="E106" s="903"/>
      <c r="F106" s="903"/>
      <c r="G106" s="903"/>
      <c r="H106" s="903"/>
    </row>
    <row r="107" spans="1:8" x14ac:dyDescent="0.3">
      <c r="A107" s="904" t="s">
        <v>859</v>
      </c>
      <c r="B107" s="903"/>
      <c r="C107" s="903"/>
      <c r="D107" s="903"/>
      <c r="E107" s="903"/>
      <c r="F107" s="903"/>
      <c r="G107" s="903"/>
      <c r="H107" s="903"/>
    </row>
    <row r="108" spans="1:8" x14ac:dyDescent="0.3">
      <c r="A108" s="904" t="s">
        <v>860</v>
      </c>
      <c r="B108" s="903"/>
      <c r="C108" s="903"/>
      <c r="D108" s="903"/>
      <c r="E108" s="903"/>
      <c r="F108" s="903"/>
      <c r="G108" s="903"/>
      <c r="H108" s="903"/>
    </row>
    <row r="109" spans="1:8" x14ac:dyDescent="0.3">
      <c r="A109" s="903"/>
      <c r="B109" s="903"/>
      <c r="C109" s="903"/>
      <c r="D109" s="903"/>
      <c r="E109" s="903"/>
      <c r="F109" s="903"/>
      <c r="G109" s="903"/>
      <c r="H109" s="903"/>
    </row>
    <row r="110" spans="1:8" ht="15.6" x14ac:dyDescent="0.3">
      <c r="A110" s="905" t="s">
        <v>861</v>
      </c>
      <c r="B110" s="903"/>
      <c r="C110" s="903"/>
      <c r="D110" s="903"/>
      <c r="E110" s="903"/>
      <c r="F110" s="903"/>
      <c r="G110" s="903"/>
      <c r="H110" s="903"/>
    </row>
    <row r="111" spans="1:8" x14ac:dyDescent="0.3">
      <c r="A111" s="903"/>
      <c r="B111" s="903"/>
      <c r="C111" s="903"/>
      <c r="D111" s="903"/>
      <c r="E111" s="903"/>
      <c r="F111" s="903"/>
      <c r="G111" s="903"/>
      <c r="H111" s="903"/>
    </row>
    <row r="112" spans="1:8" x14ac:dyDescent="0.3">
      <c r="A112" s="904" t="s">
        <v>862</v>
      </c>
      <c r="B112" s="903"/>
      <c r="C112" s="903"/>
      <c r="D112" s="903"/>
      <c r="E112" s="903"/>
      <c r="F112" s="903"/>
      <c r="G112" s="903"/>
      <c r="H112" s="903"/>
    </row>
    <row r="113" spans="1:8" x14ac:dyDescent="0.3">
      <c r="A113" s="903"/>
      <c r="B113" s="903"/>
      <c r="C113" s="903"/>
      <c r="D113" s="903"/>
      <c r="E113" s="903"/>
      <c r="F113" s="903"/>
      <c r="G113" s="903"/>
      <c r="H113" s="903"/>
    </row>
    <row r="114" spans="1:8" x14ac:dyDescent="0.3">
      <c r="A114" s="904" t="s">
        <v>863</v>
      </c>
      <c r="B114" s="903"/>
      <c r="C114" s="903"/>
      <c r="D114" s="903"/>
      <c r="E114" s="903"/>
      <c r="F114" s="903"/>
      <c r="G114" s="903"/>
      <c r="H114" s="903"/>
    </row>
    <row r="115" spans="1:8" x14ac:dyDescent="0.3">
      <c r="A115" s="904" t="s">
        <v>864</v>
      </c>
      <c r="B115" s="903"/>
      <c r="C115" s="903"/>
      <c r="D115" s="903"/>
      <c r="E115" s="903"/>
      <c r="F115" s="903"/>
      <c r="G115" s="903"/>
      <c r="H115" s="903"/>
    </row>
    <row r="116" spans="1:8" x14ac:dyDescent="0.3">
      <c r="A116" s="903"/>
      <c r="B116" s="903"/>
      <c r="C116" s="903"/>
      <c r="D116" s="903"/>
      <c r="E116" s="903"/>
      <c r="F116" s="903"/>
      <c r="G116" s="903"/>
      <c r="H116" s="903"/>
    </row>
    <row r="117" spans="1:8" x14ac:dyDescent="0.3">
      <c r="A117" s="904" t="s">
        <v>865</v>
      </c>
      <c r="B117" s="903"/>
      <c r="C117" s="903"/>
      <c r="D117" s="903"/>
      <c r="E117" s="903"/>
      <c r="F117" s="903"/>
      <c r="G117" s="903"/>
      <c r="H117" s="903"/>
    </row>
    <row r="118" spans="1:8" x14ac:dyDescent="0.3">
      <c r="A118" s="904" t="s">
        <v>866</v>
      </c>
      <c r="B118" s="903"/>
      <c r="C118" s="903"/>
      <c r="D118" s="903"/>
      <c r="E118" s="903"/>
      <c r="F118" s="903"/>
      <c r="G118" s="903"/>
      <c r="H118" s="903"/>
    </row>
    <row r="119" spans="1:8" x14ac:dyDescent="0.3">
      <c r="A119" s="904" t="s">
        <v>867</v>
      </c>
      <c r="B119" s="903"/>
      <c r="C119" s="903"/>
      <c r="D119" s="903"/>
      <c r="E119" s="903"/>
      <c r="F119" s="903"/>
      <c r="G119" s="903"/>
      <c r="H119" s="903"/>
    </row>
    <row r="120" spans="1:8" x14ac:dyDescent="0.3">
      <c r="A120" s="904" t="s">
        <v>868</v>
      </c>
      <c r="B120" s="903"/>
      <c r="C120" s="903"/>
      <c r="D120" s="903"/>
      <c r="E120" s="903"/>
      <c r="F120" s="903"/>
      <c r="G120" s="903"/>
      <c r="H120" s="903"/>
    </row>
    <row r="121" spans="1:8" x14ac:dyDescent="0.3">
      <c r="A121" s="904" t="s">
        <v>869</v>
      </c>
      <c r="B121" s="903"/>
      <c r="C121" s="903"/>
      <c r="D121" s="903"/>
      <c r="E121" s="903"/>
      <c r="F121" s="903"/>
      <c r="G121" s="903"/>
      <c r="H121" s="903"/>
    </row>
    <row r="122" spans="1:8" x14ac:dyDescent="0.3">
      <c r="A122" s="904" t="s">
        <v>870</v>
      </c>
      <c r="B122" s="903"/>
      <c r="C122" s="903"/>
      <c r="D122" s="903"/>
      <c r="E122" s="903"/>
      <c r="F122" s="903"/>
      <c r="G122" s="903"/>
      <c r="H122" s="903"/>
    </row>
    <row r="123" spans="1:8" x14ac:dyDescent="0.3">
      <c r="A123" s="904" t="s">
        <v>871</v>
      </c>
      <c r="B123" s="903"/>
      <c r="C123" s="903"/>
      <c r="D123" s="903"/>
      <c r="E123" s="903"/>
      <c r="F123" s="903"/>
      <c r="G123" s="903"/>
      <c r="H123" s="903"/>
    </row>
    <row r="124" spans="1:8" x14ac:dyDescent="0.3">
      <c r="A124" s="903"/>
      <c r="B124" s="903"/>
      <c r="C124" s="903"/>
      <c r="D124" s="903"/>
      <c r="E124" s="903"/>
      <c r="F124" s="903"/>
      <c r="G124" s="903"/>
      <c r="H124" s="903"/>
    </row>
    <row r="125" spans="1:8" x14ac:dyDescent="0.3">
      <c r="A125" s="906"/>
      <c r="B125" s="912" t="s">
        <v>872</v>
      </c>
      <c r="C125" s="912"/>
      <c r="D125" s="912" t="s">
        <v>873</v>
      </c>
      <c r="E125" s="912"/>
      <c r="F125" s="912"/>
      <c r="G125" s="912" t="s">
        <v>874</v>
      </c>
      <c r="H125" s="912"/>
    </row>
    <row r="126" spans="1:8" x14ac:dyDescent="0.3">
      <c r="A126" s="906" t="s">
        <v>875</v>
      </c>
      <c r="B126" s="906" t="s">
        <v>876</v>
      </c>
      <c r="C126" s="906" t="s">
        <v>877</v>
      </c>
      <c r="D126" s="906" t="s">
        <v>876</v>
      </c>
      <c r="E126" s="906" t="s">
        <v>878</v>
      </c>
      <c r="F126" s="906" t="s">
        <v>879</v>
      </c>
      <c r="G126" s="906" t="s">
        <v>876</v>
      </c>
      <c r="H126" s="906" t="s">
        <v>880</v>
      </c>
    </row>
    <row r="127" spans="1:8" x14ac:dyDescent="0.3">
      <c r="A127" s="906" t="s">
        <v>881</v>
      </c>
      <c r="B127" s="906">
        <v>1534</v>
      </c>
      <c r="C127" s="924">
        <v>0.42</v>
      </c>
      <c r="D127" s="906">
        <v>461</v>
      </c>
      <c r="E127" s="924">
        <v>0.5</v>
      </c>
      <c r="F127" s="924">
        <v>0.3</v>
      </c>
      <c r="G127" s="906">
        <v>698</v>
      </c>
      <c r="H127" s="924">
        <v>0.43</v>
      </c>
    </row>
    <row r="128" spans="1:8" x14ac:dyDescent="0.3">
      <c r="A128" s="906" t="s">
        <v>882</v>
      </c>
      <c r="B128" s="906">
        <v>1573</v>
      </c>
      <c r="C128" s="924">
        <v>0.43</v>
      </c>
      <c r="D128" s="906">
        <v>372</v>
      </c>
      <c r="E128" s="924">
        <v>0.4</v>
      </c>
      <c r="F128" s="924">
        <v>0.24</v>
      </c>
      <c r="G128" s="906">
        <v>716</v>
      </c>
      <c r="H128" s="924">
        <v>0.44</v>
      </c>
    </row>
    <row r="129" spans="1:8" x14ac:dyDescent="0.3">
      <c r="A129" s="906" t="s">
        <v>883</v>
      </c>
      <c r="B129" s="906">
        <v>4</v>
      </c>
      <c r="C129" s="924">
        <v>0</v>
      </c>
      <c r="D129" s="906">
        <v>1</v>
      </c>
      <c r="E129" s="924">
        <v>0</v>
      </c>
      <c r="F129" s="924">
        <v>0.25</v>
      </c>
      <c r="G129" s="906">
        <v>1</v>
      </c>
      <c r="H129" s="924">
        <v>0</v>
      </c>
    </row>
    <row r="130" spans="1:8" x14ac:dyDescent="0.3">
      <c r="A130" s="906" t="s">
        <v>884</v>
      </c>
      <c r="B130" s="906">
        <v>568</v>
      </c>
      <c r="C130" s="924">
        <v>0.15</v>
      </c>
      <c r="D130" s="906">
        <v>89</v>
      </c>
      <c r="E130" s="924">
        <v>0.1</v>
      </c>
      <c r="F130" s="924">
        <v>0.16</v>
      </c>
      <c r="G130" s="906">
        <v>209</v>
      </c>
      <c r="H130" s="924">
        <v>0.13</v>
      </c>
    </row>
    <row r="131" spans="1:8" x14ac:dyDescent="0.3">
      <c r="A131" s="906" t="s">
        <v>249</v>
      </c>
      <c r="B131" s="906">
        <v>3679</v>
      </c>
      <c r="C131" s="906"/>
      <c r="D131" s="906">
        <v>923</v>
      </c>
      <c r="E131" s="906"/>
      <c r="F131" s="906"/>
      <c r="G131" s="906">
        <v>1624</v>
      </c>
      <c r="H131" s="906"/>
    </row>
    <row r="132" spans="1:8" x14ac:dyDescent="0.3">
      <c r="A132" s="903"/>
      <c r="B132" s="903"/>
      <c r="C132" s="903"/>
      <c r="D132" s="903"/>
      <c r="E132" s="903"/>
      <c r="F132" s="903"/>
      <c r="G132" s="903"/>
      <c r="H132" s="903"/>
    </row>
    <row r="133" spans="1:8" x14ac:dyDescent="0.3">
      <c r="A133" s="904" t="s">
        <v>885</v>
      </c>
      <c r="B133" s="903"/>
      <c r="C133" s="903"/>
      <c r="D133" s="903"/>
      <c r="E133" s="903"/>
      <c r="F133" s="903"/>
      <c r="G133" s="903"/>
      <c r="H133" s="903"/>
    </row>
    <row r="134" spans="1:8" x14ac:dyDescent="0.3">
      <c r="A134" s="904" t="s">
        <v>886</v>
      </c>
      <c r="B134" s="903"/>
      <c r="C134" s="903"/>
      <c r="D134" s="903"/>
      <c r="E134" s="903"/>
      <c r="F134" s="903"/>
      <c r="G134" s="903"/>
      <c r="H134" s="903"/>
    </row>
    <row r="135" spans="1:8" x14ac:dyDescent="0.3">
      <c r="A135" s="904" t="s">
        <v>887</v>
      </c>
      <c r="B135" s="903"/>
      <c r="C135" s="903"/>
      <c r="D135" s="903"/>
      <c r="E135" s="903"/>
      <c r="F135" s="903"/>
      <c r="G135" s="903"/>
      <c r="H135" s="903"/>
    </row>
    <row r="136" spans="1:8" x14ac:dyDescent="0.3">
      <c r="A136" s="904" t="s">
        <v>888</v>
      </c>
      <c r="B136" s="903"/>
      <c r="C136" s="903"/>
      <c r="D136" s="903"/>
      <c r="E136" s="903"/>
      <c r="F136" s="903"/>
      <c r="G136" s="903"/>
      <c r="H136" s="903"/>
    </row>
    <row r="137" spans="1:8" x14ac:dyDescent="0.3">
      <c r="A137" s="903"/>
      <c r="B137" s="903"/>
      <c r="C137" s="903"/>
      <c r="D137" s="903"/>
      <c r="E137" s="903"/>
      <c r="F137" s="903"/>
      <c r="G137" s="903"/>
      <c r="H137" s="903"/>
    </row>
    <row r="138" spans="1:8" ht="15.6" x14ac:dyDescent="0.3">
      <c r="A138" s="905" t="s">
        <v>889</v>
      </c>
      <c r="B138" s="903"/>
      <c r="C138" s="903"/>
      <c r="D138" s="903"/>
      <c r="E138" s="903"/>
      <c r="F138" s="903"/>
      <c r="G138" s="903"/>
      <c r="H138" s="903"/>
    </row>
    <row r="139" spans="1:8" x14ac:dyDescent="0.3">
      <c r="A139" s="903"/>
      <c r="B139" s="903"/>
      <c r="C139" s="903"/>
      <c r="D139" s="903"/>
      <c r="E139" s="903"/>
      <c r="F139" s="903"/>
      <c r="G139" s="903"/>
      <c r="H139" s="903"/>
    </row>
    <row r="140" spans="1:8" x14ac:dyDescent="0.3">
      <c r="A140" s="904" t="s">
        <v>890</v>
      </c>
      <c r="B140" s="903"/>
      <c r="C140" s="903"/>
      <c r="D140" s="903"/>
      <c r="E140" s="903"/>
      <c r="F140" s="903"/>
      <c r="G140" s="903"/>
      <c r="H140" s="903"/>
    </row>
    <row r="141" spans="1:8" x14ac:dyDescent="0.3">
      <c r="A141" s="904" t="s">
        <v>891</v>
      </c>
      <c r="B141" s="903"/>
      <c r="C141" s="903"/>
      <c r="D141" s="903"/>
      <c r="E141" s="903"/>
      <c r="F141" s="903"/>
      <c r="G141" s="903"/>
      <c r="H141" s="903"/>
    </row>
    <row r="142" spans="1:8" x14ac:dyDescent="0.3">
      <c r="A142" s="903"/>
      <c r="B142" s="903"/>
      <c r="C142" s="903"/>
      <c r="D142" s="903"/>
      <c r="E142" s="903"/>
      <c r="F142" s="903"/>
      <c r="G142" s="903"/>
      <c r="H142" s="903"/>
    </row>
    <row r="143" spans="1:8" x14ac:dyDescent="0.3">
      <c r="A143" s="904" t="s">
        <v>892</v>
      </c>
      <c r="B143" s="903"/>
      <c r="C143" s="903"/>
      <c r="D143" s="903"/>
      <c r="E143" s="903"/>
      <c r="F143" s="903"/>
      <c r="G143" s="903"/>
      <c r="H143" s="903"/>
    </row>
    <row r="144" spans="1:8" x14ac:dyDescent="0.3">
      <c r="A144" s="904" t="s">
        <v>893</v>
      </c>
      <c r="B144" s="903"/>
      <c r="C144" s="903"/>
      <c r="D144" s="903"/>
      <c r="E144" s="903"/>
      <c r="F144" s="903"/>
      <c r="G144" s="903"/>
      <c r="H144" s="903"/>
    </row>
    <row r="145" spans="1:8" x14ac:dyDescent="0.3">
      <c r="A145" s="904" t="s">
        <v>894</v>
      </c>
      <c r="B145" s="903"/>
      <c r="C145" s="903"/>
      <c r="D145" s="903"/>
      <c r="E145" s="903"/>
      <c r="F145" s="903"/>
      <c r="G145" s="903"/>
      <c r="H145" s="903"/>
    </row>
    <row r="146" spans="1:8" x14ac:dyDescent="0.3">
      <c r="A146" s="903"/>
      <c r="B146" s="903"/>
      <c r="C146" s="903"/>
      <c r="D146" s="903"/>
      <c r="E146" s="903"/>
      <c r="F146" s="903"/>
      <c r="G146" s="903"/>
      <c r="H146" s="903"/>
    </row>
    <row r="147" spans="1:8" x14ac:dyDescent="0.3">
      <c r="A147" s="904" t="s">
        <v>895</v>
      </c>
      <c r="B147" s="903"/>
      <c r="C147" s="903"/>
      <c r="D147" s="903"/>
      <c r="E147" s="903"/>
      <c r="F147" s="903"/>
      <c r="G147" s="903"/>
      <c r="H147" s="903"/>
    </row>
    <row r="148" spans="1:8" x14ac:dyDescent="0.3">
      <c r="A148" s="904" t="s">
        <v>896</v>
      </c>
      <c r="B148" s="903"/>
      <c r="C148" s="903"/>
      <c r="D148" s="903"/>
      <c r="E148" s="903"/>
      <c r="F148" s="903"/>
      <c r="G148" s="903"/>
      <c r="H148" s="903"/>
    </row>
    <row r="149" spans="1:8" x14ac:dyDescent="0.3">
      <c r="A149" s="904" t="s">
        <v>897</v>
      </c>
      <c r="B149" s="903"/>
      <c r="C149" s="903"/>
      <c r="D149" s="903"/>
      <c r="E149" s="903"/>
      <c r="F149" s="903"/>
      <c r="G149" s="903"/>
      <c r="H149" s="903"/>
    </row>
    <row r="150" spans="1:8" x14ac:dyDescent="0.3">
      <c r="A150" s="903"/>
      <c r="B150" s="903"/>
      <c r="C150" s="903"/>
      <c r="D150" s="903"/>
      <c r="E150" s="903"/>
      <c r="F150" s="903"/>
      <c r="G150" s="903"/>
      <c r="H150" s="903"/>
    </row>
    <row r="151" spans="1:8" x14ac:dyDescent="0.3">
      <c r="A151" s="904" t="s">
        <v>898</v>
      </c>
      <c r="B151" s="903"/>
      <c r="C151" s="903"/>
      <c r="D151" s="903"/>
      <c r="E151" s="903"/>
      <c r="F151" s="903"/>
      <c r="G151" s="903"/>
      <c r="H151" s="903"/>
    </row>
    <row r="152" spans="1:8" x14ac:dyDescent="0.3">
      <c r="A152" s="904" t="s">
        <v>899</v>
      </c>
      <c r="B152" s="903"/>
      <c r="C152" s="903"/>
      <c r="D152" s="903"/>
      <c r="E152" s="903"/>
      <c r="F152" s="903"/>
      <c r="G152" s="903"/>
      <c r="H152" s="903"/>
    </row>
    <row r="153" spans="1:8" x14ac:dyDescent="0.3">
      <c r="A153" s="904" t="s">
        <v>900</v>
      </c>
      <c r="B153" s="903"/>
      <c r="C153" s="903"/>
      <c r="D153" s="903"/>
      <c r="E153" s="903"/>
      <c r="F153" s="903"/>
      <c r="G153" s="903"/>
      <c r="H153" s="903"/>
    </row>
    <row r="154" spans="1:8" x14ac:dyDescent="0.3">
      <c r="A154" s="903"/>
      <c r="B154" s="903"/>
      <c r="C154" s="903"/>
      <c r="D154" s="903"/>
      <c r="E154" s="903"/>
      <c r="F154" s="903"/>
      <c r="G154" s="903"/>
      <c r="H154" s="903"/>
    </row>
    <row r="155" spans="1:8" x14ac:dyDescent="0.3">
      <c r="A155" s="904" t="s">
        <v>901</v>
      </c>
      <c r="B155" s="903"/>
      <c r="C155" s="903"/>
      <c r="D155" s="903"/>
      <c r="E155" s="903"/>
      <c r="F155" s="903"/>
      <c r="G155" s="903"/>
      <c r="H155" s="903"/>
    </row>
    <row r="156" spans="1:8" x14ac:dyDescent="0.3">
      <c r="A156" s="904" t="s">
        <v>902</v>
      </c>
      <c r="B156" s="903"/>
      <c r="C156" s="903"/>
      <c r="D156" s="903"/>
      <c r="E156" s="903"/>
      <c r="F156" s="903"/>
      <c r="G156" s="903"/>
      <c r="H156" s="903"/>
    </row>
    <row r="157" spans="1:8" x14ac:dyDescent="0.3">
      <c r="A157" s="903"/>
      <c r="B157" s="903"/>
      <c r="C157" s="903"/>
      <c r="D157" s="903"/>
      <c r="E157" s="903"/>
      <c r="F157" s="903"/>
      <c r="G157" s="903"/>
      <c r="H157" s="903"/>
    </row>
    <row r="158" spans="1:8" ht="15.6" x14ac:dyDescent="0.3">
      <c r="A158" s="905" t="s">
        <v>903</v>
      </c>
      <c r="B158" s="903"/>
      <c r="C158" s="903"/>
      <c r="D158" s="903"/>
      <c r="E158" s="903"/>
      <c r="F158" s="903"/>
      <c r="G158" s="903"/>
      <c r="H158" s="903"/>
    </row>
    <row r="159" spans="1:8" x14ac:dyDescent="0.3">
      <c r="A159" s="903"/>
      <c r="B159" s="903"/>
      <c r="C159" s="903"/>
      <c r="D159" s="903"/>
      <c r="E159" s="903"/>
      <c r="F159" s="903"/>
      <c r="G159" s="903"/>
      <c r="H159" s="903"/>
    </row>
    <row r="160" spans="1:8" x14ac:dyDescent="0.3">
      <c r="A160" s="904" t="s">
        <v>904</v>
      </c>
      <c r="B160" s="903"/>
      <c r="C160" s="903"/>
      <c r="D160" s="903"/>
      <c r="E160" s="903"/>
      <c r="F160" s="903"/>
      <c r="G160" s="903"/>
      <c r="H160" s="903"/>
    </row>
    <row r="161" spans="1:8" x14ac:dyDescent="0.3">
      <c r="A161" s="904" t="s">
        <v>905</v>
      </c>
      <c r="B161" s="903"/>
      <c r="C161" s="903"/>
      <c r="D161" s="903"/>
      <c r="E161" s="903"/>
      <c r="F161" s="903"/>
      <c r="G161" s="903"/>
      <c r="H161" s="903"/>
    </row>
    <row r="162" spans="1:8" x14ac:dyDescent="0.3">
      <c r="A162" s="903"/>
      <c r="B162" s="903"/>
      <c r="C162" s="903"/>
      <c r="D162" s="903"/>
      <c r="E162" s="903"/>
      <c r="F162" s="903"/>
      <c r="G162" s="903"/>
      <c r="H162" s="903"/>
    </row>
    <row r="163" spans="1:8" x14ac:dyDescent="0.3">
      <c r="A163" s="904" t="s">
        <v>906</v>
      </c>
      <c r="B163" s="903"/>
      <c r="C163" s="903"/>
      <c r="D163" s="903"/>
      <c r="E163" s="903"/>
      <c r="F163" s="903"/>
      <c r="G163" s="903"/>
      <c r="H163" s="903"/>
    </row>
    <row r="164" spans="1:8" x14ac:dyDescent="0.3">
      <c r="A164" s="904" t="s">
        <v>907</v>
      </c>
      <c r="B164" s="903"/>
      <c r="C164" s="903"/>
      <c r="D164" s="903"/>
      <c r="E164" s="903"/>
      <c r="F164" s="903"/>
      <c r="G164" s="903"/>
      <c r="H164" s="903"/>
    </row>
    <row r="165" spans="1:8" x14ac:dyDescent="0.3">
      <c r="A165" s="903"/>
      <c r="B165" s="903"/>
      <c r="C165" s="903"/>
      <c r="D165" s="903"/>
      <c r="E165" s="903"/>
      <c r="F165" s="903"/>
      <c r="G165" s="903"/>
      <c r="H165" s="903"/>
    </row>
    <row r="166" spans="1:8" x14ac:dyDescent="0.3">
      <c r="A166" s="904" t="s">
        <v>908</v>
      </c>
      <c r="B166" s="903"/>
      <c r="C166" s="903"/>
      <c r="D166" s="903"/>
      <c r="E166" s="903"/>
      <c r="F166" s="903"/>
      <c r="G166" s="903"/>
      <c r="H166" s="903"/>
    </row>
    <row r="167" spans="1:8" x14ac:dyDescent="0.3">
      <c r="A167" s="904" t="s">
        <v>909</v>
      </c>
      <c r="B167" s="903"/>
      <c r="C167" s="903"/>
      <c r="D167" s="903"/>
      <c r="E167" s="903"/>
      <c r="F167" s="903"/>
      <c r="G167" s="903"/>
      <c r="H167" s="903"/>
    </row>
    <row r="168" spans="1:8" x14ac:dyDescent="0.3">
      <c r="A168" s="903"/>
      <c r="B168" s="903"/>
      <c r="C168" s="903"/>
      <c r="D168" s="903"/>
      <c r="E168" s="903"/>
      <c r="F168" s="903"/>
      <c r="G168" s="903"/>
      <c r="H168" s="903"/>
    </row>
    <row r="169" spans="1:8" x14ac:dyDescent="0.3">
      <c r="A169" s="904" t="s">
        <v>910</v>
      </c>
      <c r="B169" s="903"/>
      <c r="C169" s="903"/>
      <c r="D169" s="903"/>
      <c r="E169" s="903"/>
      <c r="F169" s="903"/>
      <c r="G169" s="903"/>
      <c r="H169" s="903"/>
    </row>
    <row r="170" spans="1:8" x14ac:dyDescent="0.3">
      <c r="A170" s="904" t="s">
        <v>911</v>
      </c>
      <c r="B170" s="903"/>
      <c r="C170" s="903"/>
      <c r="D170" s="903"/>
      <c r="E170" s="903"/>
      <c r="F170" s="903"/>
      <c r="G170" s="903"/>
      <c r="H170" s="903"/>
    </row>
    <row r="171" spans="1:8" x14ac:dyDescent="0.3">
      <c r="A171" s="904" t="s">
        <v>912</v>
      </c>
      <c r="B171" s="903"/>
      <c r="C171" s="903"/>
      <c r="D171" s="903"/>
      <c r="E171" s="903"/>
      <c r="F171" s="903"/>
      <c r="G171" s="903"/>
      <c r="H171" s="903"/>
    </row>
    <row r="172" spans="1:8" x14ac:dyDescent="0.3">
      <c r="A172" s="903"/>
      <c r="B172" s="903"/>
      <c r="C172" s="903"/>
      <c r="D172" s="903"/>
      <c r="E172" s="903"/>
      <c r="F172" s="903"/>
      <c r="G172" s="903"/>
      <c r="H172" s="903"/>
    </row>
    <row r="173" spans="1:8" x14ac:dyDescent="0.3">
      <c r="A173" s="904" t="s">
        <v>824</v>
      </c>
      <c r="B173" s="903"/>
      <c r="C173" s="903"/>
      <c r="D173" s="903"/>
      <c r="E173" s="903"/>
      <c r="F173" s="903"/>
      <c r="G173" s="903"/>
      <c r="H173" s="903"/>
    </row>
    <row r="174" spans="1:8" x14ac:dyDescent="0.3">
      <c r="A174" s="903"/>
      <c r="B174" s="903"/>
      <c r="C174" s="903"/>
      <c r="D174" s="903"/>
      <c r="E174" s="903"/>
      <c r="F174" s="903"/>
      <c r="G174" s="903"/>
      <c r="H174" s="903"/>
    </row>
    <row r="175" spans="1:8" ht="15.6" x14ac:dyDescent="0.3">
      <c r="A175" s="905" t="s">
        <v>913</v>
      </c>
      <c r="B175" s="903"/>
      <c r="C175" s="903"/>
      <c r="D175" s="903"/>
      <c r="E175" s="903"/>
      <c r="F175" s="903"/>
      <c r="G175" s="903"/>
      <c r="H175" s="903"/>
    </row>
    <row r="176" spans="1:8" x14ac:dyDescent="0.3">
      <c r="A176" s="903"/>
      <c r="B176" s="903"/>
      <c r="C176" s="903"/>
      <c r="D176" s="903"/>
      <c r="E176" s="903"/>
      <c r="F176" s="903"/>
      <c r="G176" s="903"/>
      <c r="H176" s="903"/>
    </row>
    <row r="177" spans="1:8" x14ac:dyDescent="0.3">
      <c r="A177" s="903"/>
      <c r="B177" s="903"/>
      <c r="C177" s="903"/>
      <c r="D177" s="903"/>
      <c r="E177" s="903"/>
      <c r="F177" s="903"/>
      <c r="G177" s="903"/>
      <c r="H177" s="903"/>
    </row>
    <row r="178" spans="1:8" x14ac:dyDescent="0.3">
      <c r="A178" s="903"/>
      <c r="B178" s="903"/>
      <c r="C178" s="903"/>
      <c r="D178" s="903"/>
      <c r="E178" s="903"/>
      <c r="F178" s="903"/>
      <c r="G178" s="903"/>
      <c r="H178" s="903"/>
    </row>
    <row r="179" spans="1:8" x14ac:dyDescent="0.3">
      <c r="A179" s="903"/>
      <c r="B179" s="903"/>
      <c r="C179" s="903"/>
      <c r="D179" s="903"/>
      <c r="E179" s="903"/>
      <c r="F179" s="903"/>
      <c r="G179" s="903"/>
      <c r="H179" s="903"/>
    </row>
    <row r="180" spans="1:8" x14ac:dyDescent="0.3">
      <c r="A180" s="903"/>
      <c r="B180" s="903"/>
      <c r="C180" s="903"/>
      <c r="D180" s="903"/>
      <c r="E180" s="903"/>
      <c r="F180" s="903"/>
      <c r="G180" s="903"/>
      <c r="H180" s="903"/>
    </row>
    <row r="181" spans="1:8" x14ac:dyDescent="0.3">
      <c r="A181" s="903"/>
      <c r="B181" s="903"/>
      <c r="C181" s="903"/>
      <c r="D181" s="903"/>
      <c r="E181" s="903"/>
      <c r="F181" s="903"/>
      <c r="G181" s="903"/>
      <c r="H181" s="903"/>
    </row>
    <row r="182" spans="1:8" x14ac:dyDescent="0.3">
      <c r="A182" s="903"/>
      <c r="B182" s="903"/>
      <c r="C182" s="903"/>
      <c r="D182" s="903"/>
      <c r="E182" s="903"/>
      <c r="F182" s="903"/>
      <c r="G182" s="903"/>
      <c r="H182" s="903"/>
    </row>
    <row r="183" spans="1:8" x14ac:dyDescent="0.3">
      <c r="A183" s="903"/>
      <c r="B183" s="903"/>
      <c r="C183" s="903"/>
      <c r="D183" s="903"/>
      <c r="E183" s="903"/>
      <c r="F183" s="903"/>
      <c r="G183" s="903"/>
      <c r="H183" s="903"/>
    </row>
    <row r="184" spans="1:8" x14ac:dyDescent="0.3">
      <c r="A184" s="903"/>
      <c r="B184" s="903"/>
      <c r="C184" s="903"/>
      <c r="D184" s="903"/>
      <c r="E184" s="903"/>
      <c r="F184" s="903"/>
      <c r="G184" s="903"/>
      <c r="H184" s="903"/>
    </row>
    <row r="185" spans="1:8" x14ac:dyDescent="0.3">
      <c r="A185" s="903"/>
      <c r="B185" s="903"/>
      <c r="C185" s="903"/>
      <c r="D185" s="903"/>
      <c r="E185" s="903"/>
      <c r="F185" s="903"/>
      <c r="G185" s="903"/>
      <c r="H185" s="903"/>
    </row>
    <row r="186" spans="1:8" x14ac:dyDescent="0.3">
      <c r="A186" s="903"/>
      <c r="B186" s="903"/>
      <c r="C186" s="903"/>
      <c r="D186" s="903"/>
      <c r="E186" s="903"/>
      <c r="F186" s="903"/>
      <c r="G186" s="903"/>
      <c r="H186" s="903"/>
    </row>
    <row r="187" spans="1:8" x14ac:dyDescent="0.3">
      <c r="A187" s="903"/>
      <c r="B187" s="903"/>
      <c r="C187" s="903"/>
      <c r="D187" s="903"/>
      <c r="E187" s="903"/>
      <c r="F187" s="903"/>
      <c r="G187" s="903"/>
      <c r="H187" s="903"/>
    </row>
    <row r="188" spans="1:8" x14ac:dyDescent="0.3">
      <c r="A188" s="903"/>
      <c r="B188" s="903"/>
      <c r="C188" s="903"/>
      <c r="D188" s="903"/>
      <c r="E188" s="903"/>
      <c r="F188" s="903"/>
      <c r="G188" s="903"/>
      <c r="H188" s="903"/>
    </row>
    <row r="189" spans="1:8" x14ac:dyDescent="0.3">
      <c r="A189" s="903"/>
      <c r="B189" s="903"/>
      <c r="C189" s="903"/>
      <c r="D189" s="903"/>
      <c r="E189" s="903"/>
      <c r="F189" s="903"/>
      <c r="G189" s="903"/>
      <c r="H189" s="903"/>
    </row>
    <row r="190" spans="1:8" x14ac:dyDescent="0.3">
      <c r="A190" s="903"/>
      <c r="B190" s="903"/>
      <c r="C190" s="903"/>
      <c r="D190" s="903"/>
      <c r="E190" s="903"/>
      <c r="F190" s="903"/>
      <c r="G190" s="903"/>
      <c r="H190" s="903"/>
    </row>
    <row r="191" spans="1:8" x14ac:dyDescent="0.3">
      <c r="A191" s="903"/>
      <c r="B191" s="903"/>
      <c r="C191" s="903"/>
      <c r="D191" s="903"/>
      <c r="E191" s="903"/>
      <c r="F191" s="903"/>
      <c r="G191" s="903"/>
      <c r="H191" s="903"/>
    </row>
    <row r="192" spans="1:8" x14ac:dyDescent="0.3">
      <c r="A192" s="903"/>
      <c r="B192" s="903"/>
      <c r="C192" s="903"/>
      <c r="D192" s="903"/>
      <c r="E192" s="903"/>
      <c r="F192" s="903"/>
      <c r="G192" s="903"/>
      <c r="H192" s="903"/>
    </row>
    <row r="193" spans="1:8" x14ac:dyDescent="0.3">
      <c r="A193" s="903"/>
      <c r="B193" s="903"/>
      <c r="C193" s="903"/>
      <c r="D193" s="903"/>
      <c r="E193" s="903"/>
      <c r="F193" s="903"/>
      <c r="G193" s="903"/>
      <c r="H193" s="903"/>
    </row>
    <row r="194" spans="1:8" x14ac:dyDescent="0.3">
      <c r="A194" s="903"/>
      <c r="B194" s="903"/>
      <c r="C194" s="903"/>
      <c r="D194" s="903"/>
      <c r="E194" s="903"/>
      <c r="F194" s="903"/>
      <c r="G194" s="903"/>
      <c r="H194" s="903"/>
    </row>
    <row r="195" spans="1:8" x14ac:dyDescent="0.3">
      <c r="A195" s="903"/>
      <c r="B195" s="903"/>
      <c r="C195" s="903"/>
      <c r="D195" s="903"/>
      <c r="E195" s="903"/>
      <c r="F195" s="903"/>
      <c r="G195" s="903"/>
      <c r="H195" s="903"/>
    </row>
    <row r="196" spans="1:8" x14ac:dyDescent="0.3">
      <c r="A196" s="903"/>
      <c r="B196" s="903"/>
      <c r="C196" s="903"/>
      <c r="D196" s="903"/>
      <c r="E196" s="903"/>
      <c r="F196" s="903"/>
      <c r="G196" s="903"/>
      <c r="H196" s="903"/>
    </row>
    <row r="197" spans="1:8" x14ac:dyDescent="0.3">
      <c r="A197" s="903"/>
      <c r="B197" s="903"/>
      <c r="C197" s="903"/>
      <c r="D197" s="903"/>
      <c r="E197" s="903"/>
      <c r="F197" s="903"/>
      <c r="G197" s="903"/>
      <c r="H197" s="903"/>
    </row>
    <row r="198" spans="1:8" x14ac:dyDescent="0.3">
      <c r="A198" s="903"/>
      <c r="B198" s="903"/>
      <c r="C198" s="903"/>
      <c r="D198" s="903"/>
      <c r="E198" s="903"/>
      <c r="F198" s="903"/>
      <c r="G198" s="903"/>
      <c r="H198" s="903"/>
    </row>
    <row r="199" spans="1:8" x14ac:dyDescent="0.3">
      <c r="A199" s="903"/>
      <c r="B199" s="903"/>
      <c r="C199" s="903"/>
      <c r="D199" s="903"/>
      <c r="E199" s="903"/>
      <c r="F199" s="903"/>
      <c r="G199" s="903"/>
      <c r="H199" s="903"/>
    </row>
    <row r="200" spans="1:8" x14ac:dyDescent="0.3">
      <c r="A200" s="903"/>
      <c r="B200" s="903"/>
      <c r="C200" s="903"/>
      <c r="D200" s="903"/>
      <c r="E200" s="903"/>
      <c r="F200" s="903"/>
      <c r="G200" s="903"/>
      <c r="H200" s="903"/>
    </row>
    <row r="201" spans="1:8" ht="15.6" x14ac:dyDescent="0.3">
      <c r="A201" s="905" t="s">
        <v>914</v>
      </c>
      <c r="B201" s="903"/>
      <c r="C201" s="903"/>
      <c r="D201" s="903"/>
      <c r="E201" s="903"/>
      <c r="F201" s="903"/>
      <c r="G201" s="903"/>
      <c r="H201" s="903"/>
    </row>
    <row r="202" spans="1:8" x14ac:dyDescent="0.3">
      <c r="A202" s="903"/>
      <c r="B202" s="903"/>
      <c r="C202" s="903"/>
      <c r="D202" s="903"/>
      <c r="E202" s="903"/>
      <c r="F202" s="903"/>
      <c r="G202" s="903"/>
      <c r="H202" s="903"/>
    </row>
    <row r="203" spans="1:8" x14ac:dyDescent="0.3">
      <c r="A203" s="904" t="s">
        <v>915</v>
      </c>
      <c r="B203" s="903"/>
      <c r="C203" s="903"/>
      <c r="D203" s="903"/>
      <c r="E203" s="903"/>
      <c r="F203" s="903"/>
      <c r="G203" s="903"/>
      <c r="H203" s="903"/>
    </row>
    <row r="204" spans="1:8" x14ac:dyDescent="0.3">
      <c r="A204" s="904" t="s">
        <v>916</v>
      </c>
      <c r="B204" s="903"/>
      <c r="C204" s="903"/>
      <c r="D204" s="903"/>
      <c r="E204" s="903"/>
      <c r="F204" s="903"/>
      <c r="G204" s="903"/>
      <c r="H204" s="903"/>
    </row>
    <row r="205" spans="1:8" x14ac:dyDescent="0.3">
      <c r="A205" s="904" t="s">
        <v>917</v>
      </c>
      <c r="B205" s="903"/>
      <c r="C205" s="903"/>
      <c r="D205" s="903"/>
      <c r="E205" s="903"/>
      <c r="F205" s="903"/>
      <c r="G205" s="903"/>
      <c r="H205" s="903"/>
    </row>
    <row r="206" spans="1:8" x14ac:dyDescent="0.3">
      <c r="A206" s="904" t="s">
        <v>918</v>
      </c>
      <c r="B206" s="903"/>
      <c r="C206" s="903"/>
      <c r="D206" s="903"/>
      <c r="E206" s="903"/>
      <c r="F206" s="903"/>
      <c r="G206" s="903"/>
      <c r="H206" s="903"/>
    </row>
    <row r="207" spans="1:8" x14ac:dyDescent="0.3">
      <c r="A207" s="904" t="s">
        <v>919</v>
      </c>
      <c r="B207" s="903"/>
      <c r="C207" s="903"/>
      <c r="D207" s="903"/>
      <c r="E207" s="903"/>
      <c r="F207" s="903"/>
      <c r="G207" s="903"/>
      <c r="H207" s="903"/>
    </row>
    <row r="208" spans="1:8" x14ac:dyDescent="0.3">
      <c r="A208" s="903"/>
      <c r="B208" s="903"/>
      <c r="C208" s="903"/>
      <c r="D208" s="903"/>
      <c r="E208" s="903"/>
      <c r="F208" s="903"/>
      <c r="G208" s="903"/>
      <c r="H208" s="903"/>
    </row>
    <row r="209" spans="1:8" x14ac:dyDescent="0.3">
      <c r="A209" s="904" t="s">
        <v>920</v>
      </c>
      <c r="B209" s="903"/>
      <c r="C209" s="903"/>
      <c r="D209" s="903"/>
      <c r="E209" s="903"/>
      <c r="F209" s="903"/>
      <c r="G209" s="903"/>
      <c r="H209" s="903"/>
    </row>
    <row r="210" spans="1:8" x14ac:dyDescent="0.3">
      <c r="A210" s="904" t="s">
        <v>921</v>
      </c>
      <c r="B210" s="903"/>
      <c r="C210" s="903"/>
      <c r="D210" s="903"/>
      <c r="E210" s="903"/>
      <c r="F210" s="903"/>
      <c r="G210" s="903"/>
      <c r="H210" s="903"/>
    </row>
    <row r="211" spans="1:8" x14ac:dyDescent="0.3">
      <c r="A211" s="904" t="s">
        <v>922</v>
      </c>
      <c r="B211" s="903"/>
      <c r="C211" s="903"/>
      <c r="D211" s="903"/>
      <c r="E211" s="903"/>
      <c r="F211" s="903"/>
      <c r="G211" s="903"/>
      <c r="H211" s="903"/>
    </row>
    <row r="212" spans="1:8" x14ac:dyDescent="0.3">
      <c r="A212" s="903"/>
      <c r="B212" s="903"/>
      <c r="C212" s="903"/>
      <c r="D212" s="903"/>
      <c r="E212" s="903"/>
      <c r="F212" s="903"/>
      <c r="G212" s="903"/>
      <c r="H212" s="903"/>
    </row>
    <row r="213" spans="1:8" ht="15.6" x14ac:dyDescent="0.3">
      <c r="A213" s="905" t="s">
        <v>923</v>
      </c>
      <c r="B213" s="903"/>
      <c r="C213" s="903"/>
      <c r="D213" s="903"/>
      <c r="E213" s="903"/>
      <c r="F213" s="903"/>
      <c r="G213" s="903"/>
      <c r="H213" s="903"/>
    </row>
    <row r="214" spans="1:8" x14ac:dyDescent="0.3">
      <c r="A214" s="903"/>
      <c r="B214" s="903"/>
      <c r="C214" s="903"/>
      <c r="D214" s="903"/>
      <c r="E214" s="903"/>
      <c r="F214" s="903"/>
      <c r="G214" s="903"/>
      <c r="H214" s="903"/>
    </row>
    <row r="215" spans="1:8" x14ac:dyDescent="0.3">
      <c r="A215" s="904" t="s">
        <v>924</v>
      </c>
      <c r="B215" s="903"/>
      <c r="C215" s="903"/>
      <c r="D215" s="903"/>
      <c r="E215" s="903"/>
      <c r="F215" s="903"/>
      <c r="G215" s="903"/>
      <c r="H215" s="903"/>
    </row>
    <row r="216" spans="1:8" x14ac:dyDescent="0.3">
      <c r="A216" s="904" t="s">
        <v>925</v>
      </c>
      <c r="B216" s="903"/>
      <c r="C216" s="903"/>
      <c r="D216" s="903"/>
      <c r="E216" s="903"/>
      <c r="F216" s="903"/>
      <c r="G216" s="903"/>
      <c r="H216" s="903"/>
    </row>
    <row r="217" spans="1:8" x14ac:dyDescent="0.3">
      <c r="A217" s="904" t="s">
        <v>926</v>
      </c>
      <c r="B217" s="903"/>
      <c r="C217" s="903"/>
      <c r="D217" s="903"/>
      <c r="E217" s="903"/>
      <c r="F217" s="903"/>
      <c r="G217" s="903"/>
      <c r="H217" s="903"/>
    </row>
    <row r="218" spans="1:8" x14ac:dyDescent="0.3">
      <c r="A218" s="904" t="s">
        <v>927</v>
      </c>
      <c r="B218" s="903"/>
      <c r="C218" s="903"/>
      <c r="D218" s="903"/>
      <c r="E218" s="903"/>
      <c r="F218" s="903"/>
      <c r="G218" s="903"/>
      <c r="H218" s="903"/>
    </row>
    <row r="219" spans="1:8" x14ac:dyDescent="0.3">
      <c r="A219" s="904" t="s">
        <v>928</v>
      </c>
      <c r="B219" s="903"/>
      <c r="C219" s="903"/>
      <c r="D219" s="903"/>
      <c r="E219" s="903"/>
      <c r="F219" s="903"/>
      <c r="G219" s="903"/>
      <c r="H219" s="903"/>
    </row>
    <row r="220" spans="1:8" x14ac:dyDescent="0.3">
      <c r="A220" s="904" t="s">
        <v>929</v>
      </c>
      <c r="B220" s="903"/>
      <c r="C220" s="903"/>
      <c r="D220" s="903"/>
      <c r="E220" s="903"/>
      <c r="F220" s="903"/>
      <c r="G220" s="903"/>
      <c r="H220" s="903"/>
    </row>
    <row r="221" spans="1:8" x14ac:dyDescent="0.3">
      <c r="A221" s="904" t="s">
        <v>930</v>
      </c>
      <c r="B221" s="903"/>
      <c r="C221" s="903"/>
      <c r="D221" s="903"/>
      <c r="E221" s="903"/>
      <c r="F221" s="903"/>
      <c r="G221" s="903"/>
      <c r="H221" s="903"/>
    </row>
    <row r="222" spans="1:8" x14ac:dyDescent="0.3">
      <c r="A222" s="903"/>
      <c r="B222" s="903"/>
      <c r="C222" s="903"/>
      <c r="D222" s="903"/>
      <c r="E222" s="903"/>
      <c r="F222" s="903"/>
      <c r="G222" s="903"/>
      <c r="H222" s="903"/>
    </row>
    <row r="223" spans="1:8" x14ac:dyDescent="0.3">
      <c r="A223" s="904" t="s">
        <v>931</v>
      </c>
      <c r="B223" s="903"/>
      <c r="C223" s="903"/>
      <c r="D223" s="903"/>
      <c r="E223" s="903"/>
      <c r="F223" s="903"/>
      <c r="G223" s="903"/>
      <c r="H223" s="903"/>
    </row>
    <row r="224" spans="1:8" x14ac:dyDescent="0.3">
      <c r="A224" s="904" t="s">
        <v>932</v>
      </c>
      <c r="B224" s="903"/>
      <c r="C224" s="903"/>
      <c r="D224" s="903"/>
      <c r="E224" s="903"/>
      <c r="F224" s="903"/>
      <c r="G224" s="903"/>
      <c r="H224" s="903"/>
    </row>
    <row r="225" spans="1:8" x14ac:dyDescent="0.3">
      <c r="A225" s="904" t="s">
        <v>933</v>
      </c>
      <c r="B225" s="903"/>
      <c r="C225" s="903"/>
      <c r="D225" s="903"/>
      <c r="E225" s="903"/>
      <c r="F225" s="903"/>
      <c r="G225" s="903"/>
      <c r="H225" s="903"/>
    </row>
    <row r="226" spans="1:8" x14ac:dyDescent="0.3">
      <c r="A226" s="903"/>
      <c r="B226" s="903"/>
      <c r="C226" s="903"/>
      <c r="D226" s="903"/>
      <c r="E226" s="903"/>
      <c r="F226" s="903"/>
      <c r="G226" s="903"/>
      <c r="H226" s="903"/>
    </row>
    <row r="227" spans="1:8" x14ac:dyDescent="0.3">
      <c r="A227" s="904" t="s">
        <v>934</v>
      </c>
      <c r="B227" s="903"/>
      <c r="C227" s="903"/>
      <c r="D227" s="903"/>
      <c r="E227" s="903"/>
      <c r="F227" s="903"/>
      <c r="G227" s="903"/>
      <c r="H227" s="903"/>
    </row>
    <row r="228" spans="1:8" x14ac:dyDescent="0.3">
      <c r="A228" s="904" t="s">
        <v>935</v>
      </c>
      <c r="B228" s="903"/>
      <c r="C228" s="903"/>
      <c r="D228" s="903"/>
      <c r="E228" s="903"/>
      <c r="F228" s="903"/>
      <c r="G228" s="903"/>
      <c r="H228" s="903"/>
    </row>
    <row r="229" spans="1:8" x14ac:dyDescent="0.3">
      <c r="A229" s="904" t="s">
        <v>936</v>
      </c>
      <c r="B229" s="903"/>
      <c r="C229" s="903"/>
      <c r="D229" s="903"/>
      <c r="E229" s="903"/>
      <c r="F229" s="903"/>
      <c r="G229" s="903"/>
      <c r="H229" s="903"/>
    </row>
    <row r="230" spans="1:8" x14ac:dyDescent="0.3">
      <c r="A230" s="904" t="s">
        <v>937</v>
      </c>
      <c r="B230" s="903"/>
      <c r="C230" s="903"/>
      <c r="D230" s="903"/>
      <c r="E230" s="903"/>
      <c r="F230" s="903"/>
      <c r="G230" s="903"/>
      <c r="H230" s="903"/>
    </row>
    <row r="231" spans="1:8" x14ac:dyDescent="0.3">
      <c r="A231" s="904" t="s">
        <v>938</v>
      </c>
      <c r="B231" s="903"/>
      <c r="C231" s="903"/>
      <c r="D231" s="903"/>
      <c r="E231" s="903"/>
      <c r="F231" s="903"/>
      <c r="G231" s="903"/>
      <c r="H231" s="903"/>
    </row>
    <row r="232" spans="1:8" x14ac:dyDescent="0.3">
      <c r="A232" s="903"/>
      <c r="B232" s="903"/>
      <c r="C232" s="903"/>
      <c r="D232" s="903"/>
      <c r="E232" s="903"/>
      <c r="F232" s="903"/>
      <c r="G232" s="903"/>
      <c r="H232" s="903"/>
    </row>
    <row r="233" spans="1:8" x14ac:dyDescent="0.3">
      <c r="A233" s="904" t="s">
        <v>939</v>
      </c>
      <c r="B233" s="903"/>
      <c r="C233" s="903"/>
      <c r="D233" s="903"/>
      <c r="E233" s="903"/>
      <c r="F233" s="903"/>
      <c r="G233" s="903"/>
      <c r="H233" s="903"/>
    </row>
    <row r="234" spans="1:8" x14ac:dyDescent="0.3">
      <c r="A234" s="904" t="s">
        <v>940</v>
      </c>
      <c r="B234" s="903"/>
      <c r="C234" s="903"/>
      <c r="D234" s="903"/>
      <c r="E234" s="903"/>
      <c r="F234" s="903"/>
      <c r="G234" s="903"/>
      <c r="H234" s="903"/>
    </row>
    <row r="235" spans="1:8" x14ac:dyDescent="0.3">
      <c r="A235" s="904" t="s">
        <v>941</v>
      </c>
      <c r="B235" s="903"/>
      <c r="C235" s="903"/>
      <c r="D235" s="903"/>
      <c r="E235" s="903"/>
      <c r="F235" s="903"/>
      <c r="G235" s="903"/>
      <c r="H235" s="903"/>
    </row>
    <row r="236" spans="1:8" x14ac:dyDescent="0.3">
      <c r="A236" s="904" t="s">
        <v>942</v>
      </c>
      <c r="B236" s="903"/>
      <c r="C236" s="903"/>
      <c r="D236" s="903"/>
      <c r="E236" s="903"/>
      <c r="F236" s="903"/>
      <c r="G236" s="903"/>
      <c r="H236" s="903"/>
    </row>
    <row r="237" spans="1:8" x14ac:dyDescent="0.3">
      <c r="A237" s="904" t="s">
        <v>943</v>
      </c>
      <c r="B237" s="903"/>
      <c r="C237" s="903"/>
      <c r="D237" s="903"/>
      <c r="E237" s="903"/>
      <c r="F237" s="903"/>
      <c r="G237" s="903"/>
      <c r="H237" s="903"/>
    </row>
    <row r="238" spans="1:8" x14ac:dyDescent="0.3">
      <c r="A238" s="904" t="s">
        <v>944</v>
      </c>
      <c r="B238" s="903"/>
      <c r="C238" s="903"/>
      <c r="D238" s="903"/>
      <c r="E238" s="903"/>
      <c r="F238" s="903"/>
      <c r="G238" s="903"/>
      <c r="H238" s="903"/>
    </row>
    <row r="239" spans="1:8" x14ac:dyDescent="0.3">
      <c r="A239" s="903"/>
      <c r="B239" s="903"/>
      <c r="C239" s="903"/>
      <c r="D239" s="903"/>
      <c r="E239" s="903"/>
      <c r="F239" s="903"/>
      <c r="G239" s="903"/>
      <c r="H239" s="903"/>
    </row>
    <row r="240" spans="1:8" x14ac:dyDescent="0.3">
      <c r="A240" s="904" t="s">
        <v>945</v>
      </c>
      <c r="B240" s="903"/>
      <c r="C240" s="903"/>
      <c r="D240" s="903"/>
      <c r="E240" s="903"/>
      <c r="F240" s="903"/>
      <c r="G240" s="903"/>
      <c r="H240" s="903"/>
    </row>
    <row r="241" spans="1:8" x14ac:dyDescent="0.3">
      <c r="A241" s="904" t="s">
        <v>946</v>
      </c>
      <c r="B241" s="903"/>
      <c r="C241" s="903"/>
      <c r="D241" s="903"/>
      <c r="E241" s="903"/>
      <c r="F241" s="903"/>
      <c r="G241" s="903"/>
      <c r="H241" s="903"/>
    </row>
    <row r="242" spans="1:8" x14ac:dyDescent="0.3">
      <c r="A242" s="904" t="s">
        <v>947</v>
      </c>
      <c r="B242" s="903"/>
      <c r="C242" s="903"/>
      <c r="D242" s="903"/>
      <c r="E242" s="903"/>
      <c r="F242" s="903"/>
      <c r="G242" s="903"/>
      <c r="H242" s="903"/>
    </row>
    <row r="243" spans="1:8" x14ac:dyDescent="0.3">
      <c r="A243" s="904" t="s">
        <v>948</v>
      </c>
      <c r="B243" s="903"/>
      <c r="C243" s="903"/>
      <c r="D243" s="903"/>
      <c r="E243" s="903"/>
      <c r="F243" s="903"/>
      <c r="G243" s="903"/>
      <c r="H243" s="903"/>
    </row>
    <row r="244" spans="1:8" x14ac:dyDescent="0.3">
      <c r="A244" s="904" t="s">
        <v>949</v>
      </c>
      <c r="B244" s="903"/>
      <c r="C244" s="903"/>
      <c r="D244" s="903"/>
      <c r="E244" s="903"/>
      <c r="F244" s="903"/>
      <c r="G244" s="903"/>
      <c r="H244" s="903"/>
    </row>
    <row r="245" spans="1:8" x14ac:dyDescent="0.3">
      <c r="A245" s="904" t="s">
        <v>950</v>
      </c>
      <c r="B245" s="903"/>
      <c r="C245" s="903"/>
      <c r="D245" s="903"/>
      <c r="E245" s="903"/>
      <c r="F245" s="903"/>
      <c r="G245" s="903"/>
      <c r="H245" s="903"/>
    </row>
    <row r="246" spans="1:8" x14ac:dyDescent="0.3">
      <c r="A246" s="904" t="s">
        <v>951</v>
      </c>
      <c r="B246" s="903"/>
      <c r="C246" s="903"/>
      <c r="D246" s="903"/>
      <c r="E246" s="903"/>
      <c r="F246" s="903"/>
      <c r="G246" s="903"/>
      <c r="H246" s="903"/>
    </row>
    <row r="247" spans="1:8" x14ac:dyDescent="0.3">
      <c r="A247" s="904" t="s">
        <v>952</v>
      </c>
      <c r="B247" s="903"/>
      <c r="C247" s="903"/>
      <c r="D247" s="903"/>
      <c r="E247" s="903"/>
      <c r="F247" s="903"/>
      <c r="G247" s="903"/>
      <c r="H247" s="903"/>
    </row>
    <row r="248" spans="1:8" x14ac:dyDescent="0.3">
      <c r="A248" s="904" t="s">
        <v>953</v>
      </c>
      <c r="B248" s="903"/>
      <c r="C248" s="903"/>
      <c r="D248" s="903"/>
      <c r="E248" s="903"/>
      <c r="F248" s="903"/>
      <c r="G248" s="903"/>
      <c r="H248" s="903"/>
    </row>
    <row r="249" spans="1:8" x14ac:dyDescent="0.3">
      <c r="A249" s="904" t="s">
        <v>954</v>
      </c>
      <c r="B249" s="903"/>
      <c r="C249" s="903"/>
      <c r="D249" s="903"/>
      <c r="E249" s="903"/>
      <c r="F249" s="903"/>
      <c r="G249" s="903"/>
      <c r="H249" s="903"/>
    </row>
    <row r="250" spans="1:8" x14ac:dyDescent="0.3">
      <c r="A250" s="904" t="s">
        <v>955</v>
      </c>
      <c r="B250" s="903"/>
      <c r="C250" s="903"/>
      <c r="D250" s="903"/>
      <c r="E250" s="903"/>
      <c r="F250" s="903"/>
      <c r="G250" s="903"/>
      <c r="H250" s="903"/>
    </row>
    <row r="251" spans="1:8" x14ac:dyDescent="0.3">
      <c r="A251" s="904" t="s">
        <v>956</v>
      </c>
      <c r="B251" s="903"/>
      <c r="C251" s="903"/>
      <c r="D251" s="903"/>
      <c r="E251" s="903"/>
      <c r="F251" s="903"/>
      <c r="G251" s="903"/>
      <c r="H251" s="903"/>
    </row>
    <row r="252" spans="1:8" x14ac:dyDescent="0.3">
      <c r="A252" s="904" t="s">
        <v>957</v>
      </c>
      <c r="B252" s="903"/>
      <c r="C252" s="903"/>
      <c r="D252" s="903"/>
      <c r="E252" s="903"/>
      <c r="F252" s="903"/>
      <c r="G252" s="903"/>
      <c r="H252" s="903"/>
    </row>
    <row r="253" spans="1:8" x14ac:dyDescent="0.3">
      <c r="A253" s="904" t="s">
        <v>958</v>
      </c>
      <c r="B253" s="903"/>
      <c r="C253" s="903"/>
      <c r="D253" s="903"/>
      <c r="E253" s="903"/>
      <c r="F253" s="903"/>
      <c r="G253" s="903"/>
      <c r="H253" s="903"/>
    </row>
    <row r="254" spans="1:8" x14ac:dyDescent="0.3">
      <c r="A254" s="903"/>
      <c r="B254" s="903"/>
      <c r="C254" s="903"/>
      <c r="D254" s="903"/>
      <c r="E254" s="903"/>
      <c r="F254" s="903"/>
      <c r="G254" s="903"/>
      <c r="H254" s="903"/>
    </row>
    <row r="255" spans="1:8" x14ac:dyDescent="0.3">
      <c r="A255" s="904" t="s">
        <v>959</v>
      </c>
      <c r="B255" s="903"/>
      <c r="C255" s="903"/>
      <c r="D255" s="903"/>
      <c r="E255" s="903"/>
      <c r="F255" s="903"/>
      <c r="G255" s="903"/>
      <c r="H255" s="903"/>
    </row>
    <row r="256" spans="1:8" x14ac:dyDescent="0.3">
      <c r="A256" s="904" t="s">
        <v>960</v>
      </c>
      <c r="B256" s="903"/>
      <c r="C256" s="903"/>
      <c r="D256" s="903"/>
      <c r="E256" s="903"/>
      <c r="F256" s="903"/>
      <c r="G256" s="903"/>
      <c r="H256" s="903"/>
    </row>
    <row r="257" spans="1:8" x14ac:dyDescent="0.3">
      <c r="A257" s="903"/>
      <c r="B257" s="903"/>
      <c r="C257" s="903"/>
      <c r="D257" s="903"/>
      <c r="E257" s="903"/>
      <c r="F257" s="903"/>
      <c r="G257" s="903"/>
      <c r="H257" s="903"/>
    </row>
    <row r="258" spans="1:8" x14ac:dyDescent="0.3">
      <c r="A258" s="904" t="s">
        <v>961</v>
      </c>
      <c r="B258" s="903"/>
      <c r="C258" s="903"/>
      <c r="D258" s="903"/>
      <c r="E258" s="903"/>
      <c r="F258" s="903"/>
      <c r="G258" s="903"/>
      <c r="H258" s="903"/>
    </row>
    <row r="259" spans="1:8" x14ac:dyDescent="0.3">
      <c r="A259" s="904" t="s">
        <v>962</v>
      </c>
      <c r="B259" s="903"/>
      <c r="C259" s="903"/>
      <c r="D259" s="903"/>
      <c r="E259" s="903"/>
      <c r="F259" s="903"/>
      <c r="G259" s="903"/>
      <c r="H259" s="903"/>
    </row>
    <row r="260" spans="1:8" x14ac:dyDescent="0.3">
      <c r="A260" s="904" t="s">
        <v>963</v>
      </c>
      <c r="B260" s="903"/>
      <c r="C260" s="903"/>
      <c r="D260" s="903"/>
      <c r="E260" s="903"/>
      <c r="F260" s="903"/>
      <c r="G260" s="903"/>
      <c r="H260" s="903"/>
    </row>
    <row r="261" spans="1:8" x14ac:dyDescent="0.3">
      <c r="A261" s="904" t="s">
        <v>964</v>
      </c>
      <c r="B261" s="903"/>
      <c r="C261" s="903"/>
      <c r="D261" s="903"/>
      <c r="E261" s="903"/>
      <c r="F261" s="903"/>
      <c r="G261" s="903"/>
      <c r="H261" s="903"/>
    </row>
    <row r="262" spans="1:8" x14ac:dyDescent="0.3">
      <c r="A262" s="904" t="s">
        <v>965</v>
      </c>
      <c r="B262" s="903"/>
      <c r="C262" s="903"/>
      <c r="D262" s="903"/>
      <c r="E262" s="903"/>
      <c r="F262" s="903"/>
      <c r="G262" s="903"/>
      <c r="H262" s="903"/>
    </row>
    <row r="263" spans="1:8" x14ac:dyDescent="0.3">
      <c r="A263" s="904" t="s">
        <v>966</v>
      </c>
      <c r="B263" s="903"/>
      <c r="C263" s="903"/>
      <c r="D263" s="903"/>
      <c r="E263" s="903"/>
      <c r="F263" s="903"/>
      <c r="G263" s="903"/>
      <c r="H263" s="903"/>
    </row>
    <row r="264" spans="1:8" x14ac:dyDescent="0.3">
      <c r="A264" s="904" t="s">
        <v>967</v>
      </c>
      <c r="B264" s="903"/>
      <c r="C264" s="903"/>
      <c r="D264" s="903"/>
      <c r="E264" s="903"/>
      <c r="F264" s="903"/>
      <c r="G264" s="903"/>
      <c r="H264" s="903"/>
    </row>
    <row r="265" spans="1:8" x14ac:dyDescent="0.3">
      <c r="A265" s="904" t="s">
        <v>968</v>
      </c>
      <c r="B265" s="903"/>
      <c r="C265" s="903"/>
      <c r="D265" s="903"/>
      <c r="E265" s="903"/>
      <c r="F265" s="903"/>
      <c r="G265" s="903"/>
      <c r="H265" s="903"/>
    </row>
    <row r="266" spans="1:8" x14ac:dyDescent="0.3">
      <c r="A266" s="904" t="s">
        <v>969</v>
      </c>
      <c r="B266" s="903"/>
      <c r="C266" s="903"/>
      <c r="D266" s="903"/>
      <c r="E266" s="903"/>
      <c r="F266" s="903"/>
      <c r="G266" s="903"/>
      <c r="H266" s="903"/>
    </row>
    <row r="267" spans="1:8" x14ac:dyDescent="0.3">
      <c r="A267" s="904" t="s">
        <v>970</v>
      </c>
      <c r="B267" s="903"/>
      <c r="C267" s="903"/>
      <c r="D267" s="903"/>
      <c r="E267" s="903"/>
      <c r="F267" s="903"/>
      <c r="G267" s="903"/>
      <c r="H267" s="903"/>
    </row>
    <row r="268" spans="1:8" x14ac:dyDescent="0.3">
      <c r="A268" s="904" t="s">
        <v>971</v>
      </c>
      <c r="B268" s="903"/>
      <c r="C268" s="903"/>
      <c r="D268" s="903"/>
      <c r="E268" s="903"/>
      <c r="F268" s="903"/>
      <c r="G268" s="903"/>
      <c r="H268" s="903"/>
    </row>
    <row r="269" spans="1:8" x14ac:dyDescent="0.3">
      <c r="A269" s="904" t="s">
        <v>972</v>
      </c>
      <c r="B269" s="903"/>
      <c r="C269" s="903"/>
      <c r="D269" s="903"/>
      <c r="E269" s="903"/>
      <c r="F269" s="903"/>
      <c r="G269" s="903"/>
      <c r="H269" s="903"/>
    </row>
    <row r="270" spans="1:8" x14ac:dyDescent="0.3">
      <c r="A270" s="904" t="s">
        <v>973</v>
      </c>
      <c r="B270" s="903"/>
      <c r="C270" s="903"/>
      <c r="D270" s="903"/>
      <c r="E270" s="903"/>
      <c r="F270" s="903"/>
      <c r="G270" s="903"/>
      <c r="H270" s="903"/>
    </row>
    <row r="271" spans="1:8" x14ac:dyDescent="0.3">
      <c r="A271" s="904" t="s">
        <v>974</v>
      </c>
      <c r="B271" s="903"/>
      <c r="C271" s="903"/>
      <c r="D271" s="903"/>
      <c r="E271" s="903"/>
      <c r="F271" s="903"/>
      <c r="G271" s="903"/>
      <c r="H271" s="903"/>
    </row>
    <row r="272" spans="1:8" x14ac:dyDescent="0.3">
      <c r="A272" s="904" t="s">
        <v>975</v>
      </c>
      <c r="B272" s="903"/>
      <c r="C272" s="903"/>
      <c r="D272" s="903"/>
      <c r="E272" s="903"/>
      <c r="F272" s="903"/>
      <c r="G272" s="903"/>
      <c r="H272" s="903"/>
    </row>
    <row r="273" spans="1:8" x14ac:dyDescent="0.3">
      <c r="A273" s="904" t="s">
        <v>976</v>
      </c>
      <c r="B273" s="903"/>
      <c r="C273" s="903"/>
      <c r="D273" s="903"/>
      <c r="E273" s="903"/>
      <c r="F273" s="903"/>
      <c r="G273" s="903"/>
      <c r="H273" s="903"/>
    </row>
    <row r="274" spans="1:8" x14ac:dyDescent="0.3">
      <c r="A274" s="903"/>
      <c r="B274" s="903"/>
      <c r="C274" s="903"/>
      <c r="D274" s="903"/>
      <c r="E274" s="903"/>
      <c r="F274" s="903"/>
      <c r="G274" s="903"/>
      <c r="H274" s="903"/>
    </row>
    <row r="275" spans="1:8" x14ac:dyDescent="0.3">
      <c r="A275" s="904" t="s">
        <v>977</v>
      </c>
      <c r="B275" s="903"/>
      <c r="C275" s="903"/>
      <c r="D275" s="903"/>
      <c r="E275" s="903"/>
      <c r="F275" s="903"/>
      <c r="G275" s="903"/>
      <c r="H275" s="903"/>
    </row>
    <row r="276" spans="1:8" x14ac:dyDescent="0.3">
      <c r="A276" s="904" t="s">
        <v>978</v>
      </c>
      <c r="B276" s="903"/>
      <c r="C276" s="903"/>
      <c r="D276" s="903"/>
      <c r="E276" s="903"/>
      <c r="F276" s="903"/>
      <c r="G276" s="903"/>
      <c r="H276" s="903"/>
    </row>
    <row r="277" spans="1:8" x14ac:dyDescent="0.3">
      <c r="A277" s="904" t="s">
        <v>979</v>
      </c>
      <c r="B277" s="903"/>
      <c r="C277" s="903"/>
      <c r="D277" s="903"/>
      <c r="E277" s="903"/>
      <c r="F277" s="903"/>
      <c r="G277" s="903"/>
      <c r="H277" s="903"/>
    </row>
    <row r="278" spans="1:8" x14ac:dyDescent="0.3">
      <c r="A278" s="904" t="s">
        <v>980</v>
      </c>
      <c r="B278" s="903"/>
      <c r="C278" s="903"/>
      <c r="D278" s="903"/>
      <c r="E278" s="903"/>
      <c r="F278" s="903"/>
      <c r="G278" s="903"/>
      <c r="H278" s="903"/>
    </row>
    <row r="279" spans="1:8" x14ac:dyDescent="0.3">
      <c r="A279" s="904" t="s">
        <v>981</v>
      </c>
      <c r="B279" s="903"/>
      <c r="C279" s="903"/>
      <c r="D279" s="903"/>
      <c r="E279" s="903"/>
      <c r="F279" s="903"/>
      <c r="G279" s="903"/>
      <c r="H279" s="903"/>
    </row>
    <row r="280" spans="1:8" x14ac:dyDescent="0.3">
      <c r="A280" s="904" t="s">
        <v>982</v>
      </c>
      <c r="B280" s="903"/>
      <c r="C280" s="903"/>
      <c r="D280" s="903"/>
      <c r="E280" s="903"/>
      <c r="F280" s="903"/>
      <c r="G280" s="903"/>
      <c r="H280" s="903"/>
    </row>
    <row r="281" spans="1:8" x14ac:dyDescent="0.3">
      <c r="A281" s="904" t="s">
        <v>841</v>
      </c>
      <c r="B281" s="903"/>
      <c r="C281" s="903"/>
      <c r="D281" s="903"/>
      <c r="E281" s="903"/>
      <c r="F281" s="903"/>
      <c r="G281" s="903"/>
      <c r="H281" s="903"/>
    </row>
    <row r="282" spans="1:8" x14ac:dyDescent="0.3">
      <c r="A282" s="903"/>
      <c r="B282" s="903"/>
      <c r="C282" s="903"/>
      <c r="D282" s="903"/>
      <c r="E282" s="903"/>
      <c r="F282" s="903"/>
      <c r="G282" s="903"/>
      <c r="H282" s="903"/>
    </row>
    <row r="283" spans="1:8" x14ac:dyDescent="0.3">
      <c r="A283" s="904" t="s">
        <v>983</v>
      </c>
      <c r="B283" s="903"/>
      <c r="C283" s="903"/>
      <c r="D283" s="903"/>
      <c r="E283" s="903"/>
      <c r="F283" s="903"/>
      <c r="G283" s="903"/>
      <c r="H283" s="903"/>
    </row>
    <row r="284" spans="1:8" x14ac:dyDescent="0.3">
      <c r="A284" s="904" t="s">
        <v>984</v>
      </c>
      <c r="B284" s="903"/>
      <c r="C284" s="903"/>
      <c r="D284" s="903"/>
      <c r="E284" s="903"/>
      <c r="F284" s="903"/>
      <c r="G284" s="903"/>
      <c r="H284" s="903"/>
    </row>
    <row r="285" spans="1:8" x14ac:dyDescent="0.3">
      <c r="A285" s="904" t="s">
        <v>985</v>
      </c>
      <c r="B285" s="903"/>
      <c r="C285" s="903"/>
      <c r="D285" s="903"/>
      <c r="E285" s="903"/>
      <c r="F285" s="903"/>
      <c r="G285" s="903"/>
      <c r="H285" s="903"/>
    </row>
    <row r="286" spans="1:8" x14ac:dyDescent="0.3">
      <c r="A286" s="904" t="s">
        <v>986</v>
      </c>
      <c r="B286" s="903"/>
      <c r="C286" s="903"/>
      <c r="D286" s="903"/>
      <c r="E286" s="903"/>
      <c r="F286" s="903"/>
      <c r="G286" s="903"/>
      <c r="H286" s="903"/>
    </row>
    <row r="287" spans="1:8" x14ac:dyDescent="0.3">
      <c r="A287" s="904" t="s">
        <v>987</v>
      </c>
      <c r="B287" s="903"/>
      <c r="C287" s="903"/>
      <c r="D287" s="903"/>
      <c r="E287" s="903"/>
      <c r="F287" s="903"/>
      <c r="G287" s="903"/>
      <c r="H287" s="903"/>
    </row>
    <row r="288" spans="1:8" x14ac:dyDescent="0.3">
      <c r="A288" s="904" t="s">
        <v>988</v>
      </c>
      <c r="B288" s="903"/>
      <c r="C288" s="903"/>
      <c r="D288" s="903"/>
      <c r="E288" s="903"/>
      <c r="F288" s="903"/>
      <c r="G288" s="903"/>
      <c r="H288" s="903"/>
    </row>
    <row r="289" spans="1:8" x14ac:dyDescent="0.3">
      <c r="A289" s="904" t="s">
        <v>989</v>
      </c>
      <c r="B289" s="903"/>
      <c r="C289" s="903"/>
      <c r="D289" s="903"/>
      <c r="E289" s="903"/>
      <c r="F289" s="903"/>
      <c r="G289" s="903"/>
      <c r="H289" s="903"/>
    </row>
    <row r="290" spans="1:8" x14ac:dyDescent="0.3">
      <c r="A290" s="904" t="s">
        <v>990</v>
      </c>
      <c r="B290" s="903"/>
      <c r="C290" s="903"/>
      <c r="D290" s="903"/>
      <c r="E290" s="903"/>
      <c r="F290" s="903"/>
      <c r="G290" s="903"/>
      <c r="H290" s="903"/>
    </row>
    <row r="291" spans="1:8" x14ac:dyDescent="0.3">
      <c r="A291" s="904" t="s">
        <v>991</v>
      </c>
      <c r="B291" s="903"/>
      <c r="C291" s="903"/>
      <c r="D291" s="903"/>
      <c r="E291" s="903"/>
      <c r="F291" s="903"/>
      <c r="G291" s="903"/>
      <c r="H291" s="903"/>
    </row>
    <row r="292" spans="1:8" x14ac:dyDescent="0.3">
      <c r="A292" s="903"/>
      <c r="B292" s="903"/>
      <c r="C292" s="903"/>
      <c r="D292" s="903"/>
      <c r="E292" s="903"/>
      <c r="F292" s="903"/>
      <c r="G292" s="903"/>
      <c r="H292" s="903"/>
    </row>
    <row r="293" spans="1:8" x14ac:dyDescent="0.3">
      <c r="A293" s="904" t="s">
        <v>992</v>
      </c>
      <c r="B293" s="903"/>
      <c r="C293" s="903"/>
      <c r="D293" s="903"/>
      <c r="E293" s="903"/>
      <c r="F293" s="903"/>
      <c r="G293" s="903"/>
      <c r="H293" s="903"/>
    </row>
    <row r="294" spans="1:8" x14ac:dyDescent="0.3">
      <c r="A294" s="904" t="s">
        <v>993</v>
      </c>
      <c r="B294" s="903"/>
      <c r="C294" s="903"/>
      <c r="D294" s="903"/>
      <c r="E294" s="903"/>
      <c r="F294" s="903"/>
      <c r="G294" s="903"/>
      <c r="H294" s="903"/>
    </row>
    <row r="295" spans="1:8" x14ac:dyDescent="0.3">
      <c r="A295" s="904" t="s">
        <v>994</v>
      </c>
      <c r="B295" s="903"/>
      <c r="C295" s="903"/>
      <c r="D295" s="903"/>
      <c r="E295" s="903"/>
      <c r="F295" s="903"/>
      <c r="G295" s="903"/>
      <c r="H295" s="903"/>
    </row>
    <row r="296" spans="1:8" x14ac:dyDescent="0.3">
      <c r="A296" s="904" t="s">
        <v>995</v>
      </c>
      <c r="B296" s="903"/>
      <c r="C296" s="903"/>
      <c r="D296" s="903"/>
      <c r="E296" s="903"/>
      <c r="F296" s="903"/>
      <c r="G296" s="903"/>
      <c r="H296" s="903"/>
    </row>
    <row r="297" spans="1:8" x14ac:dyDescent="0.3">
      <c r="A297" s="904" t="s">
        <v>996</v>
      </c>
      <c r="B297" s="903"/>
      <c r="C297" s="903"/>
      <c r="D297" s="903"/>
      <c r="E297" s="903"/>
      <c r="F297" s="903"/>
      <c r="G297" s="903"/>
      <c r="H297" s="903"/>
    </row>
    <row r="298" spans="1:8" x14ac:dyDescent="0.3">
      <c r="A298" s="904" t="s">
        <v>997</v>
      </c>
      <c r="B298" s="903"/>
      <c r="C298" s="903"/>
      <c r="D298" s="903"/>
      <c r="E298" s="903"/>
      <c r="F298" s="903"/>
      <c r="G298" s="903"/>
      <c r="H298" s="903"/>
    </row>
    <row r="299" spans="1:8" x14ac:dyDescent="0.3">
      <c r="A299" s="904" t="s">
        <v>998</v>
      </c>
      <c r="B299" s="903"/>
      <c r="C299" s="903"/>
      <c r="D299" s="903"/>
      <c r="E299" s="903"/>
      <c r="F299" s="903"/>
      <c r="G299" s="903"/>
      <c r="H299" s="903"/>
    </row>
    <row r="300" spans="1:8" x14ac:dyDescent="0.3">
      <c r="A300" s="903"/>
      <c r="B300" s="903"/>
      <c r="C300" s="903"/>
      <c r="D300" s="903"/>
      <c r="E300" s="903"/>
      <c r="F300" s="903"/>
      <c r="G300" s="903"/>
      <c r="H300" s="903"/>
    </row>
    <row r="301" spans="1:8" x14ac:dyDescent="0.3">
      <c r="A301" s="904" t="s">
        <v>999</v>
      </c>
      <c r="B301" s="903"/>
      <c r="C301" s="903"/>
      <c r="D301" s="903"/>
      <c r="E301" s="903"/>
      <c r="F301" s="903"/>
      <c r="G301" s="903"/>
      <c r="H301" s="903"/>
    </row>
    <row r="302" spans="1:8" x14ac:dyDescent="0.3">
      <c r="A302" s="904" t="s">
        <v>1000</v>
      </c>
      <c r="B302" s="903"/>
      <c r="C302" s="903"/>
      <c r="D302" s="903"/>
      <c r="E302" s="903"/>
      <c r="F302" s="903"/>
      <c r="G302" s="903"/>
      <c r="H302" s="903"/>
    </row>
    <row r="303" spans="1:8" x14ac:dyDescent="0.3">
      <c r="A303" s="904" t="s">
        <v>1001</v>
      </c>
      <c r="B303" s="903"/>
      <c r="C303" s="903"/>
      <c r="D303" s="903"/>
      <c r="E303" s="903"/>
      <c r="F303" s="903"/>
      <c r="G303" s="903"/>
      <c r="H303" s="903"/>
    </row>
    <row r="304" spans="1:8" x14ac:dyDescent="0.3">
      <c r="A304" s="903"/>
      <c r="B304" s="903"/>
      <c r="C304" s="903"/>
      <c r="D304" s="903"/>
      <c r="E304" s="903"/>
      <c r="F304" s="903"/>
      <c r="G304" s="903"/>
      <c r="H304" s="903"/>
    </row>
    <row r="305" spans="1:8" x14ac:dyDescent="0.3">
      <c r="A305" s="904" t="s">
        <v>1002</v>
      </c>
      <c r="B305" s="903"/>
      <c r="C305" s="903"/>
      <c r="D305" s="903"/>
      <c r="E305" s="903"/>
      <c r="F305" s="903"/>
      <c r="G305" s="903"/>
      <c r="H305" s="903"/>
    </row>
    <row r="306" spans="1:8" x14ac:dyDescent="0.3">
      <c r="A306" s="904" t="s">
        <v>1003</v>
      </c>
      <c r="B306" s="903"/>
      <c r="C306" s="903"/>
      <c r="D306" s="903"/>
      <c r="E306" s="903"/>
      <c r="F306" s="903"/>
      <c r="G306" s="903"/>
      <c r="H306" s="903"/>
    </row>
    <row r="307" spans="1:8" x14ac:dyDescent="0.3">
      <c r="A307" s="903"/>
      <c r="B307" s="903"/>
      <c r="C307" s="903"/>
      <c r="D307" s="903"/>
      <c r="E307" s="903"/>
      <c r="F307" s="903"/>
      <c r="G307" s="903"/>
      <c r="H307" s="903"/>
    </row>
    <row r="308" spans="1:8" x14ac:dyDescent="0.3">
      <c r="A308" s="904" t="s">
        <v>1004</v>
      </c>
      <c r="B308" s="903"/>
      <c r="C308" s="903"/>
      <c r="D308" s="903"/>
      <c r="E308" s="903"/>
      <c r="F308" s="903"/>
      <c r="G308" s="903"/>
      <c r="H308" s="903"/>
    </row>
    <row r="309" spans="1:8" x14ac:dyDescent="0.3">
      <c r="A309" s="904" t="s">
        <v>1005</v>
      </c>
      <c r="B309" s="903"/>
      <c r="C309" s="903"/>
      <c r="D309" s="903"/>
      <c r="E309" s="903"/>
      <c r="F309" s="903"/>
      <c r="G309" s="903"/>
      <c r="H309" s="903"/>
    </row>
    <row r="310" spans="1:8" x14ac:dyDescent="0.3">
      <c r="A310" s="904" t="s">
        <v>1006</v>
      </c>
      <c r="B310" s="903"/>
      <c r="C310" s="903"/>
      <c r="D310" s="903"/>
      <c r="E310" s="903"/>
      <c r="F310" s="903"/>
      <c r="G310" s="903"/>
      <c r="H310" s="903"/>
    </row>
    <row r="311" spans="1:8" x14ac:dyDescent="0.3">
      <c r="A311" s="904" t="s">
        <v>1007</v>
      </c>
      <c r="B311" s="903"/>
      <c r="C311" s="903"/>
      <c r="D311" s="903"/>
      <c r="E311" s="903"/>
      <c r="F311" s="903"/>
      <c r="G311" s="903"/>
      <c r="H311" s="903"/>
    </row>
    <row r="312" spans="1:8" x14ac:dyDescent="0.3">
      <c r="A312" s="904" t="s">
        <v>1008</v>
      </c>
      <c r="B312" s="903"/>
      <c r="C312" s="903"/>
      <c r="D312" s="903"/>
      <c r="E312" s="903"/>
      <c r="F312" s="903"/>
      <c r="G312" s="903"/>
      <c r="H312" s="903"/>
    </row>
    <row r="313" spans="1:8" x14ac:dyDescent="0.3">
      <c r="A313" s="904" t="s">
        <v>1009</v>
      </c>
      <c r="B313" s="903"/>
      <c r="C313" s="903"/>
      <c r="D313" s="903"/>
      <c r="E313" s="903"/>
      <c r="F313" s="903"/>
      <c r="G313" s="903"/>
      <c r="H313" s="903"/>
    </row>
    <row r="314" spans="1:8" x14ac:dyDescent="0.3">
      <c r="A314" s="904" t="s">
        <v>1010</v>
      </c>
      <c r="B314" s="903"/>
      <c r="C314" s="903"/>
      <c r="D314" s="903"/>
      <c r="E314" s="903"/>
      <c r="F314" s="903"/>
      <c r="G314" s="903"/>
      <c r="H314" s="903"/>
    </row>
    <row r="315" spans="1:8" x14ac:dyDescent="0.3">
      <c r="A315" s="904" t="s">
        <v>1011</v>
      </c>
      <c r="B315" s="903"/>
      <c r="C315" s="903"/>
      <c r="D315" s="903"/>
      <c r="E315" s="903"/>
      <c r="F315" s="903"/>
      <c r="G315" s="903"/>
      <c r="H315" s="903"/>
    </row>
    <row r="316" spans="1:8" x14ac:dyDescent="0.3">
      <c r="A316" s="904" t="s">
        <v>1012</v>
      </c>
      <c r="B316" s="903"/>
      <c r="C316" s="903"/>
      <c r="D316" s="903"/>
      <c r="E316" s="903"/>
      <c r="F316" s="903"/>
      <c r="G316" s="903"/>
      <c r="H316" s="903"/>
    </row>
    <row r="317" spans="1:8" x14ac:dyDescent="0.3">
      <c r="A317" s="904" t="s">
        <v>1013</v>
      </c>
      <c r="B317" s="903"/>
      <c r="C317" s="903"/>
      <c r="D317" s="903"/>
      <c r="E317" s="903"/>
      <c r="F317" s="903"/>
      <c r="G317" s="903"/>
      <c r="H317" s="903"/>
    </row>
    <row r="318" spans="1:8" x14ac:dyDescent="0.3">
      <c r="A318" s="904" t="s">
        <v>1014</v>
      </c>
      <c r="B318" s="903"/>
      <c r="C318" s="903"/>
      <c r="D318" s="903"/>
      <c r="E318" s="903"/>
      <c r="F318" s="903"/>
      <c r="G318" s="903"/>
      <c r="H318" s="903"/>
    </row>
    <row r="319" spans="1:8" x14ac:dyDescent="0.3">
      <c r="A319" s="904" t="s">
        <v>1015</v>
      </c>
      <c r="B319" s="903"/>
      <c r="C319" s="903"/>
      <c r="D319" s="903"/>
      <c r="E319" s="903"/>
      <c r="F319" s="903"/>
      <c r="G319" s="903"/>
      <c r="H319" s="903"/>
    </row>
    <row r="320" spans="1:8" x14ac:dyDescent="0.3">
      <c r="A320" s="904" t="s">
        <v>1016</v>
      </c>
      <c r="B320" s="903"/>
      <c r="C320" s="903"/>
      <c r="D320" s="903"/>
      <c r="E320" s="903"/>
      <c r="F320" s="903"/>
      <c r="G320" s="903"/>
      <c r="H320" s="903"/>
    </row>
    <row r="321" spans="1:8" x14ac:dyDescent="0.3">
      <c r="A321" s="903"/>
      <c r="B321" s="903"/>
      <c r="C321" s="903"/>
      <c r="D321" s="903"/>
      <c r="E321" s="903"/>
      <c r="F321" s="903"/>
      <c r="G321" s="903"/>
      <c r="H321" s="903"/>
    </row>
    <row r="322" spans="1:8" x14ac:dyDescent="0.3">
      <c r="A322" s="904" t="s">
        <v>1017</v>
      </c>
      <c r="B322" s="903"/>
      <c r="C322" s="903"/>
      <c r="D322" s="903"/>
      <c r="E322" s="903"/>
      <c r="F322" s="903"/>
      <c r="G322" s="903"/>
      <c r="H322" s="903"/>
    </row>
    <row r="323" spans="1:8" x14ac:dyDescent="0.3">
      <c r="A323" s="904" t="s">
        <v>1018</v>
      </c>
      <c r="B323" s="903"/>
      <c r="C323" s="903"/>
      <c r="D323" s="903"/>
      <c r="E323" s="903"/>
      <c r="F323" s="903"/>
      <c r="G323" s="903"/>
      <c r="H323" s="903"/>
    </row>
    <row r="324" spans="1:8" x14ac:dyDescent="0.3">
      <c r="A324" s="904" t="s">
        <v>1019</v>
      </c>
      <c r="B324" s="903"/>
      <c r="C324" s="903"/>
      <c r="D324" s="903"/>
      <c r="E324" s="903"/>
      <c r="F324" s="903"/>
      <c r="G324" s="903"/>
      <c r="H324" s="903"/>
    </row>
    <row r="325" spans="1:8" x14ac:dyDescent="0.3">
      <c r="A325" s="904" t="s">
        <v>1020</v>
      </c>
      <c r="B325" s="903"/>
      <c r="C325" s="903"/>
      <c r="D325" s="903"/>
      <c r="E325" s="903"/>
      <c r="F325" s="903"/>
      <c r="G325" s="903"/>
      <c r="H325" s="903"/>
    </row>
    <row r="326" spans="1:8" x14ac:dyDescent="0.3">
      <c r="A326" s="904" t="s">
        <v>1021</v>
      </c>
      <c r="B326" s="903"/>
      <c r="C326" s="903"/>
      <c r="D326" s="903"/>
      <c r="E326" s="903"/>
      <c r="F326" s="903"/>
      <c r="G326" s="903"/>
      <c r="H326" s="903"/>
    </row>
    <row r="327" spans="1:8" x14ac:dyDescent="0.3">
      <c r="A327" s="904" t="s">
        <v>1022</v>
      </c>
      <c r="B327" s="903"/>
      <c r="C327" s="903"/>
      <c r="D327" s="903"/>
      <c r="E327" s="903"/>
      <c r="F327" s="903"/>
      <c r="G327" s="903"/>
      <c r="H327" s="903"/>
    </row>
    <row r="328" spans="1:8" x14ac:dyDescent="0.3">
      <c r="A328" s="904" t="s">
        <v>1023</v>
      </c>
      <c r="B328" s="903"/>
      <c r="C328" s="903"/>
      <c r="D328" s="903"/>
      <c r="E328" s="903"/>
      <c r="F328" s="903"/>
      <c r="G328" s="903"/>
      <c r="H328" s="903"/>
    </row>
    <row r="329" spans="1:8" x14ac:dyDescent="0.3">
      <c r="A329" s="904" t="s">
        <v>1024</v>
      </c>
      <c r="B329" s="903"/>
      <c r="C329" s="903"/>
      <c r="D329" s="903"/>
      <c r="E329" s="903"/>
      <c r="F329" s="903"/>
      <c r="G329" s="903"/>
      <c r="H329" s="903"/>
    </row>
    <row r="330" spans="1:8" x14ac:dyDescent="0.3">
      <c r="A330" s="903"/>
      <c r="B330" s="903"/>
      <c r="C330" s="903"/>
      <c r="D330" s="903"/>
      <c r="E330" s="903"/>
      <c r="F330" s="903"/>
      <c r="G330" s="903"/>
      <c r="H330" s="903"/>
    </row>
    <row r="331" spans="1:8" x14ac:dyDescent="0.3">
      <c r="A331" s="904" t="s">
        <v>1025</v>
      </c>
      <c r="B331" s="903"/>
      <c r="C331" s="903"/>
      <c r="D331" s="903"/>
      <c r="E331" s="903"/>
      <c r="F331" s="903"/>
      <c r="G331" s="903"/>
      <c r="H331" s="903"/>
    </row>
    <row r="332" spans="1:8" x14ac:dyDescent="0.3">
      <c r="A332" s="904" t="s">
        <v>1026</v>
      </c>
      <c r="B332" s="903"/>
      <c r="C332" s="903"/>
      <c r="D332" s="903"/>
      <c r="E332" s="903"/>
      <c r="F332" s="903"/>
      <c r="G332" s="903"/>
      <c r="H332" s="903"/>
    </row>
    <row r="333" spans="1:8" x14ac:dyDescent="0.3">
      <c r="A333" s="904" t="s">
        <v>1027</v>
      </c>
      <c r="B333" s="903"/>
      <c r="C333" s="903"/>
      <c r="D333" s="903"/>
      <c r="E333" s="903"/>
      <c r="F333" s="903"/>
      <c r="G333" s="903"/>
      <c r="H333" s="903"/>
    </row>
    <row r="334" spans="1:8" x14ac:dyDescent="0.3">
      <c r="A334" s="904" t="s">
        <v>1028</v>
      </c>
      <c r="B334" s="903"/>
      <c r="C334" s="903"/>
      <c r="D334" s="903"/>
      <c r="E334" s="903"/>
      <c r="F334" s="903"/>
      <c r="G334" s="903"/>
      <c r="H334" s="903"/>
    </row>
    <row r="335" spans="1:8" x14ac:dyDescent="0.3">
      <c r="A335" s="904" t="s">
        <v>1029</v>
      </c>
      <c r="B335" s="903"/>
      <c r="C335" s="903"/>
      <c r="D335" s="903"/>
      <c r="E335" s="903"/>
      <c r="F335" s="903"/>
      <c r="G335" s="903"/>
      <c r="H335" s="903"/>
    </row>
    <row r="336" spans="1:8" x14ac:dyDescent="0.3">
      <c r="A336" s="904" t="s">
        <v>1030</v>
      </c>
      <c r="B336" s="903"/>
      <c r="C336" s="903"/>
      <c r="D336" s="903"/>
      <c r="E336" s="903"/>
      <c r="F336" s="903"/>
      <c r="G336" s="903"/>
      <c r="H336" s="903"/>
    </row>
    <row r="337" spans="1:8" x14ac:dyDescent="0.3">
      <c r="A337" s="904" t="s">
        <v>1031</v>
      </c>
      <c r="B337" s="903"/>
      <c r="C337" s="903"/>
      <c r="D337" s="903"/>
      <c r="E337" s="903"/>
      <c r="F337" s="903"/>
      <c r="G337" s="903"/>
      <c r="H337" s="903"/>
    </row>
    <row r="338" spans="1:8" x14ac:dyDescent="0.3">
      <c r="A338" s="904" t="s">
        <v>1032</v>
      </c>
      <c r="B338" s="903"/>
      <c r="C338" s="903"/>
      <c r="D338" s="903"/>
      <c r="E338" s="903"/>
      <c r="F338" s="903"/>
      <c r="G338" s="903"/>
      <c r="H338" s="903"/>
    </row>
    <row r="339" spans="1:8" x14ac:dyDescent="0.3">
      <c r="A339" s="904" t="s">
        <v>1033</v>
      </c>
      <c r="B339" s="903"/>
      <c r="C339" s="903"/>
      <c r="D339" s="903"/>
      <c r="E339" s="903"/>
      <c r="F339" s="903"/>
      <c r="G339" s="903"/>
      <c r="H339" s="903"/>
    </row>
    <row r="340" spans="1:8" x14ac:dyDescent="0.3">
      <c r="A340" s="904" t="s">
        <v>1034</v>
      </c>
      <c r="B340" s="903"/>
      <c r="C340" s="903"/>
      <c r="D340" s="903"/>
      <c r="E340" s="903"/>
      <c r="F340" s="903"/>
      <c r="G340" s="903"/>
      <c r="H340" s="903"/>
    </row>
    <row r="341" spans="1:8" x14ac:dyDescent="0.3">
      <c r="A341" s="904" t="s">
        <v>1035</v>
      </c>
      <c r="B341" s="903"/>
      <c r="C341" s="903"/>
      <c r="D341" s="903"/>
      <c r="E341" s="903"/>
      <c r="F341" s="903"/>
      <c r="G341" s="903"/>
      <c r="H341" s="903"/>
    </row>
    <row r="342" spans="1:8" x14ac:dyDescent="0.3">
      <c r="A342" s="904" t="s">
        <v>1036</v>
      </c>
      <c r="B342" s="903"/>
      <c r="C342" s="903"/>
      <c r="D342" s="903"/>
      <c r="E342" s="903"/>
      <c r="F342" s="903"/>
      <c r="G342" s="903"/>
      <c r="H342" s="903"/>
    </row>
    <row r="343" spans="1:8" x14ac:dyDescent="0.3">
      <c r="A343" s="904" t="s">
        <v>1037</v>
      </c>
      <c r="B343" s="903"/>
      <c r="C343" s="903"/>
      <c r="D343" s="903"/>
      <c r="E343" s="903"/>
      <c r="F343" s="903"/>
      <c r="G343" s="903"/>
      <c r="H343" s="903"/>
    </row>
    <row r="344" spans="1:8" x14ac:dyDescent="0.3">
      <c r="A344" s="904" t="s">
        <v>1038</v>
      </c>
      <c r="B344" s="903"/>
      <c r="C344" s="903"/>
      <c r="D344" s="903"/>
      <c r="E344" s="903"/>
      <c r="F344" s="903"/>
      <c r="G344" s="903"/>
      <c r="H344" s="903"/>
    </row>
    <row r="345" spans="1:8" x14ac:dyDescent="0.3">
      <c r="A345" s="904" t="s">
        <v>1039</v>
      </c>
      <c r="B345" s="903"/>
      <c r="C345" s="903"/>
      <c r="D345" s="903"/>
      <c r="E345" s="903"/>
      <c r="F345" s="903"/>
      <c r="G345" s="903"/>
      <c r="H345" s="903"/>
    </row>
    <row r="346" spans="1:8" x14ac:dyDescent="0.3">
      <c r="A346" s="904" t="s">
        <v>1040</v>
      </c>
      <c r="B346" s="903"/>
      <c r="C346" s="903"/>
      <c r="D346" s="903"/>
      <c r="E346" s="903"/>
      <c r="F346" s="903"/>
      <c r="G346" s="903"/>
      <c r="H346" s="903"/>
    </row>
    <row r="347" spans="1:8" x14ac:dyDescent="0.3">
      <c r="A347" s="904" t="s">
        <v>1041</v>
      </c>
      <c r="B347" s="903"/>
      <c r="C347" s="903"/>
      <c r="D347" s="903"/>
      <c r="E347" s="903"/>
      <c r="F347" s="903"/>
      <c r="G347" s="903"/>
      <c r="H347" s="903"/>
    </row>
    <row r="348" spans="1:8" x14ac:dyDescent="0.3">
      <c r="A348" s="904" t="s">
        <v>1042</v>
      </c>
      <c r="B348" s="903"/>
      <c r="C348" s="903"/>
      <c r="D348" s="903"/>
      <c r="E348" s="903"/>
      <c r="F348" s="903"/>
      <c r="G348" s="903"/>
      <c r="H348" s="903"/>
    </row>
    <row r="349" spans="1:8" x14ac:dyDescent="0.3">
      <c r="A349" s="904" t="s">
        <v>1043</v>
      </c>
      <c r="B349" s="903"/>
      <c r="C349" s="903"/>
      <c r="D349" s="903"/>
      <c r="E349" s="903"/>
      <c r="F349" s="903"/>
      <c r="G349" s="903"/>
      <c r="H349" s="903"/>
    </row>
    <row r="350" spans="1:8" x14ac:dyDescent="0.3">
      <c r="A350" s="904" t="s">
        <v>1044</v>
      </c>
      <c r="B350" s="903"/>
      <c r="C350" s="903"/>
      <c r="D350" s="903"/>
      <c r="E350" s="903"/>
      <c r="F350" s="903"/>
      <c r="G350" s="903"/>
      <c r="H350" s="903"/>
    </row>
    <row r="351" spans="1:8" x14ac:dyDescent="0.3">
      <c r="A351" s="904" t="s">
        <v>1045</v>
      </c>
      <c r="B351" s="903"/>
      <c r="C351" s="903"/>
      <c r="D351" s="903"/>
      <c r="E351" s="903"/>
      <c r="F351" s="903"/>
      <c r="G351" s="903"/>
      <c r="H351" s="903"/>
    </row>
    <row r="352" spans="1:8" x14ac:dyDescent="0.3">
      <c r="A352" s="904" t="s">
        <v>1046</v>
      </c>
      <c r="B352" s="903"/>
      <c r="C352" s="903"/>
      <c r="D352" s="903"/>
      <c r="E352" s="903"/>
      <c r="F352" s="903"/>
      <c r="G352" s="903"/>
      <c r="H352" s="903"/>
    </row>
    <row r="353" spans="1:8" x14ac:dyDescent="0.3">
      <c r="A353" s="904" t="s">
        <v>1047</v>
      </c>
      <c r="B353" s="903"/>
      <c r="C353" s="903"/>
      <c r="D353" s="903"/>
      <c r="E353" s="903"/>
      <c r="F353" s="903"/>
      <c r="G353" s="903"/>
      <c r="H353" s="903"/>
    </row>
    <row r="354" spans="1:8" x14ac:dyDescent="0.3">
      <c r="A354" s="904" t="s">
        <v>1048</v>
      </c>
      <c r="B354" s="903"/>
      <c r="C354" s="903"/>
      <c r="D354" s="903"/>
      <c r="E354" s="903"/>
      <c r="F354" s="903"/>
      <c r="G354" s="903"/>
      <c r="H354" s="903"/>
    </row>
    <row r="355" spans="1:8" x14ac:dyDescent="0.3">
      <c r="A355" s="904" t="s">
        <v>1049</v>
      </c>
      <c r="B355" s="903"/>
      <c r="C355" s="903"/>
      <c r="D355" s="903"/>
      <c r="E355" s="903"/>
      <c r="F355" s="903"/>
      <c r="G355" s="903"/>
      <c r="H355" s="903"/>
    </row>
    <row r="356" spans="1:8" x14ac:dyDescent="0.3">
      <c r="A356" s="904" t="s">
        <v>1050</v>
      </c>
      <c r="B356" s="903"/>
      <c r="C356" s="903"/>
      <c r="D356" s="903"/>
      <c r="E356" s="903"/>
      <c r="F356" s="903"/>
      <c r="G356" s="903"/>
      <c r="H356" s="903"/>
    </row>
    <row r="357" spans="1:8" x14ac:dyDescent="0.3">
      <c r="A357" s="904" t="s">
        <v>1051</v>
      </c>
      <c r="B357" s="903"/>
      <c r="C357" s="903"/>
      <c r="D357" s="903"/>
      <c r="E357" s="903"/>
      <c r="F357" s="903"/>
      <c r="G357" s="903"/>
      <c r="H357" s="903"/>
    </row>
    <row r="358" spans="1:8" x14ac:dyDescent="0.3">
      <c r="A358" s="904" t="s">
        <v>1052</v>
      </c>
      <c r="B358" s="903"/>
      <c r="C358" s="903"/>
      <c r="D358" s="903"/>
      <c r="E358" s="903"/>
      <c r="F358" s="903"/>
      <c r="G358" s="903"/>
      <c r="H358" s="903"/>
    </row>
    <row r="359" spans="1:8" x14ac:dyDescent="0.3">
      <c r="A359" s="904" t="s">
        <v>1053</v>
      </c>
      <c r="B359" s="903"/>
      <c r="C359" s="903"/>
      <c r="D359" s="903"/>
      <c r="E359" s="903"/>
      <c r="F359" s="903"/>
      <c r="G359" s="903"/>
      <c r="H359" s="903"/>
    </row>
    <row r="360" spans="1:8" x14ac:dyDescent="0.3">
      <c r="A360" s="904" t="s">
        <v>1054</v>
      </c>
      <c r="B360" s="903"/>
      <c r="C360" s="903"/>
      <c r="D360" s="903"/>
      <c r="E360" s="903"/>
      <c r="F360" s="903"/>
      <c r="G360" s="903"/>
      <c r="H360" s="903"/>
    </row>
    <row r="361" spans="1:8" x14ac:dyDescent="0.3">
      <c r="A361" s="904" t="s">
        <v>1055</v>
      </c>
      <c r="B361" s="903"/>
      <c r="C361" s="903"/>
      <c r="D361" s="903"/>
      <c r="E361" s="903"/>
      <c r="F361" s="903"/>
      <c r="G361" s="903"/>
      <c r="H361" s="903"/>
    </row>
    <row r="362" spans="1:8" x14ac:dyDescent="0.3">
      <c r="A362" s="904" t="s">
        <v>1056</v>
      </c>
      <c r="B362" s="903"/>
      <c r="C362" s="903"/>
      <c r="D362" s="903"/>
      <c r="E362" s="903"/>
      <c r="F362" s="903"/>
      <c r="G362" s="903"/>
      <c r="H362" s="903"/>
    </row>
    <row r="363" spans="1:8" x14ac:dyDescent="0.3">
      <c r="A363" s="904" t="s">
        <v>1057</v>
      </c>
      <c r="B363" s="903"/>
      <c r="C363" s="903"/>
      <c r="D363" s="903"/>
      <c r="E363" s="903"/>
      <c r="F363" s="903"/>
      <c r="G363" s="903"/>
      <c r="H363" s="903"/>
    </row>
    <row r="364" spans="1:8" x14ac:dyDescent="0.3">
      <c r="A364" s="904" t="s">
        <v>1058</v>
      </c>
      <c r="B364" s="903"/>
      <c r="C364" s="903"/>
      <c r="D364" s="903"/>
      <c r="E364" s="903"/>
      <c r="F364" s="903"/>
      <c r="G364" s="903"/>
      <c r="H364" s="903"/>
    </row>
    <row r="365" spans="1:8" x14ac:dyDescent="0.3">
      <c r="A365" s="904" t="s">
        <v>1059</v>
      </c>
      <c r="B365" s="903"/>
      <c r="C365" s="903"/>
      <c r="D365" s="903"/>
      <c r="E365" s="903"/>
      <c r="F365" s="903"/>
      <c r="G365" s="903"/>
      <c r="H365" s="903"/>
    </row>
    <row r="366" spans="1:8" x14ac:dyDescent="0.3">
      <c r="A366" s="904" t="s">
        <v>1060</v>
      </c>
      <c r="B366" s="903"/>
      <c r="C366" s="903"/>
      <c r="D366" s="903"/>
      <c r="E366" s="903"/>
      <c r="F366" s="903"/>
      <c r="G366" s="903"/>
      <c r="H366" s="903"/>
    </row>
    <row r="367" spans="1:8" x14ac:dyDescent="0.3">
      <c r="A367" s="904" t="s">
        <v>1061</v>
      </c>
      <c r="B367" s="903"/>
      <c r="C367" s="903"/>
      <c r="D367" s="903"/>
      <c r="E367" s="903"/>
      <c r="F367" s="903"/>
      <c r="G367" s="903"/>
      <c r="H367" s="903"/>
    </row>
    <row r="368" spans="1:8" x14ac:dyDescent="0.3">
      <c r="A368" s="904" t="s">
        <v>1062</v>
      </c>
      <c r="B368" s="903"/>
      <c r="C368" s="903"/>
      <c r="D368" s="903"/>
      <c r="E368" s="903"/>
      <c r="F368" s="903"/>
      <c r="G368" s="903"/>
      <c r="H368" s="903"/>
    </row>
    <row r="369" spans="1:8" x14ac:dyDescent="0.3">
      <c r="A369" s="904" t="s">
        <v>1063</v>
      </c>
      <c r="B369" s="903"/>
      <c r="C369" s="903"/>
      <c r="D369" s="903"/>
      <c r="E369" s="903"/>
      <c r="F369" s="903"/>
      <c r="G369" s="903"/>
      <c r="H369" s="903"/>
    </row>
    <row r="370" spans="1:8" x14ac:dyDescent="0.3">
      <c r="A370" s="904" t="s">
        <v>1064</v>
      </c>
      <c r="B370" s="903"/>
      <c r="C370" s="903"/>
      <c r="D370" s="903"/>
      <c r="E370" s="903"/>
      <c r="F370" s="903"/>
      <c r="G370" s="903"/>
      <c r="H370" s="903"/>
    </row>
    <row r="371" spans="1:8" x14ac:dyDescent="0.3">
      <c r="A371" s="904" t="s">
        <v>1065</v>
      </c>
      <c r="B371" s="903"/>
      <c r="C371" s="903"/>
      <c r="D371" s="903"/>
      <c r="E371" s="903"/>
      <c r="F371" s="903"/>
      <c r="G371" s="903"/>
      <c r="H371" s="903"/>
    </row>
    <row r="372" spans="1:8" x14ac:dyDescent="0.3">
      <c r="A372" s="904" t="s">
        <v>1066</v>
      </c>
      <c r="B372" s="903"/>
      <c r="C372" s="903"/>
      <c r="D372" s="903"/>
      <c r="E372" s="903"/>
      <c r="F372" s="903"/>
      <c r="G372" s="903"/>
      <c r="H372" s="903"/>
    </row>
    <row r="373" spans="1:8" x14ac:dyDescent="0.3">
      <c r="A373" s="904" t="s">
        <v>1067</v>
      </c>
      <c r="B373" s="903"/>
      <c r="C373" s="903"/>
      <c r="D373" s="903"/>
      <c r="E373" s="903"/>
      <c r="F373" s="903"/>
      <c r="G373" s="903"/>
      <c r="H373" s="903"/>
    </row>
    <row r="374" spans="1:8" x14ac:dyDescent="0.3">
      <c r="A374" s="904" t="s">
        <v>1068</v>
      </c>
      <c r="B374" s="903"/>
      <c r="C374" s="903"/>
      <c r="D374" s="903"/>
      <c r="E374" s="903"/>
      <c r="F374" s="903"/>
      <c r="G374" s="903"/>
      <c r="H374" s="903"/>
    </row>
    <row r="375" spans="1:8" x14ac:dyDescent="0.3">
      <c r="A375" s="904" t="s">
        <v>1069</v>
      </c>
      <c r="B375" s="903"/>
      <c r="C375" s="903"/>
      <c r="D375" s="903"/>
      <c r="E375" s="903"/>
      <c r="F375" s="903"/>
      <c r="G375" s="903"/>
      <c r="H375" s="903"/>
    </row>
    <row r="376" spans="1:8" x14ac:dyDescent="0.3">
      <c r="A376" s="904" t="s">
        <v>1070</v>
      </c>
      <c r="B376" s="903"/>
      <c r="C376" s="903"/>
      <c r="D376" s="903"/>
      <c r="E376" s="903"/>
      <c r="F376" s="903"/>
      <c r="G376" s="903"/>
      <c r="H376" s="903"/>
    </row>
    <row r="377" spans="1:8" x14ac:dyDescent="0.3">
      <c r="A377" s="903"/>
      <c r="B377" s="903"/>
      <c r="C377" s="903"/>
      <c r="D377" s="903"/>
      <c r="E377" s="903"/>
      <c r="F377" s="903"/>
      <c r="G377" s="903"/>
      <c r="H377" s="903"/>
    </row>
    <row r="378" spans="1:8" x14ac:dyDescent="0.3">
      <c r="A378" s="904" t="s">
        <v>1071</v>
      </c>
      <c r="B378" s="903"/>
      <c r="C378" s="903"/>
      <c r="D378" s="903"/>
      <c r="E378" s="903"/>
      <c r="F378" s="903"/>
      <c r="G378" s="903"/>
      <c r="H378" s="903"/>
    </row>
    <row r="379" spans="1:8" x14ac:dyDescent="0.3">
      <c r="A379" s="904" t="s">
        <v>1072</v>
      </c>
      <c r="B379" s="903"/>
      <c r="C379" s="903"/>
      <c r="D379" s="903"/>
      <c r="E379" s="903"/>
      <c r="F379" s="903"/>
      <c r="G379" s="903"/>
      <c r="H379" s="903"/>
    </row>
    <row r="380" spans="1:8" x14ac:dyDescent="0.3">
      <c r="A380" s="904" t="s">
        <v>1073</v>
      </c>
      <c r="B380" s="903"/>
      <c r="C380" s="903"/>
      <c r="D380" s="903"/>
      <c r="E380" s="903"/>
      <c r="F380" s="903"/>
      <c r="G380" s="903"/>
      <c r="H380" s="903"/>
    </row>
    <row r="381" spans="1:8" x14ac:dyDescent="0.3">
      <c r="A381" s="904" t="s">
        <v>1074</v>
      </c>
      <c r="B381" s="903"/>
      <c r="C381" s="903"/>
      <c r="D381" s="903"/>
      <c r="E381" s="903"/>
      <c r="F381" s="903"/>
      <c r="G381" s="903"/>
      <c r="H381" s="903"/>
    </row>
    <row r="382" spans="1:8" x14ac:dyDescent="0.3">
      <c r="A382" s="904" t="s">
        <v>1075</v>
      </c>
      <c r="B382" s="903"/>
      <c r="C382" s="903"/>
      <c r="D382" s="903"/>
      <c r="E382" s="903"/>
      <c r="F382" s="903"/>
      <c r="G382" s="903"/>
      <c r="H382" s="903"/>
    </row>
    <row r="383" spans="1:8" x14ac:dyDescent="0.3">
      <c r="A383" s="904" t="s">
        <v>1076</v>
      </c>
      <c r="B383" s="903"/>
      <c r="C383" s="903"/>
      <c r="D383" s="903"/>
      <c r="E383" s="903"/>
      <c r="F383" s="903"/>
      <c r="G383" s="903"/>
      <c r="H383" s="903"/>
    </row>
    <row r="384" spans="1:8" x14ac:dyDescent="0.3">
      <c r="A384" s="904" t="s">
        <v>1077</v>
      </c>
      <c r="B384" s="903"/>
      <c r="C384" s="903"/>
      <c r="D384" s="903"/>
      <c r="E384" s="903"/>
      <c r="F384" s="903"/>
      <c r="G384" s="903"/>
      <c r="H384" s="903"/>
    </row>
    <row r="385" spans="1:8" x14ac:dyDescent="0.3">
      <c r="A385" s="904" t="s">
        <v>1078</v>
      </c>
      <c r="B385" s="903"/>
      <c r="C385" s="903"/>
      <c r="D385" s="903"/>
      <c r="E385" s="903"/>
      <c r="F385" s="903"/>
      <c r="G385" s="903"/>
      <c r="H385" s="903"/>
    </row>
    <row r="386" spans="1:8" x14ac:dyDescent="0.3">
      <c r="A386" s="903"/>
      <c r="B386" s="903"/>
      <c r="C386" s="903"/>
      <c r="D386" s="903"/>
      <c r="E386" s="903"/>
      <c r="F386" s="903"/>
      <c r="G386" s="903"/>
      <c r="H386" s="903"/>
    </row>
    <row r="387" spans="1:8" x14ac:dyDescent="0.3">
      <c r="A387" s="904" t="s">
        <v>1071</v>
      </c>
      <c r="B387" s="903"/>
      <c r="C387" s="903"/>
      <c r="D387" s="903"/>
      <c r="E387" s="903"/>
      <c r="F387" s="903"/>
      <c r="G387" s="903"/>
      <c r="H387" s="903"/>
    </row>
    <row r="388" spans="1:8" x14ac:dyDescent="0.3">
      <c r="A388" s="904" t="s">
        <v>1079</v>
      </c>
      <c r="B388" s="903"/>
      <c r="C388" s="903"/>
      <c r="D388" s="903"/>
      <c r="E388" s="903"/>
      <c r="F388" s="903"/>
      <c r="G388" s="903"/>
      <c r="H388" s="903"/>
    </row>
    <row r="389" spans="1:8" x14ac:dyDescent="0.3">
      <c r="A389" s="904" t="s">
        <v>1080</v>
      </c>
      <c r="B389" s="903"/>
      <c r="C389" s="903"/>
      <c r="D389" s="903"/>
      <c r="E389" s="903"/>
      <c r="F389" s="903"/>
      <c r="G389" s="903"/>
      <c r="H389" s="903"/>
    </row>
    <row r="390" spans="1:8" x14ac:dyDescent="0.3">
      <c r="A390" s="904" t="s">
        <v>1081</v>
      </c>
      <c r="B390" s="903"/>
      <c r="C390" s="903"/>
      <c r="D390" s="903"/>
      <c r="E390" s="903"/>
      <c r="F390" s="903"/>
      <c r="G390" s="903"/>
      <c r="H390" s="903"/>
    </row>
    <row r="391" spans="1:8" x14ac:dyDescent="0.3">
      <c r="A391" s="903"/>
      <c r="B391" s="903"/>
      <c r="C391" s="903"/>
      <c r="D391" s="903"/>
      <c r="E391" s="903"/>
      <c r="F391" s="903"/>
      <c r="G391" s="903"/>
      <c r="H391" s="903"/>
    </row>
    <row r="392" spans="1:8" x14ac:dyDescent="0.3">
      <c r="A392" s="904" t="s">
        <v>1082</v>
      </c>
      <c r="B392" s="903"/>
      <c r="C392" s="903"/>
      <c r="D392" s="903"/>
      <c r="E392" s="903"/>
      <c r="F392" s="903"/>
      <c r="G392" s="903"/>
      <c r="H392" s="903"/>
    </row>
    <row r="393" spans="1:8" x14ac:dyDescent="0.3">
      <c r="A393" s="904" t="s">
        <v>1083</v>
      </c>
      <c r="B393" s="903"/>
      <c r="C393" s="903"/>
      <c r="D393" s="903"/>
      <c r="E393" s="903"/>
      <c r="F393" s="903"/>
      <c r="G393" s="903"/>
      <c r="H393" s="903"/>
    </row>
    <row r="394" spans="1:8" x14ac:dyDescent="0.3">
      <c r="A394" s="904" t="s">
        <v>1084</v>
      </c>
      <c r="B394" s="903"/>
      <c r="C394" s="903"/>
      <c r="D394" s="903"/>
      <c r="E394" s="903"/>
      <c r="F394" s="903"/>
      <c r="G394" s="903"/>
      <c r="H394" s="903"/>
    </row>
    <row r="395" spans="1:8" x14ac:dyDescent="0.3">
      <c r="A395" s="904" t="s">
        <v>1085</v>
      </c>
      <c r="B395" s="903"/>
      <c r="C395" s="903"/>
      <c r="D395" s="903"/>
      <c r="E395" s="903"/>
      <c r="F395" s="903"/>
      <c r="G395" s="903"/>
      <c r="H395" s="903"/>
    </row>
    <row r="396" spans="1:8" x14ac:dyDescent="0.3">
      <c r="A396" s="904" t="s">
        <v>1086</v>
      </c>
      <c r="B396" s="903"/>
      <c r="C396" s="903"/>
      <c r="D396" s="903"/>
      <c r="E396" s="903"/>
      <c r="F396" s="903"/>
      <c r="G396" s="903"/>
      <c r="H396" s="903"/>
    </row>
    <row r="397" spans="1:8" x14ac:dyDescent="0.3">
      <c r="A397" s="904" t="s">
        <v>1087</v>
      </c>
      <c r="B397" s="903"/>
      <c r="C397" s="903"/>
      <c r="D397" s="903"/>
      <c r="E397" s="903"/>
      <c r="F397" s="903"/>
      <c r="G397" s="903"/>
      <c r="H397" s="903"/>
    </row>
    <row r="398" spans="1:8" x14ac:dyDescent="0.3">
      <c r="A398" s="903"/>
      <c r="B398" s="903"/>
      <c r="C398" s="903"/>
      <c r="D398" s="903"/>
      <c r="E398" s="903"/>
      <c r="F398" s="903"/>
      <c r="G398" s="903"/>
      <c r="H398" s="903"/>
    </row>
    <row r="399" spans="1:8" x14ac:dyDescent="0.3">
      <c r="A399" s="904" t="s">
        <v>1088</v>
      </c>
      <c r="B399" s="903"/>
      <c r="C399" s="903"/>
      <c r="D399" s="903"/>
      <c r="E399" s="903"/>
      <c r="F399" s="903"/>
      <c r="G399" s="903"/>
      <c r="H399" s="903"/>
    </row>
    <row r="400" spans="1:8" x14ac:dyDescent="0.3">
      <c r="A400" s="904" t="s">
        <v>1089</v>
      </c>
      <c r="B400" s="903"/>
      <c r="C400" s="903"/>
      <c r="D400" s="903"/>
      <c r="E400" s="903"/>
      <c r="F400" s="903"/>
      <c r="G400" s="903"/>
      <c r="H400" s="903"/>
    </row>
    <row r="401" spans="1:8" x14ac:dyDescent="0.3">
      <c r="A401" s="904" t="s">
        <v>1090</v>
      </c>
      <c r="B401" s="903"/>
      <c r="C401" s="903"/>
      <c r="D401" s="903"/>
      <c r="E401" s="903"/>
      <c r="F401" s="903"/>
      <c r="G401" s="903"/>
      <c r="H401" s="903"/>
    </row>
    <row r="402" spans="1:8" x14ac:dyDescent="0.3">
      <c r="A402" s="904" t="s">
        <v>1091</v>
      </c>
      <c r="B402" s="903"/>
      <c r="C402" s="903"/>
      <c r="D402" s="903"/>
      <c r="E402" s="903"/>
      <c r="F402" s="903"/>
      <c r="G402" s="903"/>
      <c r="H402" s="903"/>
    </row>
    <row r="403" spans="1:8" x14ac:dyDescent="0.3">
      <c r="A403" s="904" t="s">
        <v>1092</v>
      </c>
      <c r="B403" s="903"/>
      <c r="C403" s="903"/>
      <c r="D403" s="903"/>
      <c r="E403" s="903"/>
      <c r="F403" s="903"/>
      <c r="G403" s="903"/>
      <c r="H403" s="903"/>
    </row>
    <row r="404" spans="1:8" x14ac:dyDescent="0.3">
      <c r="A404" s="903"/>
      <c r="B404" s="903"/>
      <c r="C404" s="903"/>
      <c r="D404" s="903"/>
      <c r="E404" s="903"/>
      <c r="F404" s="903"/>
      <c r="G404" s="903"/>
      <c r="H404" s="903"/>
    </row>
    <row r="405" spans="1:8" x14ac:dyDescent="0.3">
      <c r="A405" s="904" t="s">
        <v>1093</v>
      </c>
      <c r="B405" s="903"/>
      <c r="C405" s="903"/>
      <c r="D405" s="903"/>
      <c r="E405" s="903"/>
      <c r="F405" s="903"/>
      <c r="G405" s="903"/>
      <c r="H405" s="903"/>
    </row>
    <row r="406" spans="1:8" x14ac:dyDescent="0.3">
      <c r="A406" s="904" t="s">
        <v>1094</v>
      </c>
      <c r="B406" s="903"/>
      <c r="C406" s="903"/>
      <c r="D406" s="903"/>
      <c r="E406" s="903"/>
      <c r="F406" s="903"/>
      <c r="G406" s="903"/>
      <c r="H406" s="903"/>
    </row>
    <row r="407" spans="1:8" x14ac:dyDescent="0.3">
      <c r="A407" s="903"/>
      <c r="B407" s="903"/>
      <c r="C407" s="903"/>
      <c r="D407" s="903"/>
      <c r="E407" s="903"/>
      <c r="F407" s="903"/>
      <c r="G407" s="903"/>
      <c r="H407" s="903"/>
    </row>
    <row r="408" spans="1:8" x14ac:dyDescent="0.3">
      <c r="A408" s="904" t="s">
        <v>1095</v>
      </c>
      <c r="B408" s="903"/>
      <c r="C408" s="903"/>
      <c r="D408" s="903"/>
      <c r="E408" s="903"/>
      <c r="F408" s="903"/>
      <c r="G408" s="903"/>
      <c r="H408" s="903"/>
    </row>
    <row r="409" spans="1:8" x14ac:dyDescent="0.3">
      <c r="A409" s="904" t="s">
        <v>1096</v>
      </c>
      <c r="B409" s="903"/>
      <c r="C409" s="903"/>
      <c r="D409" s="903"/>
      <c r="E409" s="903"/>
      <c r="F409" s="903"/>
      <c r="G409" s="903"/>
      <c r="H409" s="903"/>
    </row>
    <row r="410" spans="1:8" x14ac:dyDescent="0.3">
      <c r="A410" s="903"/>
      <c r="B410" s="903"/>
      <c r="C410" s="903"/>
      <c r="D410" s="903"/>
      <c r="E410" s="903"/>
      <c r="F410" s="903"/>
      <c r="G410" s="903"/>
      <c r="H410" s="903"/>
    </row>
    <row r="411" spans="1:8" x14ac:dyDescent="0.3">
      <c r="A411" s="904" t="s">
        <v>1097</v>
      </c>
      <c r="B411" s="903"/>
      <c r="C411" s="903"/>
      <c r="D411" s="903"/>
      <c r="E411" s="903"/>
      <c r="F411" s="903"/>
      <c r="G411" s="903"/>
      <c r="H411" s="903"/>
    </row>
    <row r="412" spans="1:8" x14ac:dyDescent="0.3">
      <c r="A412" s="904" t="s">
        <v>1098</v>
      </c>
      <c r="B412" s="903"/>
      <c r="C412" s="903"/>
      <c r="D412" s="903"/>
      <c r="E412" s="903"/>
      <c r="F412" s="903"/>
      <c r="G412" s="903"/>
      <c r="H412" s="903"/>
    </row>
    <row r="413" spans="1:8" x14ac:dyDescent="0.3">
      <c r="A413" s="904" t="s">
        <v>1099</v>
      </c>
      <c r="B413" s="903"/>
      <c r="C413" s="903"/>
      <c r="D413" s="903"/>
      <c r="E413" s="903"/>
      <c r="F413" s="903"/>
      <c r="G413" s="903"/>
      <c r="H413" s="903"/>
    </row>
    <row r="414" spans="1:8" x14ac:dyDescent="0.3">
      <c r="A414" s="904" t="s">
        <v>1100</v>
      </c>
      <c r="B414" s="903"/>
      <c r="C414" s="903"/>
      <c r="D414" s="903"/>
      <c r="E414" s="903"/>
      <c r="F414" s="903"/>
      <c r="G414" s="903"/>
      <c r="H414" s="903"/>
    </row>
    <row r="415" spans="1:8" x14ac:dyDescent="0.3">
      <c r="A415" s="903"/>
      <c r="B415" s="903"/>
      <c r="C415" s="903"/>
      <c r="D415" s="903"/>
      <c r="E415" s="903"/>
      <c r="F415" s="903"/>
      <c r="G415" s="903"/>
      <c r="H415" s="903"/>
    </row>
    <row r="416" spans="1:8" x14ac:dyDescent="0.3">
      <c r="A416" s="904" t="s">
        <v>1101</v>
      </c>
      <c r="B416" s="903"/>
      <c r="C416" s="903"/>
      <c r="D416" s="903"/>
      <c r="E416" s="903"/>
      <c r="F416" s="903"/>
      <c r="G416" s="903"/>
      <c r="H416" s="903"/>
    </row>
    <row r="417" spans="1:8" x14ac:dyDescent="0.3">
      <c r="A417" s="904" t="s">
        <v>1102</v>
      </c>
      <c r="B417" s="903"/>
      <c r="C417" s="903"/>
      <c r="D417" s="903"/>
      <c r="E417" s="903"/>
      <c r="F417" s="903"/>
      <c r="G417" s="903"/>
      <c r="H417" s="903"/>
    </row>
    <row r="418" spans="1:8" x14ac:dyDescent="0.3">
      <c r="A418" s="903"/>
      <c r="B418" s="903"/>
      <c r="C418" s="903"/>
      <c r="D418" s="903"/>
      <c r="E418" s="903"/>
      <c r="F418" s="903"/>
      <c r="G418" s="903"/>
      <c r="H418" s="903"/>
    </row>
    <row r="419" spans="1:8" x14ac:dyDescent="0.3">
      <c r="A419" s="904" t="s">
        <v>1103</v>
      </c>
      <c r="B419" s="903"/>
      <c r="C419" s="903"/>
      <c r="D419" s="903"/>
      <c r="E419" s="903"/>
      <c r="F419" s="903"/>
      <c r="G419" s="903"/>
      <c r="H419" s="903"/>
    </row>
    <row r="420" spans="1:8" x14ac:dyDescent="0.3">
      <c r="A420" s="904" t="s">
        <v>1104</v>
      </c>
      <c r="B420" s="903"/>
      <c r="C420" s="903"/>
      <c r="D420" s="903"/>
      <c r="E420" s="903"/>
      <c r="F420" s="903"/>
      <c r="G420" s="903"/>
      <c r="H420" s="903"/>
    </row>
    <row r="421" spans="1:8" x14ac:dyDescent="0.3">
      <c r="A421" s="904" t="s">
        <v>1105</v>
      </c>
      <c r="B421" s="903"/>
      <c r="C421" s="903"/>
      <c r="D421" s="903"/>
      <c r="E421" s="903"/>
      <c r="F421" s="903"/>
      <c r="G421" s="903"/>
      <c r="H421" s="903"/>
    </row>
    <row r="422" spans="1:8" x14ac:dyDescent="0.3">
      <c r="A422" s="904" t="s">
        <v>1106</v>
      </c>
      <c r="B422" s="903"/>
      <c r="C422" s="903"/>
      <c r="D422" s="903"/>
      <c r="E422" s="903"/>
      <c r="F422" s="903"/>
      <c r="G422" s="903"/>
      <c r="H422" s="903"/>
    </row>
    <row r="424" spans="1:8" x14ac:dyDescent="0.3">
      <c r="A424" s="907" t="s">
        <v>1107</v>
      </c>
    </row>
  </sheetData>
  <mergeCells count="3">
    <mergeCell ref="B125:C125"/>
    <mergeCell ref="D125:F125"/>
    <mergeCell ref="G125:H12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tint="-0.499984740745262"/>
  </sheetPr>
  <dimension ref="A1:AG46"/>
  <sheetViews>
    <sheetView zoomScaleNormal="100" workbookViewId="0">
      <selection activeCell="F26" sqref="F26"/>
    </sheetView>
  </sheetViews>
  <sheetFormatPr defaultColWidth="9.33203125" defaultRowHeight="13.2" x14ac:dyDescent="0.25"/>
  <cols>
    <col min="1" max="1" width="3.44140625" style="180" customWidth="1"/>
    <col min="2" max="2" width="5.5546875" style="180" customWidth="1"/>
    <col min="3" max="16384" width="9.33203125" style="180"/>
  </cols>
  <sheetData>
    <row r="1" spans="1:33" ht="13.8" x14ac:dyDescent="0.25">
      <c r="A1" s="71"/>
      <c r="B1" s="71"/>
      <c r="C1" s="69"/>
      <c r="D1" s="69"/>
      <c r="E1" s="69"/>
      <c r="F1" s="69"/>
      <c r="G1" s="69"/>
      <c r="H1" s="69"/>
      <c r="I1" s="69"/>
      <c r="J1" s="69"/>
      <c r="K1" s="69"/>
      <c r="L1" s="70"/>
      <c r="M1" s="69"/>
      <c r="N1" s="69"/>
      <c r="O1" s="69"/>
      <c r="P1" s="69"/>
      <c r="Q1" s="69"/>
      <c r="R1" s="69"/>
      <c r="S1" s="68"/>
      <c r="T1" s="5"/>
      <c r="U1" s="5"/>
      <c r="V1" s="5"/>
      <c r="W1" s="5"/>
      <c r="X1" s="5"/>
      <c r="Y1" s="5"/>
      <c r="Z1" s="5"/>
      <c r="AA1" s="5"/>
      <c r="AB1" s="5"/>
      <c r="AC1" s="5"/>
      <c r="AD1" s="5"/>
      <c r="AE1" s="5"/>
      <c r="AF1" s="5"/>
      <c r="AG1" s="5"/>
    </row>
    <row r="2" spans="1:33" ht="13.8" x14ac:dyDescent="0.25">
      <c r="A2" s="49"/>
      <c r="B2" s="48"/>
      <c r="C2" s="5"/>
      <c r="D2" s="6"/>
      <c r="E2" s="6"/>
      <c r="F2" s="6"/>
      <c r="G2" s="6"/>
      <c r="H2" s="6"/>
      <c r="I2" s="6"/>
      <c r="J2" s="6"/>
      <c r="K2" s="6"/>
      <c r="L2" s="9"/>
      <c r="M2" s="9"/>
      <c r="N2" s="9"/>
      <c r="O2" s="9"/>
      <c r="P2" s="6"/>
      <c r="Q2" s="6"/>
      <c r="R2" s="6"/>
      <c r="S2" s="4"/>
      <c r="T2" s="5"/>
      <c r="U2" s="5"/>
      <c r="V2" s="5"/>
      <c r="W2" s="5"/>
      <c r="X2" s="5"/>
      <c r="Y2" s="5"/>
      <c r="Z2" s="5"/>
      <c r="AA2" s="5"/>
      <c r="AB2" s="5"/>
      <c r="AC2" s="5"/>
      <c r="AD2" s="5"/>
      <c r="AE2" s="5"/>
      <c r="AF2" s="5"/>
      <c r="AG2" s="5"/>
    </row>
    <row r="3" spans="1:33" ht="15.6" x14ac:dyDescent="0.3">
      <c r="A3" s="49"/>
      <c r="B3" s="48"/>
      <c r="C3" s="67" t="s">
        <v>49</v>
      </c>
      <c r="D3" s="6"/>
      <c r="E3" s="6"/>
      <c r="F3" s="6"/>
      <c r="G3" s="6"/>
      <c r="H3" s="6"/>
      <c r="I3" s="5"/>
      <c r="J3" s="5"/>
      <c r="K3" s="5"/>
      <c r="L3" s="5"/>
      <c r="M3" s="6"/>
      <c r="N3" s="6"/>
      <c r="O3" s="6"/>
      <c r="P3" s="6"/>
      <c r="Q3" s="6"/>
      <c r="R3" s="6"/>
      <c r="S3" s="4"/>
      <c r="T3" s="5"/>
      <c r="U3" s="5"/>
      <c r="AF3" s="5"/>
      <c r="AG3" s="5"/>
    </row>
    <row r="4" spans="1:33" ht="13.8" x14ac:dyDescent="0.25">
      <c r="A4" s="49"/>
      <c r="B4" s="48"/>
      <c r="C4" s="66" t="s">
        <v>48</v>
      </c>
      <c r="D4" s="66"/>
      <c r="E4" s="66"/>
      <c r="F4" s="6"/>
      <c r="G4" s="6"/>
      <c r="H4" s="5"/>
      <c r="I4" s="65" t="s">
        <v>47</v>
      </c>
      <c r="J4" s="268" t="s">
        <v>46</v>
      </c>
      <c r="K4" s="9"/>
      <c r="L4" s="5"/>
      <c r="M4" s="6"/>
      <c r="N4" s="6"/>
      <c r="O4" s="6"/>
      <c r="P4" s="6"/>
      <c r="Q4" s="6"/>
      <c r="R4" s="6"/>
      <c r="S4" s="4"/>
      <c r="T4" s="5"/>
      <c r="U4" s="5"/>
      <c r="AF4" s="5"/>
      <c r="AG4" s="5"/>
    </row>
    <row r="5" spans="1:33" ht="13.8" x14ac:dyDescent="0.25">
      <c r="A5" s="49"/>
      <c r="B5" s="48"/>
      <c r="C5" s="65" t="s">
        <v>45</v>
      </c>
      <c r="D5" s="6"/>
      <c r="E5" s="267" t="s">
        <v>44</v>
      </c>
      <c r="F5" s="6"/>
      <c r="G5" s="6"/>
      <c r="H5" s="5"/>
      <c r="I5" s="5" t="s">
        <v>43</v>
      </c>
      <c r="J5" s="218" t="s">
        <v>42</v>
      </c>
      <c r="K5" s="6"/>
      <c r="L5" s="5"/>
      <c r="M5" s="6"/>
      <c r="N5" s="6"/>
      <c r="O5" s="6"/>
      <c r="P5" s="6"/>
      <c r="Q5" s="6"/>
      <c r="R5" s="6"/>
      <c r="S5" s="4"/>
      <c r="T5" s="5"/>
      <c r="U5" s="5"/>
      <c r="AF5" s="5"/>
      <c r="AG5" s="5"/>
    </row>
    <row r="6" spans="1:33" ht="13.8" x14ac:dyDescent="0.25">
      <c r="A6" s="49"/>
      <c r="B6" s="48"/>
      <c r="C6" s="62" t="s">
        <v>41</v>
      </c>
      <c r="D6" s="61"/>
      <c r="E6" s="913">
        <f ca="1">TODAY()</f>
        <v>46128</v>
      </c>
      <c r="F6" s="914"/>
      <c r="G6" s="6"/>
      <c r="H6" s="5"/>
      <c r="I6" s="5" t="s">
        <v>11</v>
      </c>
      <c r="J6" s="60" t="s">
        <v>371</v>
      </c>
      <c r="K6" s="6"/>
      <c r="L6" s="5"/>
      <c r="M6" s="6"/>
      <c r="N6" s="6"/>
      <c r="O6" s="6"/>
      <c r="P6" s="6"/>
      <c r="Q6" s="6"/>
      <c r="R6" s="6"/>
      <c r="S6" s="4"/>
      <c r="T6" s="5"/>
      <c r="U6" s="5"/>
      <c r="AF6" s="5"/>
      <c r="AG6" s="5"/>
    </row>
    <row r="7" spans="1:33" ht="13.8" x14ac:dyDescent="0.25">
      <c r="A7" s="49"/>
      <c r="B7" s="48"/>
      <c r="C7" s="5"/>
      <c r="D7" s="59"/>
      <c r="E7" s="58"/>
      <c r="F7" s="6"/>
      <c r="G7" s="6"/>
      <c r="H7" s="6"/>
      <c r="I7" s="6"/>
      <c r="J7" s="6"/>
      <c r="K7" s="6"/>
      <c r="L7" s="6"/>
      <c r="M7" s="6"/>
      <c r="N7" s="6"/>
      <c r="O7" s="6"/>
      <c r="P7" s="6"/>
      <c r="Q7" s="6"/>
      <c r="R7" s="6"/>
      <c r="S7" s="4"/>
      <c r="T7" s="5"/>
      <c r="U7" s="5"/>
      <c r="AF7" s="5"/>
      <c r="AG7" s="5"/>
    </row>
    <row r="8" spans="1:33" ht="13.8" x14ac:dyDescent="0.25">
      <c r="A8" s="49"/>
      <c r="B8" s="48"/>
      <c r="C8" s="5"/>
      <c r="D8" s="59"/>
      <c r="E8" s="58"/>
      <c r="F8" s="6"/>
      <c r="G8" s="6"/>
      <c r="H8" s="6"/>
      <c r="I8" s="6"/>
      <c r="J8" s="6"/>
      <c r="K8" s="6"/>
      <c r="L8" s="6"/>
      <c r="M8" s="6"/>
      <c r="N8" s="6"/>
      <c r="O8" s="6"/>
      <c r="P8" s="6"/>
      <c r="Q8" s="6"/>
      <c r="R8" s="6"/>
      <c r="S8" s="4"/>
      <c r="T8" s="5"/>
      <c r="U8" s="5"/>
      <c r="AF8" s="5"/>
      <c r="AG8" s="5"/>
    </row>
    <row r="9" spans="1:33" ht="13.8" x14ac:dyDescent="0.25">
      <c r="A9" s="15"/>
      <c r="B9" s="14"/>
      <c r="C9" s="14"/>
      <c r="D9" s="14"/>
      <c r="E9" s="14"/>
      <c r="F9" s="14"/>
      <c r="G9" s="14"/>
      <c r="H9" s="14"/>
      <c r="I9" s="14"/>
      <c r="J9" s="14"/>
      <c r="K9" s="14"/>
      <c r="L9" s="14"/>
      <c r="M9" s="14"/>
      <c r="N9" s="14"/>
      <c r="O9" s="14"/>
      <c r="P9" s="14"/>
      <c r="Q9" s="14"/>
      <c r="R9" s="14"/>
      <c r="S9" s="13"/>
      <c r="T9" s="5"/>
      <c r="U9" s="5"/>
      <c r="AF9" s="5"/>
      <c r="AG9" s="5"/>
    </row>
    <row r="10" spans="1:33" ht="13.8" x14ac:dyDescent="0.25">
      <c r="A10" s="49"/>
      <c r="B10" s="48"/>
      <c r="C10" s="6"/>
      <c r="D10" s="6"/>
      <c r="E10" s="6"/>
      <c r="F10" s="6"/>
      <c r="G10" s="6"/>
      <c r="H10" s="6"/>
      <c r="I10" s="6"/>
      <c r="J10" s="6"/>
      <c r="K10" s="6"/>
      <c r="L10" s="6"/>
      <c r="M10" s="6"/>
      <c r="N10" s="6"/>
      <c r="O10" s="6"/>
      <c r="P10" s="6"/>
      <c r="Q10" s="6"/>
      <c r="R10" s="6"/>
      <c r="S10" s="4"/>
      <c r="T10" s="5"/>
      <c r="U10" s="5"/>
      <c r="AF10" s="5"/>
      <c r="AG10" s="5"/>
    </row>
    <row r="11" spans="1:33" ht="13.8" x14ac:dyDescent="0.25">
      <c r="A11" s="49"/>
      <c r="B11" s="48"/>
      <c r="C11" s="57" t="s">
        <v>40</v>
      </c>
      <c r="D11" s="6"/>
      <c r="E11" s="5"/>
      <c r="F11" s="6"/>
      <c r="G11" s="6"/>
      <c r="H11" s="6"/>
      <c r="I11" s="915" t="s">
        <v>39</v>
      </c>
      <c r="J11" s="916"/>
      <c r="K11" s="916"/>
      <c r="L11" s="916"/>
      <c r="M11" s="916"/>
      <c r="N11" s="916"/>
      <c r="O11" s="916"/>
      <c r="P11" s="916"/>
      <c r="Q11" s="916"/>
      <c r="R11" s="917"/>
      <c r="S11" s="4"/>
      <c r="T11" s="5"/>
      <c r="U11" s="5"/>
      <c r="AF11" s="5"/>
      <c r="AG11" s="5"/>
    </row>
    <row r="12" spans="1:33" ht="13.8" x14ac:dyDescent="0.25">
      <c r="A12" s="49"/>
      <c r="B12" s="48"/>
      <c r="C12" s="219" t="s">
        <v>38</v>
      </c>
      <c r="D12" s="220"/>
      <c r="E12" s="264" t="s">
        <v>37</v>
      </c>
      <c r="F12" s="220"/>
      <c r="G12" s="56"/>
      <c r="H12" s="6"/>
      <c r="I12" s="918"/>
      <c r="J12" s="919"/>
      <c r="K12" s="919"/>
      <c r="L12" s="919"/>
      <c r="M12" s="919"/>
      <c r="N12" s="919"/>
      <c r="O12" s="919"/>
      <c r="P12" s="919"/>
      <c r="Q12" s="919"/>
      <c r="R12" s="920"/>
      <c r="S12" s="4"/>
      <c r="T12" s="5"/>
      <c r="U12" s="5"/>
      <c r="AF12" s="5"/>
      <c r="AG12" s="5"/>
    </row>
    <row r="13" spans="1:33" ht="13.8" x14ac:dyDescent="0.25">
      <c r="A13" s="49"/>
      <c r="B13" s="48"/>
      <c r="C13" s="221" t="s">
        <v>36</v>
      </c>
      <c r="D13" s="5"/>
      <c r="E13" s="265" t="s">
        <v>35</v>
      </c>
      <c r="F13" s="222"/>
      <c r="G13" s="4"/>
      <c r="H13" s="6"/>
      <c r="I13" s="918"/>
      <c r="J13" s="919"/>
      <c r="K13" s="919"/>
      <c r="L13" s="919"/>
      <c r="M13" s="919"/>
      <c r="N13" s="919"/>
      <c r="O13" s="919"/>
      <c r="P13" s="919"/>
      <c r="Q13" s="919"/>
      <c r="R13" s="920"/>
      <c r="S13" s="4"/>
      <c r="T13" s="5"/>
      <c r="U13" s="5"/>
      <c r="AF13" s="5"/>
      <c r="AG13" s="5"/>
    </row>
    <row r="14" spans="1:33" ht="13.8" x14ac:dyDescent="0.25">
      <c r="A14" s="49"/>
      <c r="B14" s="48"/>
      <c r="C14" s="55" t="s">
        <v>34</v>
      </c>
      <c r="D14" s="22"/>
      <c r="E14" s="266">
        <v>44926</v>
      </c>
      <c r="F14" s="53"/>
      <c r="G14" s="4"/>
      <c r="H14" s="6"/>
      <c r="I14" s="918"/>
      <c r="J14" s="919"/>
      <c r="K14" s="919"/>
      <c r="L14" s="919"/>
      <c r="M14" s="919"/>
      <c r="N14" s="919"/>
      <c r="O14" s="919"/>
      <c r="P14" s="919"/>
      <c r="Q14" s="919"/>
      <c r="R14" s="920"/>
      <c r="S14" s="4"/>
      <c r="T14" s="5"/>
      <c r="U14" s="5"/>
      <c r="V14" s="5"/>
      <c r="W14" s="5"/>
      <c r="X14" s="5"/>
      <c r="Y14" s="5"/>
      <c r="Z14" s="5"/>
      <c r="AA14" s="5"/>
      <c r="AB14" s="5"/>
      <c r="AC14" s="5"/>
      <c r="AD14" s="5"/>
      <c r="AE14" s="5"/>
      <c r="AF14" s="5"/>
      <c r="AG14" s="5"/>
    </row>
    <row r="15" spans="1:33" ht="13.8" x14ac:dyDescent="0.25">
      <c r="A15" s="49"/>
      <c r="B15" s="48"/>
      <c r="C15" s="54" t="s">
        <v>33</v>
      </c>
      <c r="D15" s="22"/>
      <c r="E15" s="261" t="s">
        <v>32</v>
      </c>
      <c r="F15" s="53"/>
      <c r="G15" s="4"/>
      <c r="H15" s="6"/>
      <c r="I15" s="918"/>
      <c r="J15" s="919"/>
      <c r="K15" s="919"/>
      <c r="L15" s="919"/>
      <c r="M15" s="919"/>
      <c r="N15" s="919"/>
      <c r="O15" s="919"/>
      <c r="P15" s="919"/>
      <c r="Q15" s="919"/>
      <c r="R15" s="920"/>
      <c r="S15" s="4"/>
      <c r="T15" s="5"/>
      <c r="U15" s="5"/>
      <c r="V15" s="5"/>
      <c r="W15" s="5"/>
      <c r="X15" s="5"/>
      <c r="Y15" s="5"/>
      <c r="Z15" s="5"/>
      <c r="AA15" s="5"/>
      <c r="AB15" s="5"/>
      <c r="AC15" s="5"/>
      <c r="AD15" s="5"/>
      <c r="AE15" s="5"/>
      <c r="AF15" s="5"/>
      <c r="AG15" s="5"/>
    </row>
    <row r="16" spans="1:33" ht="13.8" x14ac:dyDescent="0.25">
      <c r="A16" s="49"/>
      <c r="B16" s="48"/>
      <c r="C16" s="54" t="s">
        <v>31</v>
      </c>
      <c r="D16" s="22"/>
      <c r="E16" s="261" t="s">
        <v>29</v>
      </c>
      <c r="F16" s="53"/>
      <c r="G16" s="4"/>
      <c r="H16" s="6"/>
      <c r="I16" s="918"/>
      <c r="J16" s="919"/>
      <c r="K16" s="919"/>
      <c r="L16" s="919"/>
      <c r="M16" s="919"/>
      <c r="N16" s="919"/>
      <c r="O16" s="919"/>
      <c r="P16" s="919"/>
      <c r="Q16" s="919"/>
      <c r="R16" s="920"/>
      <c r="S16" s="4"/>
      <c r="T16" s="5"/>
      <c r="U16" s="5"/>
      <c r="V16" s="5"/>
      <c r="W16" s="5"/>
      <c r="X16" s="5"/>
      <c r="Y16" s="5"/>
      <c r="Z16" s="5"/>
      <c r="AA16" s="5"/>
      <c r="AB16" s="5"/>
      <c r="AC16" s="5"/>
      <c r="AD16" s="5"/>
      <c r="AE16" s="5"/>
      <c r="AF16" s="5"/>
      <c r="AG16" s="5"/>
    </row>
    <row r="17" spans="1:33" ht="13.8" x14ac:dyDescent="0.25">
      <c r="A17" s="49"/>
      <c r="B17" s="48"/>
      <c r="C17" s="54" t="s">
        <v>30</v>
      </c>
      <c r="D17" s="22"/>
      <c r="E17" s="261" t="s">
        <v>29</v>
      </c>
      <c r="F17" s="53"/>
      <c r="G17" s="4"/>
      <c r="H17" s="6"/>
      <c r="I17" s="918"/>
      <c r="J17" s="919"/>
      <c r="K17" s="919"/>
      <c r="L17" s="919"/>
      <c r="M17" s="919"/>
      <c r="N17" s="919"/>
      <c r="O17" s="919"/>
      <c r="P17" s="919"/>
      <c r="Q17" s="919"/>
      <c r="R17" s="920"/>
      <c r="S17" s="4"/>
      <c r="T17" s="5"/>
      <c r="U17" s="5"/>
      <c r="V17" s="5"/>
      <c r="W17" s="5"/>
      <c r="X17" s="5"/>
      <c r="Y17" s="5"/>
      <c r="Z17" s="5"/>
      <c r="AA17" s="5"/>
      <c r="AB17" s="5"/>
      <c r="AC17" s="5"/>
      <c r="AD17" s="5"/>
      <c r="AE17" s="5"/>
      <c r="AF17" s="5"/>
      <c r="AG17" s="5"/>
    </row>
    <row r="18" spans="1:33" ht="13.8" x14ac:dyDescent="0.25">
      <c r="A18" s="49"/>
      <c r="B18" s="48"/>
      <c r="C18" s="52"/>
      <c r="D18" s="51"/>
      <c r="E18" s="51"/>
      <c r="F18" s="51"/>
      <c r="G18" s="50"/>
      <c r="H18" s="6"/>
      <c r="I18" s="918"/>
      <c r="J18" s="919"/>
      <c r="K18" s="919"/>
      <c r="L18" s="919"/>
      <c r="M18" s="919"/>
      <c r="N18" s="919"/>
      <c r="O18" s="919"/>
      <c r="P18" s="919"/>
      <c r="Q18" s="919"/>
      <c r="R18" s="920"/>
      <c r="S18" s="4"/>
      <c r="T18" s="5"/>
      <c r="U18" s="5"/>
      <c r="V18" s="5"/>
      <c r="W18" s="5"/>
      <c r="X18" s="5"/>
      <c r="Y18" s="5"/>
      <c r="Z18" s="5"/>
      <c r="AA18" s="5"/>
      <c r="AB18" s="5"/>
      <c r="AC18" s="5"/>
      <c r="AD18" s="5"/>
      <c r="AE18" s="5"/>
      <c r="AF18" s="5"/>
      <c r="AG18" s="5"/>
    </row>
    <row r="19" spans="1:33" ht="13.8" x14ac:dyDescent="0.25">
      <c r="A19" s="49"/>
      <c r="B19" s="48"/>
      <c r="C19" s="6"/>
      <c r="D19" s="6"/>
      <c r="E19" s="6"/>
      <c r="F19" s="6"/>
      <c r="G19" s="6"/>
      <c r="H19" s="6"/>
      <c r="I19" s="921"/>
      <c r="J19" s="922"/>
      <c r="K19" s="922"/>
      <c r="L19" s="922"/>
      <c r="M19" s="922"/>
      <c r="N19" s="922"/>
      <c r="O19" s="922"/>
      <c r="P19" s="922"/>
      <c r="Q19" s="922"/>
      <c r="R19" s="923"/>
      <c r="S19" s="4"/>
      <c r="T19" s="5"/>
      <c r="U19" s="5"/>
      <c r="V19" s="5"/>
      <c r="W19" s="5"/>
      <c r="X19" s="5"/>
      <c r="Y19" s="5"/>
      <c r="Z19" s="5"/>
      <c r="AA19" s="5"/>
      <c r="AB19" s="5"/>
      <c r="AC19" s="5"/>
      <c r="AD19" s="5"/>
      <c r="AE19" s="5"/>
      <c r="AF19" s="5"/>
      <c r="AG19" s="5"/>
    </row>
    <row r="20" spans="1:33" ht="13.8" x14ac:dyDescent="0.25">
      <c r="A20" s="49"/>
      <c r="B20" s="48"/>
      <c r="C20" s="6"/>
      <c r="D20" s="6"/>
      <c r="E20" s="6"/>
      <c r="F20" s="6"/>
      <c r="G20" s="6"/>
      <c r="H20" s="6"/>
      <c r="I20" s="6"/>
      <c r="J20" s="6"/>
      <c r="K20" s="6"/>
      <c r="L20" s="6"/>
      <c r="M20" s="6"/>
      <c r="N20" s="6"/>
      <c r="O20" s="6"/>
      <c r="P20" s="6"/>
      <c r="Q20" s="6"/>
      <c r="R20" s="6"/>
      <c r="S20" s="4"/>
      <c r="T20" s="5"/>
      <c r="U20" s="5"/>
      <c r="V20" s="5"/>
      <c r="W20" s="5"/>
      <c r="X20" s="5"/>
      <c r="Y20" s="5"/>
      <c r="Z20" s="5"/>
      <c r="AA20" s="5"/>
      <c r="AB20" s="5"/>
      <c r="AC20" s="5"/>
      <c r="AD20" s="5"/>
      <c r="AE20" s="5"/>
      <c r="AF20" s="5"/>
      <c r="AG20" s="5"/>
    </row>
    <row r="21" spans="1:33" ht="13.8" x14ac:dyDescent="0.25">
      <c r="A21" s="15"/>
      <c r="B21" s="14"/>
      <c r="C21" s="14"/>
      <c r="D21" s="14"/>
      <c r="E21" s="14"/>
      <c r="F21" s="14"/>
      <c r="G21" s="14"/>
      <c r="H21" s="14"/>
      <c r="I21" s="14"/>
      <c r="J21" s="14"/>
      <c r="K21" s="14"/>
      <c r="L21" s="14"/>
      <c r="M21" s="14"/>
      <c r="N21" s="14"/>
      <c r="O21" s="14"/>
      <c r="P21" s="14"/>
      <c r="Q21" s="14"/>
      <c r="R21" s="14"/>
      <c r="S21" s="13"/>
      <c r="T21" s="5"/>
      <c r="U21" s="5"/>
      <c r="V21" s="5"/>
      <c r="W21" s="5"/>
      <c r="X21" s="5"/>
      <c r="Y21" s="5"/>
      <c r="Z21" s="5"/>
      <c r="AA21" s="5"/>
      <c r="AB21" s="5"/>
      <c r="AC21" s="5"/>
      <c r="AD21" s="5"/>
      <c r="AE21" s="5"/>
      <c r="AF21" s="5"/>
      <c r="AG21" s="5"/>
    </row>
    <row r="22" spans="1:33" ht="13.8" x14ac:dyDescent="0.25">
      <c r="A22" s="7"/>
      <c r="B22" s="6"/>
      <c r="C22" s="6"/>
      <c r="D22" s="6"/>
      <c r="E22" s="6"/>
      <c r="F22" s="6"/>
      <c r="G22" s="6"/>
      <c r="H22" s="6"/>
      <c r="I22" s="6"/>
      <c r="J22" s="6"/>
      <c r="K22" s="6"/>
      <c r="L22" s="6"/>
      <c r="M22" s="6"/>
      <c r="N22" s="6"/>
      <c r="O22" s="6"/>
      <c r="P22" s="6"/>
      <c r="Q22" s="6"/>
      <c r="R22" s="6"/>
      <c r="S22" s="4"/>
      <c r="T22" s="5"/>
      <c r="U22" s="5"/>
      <c r="V22" s="5"/>
      <c r="W22" s="5"/>
      <c r="X22" s="5"/>
      <c r="Y22" s="5"/>
      <c r="Z22" s="5"/>
      <c r="AA22" s="5"/>
      <c r="AB22" s="5"/>
      <c r="AC22" s="5"/>
      <c r="AD22" s="5"/>
      <c r="AE22" s="5"/>
      <c r="AF22" s="5"/>
      <c r="AG22" s="5"/>
    </row>
    <row r="23" spans="1:33" ht="13.8" x14ac:dyDescent="0.25">
      <c r="A23" s="7"/>
      <c r="B23" s="6"/>
      <c r="C23" s="47" t="s">
        <v>28</v>
      </c>
      <c r="D23" s="5"/>
      <c r="E23" s="5"/>
      <c r="F23" s="46"/>
      <c r="G23" s="5"/>
      <c r="H23" s="5"/>
      <c r="I23" s="33" t="s">
        <v>27</v>
      </c>
      <c r="J23" s="5"/>
      <c r="K23" s="5"/>
      <c r="L23" s="5"/>
      <c r="M23" s="6"/>
      <c r="N23" s="5"/>
      <c r="O23" s="5"/>
      <c r="P23" s="5"/>
      <c r="Q23" s="5"/>
      <c r="R23" s="5"/>
      <c r="S23" s="4"/>
      <c r="T23" s="5"/>
      <c r="U23" s="5"/>
      <c r="V23" s="5"/>
      <c r="W23" s="5"/>
      <c r="X23" s="5"/>
      <c r="Y23" s="5"/>
      <c r="Z23" s="5"/>
      <c r="AA23" s="5"/>
      <c r="AB23" s="5"/>
      <c r="AC23" s="5"/>
      <c r="AD23" s="5"/>
      <c r="AE23" s="5"/>
      <c r="AF23" s="5"/>
      <c r="AG23" s="5"/>
    </row>
    <row r="24" spans="1:33" ht="13.8" x14ac:dyDescent="0.25">
      <c r="A24" s="7"/>
      <c r="B24" s="6"/>
      <c r="C24" s="45" t="s">
        <v>26</v>
      </c>
      <c r="D24" s="29"/>
      <c r="E24" s="44" t="str">
        <f>$E$12</f>
        <v>ASML Holdings NV</v>
      </c>
      <c r="F24" s="29"/>
      <c r="G24" s="43"/>
      <c r="H24" s="5"/>
      <c r="I24" s="31" t="s">
        <v>25</v>
      </c>
      <c r="J24" s="29"/>
      <c r="K24" s="42" t="s">
        <v>24</v>
      </c>
      <c r="L24" s="29"/>
      <c r="M24" s="29"/>
      <c r="N24" s="41" t="s">
        <v>23</v>
      </c>
      <c r="O24" s="256" t="s">
        <v>22</v>
      </c>
      <c r="P24" s="40"/>
      <c r="Q24" s="220"/>
      <c r="R24" s="223"/>
      <c r="S24" s="224"/>
      <c r="T24" s="5"/>
      <c r="U24" s="5"/>
      <c r="V24" s="5"/>
      <c r="W24" s="5"/>
      <c r="X24" s="5"/>
      <c r="Y24" s="5"/>
      <c r="Z24" s="5"/>
      <c r="AA24" s="5"/>
      <c r="AB24" s="5"/>
      <c r="AC24" s="5"/>
      <c r="AD24" s="5"/>
      <c r="AE24" s="5"/>
      <c r="AF24" s="5"/>
      <c r="AG24" s="5"/>
    </row>
    <row r="25" spans="1:33" ht="13.8" x14ac:dyDescent="0.25">
      <c r="A25" s="7"/>
      <c r="B25" s="6"/>
      <c r="C25" s="39" t="s">
        <v>21</v>
      </c>
      <c r="D25" s="22"/>
      <c r="E25" s="22" t="str">
        <f>E13</f>
        <v>ASML.AS</v>
      </c>
      <c r="F25" s="26"/>
      <c r="G25" s="25"/>
      <c r="H25" s="5"/>
      <c r="I25" s="24" t="s">
        <v>20</v>
      </c>
      <c r="J25" s="22"/>
      <c r="K25" s="260">
        <v>1984</v>
      </c>
      <c r="L25" s="22"/>
      <c r="M25" s="22"/>
      <c r="N25" s="38"/>
      <c r="O25" s="257" t="s">
        <v>19</v>
      </c>
      <c r="P25" s="37"/>
      <c r="Q25" s="5"/>
      <c r="R25" s="224"/>
      <c r="S25" s="224"/>
      <c r="T25" s="5"/>
      <c r="U25" s="5"/>
      <c r="V25" s="5"/>
      <c r="W25" s="5"/>
      <c r="X25" s="5"/>
      <c r="Y25" s="5"/>
      <c r="Z25" s="5"/>
      <c r="AA25" s="5"/>
      <c r="AB25" s="5"/>
      <c r="AC25" s="5"/>
      <c r="AD25" s="5"/>
      <c r="AE25" s="5"/>
      <c r="AF25" s="5"/>
      <c r="AG25" s="5"/>
    </row>
    <row r="26" spans="1:33" ht="13.8" x14ac:dyDescent="0.25">
      <c r="A26" s="7"/>
      <c r="B26" s="6"/>
      <c r="C26" s="24" t="s">
        <v>18</v>
      </c>
      <c r="D26" s="22"/>
      <c r="E26" s="873" cm="1">
        <f t="array" ref="E26">_xll.FDS("ASML-NL","P_PRICE(0)")</f>
        <v>1263.4000000000001</v>
      </c>
      <c r="F26" s="32"/>
      <c r="G26" s="25"/>
      <c r="H26" s="5"/>
      <c r="I26" s="24" t="s">
        <v>17</v>
      </c>
      <c r="J26" s="22"/>
      <c r="K26" s="261" t="s">
        <v>16</v>
      </c>
      <c r="L26" s="22"/>
      <c r="M26" s="22"/>
      <c r="N26" s="38"/>
      <c r="O26" s="257" t="s">
        <v>15</v>
      </c>
      <c r="P26" s="37"/>
      <c r="Q26" s="5"/>
      <c r="R26" s="224"/>
      <c r="S26" s="224"/>
      <c r="T26" s="5"/>
      <c r="U26" s="5"/>
      <c r="V26" s="5"/>
      <c r="W26" s="5"/>
      <c r="X26" s="5"/>
      <c r="Y26" s="5"/>
      <c r="Z26" s="5"/>
      <c r="AA26" s="5"/>
      <c r="AB26" s="5"/>
      <c r="AC26" s="5"/>
      <c r="AD26" s="5"/>
      <c r="AE26" s="5"/>
      <c r="AF26" s="5"/>
      <c r="AG26" s="5"/>
    </row>
    <row r="27" spans="1:33" ht="13.8" x14ac:dyDescent="0.25">
      <c r="A27" s="7"/>
      <c r="B27" s="6"/>
      <c r="C27" s="24"/>
      <c r="D27" s="22"/>
      <c r="E27" s="27"/>
      <c r="F27" s="26"/>
      <c r="G27" s="25"/>
      <c r="H27" s="5"/>
      <c r="I27" s="24" t="s">
        <v>14</v>
      </c>
      <c r="J27" s="22"/>
      <c r="K27" s="261" t="s">
        <v>13</v>
      </c>
      <c r="L27" s="22"/>
      <c r="M27" s="22"/>
      <c r="N27" s="38"/>
      <c r="O27" s="258" t="s">
        <v>12</v>
      </c>
      <c r="P27" s="37"/>
      <c r="Q27" s="5"/>
      <c r="R27" s="224"/>
      <c r="S27" s="224"/>
      <c r="T27" s="5"/>
      <c r="U27" s="5"/>
      <c r="V27" s="5"/>
      <c r="W27" s="5"/>
      <c r="X27" s="5"/>
      <c r="Y27" s="5"/>
      <c r="Z27" s="5"/>
      <c r="AA27" s="5"/>
      <c r="AB27" s="5"/>
      <c r="AC27" s="5"/>
      <c r="AD27" s="5"/>
      <c r="AE27" s="5"/>
      <c r="AF27" s="5"/>
      <c r="AG27" s="5"/>
    </row>
    <row r="28" spans="1:33" ht="13.8" x14ac:dyDescent="0.25">
      <c r="A28" s="7"/>
      <c r="B28" s="6"/>
      <c r="C28" s="24"/>
      <c r="D28" s="22"/>
      <c r="E28" s="36"/>
      <c r="F28" s="35"/>
      <c r="G28" s="25"/>
      <c r="H28" s="5"/>
      <c r="I28" s="225"/>
      <c r="J28" s="190"/>
      <c r="K28" s="190"/>
      <c r="L28" s="190"/>
      <c r="M28" s="190"/>
      <c r="N28" s="34" t="s">
        <v>11</v>
      </c>
      <c r="O28" s="259" t="s">
        <v>10</v>
      </c>
      <c r="P28" s="34"/>
      <c r="Q28" s="190"/>
      <c r="R28" s="226"/>
      <c r="S28" s="224"/>
      <c r="T28" s="5"/>
      <c r="U28" s="5"/>
      <c r="V28" s="5"/>
      <c r="W28" s="5"/>
      <c r="X28" s="5"/>
      <c r="Y28" s="5"/>
      <c r="Z28" s="5"/>
      <c r="AA28" s="5"/>
      <c r="AB28" s="5"/>
      <c r="AC28" s="5"/>
      <c r="AD28" s="5"/>
      <c r="AE28" s="5"/>
      <c r="AF28" s="5"/>
      <c r="AG28" s="5"/>
    </row>
    <row r="29" spans="1:33" ht="13.8" x14ac:dyDescent="0.25">
      <c r="A29" s="7"/>
      <c r="B29" s="6"/>
      <c r="C29" s="24"/>
      <c r="D29" s="22"/>
      <c r="E29" s="27"/>
      <c r="F29" s="32"/>
      <c r="G29" s="25"/>
      <c r="H29" s="5"/>
      <c r="I29" s="5"/>
      <c r="J29" s="5"/>
      <c r="K29" s="22"/>
      <c r="L29" s="22"/>
      <c r="M29" s="22"/>
      <c r="N29" s="22"/>
      <c r="O29" s="22"/>
      <c r="P29" s="23"/>
      <c r="Q29" s="22"/>
      <c r="R29" s="5"/>
      <c r="S29" s="224"/>
      <c r="T29" s="5"/>
      <c r="U29" s="5"/>
      <c r="V29" s="5"/>
      <c r="W29" s="5"/>
      <c r="X29" s="5"/>
      <c r="Y29" s="5"/>
      <c r="Z29" s="5"/>
      <c r="AA29" s="5"/>
      <c r="AB29" s="5"/>
      <c r="AC29" s="5"/>
      <c r="AD29" s="5"/>
      <c r="AE29" s="5"/>
      <c r="AF29" s="5"/>
      <c r="AG29" s="5"/>
    </row>
    <row r="30" spans="1:33" ht="13.8" x14ac:dyDescent="0.25">
      <c r="A30" s="7"/>
      <c r="B30" s="6"/>
      <c r="C30" s="24"/>
      <c r="D30" s="22"/>
      <c r="E30" s="27"/>
      <c r="F30" s="32"/>
      <c r="G30" s="25"/>
      <c r="H30" s="5"/>
      <c r="I30" s="33" t="s">
        <v>9</v>
      </c>
      <c r="J30" s="5"/>
      <c r="K30" s="22"/>
      <c r="L30" s="22"/>
      <c r="M30" s="22"/>
      <c r="N30" s="22"/>
      <c r="O30" s="22"/>
      <c r="P30" s="23"/>
      <c r="Q30" s="22"/>
      <c r="R30" s="5"/>
      <c r="S30" s="224"/>
      <c r="T30" s="227"/>
      <c r="U30" s="5"/>
      <c r="V30" s="5"/>
      <c r="W30" s="5"/>
      <c r="X30" s="5"/>
      <c r="Y30" s="5"/>
      <c r="Z30" s="5"/>
      <c r="AA30" s="5"/>
      <c r="AB30" s="5"/>
      <c r="AC30" s="5"/>
      <c r="AD30" s="5"/>
      <c r="AE30" s="5"/>
      <c r="AF30" s="5"/>
      <c r="AG30" s="5"/>
    </row>
    <row r="31" spans="1:33" ht="13.8" x14ac:dyDescent="0.25">
      <c r="A31" s="7"/>
      <c r="B31" s="6"/>
      <c r="C31" s="24"/>
      <c r="D31" s="22"/>
      <c r="E31" s="27"/>
      <c r="F31" s="32"/>
      <c r="G31" s="25"/>
      <c r="H31" s="5"/>
      <c r="I31" s="31" t="s">
        <v>8</v>
      </c>
      <c r="J31" s="220"/>
      <c r="K31" s="262" t="s">
        <v>7</v>
      </c>
      <c r="L31" s="29"/>
      <c r="M31" s="29"/>
      <c r="N31" s="29"/>
      <c r="O31" s="29"/>
      <c r="P31" s="30"/>
      <c r="Q31" s="29"/>
      <c r="R31" s="223"/>
      <c r="S31" s="224"/>
      <c r="T31" s="227"/>
      <c r="U31" s="5"/>
      <c r="V31" s="5"/>
      <c r="W31" s="5"/>
      <c r="X31" s="5"/>
      <c r="Y31" s="5"/>
      <c r="Z31" s="5"/>
      <c r="AA31" s="5"/>
      <c r="AB31" s="5"/>
      <c r="AC31" s="5"/>
      <c r="AD31" s="5"/>
      <c r="AE31" s="5"/>
      <c r="AF31" s="5"/>
      <c r="AG31" s="5"/>
    </row>
    <row r="32" spans="1:33" ht="13.8" x14ac:dyDescent="0.25">
      <c r="A32" s="7"/>
      <c r="B32" s="6"/>
      <c r="C32" s="24"/>
      <c r="D32" s="22"/>
      <c r="E32" s="27"/>
      <c r="F32" s="26"/>
      <c r="G32" s="25"/>
      <c r="H32" s="5"/>
      <c r="I32" s="24" t="s">
        <v>6</v>
      </c>
      <c r="J32" s="5"/>
      <c r="K32" s="261" t="s">
        <v>5</v>
      </c>
      <c r="L32" s="22"/>
      <c r="M32" s="22"/>
      <c r="N32" s="22"/>
      <c r="O32" s="22"/>
      <c r="P32" s="23"/>
      <c r="Q32" s="22"/>
      <c r="R32" s="224"/>
      <c r="S32" s="224"/>
      <c r="T32" s="227"/>
      <c r="U32" s="5"/>
      <c r="V32" s="5"/>
      <c r="W32" s="5"/>
      <c r="X32" s="5"/>
      <c r="Y32" s="5"/>
      <c r="Z32" s="5"/>
      <c r="AA32" s="5"/>
      <c r="AB32" s="5"/>
      <c r="AC32" s="5"/>
      <c r="AD32" s="5"/>
      <c r="AE32" s="5"/>
      <c r="AF32" s="5"/>
      <c r="AG32" s="5"/>
    </row>
    <row r="33" spans="1:33" ht="13.8" x14ac:dyDescent="0.25">
      <c r="A33" s="7"/>
      <c r="B33" s="6"/>
      <c r="C33" s="17"/>
      <c r="D33" s="21"/>
      <c r="E33" s="20"/>
      <c r="F33" s="19"/>
      <c r="G33" s="18"/>
      <c r="H33" s="5"/>
      <c r="I33" s="17" t="s">
        <v>4</v>
      </c>
      <c r="J33" s="190"/>
      <c r="K33" s="263" t="s">
        <v>3</v>
      </c>
      <c r="L33" s="190"/>
      <c r="M33" s="190"/>
      <c r="N33" s="190"/>
      <c r="O33" s="228"/>
      <c r="P33" s="229"/>
      <c r="Q33" s="228"/>
      <c r="R33" s="230"/>
      <c r="S33" s="224"/>
      <c r="T33" s="231"/>
      <c r="U33" s="5"/>
      <c r="V33" s="5"/>
      <c r="W33" s="5"/>
      <c r="X33" s="5"/>
      <c r="Y33" s="5"/>
      <c r="Z33" s="5"/>
      <c r="AA33" s="5"/>
      <c r="AB33" s="5"/>
      <c r="AC33" s="5"/>
      <c r="AD33" s="5"/>
      <c r="AE33" s="5"/>
      <c r="AF33" s="5"/>
      <c r="AG33" s="5"/>
    </row>
    <row r="34" spans="1:33" ht="13.8" x14ac:dyDescent="0.25">
      <c r="A34" s="7"/>
      <c r="B34" s="6"/>
      <c r="C34" s="16"/>
      <c r="D34" s="16"/>
      <c r="E34" s="16"/>
      <c r="F34" s="16"/>
      <c r="G34" s="16"/>
      <c r="H34" s="5"/>
      <c r="I34" s="5"/>
      <c r="J34" s="5"/>
      <c r="K34" s="5"/>
      <c r="L34" s="5"/>
      <c r="M34" s="5"/>
      <c r="N34" s="6"/>
      <c r="O34" s="6"/>
      <c r="P34" s="6"/>
      <c r="Q34" s="6"/>
      <c r="R34" s="6"/>
      <c r="S34" s="4"/>
      <c r="T34" s="5"/>
      <c r="U34" s="5"/>
      <c r="V34" s="5"/>
      <c r="W34" s="5"/>
      <c r="X34" s="5"/>
      <c r="Y34" s="5"/>
      <c r="Z34" s="5"/>
      <c r="AA34" s="5"/>
      <c r="AB34" s="5"/>
      <c r="AC34" s="5"/>
      <c r="AD34" s="5"/>
      <c r="AE34" s="5"/>
      <c r="AF34" s="5"/>
      <c r="AG34" s="5"/>
    </row>
    <row r="35" spans="1:33" ht="13.8" x14ac:dyDescent="0.25">
      <c r="A35" s="7"/>
      <c r="B35" s="6"/>
      <c r="C35" s="6"/>
      <c r="D35" s="6"/>
      <c r="E35" s="6"/>
      <c r="F35" s="6"/>
      <c r="G35" s="6"/>
      <c r="H35" s="6"/>
      <c r="I35" s="6"/>
      <c r="J35" s="6"/>
      <c r="K35" s="6"/>
      <c r="L35" s="6"/>
      <c r="M35" s="6"/>
      <c r="N35" s="6"/>
      <c r="O35" s="6"/>
      <c r="P35" s="6"/>
      <c r="Q35" s="6"/>
      <c r="R35" s="6"/>
      <c r="S35" s="4"/>
      <c r="T35" s="5"/>
      <c r="U35" s="5"/>
      <c r="V35" s="5"/>
      <c r="W35" s="5"/>
      <c r="X35" s="5"/>
      <c r="Y35" s="5"/>
      <c r="Z35" s="5"/>
      <c r="AA35" s="5"/>
      <c r="AB35" s="5"/>
      <c r="AC35" s="5"/>
      <c r="AD35" s="5"/>
      <c r="AE35" s="5"/>
      <c r="AF35" s="5"/>
      <c r="AG35" s="5"/>
    </row>
    <row r="36" spans="1:33" ht="13.8" x14ac:dyDescent="0.25">
      <c r="A36" s="15"/>
      <c r="B36" s="14"/>
      <c r="C36" s="14"/>
      <c r="D36" s="14"/>
      <c r="E36" s="14"/>
      <c r="F36" s="14"/>
      <c r="G36" s="14"/>
      <c r="H36" s="14"/>
      <c r="I36" s="14"/>
      <c r="J36" s="14"/>
      <c r="K36" s="14"/>
      <c r="L36" s="14"/>
      <c r="M36" s="14"/>
      <c r="N36" s="14"/>
      <c r="O36" s="14"/>
      <c r="P36" s="14"/>
      <c r="Q36" s="14"/>
      <c r="R36" s="14"/>
      <c r="S36" s="13"/>
      <c r="T36" s="5"/>
      <c r="U36" s="5"/>
      <c r="V36" s="5"/>
      <c r="W36" s="5"/>
      <c r="X36" s="5"/>
      <c r="Y36" s="5"/>
      <c r="Z36" s="5"/>
      <c r="AA36" s="5"/>
      <c r="AB36" s="5"/>
      <c r="AC36" s="5"/>
      <c r="AD36" s="5"/>
      <c r="AE36" s="5"/>
      <c r="AF36" s="5"/>
      <c r="AG36" s="5"/>
    </row>
    <row r="37" spans="1:33" ht="13.8" x14ac:dyDescent="0.25">
      <c r="A37" s="10"/>
      <c r="B37" s="9"/>
      <c r="C37" s="6"/>
      <c r="D37" s="6"/>
      <c r="E37" s="6"/>
      <c r="F37" s="6"/>
      <c r="G37" s="6"/>
      <c r="H37" s="6"/>
      <c r="I37" s="6"/>
      <c r="J37" s="6"/>
      <c r="K37" s="6"/>
      <c r="L37" s="6"/>
      <c r="M37" s="6"/>
      <c r="N37" s="6"/>
      <c r="O37" s="6"/>
      <c r="P37" s="6"/>
      <c r="Q37" s="6"/>
      <c r="R37" s="6"/>
      <c r="S37" s="4"/>
      <c r="T37" s="5"/>
      <c r="U37" s="5"/>
      <c r="V37" s="5"/>
      <c r="W37" s="5"/>
      <c r="X37" s="5"/>
      <c r="Y37" s="5"/>
      <c r="Z37" s="5"/>
      <c r="AA37" s="5"/>
      <c r="AB37" s="5"/>
      <c r="AC37" s="5"/>
      <c r="AD37" s="5"/>
      <c r="AE37" s="5"/>
      <c r="AF37" s="5"/>
      <c r="AG37" s="5"/>
    </row>
    <row r="38" spans="1:33" ht="13.8" x14ac:dyDescent="0.25">
      <c r="A38" s="10"/>
      <c r="B38" s="9"/>
      <c r="C38" s="12" t="s">
        <v>2</v>
      </c>
      <c r="D38" s="232"/>
      <c r="E38" s="232"/>
      <c r="F38" s="232"/>
      <c r="G38" s="232"/>
      <c r="H38" s="232"/>
      <c r="I38" s="232"/>
      <c r="J38" s="232"/>
      <c r="K38" s="232"/>
      <c r="L38" s="232"/>
      <c r="M38" s="232"/>
      <c r="N38" s="232"/>
      <c r="O38" s="232"/>
      <c r="P38" s="232"/>
      <c r="Q38" s="11"/>
      <c r="R38" s="11"/>
      <c r="S38" s="4"/>
      <c r="T38" s="5"/>
      <c r="U38" s="5"/>
      <c r="V38" s="5"/>
      <c r="W38" s="5"/>
      <c r="X38" s="5"/>
      <c r="Y38" s="5"/>
      <c r="Z38" s="5"/>
      <c r="AA38" s="5"/>
      <c r="AB38" s="5"/>
      <c r="AC38" s="5"/>
      <c r="AD38" s="5"/>
      <c r="AE38" s="5"/>
      <c r="AF38" s="5"/>
      <c r="AG38" s="5"/>
    </row>
    <row r="39" spans="1:33" ht="13.8" x14ac:dyDescent="0.25">
      <c r="A39" s="10"/>
      <c r="B39" s="9"/>
      <c r="C39" s="8" t="s">
        <v>1</v>
      </c>
      <c r="D39" s="5"/>
      <c r="E39" s="5"/>
      <c r="F39" s="5"/>
      <c r="G39" s="5"/>
      <c r="H39" s="5"/>
      <c r="I39" s="5"/>
      <c r="J39" s="5"/>
      <c r="K39" s="5"/>
      <c r="L39" s="5"/>
      <c r="M39" s="5"/>
      <c r="N39" s="5"/>
      <c r="O39" s="5"/>
      <c r="P39" s="5"/>
      <c r="Q39" s="5"/>
      <c r="R39" s="5"/>
      <c r="S39" s="4"/>
      <c r="T39" s="5"/>
      <c r="U39" s="5"/>
      <c r="V39" s="5"/>
      <c r="W39" s="5"/>
      <c r="X39" s="5"/>
      <c r="Y39" s="5"/>
      <c r="Z39" s="5"/>
      <c r="AA39" s="5"/>
      <c r="AB39" s="5"/>
      <c r="AC39" s="5"/>
      <c r="AD39" s="5"/>
      <c r="AE39" s="5"/>
      <c r="AF39" s="5"/>
      <c r="AG39" s="5"/>
    </row>
    <row r="40" spans="1:33" ht="13.8" x14ac:dyDescent="0.25">
      <c r="A40" s="10"/>
      <c r="B40" s="9"/>
      <c r="C40" s="8" t="s">
        <v>0</v>
      </c>
      <c r="D40" s="5"/>
      <c r="E40" s="5"/>
      <c r="F40" s="5"/>
      <c r="G40" s="5"/>
      <c r="H40" s="5"/>
      <c r="I40" s="5"/>
      <c r="J40" s="5"/>
      <c r="K40" s="5"/>
      <c r="L40" s="5"/>
      <c r="M40" s="5"/>
      <c r="N40" s="5"/>
      <c r="O40" s="5"/>
      <c r="P40" s="5"/>
      <c r="Q40" s="233"/>
      <c r="R40" s="233"/>
      <c r="S40" s="4"/>
      <c r="T40" s="5"/>
      <c r="U40" s="5"/>
      <c r="V40" s="5"/>
      <c r="W40" s="5"/>
      <c r="X40" s="5"/>
      <c r="Y40" s="5"/>
      <c r="Z40" s="5"/>
      <c r="AA40" s="5"/>
      <c r="AB40" s="5"/>
      <c r="AC40" s="5"/>
      <c r="AD40" s="5"/>
      <c r="AE40" s="5"/>
      <c r="AF40" s="5"/>
      <c r="AG40" s="5"/>
    </row>
    <row r="41" spans="1:33" ht="13.8" x14ac:dyDescent="0.25">
      <c r="A41" s="7"/>
      <c r="B41" s="6"/>
      <c r="C41" s="5"/>
      <c r="D41" s="5"/>
      <c r="E41" s="5"/>
      <c r="F41" s="5"/>
      <c r="G41" s="5"/>
      <c r="H41" s="5"/>
      <c r="I41" s="5"/>
      <c r="J41" s="5"/>
      <c r="K41" s="5"/>
      <c r="L41" s="5"/>
      <c r="M41" s="5"/>
      <c r="N41" s="5"/>
      <c r="O41" s="5"/>
      <c r="P41" s="5"/>
      <c r="Q41" s="5"/>
      <c r="R41" s="5"/>
      <c r="S41" s="4"/>
      <c r="T41" s="5"/>
      <c r="U41" s="5"/>
      <c r="V41" s="5"/>
      <c r="W41" s="5"/>
      <c r="X41" s="5"/>
      <c r="Y41" s="5"/>
      <c r="Z41" s="5"/>
      <c r="AA41" s="5"/>
      <c r="AB41" s="5"/>
      <c r="AC41" s="5"/>
      <c r="AD41" s="5"/>
      <c r="AE41" s="5"/>
      <c r="AF41" s="5"/>
      <c r="AG41" s="5"/>
    </row>
    <row r="42" spans="1:33" ht="13.8" x14ac:dyDescent="0.25">
      <c r="A42" s="7"/>
      <c r="B42" s="6"/>
      <c r="C42" s="5"/>
      <c r="D42" s="5"/>
      <c r="E42" s="5"/>
      <c r="F42" s="5"/>
      <c r="G42" s="5"/>
      <c r="H42" s="5"/>
      <c r="I42" s="5"/>
      <c r="J42" s="5"/>
      <c r="K42" s="5"/>
      <c r="L42" s="5"/>
      <c r="M42" s="5"/>
      <c r="N42" s="5"/>
      <c r="O42" s="5"/>
      <c r="P42" s="5"/>
      <c r="Q42" s="5"/>
      <c r="R42" s="5"/>
      <c r="S42" s="4"/>
      <c r="T42" s="5"/>
      <c r="U42" s="5"/>
      <c r="V42" s="5"/>
      <c r="W42" s="5"/>
      <c r="X42" s="5"/>
      <c r="Y42" s="5"/>
      <c r="Z42" s="5"/>
      <c r="AA42" s="5"/>
      <c r="AB42" s="5"/>
      <c r="AC42" s="5"/>
      <c r="AD42" s="5"/>
      <c r="AE42" s="5"/>
      <c r="AF42" s="5"/>
      <c r="AG42" s="5"/>
    </row>
    <row r="43" spans="1:33" ht="13.8" x14ac:dyDescent="0.25">
      <c r="A43" s="234"/>
      <c r="B43" s="5"/>
      <c r="D43" s="5"/>
      <c r="E43" s="5"/>
      <c r="F43" s="5"/>
      <c r="G43" s="5"/>
      <c r="H43" s="5"/>
      <c r="I43" s="5"/>
      <c r="J43" s="5"/>
      <c r="K43" s="5"/>
      <c r="L43" s="5"/>
      <c r="M43" s="5"/>
      <c r="N43" s="5"/>
      <c r="O43" s="5"/>
      <c r="P43" s="5"/>
      <c r="Q43" s="5"/>
      <c r="R43" s="5"/>
      <c r="S43" s="224"/>
      <c r="T43" s="5"/>
      <c r="U43" s="5"/>
      <c r="V43" s="5"/>
      <c r="W43" s="5"/>
      <c r="X43" s="5"/>
      <c r="Y43" s="5"/>
      <c r="Z43" s="5"/>
      <c r="AA43" s="5"/>
      <c r="AB43" s="5"/>
      <c r="AC43" s="5"/>
      <c r="AD43" s="5"/>
      <c r="AE43" s="5"/>
      <c r="AF43" s="5"/>
      <c r="AG43" s="5"/>
    </row>
    <row r="44" spans="1:33" ht="13.8" x14ac:dyDescent="0.25">
      <c r="A44" s="234"/>
      <c r="B44" s="5"/>
      <c r="D44" s="5"/>
      <c r="E44" s="5"/>
      <c r="F44" s="5"/>
      <c r="G44" s="5"/>
      <c r="H44" s="5"/>
      <c r="I44" s="5"/>
      <c r="J44" s="5"/>
      <c r="K44" s="5"/>
      <c r="L44" s="5"/>
      <c r="M44" s="5"/>
      <c r="N44" s="5"/>
      <c r="O44" s="5"/>
      <c r="P44" s="5"/>
      <c r="Q44" s="5"/>
      <c r="R44" s="5"/>
      <c r="S44" s="224"/>
      <c r="T44" s="5"/>
      <c r="U44" s="5"/>
      <c r="V44" s="5"/>
      <c r="W44" s="5"/>
      <c r="X44" s="5"/>
      <c r="Y44" s="5"/>
      <c r="Z44" s="5"/>
      <c r="AA44" s="5"/>
      <c r="AB44" s="5"/>
      <c r="AC44" s="5"/>
      <c r="AD44" s="5"/>
      <c r="AE44" s="5"/>
      <c r="AF44" s="5"/>
      <c r="AG44" s="5"/>
    </row>
    <row r="45" spans="1:33" ht="13.8" x14ac:dyDescent="0.25">
      <c r="A45" s="3"/>
      <c r="B45" s="2"/>
      <c r="C45" s="2"/>
      <c r="D45" s="2"/>
      <c r="E45" s="2"/>
      <c r="F45" s="2"/>
      <c r="G45" s="2"/>
      <c r="H45" s="2"/>
      <c r="I45" s="2"/>
      <c r="J45" s="2"/>
      <c r="K45" s="2"/>
      <c r="L45" s="2"/>
      <c r="M45" s="2"/>
      <c r="N45" s="2"/>
      <c r="O45" s="2"/>
      <c r="P45" s="2"/>
      <c r="Q45" s="2"/>
      <c r="R45" s="2"/>
      <c r="S45" s="1"/>
      <c r="T45" s="5"/>
      <c r="U45" s="5"/>
      <c r="V45" s="5"/>
      <c r="W45" s="5"/>
      <c r="X45" s="5"/>
      <c r="Y45" s="5"/>
      <c r="Z45" s="5"/>
      <c r="AA45" s="5"/>
      <c r="AB45" s="5"/>
      <c r="AC45" s="5"/>
      <c r="AD45" s="5"/>
      <c r="AE45" s="5"/>
      <c r="AF45" s="5"/>
      <c r="AG45" s="5"/>
    </row>
    <row r="46" spans="1:33" ht="13.8"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sheetData>
  <mergeCells count="2">
    <mergeCell ref="E6:F6"/>
    <mergeCell ref="I11:R19"/>
  </mergeCells>
  <hyperlinks>
    <hyperlink ref="K24" r:id="rId1" xr:uid="{00000000-0004-0000-0000-000000000000}"/>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4787C-96F9-49DC-993B-93695917F9B1}">
  <sheetPr codeName="Sheet3">
    <tabColor theme="8"/>
  </sheetPr>
  <dimension ref="A1:GD617"/>
  <sheetViews>
    <sheetView showGridLines="0" zoomScale="110" zoomScaleNormal="110" workbookViewId="0">
      <pane xSplit="4" ySplit="3" topLeftCell="FH4" activePane="bottomRight" state="frozen"/>
      <selection activeCell="E28" sqref="E28"/>
      <selection pane="topRight" activeCell="E28" sqref="E28"/>
      <selection pane="bottomLeft" activeCell="E28" sqref="E28"/>
      <selection pane="bottomRight" sqref="A1:XFD1048576"/>
    </sheetView>
  </sheetViews>
  <sheetFormatPr defaultColWidth="10.5546875" defaultRowHeight="11.4" outlineLevelRow="1" outlineLevelCol="1" x14ac:dyDescent="0.2"/>
  <cols>
    <col min="1" max="1" width="5.5546875" style="311" customWidth="1"/>
    <col min="2" max="2" width="25.5546875" style="311" customWidth="1"/>
    <col min="3" max="4" width="10.5546875" style="311"/>
    <col min="5" max="93" width="10.5546875" style="311" hidden="1" customWidth="1" outlineLevel="1"/>
    <col min="94" max="94" width="10.5546875" style="311" customWidth="1" collapsed="1"/>
    <col min="95" max="98" width="10.5546875" style="311" hidden="1" customWidth="1" outlineLevel="1"/>
    <col min="99" max="99" width="10" style="311" customWidth="1" collapsed="1"/>
    <col min="100" max="100" width="2.6640625" style="311" customWidth="1"/>
    <col min="101" max="104" width="10.5546875" style="311" hidden="1" customWidth="1" outlineLevel="1"/>
    <col min="105" max="105" width="10" style="407" customWidth="1" collapsed="1"/>
    <col min="106" max="106" width="2.6640625" style="403" customWidth="1"/>
    <col min="107" max="110" width="11.88671875" style="311" hidden="1" customWidth="1" outlineLevel="1"/>
    <col min="111" max="111" width="10" style="403" customWidth="1" collapsed="1"/>
    <col min="112" max="112" width="2.6640625" style="403" customWidth="1"/>
    <col min="113" max="116" width="11.88671875" style="311" customWidth="1" outlineLevel="1"/>
    <col min="117" max="117" width="10" style="403" customWidth="1"/>
    <col min="118" max="118" width="2.6640625" style="403" customWidth="1"/>
    <col min="119" max="119" width="11.88671875" style="311" customWidth="1" outlineLevel="1"/>
    <col min="120" max="122" width="12.88671875" style="311" customWidth="1" outlineLevel="1"/>
    <col min="123" max="123" width="10" style="403" customWidth="1"/>
    <col min="124" max="124" width="2.6640625" style="403" customWidth="1"/>
    <col min="125" max="128" width="10" style="311" customWidth="1"/>
    <col min="129" max="129" width="10" style="403" customWidth="1"/>
    <col min="130" max="130" width="2.6640625" style="403" customWidth="1"/>
    <col min="131" max="134" width="10" style="311" customWidth="1"/>
    <col min="135" max="136" width="7.6640625" style="403" customWidth="1"/>
    <col min="137" max="140" width="10" style="311" customWidth="1"/>
    <col min="141" max="142" width="10" style="407" customWidth="1"/>
    <col min="143" max="143" width="23.6640625" style="413" customWidth="1"/>
    <col min="144" max="144" width="68" style="311" customWidth="1"/>
    <col min="145" max="146" width="10.5546875" style="311"/>
    <col min="147" max="147" width="0" style="311" hidden="1" customWidth="1" outlineLevel="1"/>
    <col min="148" max="156" width="10.5546875" style="311" hidden="1" customWidth="1" outlineLevel="1"/>
    <col min="157" max="160" width="0" style="311" hidden="1" customWidth="1" outlineLevel="1"/>
    <col min="161" max="161" width="11.44140625" style="311" customWidth="1" collapsed="1"/>
    <col min="162" max="171" width="11.88671875" style="311" customWidth="1"/>
    <col min="172" max="172" width="11.88671875" style="407" hidden="1" customWidth="1"/>
    <col min="173" max="174" width="11.88671875" style="311" hidden="1" customWidth="1"/>
    <col min="175" max="16384" width="10.5546875" style="311"/>
  </cols>
  <sheetData>
    <row r="1" spans="1:177" ht="17.399999999999999" x14ac:dyDescent="0.3">
      <c r="A1" s="416" t="str">
        <f>Cover!$E$12</f>
        <v>ASML Holdings NV</v>
      </c>
      <c r="B1" s="419"/>
      <c r="C1" s="420"/>
      <c r="D1" s="420"/>
      <c r="E1" s="421"/>
      <c r="F1" s="421"/>
      <c r="G1" s="421"/>
      <c r="H1" s="421"/>
      <c r="I1" s="421"/>
      <c r="J1" s="421"/>
      <c r="K1" s="421"/>
      <c r="L1" s="421"/>
      <c r="M1" s="421"/>
      <c r="N1" s="421"/>
      <c r="O1" s="421"/>
      <c r="P1" s="421"/>
      <c r="Q1" s="421"/>
      <c r="R1" s="421"/>
      <c r="S1" s="421"/>
      <c r="T1" s="421"/>
      <c r="U1" s="421"/>
      <c r="V1" s="421"/>
      <c r="W1" s="421"/>
      <c r="X1" s="421"/>
      <c r="Y1" s="421"/>
      <c r="Z1" s="421"/>
      <c r="AA1" s="421"/>
      <c r="AB1" s="421"/>
      <c r="AC1" s="421"/>
      <c r="AD1" s="421"/>
      <c r="AE1" s="421"/>
      <c r="AF1" s="421"/>
      <c r="AG1" s="421"/>
      <c r="AH1" s="419"/>
      <c r="AI1" s="421"/>
      <c r="AJ1" s="421"/>
      <c r="AK1" s="421"/>
      <c r="AL1" s="421"/>
      <c r="AM1" s="421"/>
      <c r="AN1" s="421"/>
      <c r="AO1" s="421"/>
      <c r="AP1" s="421"/>
      <c r="AQ1" s="421"/>
      <c r="AR1" s="421"/>
      <c r="AS1" s="421"/>
      <c r="AT1" s="421"/>
      <c r="AU1" s="421"/>
      <c r="AV1" s="421"/>
      <c r="AW1" s="421"/>
      <c r="AX1" s="421"/>
      <c r="AY1" s="421"/>
      <c r="AZ1" s="421"/>
      <c r="BA1" s="421"/>
      <c r="BB1" s="421"/>
      <c r="BC1" s="421"/>
      <c r="BD1" s="421"/>
      <c r="BE1" s="421"/>
      <c r="BF1" s="421"/>
      <c r="BG1" s="422"/>
      <c r="BH1" s="422"/>
      <c r="BI1" s="422"/>
      <c r="BJ1" s="422"/>
      <c r="BK1" s="422"/>
      <c r="BL1" s="421"/>
      <c r="BM1" s="422"/>
      <c r="BN1" s="422"/>
      <c r="BO1" s="422"/>
      <c r="BP1" s="422"/>
      <c r="BQ1" s="422"/>
      <c r="BR1" s="421"/>
      <c r="BS1" s="422"/>
      <c r="BT1" s="422"/>
      <c r="BU1" s="422"/>
      <c r="BV1" s="422"/>
      <c r="BW1" s="422"/>
      <c r="BX1" s="419"/>
      <c r="BY1" s="422"/>
      <c r="BZ1" s="422"/>
      <c r="CA1" s="422"/>
      <c r="CB1" s="422"/>
      <c r="CC1" s="422"/>
      <c r="CD1" s="419"/>
      <c r="CE1" s="422"/>
      <c r="CF1" s="422"/>
      <c r="CG1" s="422"/>
      <c r="CH1" s="422"/>
      <c r="CI1" s="422"/>
      <c r="CJ1" s="419"/>
      <c r="CK1" s="419"/>
      <c r="CL1" s="419"/>
      <c r="CM1" s="419"/>
      <c r="CN1" s="419"/>
      <c r="CO1" s="419"/>
      <c r="CP1" s="419"/>
      <c r="CQ1" s="419"/>
      <c r="CR1" s="419"/>
      <c r="CS1" s="419"/>
      <c r="CT1" s="419"/>
      <c r="CU1" s="419"/>
      <c r="CV1" s="419"/>
      <c r="CW1" s="419"/>
      <c r="CX1" s="419"/>
      <c r="CY1" s="419"/>
      <c r="CZ1" s="419"/>
      <c r="DA1" s="423"/>
      <c r="DB1" s="799"/>
      <c r="DC1" s="419"/>
      <c r="DD1" s="419"/>
      <c r="DE1" s="419"/>
      <c r="DF1" s="419"/>
      <c r="DG1" s="799"/>
      <c r="DH1" s="799"/>
      <c r="DI1" s="419"/>
      <c r="DJ1" s="419"/>
      <c r="DK1" s="419"/>
      <c r="DL1" s="419"/>
      <c r="DM1" s="798"/>
      <c r="DN1" s="799"/>
      <c r="DO1" s="328"/>
      <c r="DP1" s="328"/>
      <c r="DQ1" s="328"/>
      <c r="DR1" s="328"/>
      <c r="DS1" s="798"/>
      <c r="DT1" s="798"/>
      <c r="DU1" s="328"/>
      <c r="DV1" s="328"/>
      <c r="DW1" s="328"/>
      <c r="DX1" s="328"/>
      <c r="DY1" s="798"/>
      <c r="DZ1" s="825"/>
      <c r="EA1" s="328"/>
      <c r="EB1" s="328"/>
      <c r="EC1" s="328"/>
      <c r="ED1" s="328"/>
      <c r="EE1" s="798"/>
      <c r="EF1" s="825"/>
      <c r="EG1" s="328">
        <f>EG10</f>
        <v>8766.5</v>
      </c>
      <c r="EH1" s="328">
        <f t="shared" ref="EH1:EL1" si="0">EH10</f>
        <v>8339.4</v>
      </c>
      <c r="EI1" s="328">
        <f t="shared" si="0"/>
        <v>10142.5</v>
      </c>
      <c r="EJ1" s="328">
        <f t="shared" si="0"/>
        <v>10425.194999999996</v>
      </c>
      <c r="EK1" s="328">
        <f t="shared" si="0"/>
        <v>37673.594999999994</v>
      </c>
      <c r="EL1" s="328">
        <f t="shared" si="0"/>
        <v>48011.947549999997</v>
      </c>
      <c r="EM1" s="425"/>
      <c r="EN1" s="419"/>
      <c r="EO1" s="419"/>
      <c r="EP1" s="419"/>
      <c r="EQ1" s="419"/>
      <c r="ER1" s="419"/>
      <c r="ES1" s="419"/>
      <c r="ET1" s="419"/>
      <c r="EU1" s="419"/>
      <c r="EV1" s="419"/>
      <c r="EW1" s="419"/>
      <c r="EX1" s="419"/>
      <c r="EY1" s="419"/>
      <c r="EZ1" s="419"/>
      <c r="FA1" s="419"/>
      <c r="FB1" s="419"/>
      <c r="FC1" s="419"/>
      <c r="FD1" s="419"/>
      <c r="FE1" s="419"/>
      <c r="FF1" s="419"/>
      <c r="FG1" s="419"/>
      <c r="FH1" s="419"/>
      <c r="FI1" s="419"/>
      <c r="FJ1" s="419"/>
      <c r="FK1" s="426"/>
      <c r="FL1" s="426"/>
      <c r="FM1" s="426"/>
      <c r="FN1" s="426"/>
      <c r="FO1" s="426"/>
      <c r="FP1" s="426"/>
      <c r="FQ1" s="426"/>
      <c r="FR1" s="426"/>
    </row>
    <row r="2" spans="1:177" ht="15.6" x14ac:dyDescent="0.3">
      <c r="A2" s="417" t="s">
        <v>651</v>
      </c>
      <c r="B2" s="419"/>
      <c r="C2" s="420"/>
      <c r="D2" s="420"/>
      <c r="E2" s="420"/>
      <c r="F2" s="420"/>
      <c r="G2" s="420"/>
      <c r="H2" s="420"/>
      <c r="I2" s="420"/>
      <c r="J2" s="420"/>
      <c r="K2" s="420"/>
      <c r="L2" s="420"/>
      <c r="M2" s="420"/>
      <c r="N2" s="420"/>
      <c r="O2" s="420"/>
      <c r="P2" s="420"/>
      <c r="Q2" s="420"/>
      <c r="R2" s="420"/>
      <c r="S2" s="427"/>
      <c r="T2" s="420"/>
      <c r="U2" s="420"/>
      <c r="V2" s="419"/>
      <c r="W2" s="420"/>
      <c r="X2" s="420"/>
      <c r="Y2" s="427"/>
      <c r="Z2" s="420"/>
      <c r="AA2" s="420"/>
      <c r="AB2" s="419"/>
      <c r="AC2" s="420"/>
      <c r="AD2" s="420"/>
      <c r="AE2" s="427"/>
      <c r="AF2" s="420"/>
      <c r="AG2" s="420"/>
      <c r="AH2" s="419"/>
      <c r="AI2" s="420"/>
      <c r="AJ2" s="420"/>
      <c r="AK2" s="420"/>
      <c r="AL2" s="420"/>
      <c r="AM2" s="420"/>
      <c r="AN2" s="419"/>
      <c r="AO2" s="420"/>
      <c r="AP2" s="420"/>
      <c r="AQ2" s="420"/>
      <c r="AR2" s="420"/>
      <c r="AS2" s="420"/>
      <c r="AT2" s="419"/>
      <c r="AU2" s="420"/>
      <c r="AV2" s="420"/>
      <c r="AW2" s="420"/>
      <c r="AX2" s="420"/>
      <c r="AY2" s="420"/>
      <c r="AZ2" s="419"/>
      <c r="BA2" s="420"/>
      <c r="BB2" s="420"/>
      <c r="BC2" s="420"/>
      <c r="BD2" s="420"/>
      <c r="BE2" s="420"/>
      <c r="BF2" s="419"/>
      <c r="BG2" s="420"/>
      <c r="BH2" s="420"/>
      <c r="BI2" s="420"/>
      <c r="BJ2" s="420"/>
      <c r="BK2" s="420"/>
      <c r="BL2" s="419"/>
      <c r="BM2" s="420"/>
      <c r="BN2" s="420"/>
      <c r="BO2" s="420"/>
      <c r="BP2" s="420"/>
      <c r="BQ2" s="420"/>
      <c r="BR2" s="419"/>
      <c r="BS2" s="420"/>
      <c r="BT2" s="420"/>
      <c r="BU2" s="420"/>
      <c r="BV2" s="420"/>
      <c r="BW2" s="420"/>
      <c r="BX2" s="419"/>
      <c r="BY2" s="420"/>
      <c r="BZ2" s="420"/>
      <c r="CA2" s="420"/>
      <c r="CB2" s="420"/>
      <c r="CC2" s="420"/>
      <c r="CD2" s="419"/>
      <c r="CE2" s="419"/>
      <c r="CF2" s="420"/>
      <c r="CG2" s="420"/>
      <c r="CH2" s="420"/>
      <c r="CI2" s="420"/>
      <c r="CJ2" s="419"/>
      <c r="CK2" s="419"/>
      <c r="CL2" s="419"/>
      <c r="CM2" s="419"/>
      <c r="CN2" s="419"/>
      <c r="CO2" s="419"/>
      <c r="CP2" s="419"/>
      <c r="CQ2" s="419"/>
      <c r="CR2" s="419"/>
      <c r="CS2" s="419"/>
      <c r="CT2" s="419"/>
      <c r="CU2" s="419"/>
      <c r="CV2" s="419"/>
      <c r="CW2" s="419"/>
      <c r="CX2" s="419"/>
      <c r="CY2" s="419"/>
      <c r="CZ2" s="419"/>
      <c r="DA2" s="423"/>
      <c r="DB2" s="799"/>
      <c r="DC2" s="419"/>
      <c r="DD2" s="419"/>
      <c r="DE2" s="419"/>
      <c r="DF2" s="419"/>
      <c r="DG2" s="799"/>
      <c r="DH2" s="799"/>
      <c r="DI2" s="419"/>
      <c r="DJ2" s="419"/>
      <c r="DK2" s="419"/>
      <c r="DL2" s="419"/>
      <c r="DM2" s="799"/>
      <c r="DN2" s="799"/>
      <c r="DO2" s="419"/>
      <c r="DP2" s="419"/>
      <c r="DQ2" s="419"/>
      <c r="DR2" s="419"/>
      <c r="DS2" s="799"/>
      <c r="DT2" s="799"/>
      <c r="DU2" s="419"/>
      <c r="DV2" s="419"/>
      <c r="DW2" s="419"/>
      <c r="DX2" s="419"/>
      <c r="DY2" s="799"/>
      <c r="DZ2" s="799"/>
      <c r="EA2" s="419"/>
      <c r="EB2" s="419"/>
      <c r="EC2" s="419"/>
      <c r="ED2" s="419"/>
      <c r="EE2" s="799"/>
      <c r="EF2" s="799"/>
      <c r="EG2" s="419"/>
      <c r="EH2" s="419"/>
      <c r="EI2" s="419"/>
      <c r="EJ2" s="419"/>
      <c r="EK2" s="423"/>
      <c r="EL2" s="428"/>
      <c r="EM2" s="429"/>
      <c r="EN2" s="419"/>
      <c r="EO2" s="419"/>
      <c r="EP2" s="419"/>
      <c r="EQ2" s="419"/>
      <c r="ER2" s="430" t="s">
        <v>358</v>
      </c>
      <c r="ES2" s="430" t="s">
        <v>357</v>
      </c>
      <c r="ET2" s="430" t="s">
        <v>356</v>
      </c>
      <c r="EU2" s="430" t="s">
        <v>355</v>
      </c>
      <c r="EV2" s="430" t="s">
        <v>354</v>
      </c>
      <c r="EW2" s="430" t="s">
        <v>353</v>
      </c>
      <c r="EX2" s="430" t="s">
        <v>352</v>
      </c>
      <c r="EY2" s="430" t="s">
        <v>351</v>
      </c>
      <c r="EZ2" s="430" t="s">
        <v>350</v>
      </c>
      <c r="FA2" s="430" t="s">
        <v>349</v>
      </c>
      <c r="FB2" s="430" t="s">
        <v>348</v>
      </c>
      <c r="FC2" s="430" t="s">
        <v>347</v>
      </c>
      <c r="FD2" s="430" t="s">
        <v>346</v>
      </c>
      <c r="FE2" s="430" t="s">
        <v>299</v>
      </c>
      <c r="FF2" s="430" t="s">
        <v>298</v>
      </c>
      <c r="FG2" s="430" t="s">
        <v>297</v>
      </c>
      <c r="FH2" s="430" t="s">
        <v>296</v>
      </c>
      <c r="FI2" s="430" t="s">
        <v>295</v>
      </c>
      <c r="FJ2" s="430" t="s">
        <v>294</v>
      </c>
      <c r="FK2" s="430" t="s">
        <v>293</v>
      </c>
      <c r="FL2" s="430" t="s">
        <v>594</v>
      </c>
      <c r="FM2" s="430" t="s">
        <v>610</v>
      </c>
      <c r="FN2" s="431" t="s">
        <v>660</v>
      </c>
      <c r="FO2" s="431" t="s">
        <v>724</v>
      </c>
      <c r="FP2" s="421"/>
      <c r="FQ2" s="421"/>
      <c r="FR2" s="421"/>
    </row>
    <row r="3" spans="1:177" ht="15" x14ac:dyDescent="0.25">
      <c r="A3" s="418" t="s">
        <v>151</v>
      </c>
      <c r="B3" s="432"/>
      <c r="C3" s="420"/>
      <c r="D3" s="420"/>
      <c r="E3" s="433" t="s">
        <v>292</v>
      </c>
      <c r="F3" s="433" t="s">
        <v>291</v>
      </c>
      <c r="G3" s="433" t="s">
        <v>290</v>
      </c>
      <c r="H3" s="433" t="s">
        <v>289</v>
      </c>
      <c r="I3" s="433">
        <v>2004</v>
      </c>
      <c r="J3" s="420"/>
      <c r="K3" s="433" t="s">
        <v>288</v>
      </c>
      <c r="L3" s="433" t="s">
        <v>287</v>
      </c>
      <c r="M3" s="433" t="s">
        <v>286</v>
      </c>
      <c r="N3" s="433" t="s">
        <v>285</v>
      </c>
      <c r="O3" s="433">
        <v>2005</v>
      </c>
      <c r="P3" s="420"/>
      <c r="Q3" s="433" t="s">
        <v>284</v>
      </c>
      <c r="R3" s="433" t="s">
        <v>283</v>
      </c>
      <c r="S3" s="433" t="s">
        <v>282</v>
      </c>
      <c r="T3" s="433" t="s">
        <v>281</v>
      </c>
      <c r="U3" s="433">
        <v>2006</v>
      </c>
      <c r="V3" s="419"/>
      <c r="W3" s="433" t="s">
        <v>280</v>
      </c>
      <c r="X3" s="433" t="s">
        <v>279</v>
      </c>
      <c r="Y3" s="433" t="s">
        <v>278</v>
      </c>
      <c r="Z3" s="433" t="s">
        <v>277</v>
      </c>
      <c r="AA3" s="433">
        <v>2007</v>
      </c>
      <c r="AB3" s="419"/>
      <c r="AC3" s="433" t="s">
        <v>276</v>
      </c>
      <c r="AD3" s="433" t="s">
        <v>275</v>
      </c>
      <c r="AE3" s="433" t="s">
        <v>274</v>
      </c>
      <c r="AF3" s="433" t="s">
        <v>273</v>
      </c>
      <c r="AG3" s="433">
        <v>2008</v>
      </c>
      <c r="AH3" s="419"/>
      <c r="AI3" s="433" t="s">
        <v>272</v>
      </c>
      <c r="AJ3" s="433" t="s">
        <v>271</v>
      </c>
      <c r="AK3" s="433" t="s">
        <v>270</v>
      </c>
      <c r="AL3" s="433" t="s">
        <v>269</v>
      </c>
      <c r="AM3" s="433">
        <v>2009</v>
      </c>
      <c r="AN3" s="419"/>
      <c r="AO3" s="433" t="s">
        <v>268</v>
      </c>
      <c r="AP3" s="433" t="s">
        <v>267</v>
      </c>
      <c r="AQ3" s="433" t="s">
        <v>266</v>
      </c>
      <c r="AR3" s="433" t="s">
        <v>265</v>
      </c>
      <c r="AS3" s="433">
        <v>2010</v>
      </c>
      <c r="AT3" s="419"/>
      <c r="AU3" s="433" t="s">
        <v>264</v>
      </c>
      <c r="AV3" s="433" t="s">
        <v>263</v>
      </c>
      <c r="AW3" s="434" t="s">
        <v>262</v>
      </c>
      <c r="AX3" s="433" t="s">
        <v>261</v>
      </c>
      <c r="AY3" s="433">
        <v>2011</v>
      </c>
      <c r="AZ3" s="419"/>
      <c r="BA3" s="433" t="s">
        <v>150</v>
      </c>
      <c r="BB3" s="433" t="s">
        <v>149</v>
      </c>
      <c r="BC3" s="433" t="s">
        <v>148</v>
      </c>
      <c r="BD3" s="433" t="s">
        <v>147</v>
      </c>
      <c r="BE3" s="433">
        <v>2012</v>
      </c>
      <c r="BF3" s="419"/>
      <c r="BG3" s="433" t="s">
        <v>146</v>
      </c>
      <c r="BH3" s="433" t="s">
        <v>145</v>
      </c>
      <c r="BI3" s="433" t="s">
        <v>144</v>
      </c>
      <c r="BJ3" s="433" t="s">
        <v>143</v>
      </c>
      <c r="BK3" s="433">
        <v>2013</v>
      </c>
      <c r="BL3" s="419"/>
      <c r="BM3" s="433" t="s">
        <v>142</v>
      </c>
      <c r="BN3" s="433" t="s">
        <v>141</v>
      </c>
      <c r="BO3" s="433" t="s">
        <v>140</v>
      </c>
      <c r="BP3" s="433" t="s">
        <v>139</v>
      </c>
      <c r="BQ3" s="433">
        <v>2014</v>
      </c>
      <c r="BR3" s="419"/>
      <c r="BS3" s="433" t="s">
        <v>138</v>
      </c>
      <c r="BT3" s="433" t="s">
        <v>137</v>
      </c>
      <c r="BU3" s="433" t="s">
        <v>136</v>
      </c>
      <c r="BV3" s="433" t="s">
        <v>135</v>
      </c>
      <c r="BW3" s="433">
        <v>2015</v>
      </c>
      <c r="BX3" s="419"/>
      <c r="BY3" s="433" t="s">
        <v>134</v>
      </c>
      <c r="BZ3" s="433" t="s">
        <v>133</v>
      </c>
      <c r="CA3" s="433" t="s">
        <v>132</v>
      </c>
      <c r="CB3" s="433" t="s">
        <v>131</v>
      </c>
      <c r="CC3" s="433">
        <v>2016</v>
      </c>
      <c r="CD3" s="419"/>
      <c r="CE3" s="433" t="s">
        <v>130</v>
      </c>
      <c r="CF3" s="433" t="s">
        <v>129</v>
      </c>
      <c r="CG3" s="433" t="s">
        <v>128</v>
      </c>
      <c r="CH3" s="433" t="s">
        <v>127</v>
      </c>
      <c r="CI3" s="433">
        <v>2017</v>
      </c>
      <c r="CJ3" s="419"/>
      <c r="CK3" s="433" t="s">
        <v>126</v>
      </c>
      <c r="CL3" s="433" t="s">
        <v>125</v>
      </c>
      <c r="CM3" s="433" t="s">
        <v>124</v>
      </c>
      <c r="CN3" s="433" t="s">
        <v>123</v>
      </c>
      <c r="CO3" s="433">
        <v>2018</v>
      </c>
      <c r="CP3" s="420"/>
      <c r="CQ3" s="433" t="s">
        <v>122</v>
      </c>
      <c r="CR3" s="433" t="s">
        <v>121</v>
      </c>
      <c r="CS3" s="433" t="s">
        <v>120</v>
      </c>
      <c r="CT3" s="433" t="s">
        <v>119</v>
      </c>
      <c r="CU3" s="435">
        <v>2019</v>
      </c>
      <c r="CV3" s="419"/>
      <c r="CW3" s="433" t="s">
        <v>118</v>
      </c>
      <c r="CX3" s="433" t="s">
        <v>117</v>
      </c>
      <c r="CY3" s="433" t="s">
        <v>116</v>
      </c>
      <c r="CZ3" s="433" t="s">
        <v>115</v>
      </c>
      <c r="DA3" s="436">
        <v>2020</v>
      </c>
      <c r="DB3" s="799"/>
      <c r="DC3" s="433" t="s">
        <v>114</v>
      </c>
      <c r="DD3" s="433" t="s">
        <v>113</v>
      </c>
      <c r="DE3" s="433" t="s">
        <v>112</v>
      </c>
      <c r="DF3" s="433" t="s">
        <v>111</v>
      </c>
      <c r="DG3" s="838">
        <v>2021</v>
      </c>
      <c r="DH3" s="799"/>
      <c r="DI3" s="433" t="s">
        <v>110</v>
      </c>
      <c r="DJ3" s="433" t="s">
        <v>109</v>
      </c>
      <c r="DK3" s="433" t="s">
        <v>108</v>
      </c>
      <c r="DL3" s="434" t="s">
        <v>107</v>
      </c>
      <c r="DM3" s="821">
        <v>2022</v>
      </c>
      <c r="DN3" s="799"/>
      <c r="DO3" s="433" t="s">
        <v>588</v>
      </c>
      <c r="DP3" s="433" t="s">
        <v>598</v>
      </c>
      <c r="DQ3" s="433" t="s">
        <v>600</v>
      </c>
      <c r="DR3" s="433" t="s">
        <v>601</v>
      </c>
      <c r="DS3" s="821">
        <v>2023</v>
      </c>
      <c r="DT3" s="821"/>
      <c r="DU3" s="433" t="s">
        <v>602</v>
      </c>
      <c r="DV3" s="433" t="s">
        <v>603</v>
      </c>
      <c r="DW3" s="433" t="s">
        <v>604</v>
      </c>
      <c r="DX3" s="433" t="s">
        <v>605</v>
      </c>
      <c r="DY3" s="821">
        <v>2024</v>
      </c>
      <c r="DZ3" s="799"/>
      <c r="EA3" s="433" t="s">
        <v>669</v>
      </c>
      <c r="EB3" s="433" t="s">
        <v>670</v>
      </c>
      <c r="EC3" s="433" t="s">
        <v>678</v>
      </c>
      <c r="ED3" s="433" t="s">
        <v>758</v>
      </c>
      <c r="EE3" s="821">
        <v>2025</v>
      </c>
      <c r="EF3" s="799"/>
      <c r="EG3" s="433" t="s">
        <v>759</v>
      </c>
      <c r="EH3" s="437" t="s">
        <v>637</v>
      </c>
      <c r="EI3" s="437" t="s">
        <v>638</v>
      </c>
      <c r="EJ3" s="437" t="s">
        <v>639</v>
      </c>
      <c r="EK3" s="438" t="s">
        <v>575</v>
      </c>
      <c r="EL3" s="439" t="s">
        <v>576</v>
      </c>
      <c r="EM3" s="440"/>
      <c r="EN3" s="441" t="s">
        <v>370</v>
      </c>
      <c r="EO3" s="441"/>
      <c r="EP3" s="442"/>
      <c r="EQ3" s="442"/>
      <c r="ER3" s="421">
        <v>2004</v>
      </c>
      <c r="ES3" s="421">
        <v>2005</v>
      </c>
      <c r="ET3" s="421">
        <v>2006</v>
      </c>
      <c r="EU3" s="421">
        <v>2007</v>
      </c>
      <c r="EV3" s="421">
        <v>2008</v>
      </c>
      <c r="EW3" s="421">
        <v>2009</v>
      </c>
      <c r="EX3" s="421">
        <v>2010</v>
      </c>
      <c r="EY3" s="421">
        <v>2011</v>
      </c>
      <c r="EZ3" s="421">
        <v>2012</v>
      </c>
      <c r="FA3" s="421">
        <v>2013</v>
      </c>
      <c r="FB3" s="421">
        <v>2014</v>
      </c>
      <c r="FC3" s="421">
        <v>2015</v>
      </c>
      <c r="FD3" s="421">
        <v>2016</v>
      </c>
      <c r="FE3" s="421">
        <v>2017</v>
      </c>
      <c r="FF3" s="421">
        <v>2018</v>
      </c>
      <c r="FG3" s="421">
        <v>2019</v>
      </c>
      <c r="FH3" s="421">
        <v>2020</v>
      </c>
      <c r="FI3" s="421">
        <v>2021</v>
      </c>
      <c r="FJ3" s="421">
        <v>2022</v>
      </c>
      <c r="FK3" s="421">
        <v>2023</v>
      </c>
      <c r="FL3" s="421">
        <v>2024</v>
      </c>
      <c r="FM3" s="443" t="s">
        <v>518</v>
      </c>
      <c r="FN3" s="443" t="s">
        <v>575</v>
      </c>
      <c r="FO3" s="443" t="s">
        <v>576</v>
      </c>
      <c r="FP3" s="443" t="s">
        <v>577</v>
      </c>
      <c r="FQ3" s="443" t="s">
        <v>578</v>
      </c>
      <c r="FR3" s="443" t="s">
        <v>579</v>
      </c>
      <c r="FU3" s="444"/>
    </row>
    <row r="4" spans="1:177" ht="12" x14ac:dyDescent="0.25">
      <c r="DZ4" s="800"/>
      <c r="EA4" s="445"/>
      <c r="EB4" s="445"/>
      <c r="EC4" s="445"/>
      <c r="ED4" s="445"/>
      <c r="EE4" s="800"/>
      <c r="FP4" s="311"/>
    </row>
    <row r="5" spans="1:177" ht="12" x14ac:dyDescent="0.25">
      <c r="DZ5" s="800"/>
      <c r="EA5" s="445"/>
      <c r="EB5" s="445"/>
      <c r="EC5" s="445"/>
      <c r="ED5" s="445"/>
      <c r="EE5" s="800"/>
      <c r="FP5" s="311"/>
    </row>
    <row r="6" spans="1:177" ht="15" customHeight="1" x14ac:dyDescent="0.25">
      <c r="A6" s="415" t="s">
        <v>725</v>
      </c>
      <c r="B6" s="415"/>
      <c r="C6" s="415"/>
      <c r="D6" s="415"/>
      <c r="E6" s="415"/>
      <c r="F6" s="415"/>
      <c r="G6" s="415"/>
      <c r="H6" s="415"/>
      <c r="I6" s="415"/>
      <c r="J6" s="415"/>
      <c r="K6" s="415"/>
      <c r="L6" s="415"/>
      <c r="M6" s="415"/>
      <c r="N6" s="415"/>
      <c r="O6" s="415"/>
      <c r="P6" s="415"/>
      <c r="Q6" s="415"/>
      <c r="R6" s="415"/>
      <c r="S6" s="415"/>
      <c r="T6" s="415"/>
      <c r="U6" s="415"/>
      <c r="V6" s="415"/>
      <c r="W6" s="415"/>
      <c r="X6" s="415"/>
      <c r="Y6" s="415"/>
      <c r="Z6" s="415"/>
      <c r="AA6" s="415"/>
      <c r="AB6" s="415"/>
      <c r="AC6" s="415"/>
      <c r="AD6" s="415"/>
      <c r="AE6" s="415"/>
      <c r="AF6" s="415"/>
      <c r="AG6" s="415"/>
      <c r="AH6" s="415"/>
      <c r="AI6" s="415"/>
      <c r="AJ6" s="415"/>
      <c r="AK6" s="415"/>
      <c r="AL6" s="415"/>
      <c r="AM6" s="415"/>
      <c r="AN6" s="415"/>
      <c r="AO6" s="415"/>
      <c r="AP6" s="415"/>
      <c r="AQ6" s="415"/>
      <c r="AR6" s="415"/>
      <c r="AS6" s="415"/>
      <c r="AT6" s="415"/>
      <c r="AU6" s="415"/>
      <c r="AV6" s="415"/>
      <c r="AW6" s="415"/>
      <c r="AX6" s="415"/>
      <c r="AY6" s="415"/>
      <c r="AZ6" s="415"/>
      <c r="BA6" s="415"/>
      <c r="BB6" s="415"/>
      <c r="BC6" s="415"/>
      <c r="BD6" s="415"/>
      <c r="BE6" s="415"/>
      <c r="BF6" s="415"/>
      <c r="BG6" s="415"/>
      <c r="BH6" s="415"/>
      <c r="BI6" s="415"/>
      <c r="BJ6" s="415"/>
      <c r="BK6" s="415"/>
      <c r="BL6" s="415"/>
      <c r="BM6" s="415"/>
      <c r="BN6" s="415"/>
      <c r="BO6" s="415"/>
      <c r="BP6" s="415"/>
      <c r="BQ6" s="415"/>
      <c r="BR6" s="415"/>
      <c r="BS6" s="415"/>
      <c r="BT6" s="415"/>
      <c r="BU6" s="415"/>
      <c r="BV6" s="415"/>
      <c r="BW6" s="415"/>
      <c r="BX6" s="415"/>
      <c r="BY6" s="415"/>
      <c r="BZ6" s="415"/>
      <c r="CA6" s="415"/>
      <c r="CB6" s="415"/>
      <c r="CC6" s="415"/>
      <c r="CD6" s="415"/>
      <c r="CE6" s="415"/>
      <c r="CF6" s="415"/>
      <c r="CG6" s="415"/>
      <c r="CH6" s="415"/>
      <c r="CI6" s="415"/>
      <c r="CJ6" s="415"/>
      <c r="CK6" s="415"/>
      <c r="CL6" s="415"/>
      <c r="CM6" s="415"/>
      <c r="CN6" s="415"/>
      <c r="CO6" s="415"/>
      <c r="CP6" s="415"/>
      <c r="CQ6" s="415"/>
      <c r="CR6" s="415"/>
      <c r="CS6" s="415"/>
      <c r="CT6" s="415"/>
      <c r="CU6" s="415"/>
      <c r="CV6" s="415"/>
      <c r="CW6" s="415"/>
      <c r="CX6" s="415"/>
      <c r="CY6" s="415"/>
      <c r="CZ6" s="415"/>
      <c r="DA6" s="755"/>
      <c r="DB6" s="728"/>
      <c r="DC6" s="415"/>
      <c r="DD6" s="415"/>
      <c r="DE6" s="415"/>
      <c r="DF6" s="415"/>
      <c r="DG6" s="415"/>
      <c r="DH6" s="728"/>
      <c r="DI6" s="415"/>
      <c r="DJ6" s="415"/>
      <c r="DK6" s="415"/>
      <c r="DL6" s="415"/>
      <c r="DM6" s="728"/>
      <c r="DN6" s="728"/>
      <c r="DO6" s="415"/>
      <c r="DP6" s="415"/>
      <c r="DQ6" s="415"/>
      <c r="DR6" s="415"/>
      <c r="DS6" s="728"/>
      <c r="DT6" s="728"/>
      <c r="DU6" s="415"/>
      <c r="DV6" s="415"/>
      <c r="DW6" s="415"/>
      <c r="DX6" s="415"/>
      <c r="DY6" s="728"/>
      <c r="DZ6" s="728"/>
      <c r="EA6" s="415"/>
      <c r="EB6" s="415"/>
      <c r="EC6" s="415"/>
      <c r="ED6" s="415"/>
      <c r="EE6" s="728"/>
      <c r="EF6" s="728"/>
      <c r="EG6" s="415"/>
      <c r="EH6" s="415"/>
      <c r="EI6" s="415"/>
      <c r="EJ6" s="415"/>
      <c r="EK6" s="755"/>
      <c r="EL6" s="755"/>
      <c r="EM6" s="447"/>
      <c r="EN6" s="333"/>
      <c r="EO6" s="333"/>
      <c r="ER6" s="446">
        <f t="shared" ref="ER6:FD6" si="1">ER$3</f>
        <v>2004</v>
      </c>
      <c r="ES6" s="446">
        <f t="shared" si="1"/>
        <v>2005</v>
      </c>
      <c r="ET6" s="446">
        <f t="shared" si="1"/>
        <v>2006</v>
      </c>
      <c r="EU6" s="446">
        <f t="shared" si="1"/>
        <v>2007</v>
      </c>
      <c r="EV6" s="446">
        <f t="shared" si="1"/>
        <v>2008</v>
      </c>
      <c r="EW6" s="446">
        <f t="shared" si="1"/>
        <v>2009</v>
      </c>
      <c r="EX6" s="446">
        <f t="shared" si="1"/>
        <v>2010</v>
      </c>
      <c r="EY6" s="446">
        <f t="shared" si="1"/>
        <v>2011</v>
      </c>
      <c r="EZ6" s="446">
        <f t="shared" si="1"/>
        <v>2012</v>
      </c>
      <c r="FA6" s="446">
        <f t="shared" si="1"/>
        <v>2013</v>
      </c>
      <c r="FB6" s="446">
        <f t="shared" si="1"/>
        <v>2014</v>
      </c>
      <c r="FC6" s="446">
        <f t="shared" si="1"/>
        <v>2015</v>
      </c>
      <c r="FD6" s="446">
        <f t="shared" si="1"/>
        <v>2016</v>
      </c>
      <c r="FE6" s="415"/>
      <c r="FF6" s="415"/>
      <c r="FG6" s="415"/>
      <c r="FH6" s="415"/>
      <c r="FI6" s="415"/>
      <c r="FJ6" s="415"/>
      <c r="FK6" s="415"/>
      <c r="FL6" s="415"/>
      <c r="FM6" s="415"/>
      <c r="FN6" s="415"/>
      <c r="FO6" s="415"/>
      <c r="FP6" s="415"/>
      <c r="FQ6" s="415"/>
      <c r="FR6" s="415"/>
    </row>
    <row r="7" spans="1:177" x14ac:dyDescent="0.2">
      <c r="FP7" s="311"/>
    </row>
    <row r="8" spans="1:177" ht="12" x14ac:dyDescent="0.25">
      <c r="B8" s="325" t="s">
        <v>260</v>
      </c>
      <c r="D8" s="448"/>
      <c r="E8" s="310"/>
      <c r="F8" s="310"/>
      <c r="G8" s="310"/>
      <c r="H8" s="449">
        <v>709.83900000000006</v>
      </c>
      <c r="I8" s="449">
        <v>2174.9079999999999</v>
      </c>
      <c r="J8" s="445"/>
      <c r="K8" s="449">
        <v>632.13499999999999</v>
      </c>
      <c r="L8" s="449">
        <v>680.53399999999999</v>
      </c>
      <c r="M8" s="449">
        <v>458.99200000000002</v>
      </c>
      <c r="N8" s="310">
        <f>O8-M8-L8-K8</f>
        <v>456.01700000000005</v>
      </c>
      <c r="O8" s="449">
        <v>2227.6779999999999</v>
      </c>
      <c r="P8" s="445"/>
      <c r="Q8" s="449">
        <v>553.101</v>
      </c>
      <c r="R8" s="449">
        <v>840.81700000000001</v>
      </c>
      <c r="S8" s="449">
        <v>856.55600000000004</v>
      </c>
      <c r="T8" s="310">
        <f>U8-S8-R8-Q8</f>
        <v>978.59100000000001</v>
      </c>
      <c r="U8" s="449">
        <v>3229.0650000000001</v>
      </c>
      <c r="W8" s="449">
        <v>858.94799999999998</v>
      </c>
      <c r="X8" s="449">
        <v>825.81700000000001</v>
      </c>
      <c r="Y8" s="449">
        <v>843.23199999999997</v>
      </c>
      <c r="Z8" s="449">
        <v>852.82399999999996</v>
      </c>
      <c r="AA8" s="449">
        <v>3380.8209999999999</v>
      </c>
      <c r="AC8" s="449">
        <v>819.98599999999999</v>
      </c>
      <c r="AD8" s="449">
        <v>725.58600000000001</v>
      </c>
      <c r="AE8" s="449">
        <v>590.72299999999996</v>
      </c>
      <c r="AF8" s="449">
        <v>380.46600000000001</v>
      </c>
      <c r="AG8" s="310">
        <f>AC8+AD8+AE8+AF8</f>
        <v>2516.761</v>
      </c>
      <c r="AH8" s="445"/>
      <c r="AI8" s="449">
        <v>101.1</v>
      </c>
      <c r="AJ8" s="449">
        <v>183.25899999999999</v>
      </c>
      <c r="AK8" s="449">
        <v>458.69099999999997</v>
      </c>
      <c r="AL8" s="449">
        <v>431.80799999999999</v>
      </c>
      <c r="AM8" s="310">
        <f>AI8+AJ8+AK8+AL8</f>
        <v>1174.8579999999999</v>
      </c>
      <c r="AO8" s="449">
        <v>631.6</v>
      </c>
      <c r="AP8" s="449">
        <v>923</v>
      </c>
      <c r="AQ8" s="449">
        <v>1027</v>
      </c>
      <c r="AR8" s="449">
        <v>1313.1</v>
      </c>
      <c r="AS8" s="310">
        <f>AO8+AP8+AQ8+AR8</f>
        <v>3894.7</v>
      </c>
      <c r="AU8" s="449">
        <v>1284.4000000000001</v>
      </c>
      <c r="AV8" s="449">
        <v>1333.6</v>
      </c>
      <c r="AW8" s="449">
        <v>1273.2</v>
      </c>
      <c r="AX8" s="449">
        <v>992.7</v>
      </c>
      <c r="AY8" s="310">
        <f>AU8+AV8+AW8+AX8</f>
        <v>4883.8999999999996</v>
      </c>
      <c r="BA8" s="449">
        <v>1050</v>
      </c>
      <c r="BB8" s="449">
        <v>984.8</v>
      </c>
      <c r="BC8" s="449">
        <v>1000.3</v>
      </c>
      <c r="BD8" s="449">
        <v>766.5</v>
      </c>
      <c r="BE8" s="310">
        <f>BA8+BB8+BC8+BD8</f>
        <v>3801.6</v>
      </c>
      <c r="BF8" s="448"/>
      <c r="BG8" s="310">
        <v>676.9</v>
      </c>
      <c r="BH8" s="310">
        <v>915.5</v>
      </c>
      <c r="BI8" s="310">
        <v>959.5</v>
      </c>
      <c r="BJ8" s="310">
        <v>1441.2</v>
      </c>
      <c r="BK8" s="310">
        <f>BG8+BH8+BI8+BJ8</f>
        <v>3993.1000000000004</v>
      </c>
      <c r="BL8" s="448"/>
      <c r="BM8" s="310">
        <v>1030</v>
      </c>
      <c r="BN8" s="310">
        <v>1243</v>
      </c>
      <c r="BO8" s="310">
        <v>884.5</v>
      </c>
      <c r="BP8" s="310">
        <v>1085.3</v>
      </c>
      <c r="BQ8" s="310">
        <f>BM8+BN8+BO8+BP8</f>
        <v>4242.8</v>
      </c>
      <c r="BR8" s="448"/>
      <c r="BS8" s="310">
        <v>1246.5</v>
      </c>
      <c r="BT8" s="310">
        <v>1134.5</v>
      </c>
      <c r="BU8" s="310">
        <v>975.3</v>
      </c>
      <c r="BV8" s="310">
        <v>880.9</v>
      </c>
      <c r="BW8" s="310">
        <f>BS8+BT8+BU8+BV8</f>
        <v>4237.2</v>
      </c>
      <c r="BY8" s="310">
        <v>859.8</v>
      </c>
      <c r="BZ8" s="310">
        <v>1265.4000000000001</v>
      </c>
      <c r="CA8" s="310">
        <v>1257.7</v>
      </c>
      <c r="CB8" s="310">
        <v>1289.0999999999999</v>
      </c>
      <c r="CC8" s="310">
        <f>BY8+BZ8+CA8+CB8</f>
        <v>4672</v>
      </c>
      <c r="CE8" s="310">
        <v>1215.8</v>
      </c>
      <c r="CF8" s="310">
        <v>1384.1</v>
      </c>
      <c r="CG8" s="310">
        <v>1818.9</v>
      </c>
      <c r="CH8" s="310">
        <v>1954.9</v>
      </c>
      <c r="CI8" s="310">
        <f>CE8+CF8+CG8+CH8</f>
        <v>6373.6999999999989</v>
      </c>
      <c r="CK8" s="310">
        <v>1667.7</v>
      </c>
      <c r="CL8" s="310">
        <v>2086.5</v>
      </c>
      <c r="CM8" s="310">
        <v>2080.6</v>
      </c>
      <c r="CN8" s="310">
        <v>2424.3000000000002</v>
      </c>
      <c r="CO8" s="310">
        <f>CK8+CL8+CM8+CN8</f>
        <v>8259.0999999999985</v>
      </c>
      <c r="CQ8" s="310">
        <v>1689</v>
      </c>
      <c r="CR8" s="310">
        <v>1850.8</v>
      </c>
      <c r="CS8" s="310">
        <v>2325.6</v>
      </c>
      <c r="CT8" s="310">
        <v>3130.7</v>
      </c>
      <c r="CU8" s="310">
        <f>CQ8+CR8+CS8+CT8</f>
        <v>8996.0999999999985</v>
      </c>
      <c r="CW8" s="310">
        <v>1584</v>
      </c>
      <c r="CX8" s="310">
        <v>2438.6</v>
      </c>
      <c r="CY8" s="310">
        <v>3095.6</v>
      </c>
      <c r="CZ8" s="310">
        <v>3198.3</v>
      </c>
      <c r="DA8" s="450">
        <f>CW8+CX8+CY8+CZ8</f>
        <v>10316.5</v>
      </c>
      <c r="DC8" s="310">
        <v>3128.8</v>
      </c>
      <c r="DD8" s="310">
        <v>2949.6</v>
      </c>
      <c r="DE8" s="310">
        <v>4111.1000000000004</v>
      </c>
      <c r="DF8" s="310">
        <v>3463.2</v>
      </c>
      <c r="DG8" s="694">
        <f>DC8+DD8+DE8+DF8</f>
        <v>13652.7</v>
      </c>
      <c r="DI8" s="310">
        <v>2287.1999999999998</v>
      </c>
      <c r="DJ8" s="310">
        <v>4140.5</v>
      </c>
      <c r="DK8" s="310">
        <v>4254.7</v>
      </c>
      <c r="DL8" s="310">
        <v>4747.8999999999996</v>
      </c>
      <c r="DM8" s="694">
        <f>SUM(DI8:DL8)</f>
        <v>15430.3</v>
      </c>
      <c r="DO8" s="310">
        <v>5341.8</v>
      </c>
      <c r="DP8" s="310">
        <v>5606.1</v>
      </c>
      <c r="DQ8" s="310">
        <v>5308.2</v>
      </c>
      <c r="DR8" s="310">
        <v>5682.5</v>
      </c>
      <c r="DS8" s="694">
        <f>SUM(DO8:DR8)</f>
        <v>21938.600000000002</v>
      </c>
      <c r="DT8" s="694"/>
      <c r="DU8" s="310">
        <v>3965.9</v>
      </c>
      <c r="DV8" s="310">
        <v>4760.8999999999996</v>
      </c>
      <c r="DW8" s="310">
        <v>5926</v>
      </c>
      <c r="DX8" s="310">
        <v>7115.9</v>
      </c>
      <c r="DY8" s="694">
        <f>DU8+DV8+DW8+DX8</f>
        <v>21768.699999999997</v>
      </c>
      <c r="EA8" s="310">
        <v>5740.4</v>
      </c>
      <c r="EB8" s="310">
        <v>5596.1</v>
      </c>
      <c r="EC8" s="310">
        <v>5553.8</v>
      </c>
      <c r="ED8" s="310">
        <v>7584</v>
      </c>
      <c r="EE8" s="694">
        <f>EA8+EB8+EC8+ED8</f>
        <v>24474.3</v>
      </c>
      <c r="EF8" s="826"/>
      <c r="EG8" s="310">
        <v>6279</v>
      </c>
      <c r="EH8" s="310">
        <v>5870</v>
      </c>
      <c r="EI8" s="310">
        <v>7930</v>
      </c>
      <c r="EJ8" s="310">
        <v>8297.9949999999972</v>
      </c>
      <c r="EK8" s="450">
        <f>EG8+EH8+EI8+EJ8</f>
        <v>28376.994999999995</v>
      </c>
      <c r="EL8" s="450">
        <f>EL55</f>
        <v>37458.147550000002</v>
      </c>
      <c r="EM8" s="451"/>
      <c r="EN8" s="310"/>
      <c r="EO8" s="310"/>
      <c r="ER8" s="452">
        <f>I8</f>
        <v>2174.9079999999999</v>
      </c>
      <c r="ES8" s="452">
        <f>O8</f>
        <v>2227.6779999999999</v>
      </c>
      <c r="ET8" s="452">
        <f>U8</f>
        <v>3229.0650000000001</v>
      </c>
      <c r="EU8" s="452">
        <f>AA8</f>
        <v>3380.8209999999999</v>
      </c>
      <c r="EV8" s="452">
        <f>AG8</f>
        <v>2516.761</v>
      </c>
      <c r="EW8" s="452">
        <f>AM8</f>
        <v>1174.8579999999999</v>
      </c>
      <c r="EX8" s="452">
        <f>AS8</f>
        <v>3894.7</v>
      </c>
      <c r="EY8" s="452">
        <f>AY8</f>
        <v>4883.8999999999996</v>
      </c>
      <c r="EZ8" s="452">
        <f>BE8</f>
        <v>3801.6</v>
      </c>
      <c r="FA8" s="452">
        <f>BK8</f>
        <v>3993.1000000000004</v>
      </c>
      <c r="FB8" s="452">
        <f>BQ8</f>
        <v>4242.8</v>
      </c>
      <c r="FC8" s="452">
        <f>BW8</f>
        <v>4237.2</v>
      </c>
      <c r="FD8" s="452">
        <f>CC8</f>
        <v>4672</v>
      </c>
      <c r="FE8" s="452">
        <f>CI8</f>
        <v>6373.6999999999989</v>
      </c>
      <c r="FF8" s="452">
        <f>CO8</f>
        <v>8259.0999999999985</v>
      </c>
      <c r="FG8" s="310">
        <f>CU8</f>
        <v>8996.0999999999985</v>
      </c>
      <c r="FH8" s="310">
        <f>DA8</f>
        <v>10316.5</v>
      </c>
      <c r="FI8" s="310">
        <f>DG8</f>
        <v>13652.7</v>
      </c>
      <c r="FJ8" s="310">
        <f>DM8</f>
        <v>15430.3</v>
      </c>
      <c r="FK8" s="310">
        <f>DS8</f>
        <v>21938.600000000002</v>
      </c>
      <c r="FL8" s="310">
        <f>DY8</f>
        <v>21768.699999999997</v>
      </c>
      <c r="FM8" s="310">
        <f>EE8</f>
        <v>24474.3</v>
      </c>
      <c r="FN8" s="310">
        <f>EK8</f>
        <v>28376.994999999995</v>
      </c>
      <c r="FO8" s="310">
        <f>EL8</f>
        <v>37458.147550000002</v>
      </c>
      <c r="FP8" s="310">
        <f>FP55</f>
        <v>30338.833022499999</v>
      </c>
      <c r="FQ8" s="310">
        <f>FQ55</f>
        <v>21030</v>
      </c>
      <c r="FR8" s="310">
        <f>FR55</f>
        <v>25940</v>
      </c>
    </row>
    <row r="9" spans="1:177" ht="12" x14ac:dyDescent="0.25">
      <c r="B9" s="792" t="s">
        <v>259</v>
      </c>
      <c r="C9" s="382"/>
      <c r="D9" s="793"/>
      <c r="E9" s="482"/>
      <c r="F9" s="482"/>
      <c r="G9" s="482"/>
      <c r="H9" s="794">
        <v>75.322999999999993</v>
      </c>
      <c r="I9" s="794">
        <v>290.46899999999999</v>
      </c>
      <c r="J9" s="382"/>
      <c r="K9" s="794">
        <v>52.545000000000002</v>
      </c>
      <c r="L9" s="794">
        <v>82.730999999999995</v>
      </c>
      <c r="M9" s="794">
        <v>74.161000000000001</v>
      </c>
      <c r="N9" s="482">
        <f>O9-M9-L9-K9</f>
        <v>91.85199999999999</v>
      </c>
      <c r="O9" s="794">
        <v>301.28899999999999</v>
      </c>
      <c r="P9" s="382"/>
      <c r="Q9" s="794">
        <v>76.289000000000001</v>
      </c>
      <c r="R9" s="794">
        <v>100.937</v>
      </c>
      <c r="S9" s="794">
        <v>101.877</v>
      </c>
      <c r="T9" s="482">
        <f>U9-S9-R9-Q9</f>
        <v>88.935999999999964</v>
      </c>
      <c r="U9" s="794">
        <v>368.03899999999999</v>
      </c>
      <c r="V9" s="382"/>
      <c r="W9" s="794">
        <v>101.295</v>
      </c>
      <c r="X9" s="794">
        <v>104.405</v>
      </c>
      <c r="Y9" s="794">
        <v>91.141999999999996</v>
      </c>
      <c r="Z9" s="794">
        <v>120.063</v>
      </c>
      <c r="AA9" s="794">
        <v>416.90499999999997</v>
      </c>
      <c r="AB9" s="382"/>
      <c r="AC9" s="794">
        <v>99.221999999999994</v>
      </c>
      <c r="AD9" s="794">
        <v>118.571</v>
      </c>
      <c r="AE9" s="794">
        <v>105.77</v>
      </c>
      <c r="AF9" s="794">
        <v>113.354</v>
      </c>
      <c r="AG9" s="482">
        <f>AC9+AD9+AE9+AF9</f>
        <v>436.91699999999997</v>
      </c>
      <c r="AH9" s="382"/>
      <c r="AI9" s="794">
        <v>82.525000000000006</v>
      </c>
      <c r="AJ9" s="794">
        <v>93.340999999999994</v>
      </c>
      <c r="AK9" s="794">
        <v>96.581000000000003</v>
      </c>
      <c r="AL9" s="794">
        <v>148.75800000000001</v>
      </c>
      <c r="AM9" s="482">
        <f>AI9+AJ9+AK9+AL9</f>
        <v>421.20500000000004</v>
      </c>
      <c r="AN9" s="382"/>
      <c r="AO9" s="794">
        <v>110.2</v>
      </c>
      <c r="AP9" s="794">
        <v>145.69999999999999</v>
      </c>
      <c r="AQ9" s="794">
        <v>149</v>
      </c>
      <c r="AR9" s="794">
        <v>208.3</v>
      </c>
      <c r="AS9" s="482">
        <f>AO9+AP9+AQ9+AR9</f>
        <v>613.20000000000005</v>
      </c>
      <c r="AT9" s="382"/>
      <c r="AU9" s="794">
        <v>167.8</v>
      </c>
      <c r="AV9" s="794">
        <v>195.8</v>
      </c>
      <c r="AW9" s="794">
        <v>185.3</v>
      </c>
      <c r="AX9" s="794">
        <v>218.2</v>
      </c>
      <c r="AY9" s="482">
        <f>AU9+AV9+AW9+AX9</f>
        <v>767.10000000000014</v>
      </c>
      <c r="AZ9" s="382"/>
      <c r="BA9" s="794">
        <v>201.9</v>
      </c>
      <c r="BB9" s="794">
        <v>242.9</v>
      </c>
      <c r="BC9" s="794">
        <v>228.5</v>
      </c>
      <c r="BD9" s="794">
        <v>256.60000000000002</v>
      </c>
      <c r="BE9" s="482">
        <f>BA9+BB9+BC9+BD9</f>
        <v>929.9</v>
      </c>
      <c r="BF9" s="793"/>
      <c r="BG9" s="482">
        <v>215.2</v>
      </c>
      <c r="BH9" s="482">
        <v>271.2</v>
      </c>
      <c r="BI9" s="482">
        <v>358.7</v>
      </c>
      <c r="BJ9" s="482">
        <v>407.1</v>
      </c>
      <c r="BK9" s="482">
        <f>BG9+BH9+BI9+BJ9</f>
        <v>1252.1999999999998</v>
      </c>
      <c r="BL9" s="793"/>
      <c r="BM9" s="482">
        <v>366.5</v>
      </c>
      <c r="BN9" s="482">
        <v>400.6</v>
      </c>
      <c r="BO9" s="482">
        <v>437.7</v>
      </c>
      <c r="BP9" s="482">
        <v>408.7</v>
      </c>
      <c r="BQ9" s="482">
        <f>BM9+BN9+BO9+BP9</f>
        <v>1613.5</v>
      </c>
      <c r="BR9" s="793"/>
      <c r="BS9" s="482">
        <v>403.4</v>
      </c>
      <c r="BT9" s="482">
        <v>519.6</v>
      </c>
      <c r="BU9" s="482">
        <v>573.9</v>
      </c>
      <c r="BV9" s="482">
        <v>553.29999999999995</v>
      </c>
      <c r="BW9" s="482">
        <f>BS9+BT9+BU9+BV9</f>
        <v>2050.1999999999998</v>
      </c>
      <c r="BX9" s="382"/>
      <c r="BY9" s="482">
        <v>473.4</v>
      </c>
      <c r="BZ9" s="482">
        <v>474.2</v>
      </c>
      <c r="CA9" s="482">
        <v>556.9</v>
      </c>
      <c r="CB9" s="482">
        <v>618.29999999999995</v>
      </c>
      <c r="CC9" s="482">
        <f>BY9+BZ9+CA9+CB9</f>
        <v>2122.8000000000002</v>
      </c>
      <c r="CD9" s="382"/>
      <c r="CE9" s="482">
        <v>727.8</v>
      </c>
      <c r="CF9" s="482">
        <v>717.3</v>
      </c>
      <c r="CG9" s="482">
        <v>628.5</v>
      </c>
      <c r="CH9" s="482">
        <v>605.5</v>
      </c>
      <c r="CI9" s="482">
        <f>CE9+CF9+CG9+CH9</f>
        <v>2679.1</v>
      </c>
      <c r="CJ9" s="781"/>
      <c r="CK9" s="482">
        <v>617.29999999999995</v>
      </c>
      <c r="CL9" s="482">
        <v>653.9</v>
      </c>
      <c r="CM9" s="482">
        <v>695.5</v>
      </c>
      <c r="CN9" s="482">
        <v>718.2</v>
      </c>
      <c r="CO9" s="482">
        <f>CK9+CL9+CM9+CN9</f>
        <v>2684.8999999999996</v>
      </c>
      <c r="CP9" s="795"/>
      <c r="CQ9" s="482">
        <v>540.1</v>
      </c>
      <c r="CR9" s="482">
        <v>717.1</v>
      </c>
      <c r="CS9" s="482">
        <v>660.9</v>
      </c>
      <c r="CT9" s="482">
        <v>905.7</v>
      </c>
      <c r="CU9" s="482">
        <f>CQ9+CR9+CS9+CT9</f>
        <v>2823.8</v>
      </c>
      <c r="CV9" s="795"/>
      <c r="CW9" s="482">
        <v>856.6</v>
      </c>
      <c r="CX9" s="482">
        <v>887.1</v>
      </c>
      <c r="CY9" s="482">
        <v>862.4</v>
      </c>
      <c r="CZ9" s="482">
        <v>1055.8</v>
      </c>
      <c r="DA9" s="483">
        <f>CW9+CX9+CY9+CZ9</f>
        <v>3661.8999999999996</v>
      </c>
      <c r="DB9" s="833"/>
      <c r="DC9" s="482">
        <v>1235.0999999999999</v>
      </c>
      <c r="DD9" s="482">
        <v>1070.5999999999999</v>
      </c>
      <c r="DE9" s="482">
        <v>1130.2</v>
      </c>
      <c r="DF9" s="482">
        <v>1522.4</v>
      </c>
      <c r="DG9" s="745">
        <f>DC9+DD9+DE9+DF9</f>
        <v>4958.2999999999993</v>
      </c>
      <c r="DH9" s="833"/>
      <c r="DI9" s="482">
        <v>1247.2</v>
      </c>
      <c r="DJ9" s="482">
        <v>1290</v>
      </c>
      <c r="DK9" s="482">
        <v>1523.6</v>
      </c>
      <c r="DL9" s="482">
        <v>1682.3</v>
      </c>
      <c r="DM9" s="745">
        <f>DI9+DJ9+DK9+DL9</f>
        <v>5743.0999999999995</v>
      </c>
      <c r="DN9" s="833"/>
      <c r="DO9" s="482">
        <v>1404.4</v>
      </c>
      <c r="DP9" s="482">
        <v>1296.2</v>
      </c>
      <c r="DQ9" s="482">
        <v>1364.8</v>
      </c>
      <c r="DR9" s="482">
        <v>1554.5</v>
      </c>
      <c r="DS9" s="745">
        <f>DO9+DP9+DQ9+DR9</f>
        <v>5619.9000000000005</v>
      </c>
      <c r="DT9" s="694"/>
      <c r="DU9" s="482">
        <v>1324.1</v>
      </c>
      <c r="DV9" s="482">
        <v>1481.9</v>
      </c>
      <c r="DW9" s="482">
        <v>1541.3</v>
      </c>
      <c r="DX9" s="482">
        <v>2146.9</v>
      </c>
      <c r="DY9" s="745">
        <f>DU9+DV9+DW9+DX9</f>
        <v>6494.2000000000007</v>
      </c>
      <c r="EA9" s="482">
        <v>2001.1</v>
      </c>
      <c r="EB9" s="482">
        <v>2095.6</v>
      </c>
      <c r="EC9" s="482">
        <v>1962.2</v>
      </c>
      <c r="ED9" s="482">
        <v>2134</v>
      </c>
      <c r="EE9" s="745">
        <f>EA9+EB9+EC9+ED9</f>
        <v>8192.9</v>
      </c>
      <c r="EF9" s="826"/>
      <c r="EG9" s="482">
        <v>2487.5</v>
      </c>
      <c r="EH9" s="482">
        <v>2469.4</v>
      </c>
      <c r="EI9" s="482">
        <v>2212.5</v>
      </c>
      <c r="EJ9" s="482">
        <v>2127.1999999999998</v>
      </c>
      <c r="EK9" s="483">
        <f>EG9+EH9+EI9+EJ9</f>
        <v>9296.5999999999985</v>
      </c>
      <c r="EL9" s="483">
        <f>EL37</f>
        <v>10553.8</v>
      </c>
      <c r="EM9" s="451"/>
      <c r="EN9" s="310"/>
      <c r="EO9" s="310"/>
      <c r="ER9" s="452">
        <f>I9</f>
        <v>290.46899999999999</v>
      </c>
      <c r="ES9" s="452">
        <f>O9</f>
        <v>301.28899999999999</v>
      </c>
      <c r="ET9" s="452">
        <f>U9</f>
        <v>368.03899999999999</v>
      </c>
      <c r="EU9" s="452">
        <f>AA9</f>
        <v>416.90499999999997</v>
      </c>
      <c r="EV9" s="452">
        <f>AG9</f>
        <v>436.91699999999997</v>
      </c>
      <c r="EW9" s="452">
        <f>AM9</f>
        <v>421.20500000000004</v>
      </c>
      <c r="EX9" s="452">
        <f>AS9</f>
        <v>613.20000000000005</v>
      </c>
      <c r="EY9" s="452">
        <f>AY9</f>
        <v>767.10000000000014</v>
      </c>
      <c r="EZ9" s="452">
        <f>BE9</f>
        <v>929.9</v>
      </c>
      <c r="FA9" s="452">
        <f>BK9</f>
        <v>1252.1999999999998</v>
      </c>
      <c r="FB9" s="452">
        <f>BQ9</f>
        <v>1613.5</v>
      </c>
      <c r="FC9" s="452">
        <f>BW9</f>
        <v>2050.1999999999998</v>
      </c>
      <c r="FD9" s="452">
        <f>CC9</f>
        <v>2122.8000000000002</v>
      </c>
      <c r="FE9" s="452">
        <f>CI9</f>
        <v>2679.1</v>
      </c>
      <c r="FF9" s="452">
        <f>CO9</f>
        <v>2684.8999999999996</v>
      </c>
      <c r="FG9" s="310">
        <f>CU9</f>
        <v>2823.8</v>
      </c>
      <c r="FH9" s="310">
        <f>DA9</f>
        <v>3661.8999999999996</v>
      </c>
      <c r="FI9" s="310">
        <f>DG9</f>
        <v>4958.2999999999993</v>
      </c>
      <c r="FJ9" s="310">
        <f>DM9</f>
        <v>5743.0999999999995</v>
      </c>
      <c r="FK9" s="310">
        <f>DS9</f>
        <v>5619.9000000000005</v>
      </c>
      <c r="FL9" s="310">
        <f>DY9</f>
        <v>6494.2000000000007</v>
      </c>
      <c r="FM9" s="310">
        <f>EE9</f>
        <v>8192.9</v>
      </c>
      <c r="FN9" s="310">
        <f>EK9</f>
        <v>9296.5999999999985</v>
      </c>
      <c r="FO9" s="310">
        <f>EL9</f>
        <v>10553.8</v>
      </c>
      <c r="FP9" s="310">
        <f>FP37</f>
        <v>10957.5881314</v>
      </c>
      <c r="FQ9" s="310">
        <f ca="1">FQ37</f>
        <v>1107.5</v>
      </c>
      <c r="FR9" s="310">
        <f>FR37</f>
        <v>0</v>
      </c>
    </row>
    <row r="10" spans="1:177" ht="12" x14ac:dyDescent="0.25">
      <c r="B10" s="454" t="s">
        <v>258</v>
      </c>
      <c r="C10" s="455"/>
      <c r="D10" s="445"/>
      <c r="E10" s="456">
        <v>453.48500000000001</v>
      </c>
      <c r="F10" s="456">
        <v>616.25800000000004</v>
      </c>
      <c r="G10" s="456">
        <v>610.47199999999998</v>
      </c>
      <c r="H10" s="457">
        <f>H8+H9</f>
        <v>785.16200000000003</v>
      </c>
      <c r="I10" s="457">
        <f>I8+I9</f>
        <v>2465.377</v>
      </c>
      <c r="J10" s="445"/>
      <c r="K10" s="457">
        <f>K8+K9</f>
        <v>684.68</v>
      </c>
      <c r="L10" s="457">
        <f>L8+L9</f>
        <v>763.26499999999999</v>
      </c>
      <c r="M10" s="457">
        <f>M8+M9</f>
        <v>533.15300000000002</v>
      </c>
      <c r="N10" s="457">
        <f>N8+N9</f>
        <v>547.86900000000003</v>
      </c>
      <c r="O10" s="457">
        <f>O8+O9</f>
        <v>2528.9669999999996</v>
      </c>
      <c r="P10" s="445"/>
      <c r="Q10" s="457">
        <f>Q8+Q9</f>
        <v>629.39</v>
      </c>
      <c r="R10" s="457">
        <f>R8+R9</f>
        <v>941.75400000000002</v>
      </c>
      <c r="S10" s="457">
        <f>S8+S9</f>
        <v>958.43299999999999</v>
      </c>
      <c r="T10" s="457">
        <f>T8+T9</f>
        <v>1067.527</v>
      </c>
      <c r="U10" s="457">
        <f>U8+U9</f>
        <v>3597.1040000000003</v>
      </c>
      <c r="V10" s="458"/>
      <c r="W10" s="457">
        <f>W8+W9</f>
        <v>960.24299999999994</v>
      </c>
      <c r="X10" s="457">
        <f>X8+X9</f>
        <v>930.22199999999998</v>
      </c>
      <c r="Y10" s="457">
        <f>Y8+Y9</f>
        <v>934.37400000000002</v>
      </c>
      <c r="Z10" s="457">
        <f>Z8+Z9</f>
        <v>972.88699999999994</v>
      </c>
      <c r="AA10" s="457">
        <f>AA8+AA9</f>
        <v>3797.7259999999997</v>
      </c>
      <c r="AC10" s="457">
        <f>AC8+AC9</f>
        <v>919.20799999999997</v>
      </c>
      <c r="AD10" s="457">
        <f>AD8+AD9</f>
        <v>844.15700000000004</v>
      </c>
      <c r="AE10" s="457">
        <f>AE8+AE9</f>
        <v>696.49299999999994</v>
      </c>
      <c r="AF10" s="457">
        <f>AF8+AF9</f>
        <v>493.82</v>
      </c>
      <c r="AG10" s="457">
        <f>AG8+AG9</f>
        <v>2953.6779999999999</v>
      </c>
      <c r="AI10" s="457">
        <f>AI8+AI9</f>
        <v>183.625</v>
      </c>
      <c r="AJ10" s="457">
        <f>AJ8+AJ9</f>
        <v>276.59999999999997</v>
      </c>
      <c r="AK10" s="457">
        <f>AK8+AK9</f>
        <v>555.27199999999993</v>
      </c>
      <c r="AL10" s="457">
        <f>AL8+AL9</f>
        <v>580.56600000000003</v>
      </c>
      <c r="AM10" s="457">
        <f>AM8+AM9</f>
        <v>1596.0630000000001</v>
      </c>
      <c r="AO10" s="457">
        <f>AO8+AO9</f>
        <v>741.80000000000007</v>
      </c>
      <c r="AP10" s="457">
        <f>AP8+AP9</f>
        <v>1068.7</v>
      </c>
      <c r="AQ10" s="457">
        <f>AQ8+AQ9</f>
        <v>1176</v>
      </c>
      <c r="AR10" s="457">
        <f>AR8+AR9</f>
        <v>1521.3999999999999</v>
      </c>
      <c r="AS10" s="457">
        <f>AS8+AS9</f>
        <v>4507.8999999999996</v>
      </c>
      <c r="AU10" s="457">
        <f>AU8+AU9</f>
        <v>1452.2</v>
      </c>
      <c r="AV10" s="457">
        <f>AV8+AV9</f>
        <v>1529.3999999999999</v>
      </c>
      <c r="AW10" s="457">
        <f>AW8+AW9</f>
        <v>1458.5</v>
      </c>
      <c r="AX10" s="457">
        <f>AX8+AX9</f>
        <v>1210.9000000000001</v>
      </c>
      <c r="AY10" s="457">
        <f>AY8+AY9</f>
        <v>5651</v>
      </c>
      <c r="BA10" s="457">
        <f>BA8+BA9</f>
        <v>1251.9000000000001</v>
      </c>
      <c r="BB10" s="457">
        <f>BB8+BB9</f>
        <v>1227.7</v>
      </c>
      <c r="BC10" s="457">
        <f>BC8+BC9</f>
        <v>1228.8</v>
      </c>
      <c r="BD10" s="457">
        <f>BD8+BD9</f>
        <v>1023.1</v>
      </c>
      <c r="BE10" s="457">
        <f>BE8+BE9</f>
        <v>4731.5</v>
      </c>
      <c r="BF10" s="445"/>
      <c r="BG10" s="457">
        <f>BG8+BG9</f>
        <v>892.09999999999991</v>
      </c>
      <c r="BH10" s="457">
        <f>BH8+BH9+BH11</f>
        <v>1218.7</v>
      </c>
      <c r="BI10" s="457">
        <f>BI8+BI9+BI11</f>
        <v>1392.2</v>
      </c>
      <c r="BJ10" s="457">
        <f>BJ8+BJ9+BJ11</f>
        <v>1922.3000000000002</v>
      </c>
      <c r="BK10" s="457">
        <f>BK8+BK9+BK11</f>
        <v>5425.3</v>
      </c>
      <c r="BL10" s="445"/>
      <c r="BM10" s="457">
        <f>BM8+BM9+BM11</f>
        <v>1396.5</v>
      </c>
      <c r="BN10" s="457">
        <f>BN8+BN9+BN11</f>
        <v>1643.6</v>
      </c>
      <c r="BO10" s="457">
        <f>BO8+BO9+BO11</f>
        <v>1322.2</v>
      </c>
      <c r="BP10" s="457">
        <f>BP8+BP9+BP11</f>
        <v>1494</v>
      </c>
      <c r="BQ10" s="457">
        <f>BQ8+BQ9+BQ11</f>
        <v>5856.3</v>
      </c>
      <c r="BS10" s="457">
        <f>BS8+BS9+BS11</f>
        <v>1649.9</v>
      </c>
      <c r="BT10" s="457">
        <f>BT8+BT9+BT11</f>
        <v>1654.1</v>
      </c>
      <c r="BU10" s="457">
        <f>BU8+BU9+BU11</f>
        <v>1549.1999999999998</v>
      </c>
      <c r="BV10" s="457">
        <f>BV8+BV9+BV11</f>
        <v>1434.1999999999998</v>
      </c>
      <c r="BW10" s="457">
        <f>BW8+BW9+BW11</f>
        <v>6287.4</v>
      </c>
      <c r="BY10" s="457">
        <f>BY8+BY9</f>
        <v>1333.1999999999998</v>
      </c>
      <c r="BZ10" s="457">
        <f>BZ8+BZ9</f>
        <v>1739.6000000000001</v>
      </c>
      <c r="CA10" s="457">
        <f>CA8+CA9</f>
        <v>1814.6</v>
      </c>
      <c r="CB10" s="457">
        <f>CB8+CB9</f>
        <v>1907.3999999999999</v>
      </c>
      <c r="CC10" s="457">
        <f>CC8+CC9</f>
        <v>6794.8</v>
      </c>
      <c r="CE10" s="457">
        <f>CE8+CE9</f>
        <v>1943.6</v>
      </c>
      <c r="CF10" s="457">
        <f>CF8+CF9</f>
        <v>2101.3999999999996</v>
      </c>
      <c r="CG10" s="457">
        <f>CG8+CG9</f>
        <v>2447.4</v>
      </c>
      <c r="CH10" s="457">
        <f>CH8+CH9</f>
        <v>2560.4</v>
      </c>
      <c r="CI10" s="457">
        <f>CI8+CI9</f>
        <v>9052.7999999999993</v>
      </c>
      <c r="CK10" s="457">
        <f>CK8+CK9</f>
        <v>2285</v>
      </c>
      <c r="CL10" s="457">
        <f>CL8+CL9</f>
        <v>2740.4</v>
      </c>
      <c r="CM10" s="457">
        <f>CM8+CM9</f>
        <v>2776.1</v>
      </c>
      <c r="CN10" s="457">
        <f>CN8+CN9</f>
        <v>3142.5</v>
      </c>
      <c r="CO10" s="457">
        <f>CO8+CO9</f>
        <v>10943.999999999998</v>
      </c>
      <c r="CQ10" s="457">
        <f>CQ8+CQ9</f>
        <v>2229.1</v>
      </c>
      <c r="CR10" s="457">
        <f>CR8+CR9</f>
        <v>2567.9</v>
      </c>
      <c r="CS10" s="457">
        <f>CS8+CS9</f>
        <v>2986.5</v>
      </c>
      <c r="CT10" s="457">
        <f>CT8+CT9</f>
        <v>4036.3999999999996</v>
      </c>
      <c r="CU10" s="457">
        <f>CU8+CU9</f>
        <v>11819.899999999998</v>
      </c>
      <c r="CW10" s="457">
        <f>CW8+CW9</f>
        <v>2440.6</v>
      </c>
      <c r="CX10" s="457">
        <f>CX8+CX9</f>
        <v>3325.7</v>
      </c>
      <c r="CY10" s="457">
        <f>CY8+CY9</f>
        <v>3958</v>
      </c>
      <c r="CZ10" s="457">
        <f>CZ8+CZ9</f>
        <v>4254.1000000000004</v>
      </c>
      <c r="DA10" s="459">
        <f>DA8+DA9</f>
        <v>13978.4</v>
      </c>
      <c r="DC10" s="457">
        <f>DC8+DC9</f>
        <v>4363.8999999999996</v>
      </c>
      <c r="DD10" s="457">
        <f>DD8+DD9</f>
        <v>4020.2</v>
      </c>
      <c r="DE10" s="457">
        <f>DE8+DE9</f>
        <v>5241.3</v>
      </c>
      <c r="DF10" s="457">
        <f>DF8+DF9</f>
        <v>4985.6000000000004</v>
      </c>
      <c r="DG10" s="734">
        <f>DG8+DG9</f>
        <v>18611</v>
      </c>
      <c r="DI10" s="457">
        <f>DI8+DI9</f>
        <v>3534.3999999999996</v>
      </c>
      <c r="DJ10" s="457">
        <f>DJ8+DJ9</f>
        <v>5430.5</v>
      </c>
      <c r="DK10" s="457">
        <f>DK8+DK9</f>
        <v>5778.2999999999993</v>
      </c>
      <c r="DL10" s="457">
        <f>DL8+DL9</f>
        <v>6430.2</v>
      </c>
      <c r="DM10" s="734">
        <f>DM8+DM9</f>
        <v>21173.399999999998</v>
      </c>
      <c r="DO10" s="457">
        <f>SUM(DO8:DO9)</f>
        <v>6746.2000000000007</v>
      </c>
      <c r="DP10" s="457">
        <f t="shared" ref="DP10:DR10" si="2">SUM(DP8:DP9)</f>
        <v>6902.3</v>
      </c>
      <c r="DQ10" s="457">
        <f t="shared" si="2"/>
        <v>6673</v>
      </c>
      <c r="DR10" s="457">
        <f t="shared" si="2"/>
        <v>7237</v>
      </c>
      <c r="DS10" s="734">
        <f>DS8+DS9</f>
        <v>27558.500000000004</v>
      </c>
      <c r="DT10" s="734"/>
      <c r="DU10" s="457">
        <f>DU8+DU9</f>
        <v>5290</v>
      </c>
      <c r="DV10" s="457">
        <f>DV8+DV9</f>
        <v>6242.7999999999993</v>
      </c>
      <c r="DW10" s="457">
        <f>DW8+DW9</f>
        <v>7467.3</v>
      </c>
      <c r="DX10" s="457">
        <f>DX8+DX9</f>
        <v>9262.7999999999993</v>
      </c>
      <c r="DY10" s="734">
        <f>DY8+DY9</f>
        <v>28262.899999999998</v>
      </c>
      <c r="EA10" s="457">
        <f>EA8+EA9</f>
        <v>7741.5</v>
      </c>
      <c r="EB10" s="457">
        <f>EB8+EB9</f>
        <v>7691.7000000000007</v>
      </c>
      <c r="EC10" s="457">
        <f>EC8+EC9</f>
        <v>7516</v>
      </c>
      <c r="ED10" s="457">
        <f>ED8+ED9</f>
        <v>9718</v>
      </c>
      <c r="EE10" s="734">
        <f>EE8+EE9</f>
        <v>32667.199999999997</v>
      </c>
      <c r="EF10" s="826"/>
      <c r="EG10" s="457">
        <f>EG8+EG9</f>
        <v>8766.5</v>
      </c>
      <c r="EH10" s="457">
        <f>EH8+EH9</f>
        <v>8339.4</v>
      </c>
      <c r="EI10" s="457">
        <f>EI8+EI9</f>
        <v>10142.5</v>
      </c>
      <c r="EJ10" s="457">
        <f>EJ8+EJ9</f>
        <v>10425.194999999996</v>
      </c>
      <c r="EK10" s="459">
        <f>EK8+EK9</f>
        <v>37673.594999999994</v>
      </c>
      <c r="EL10" s="460">
        <f>SUM(EL9,EL8)</f>
        <v>48011.947549999997</v>
      </c>
      <c r="EM10" s="461"/>
      <c r="EN10" s="457"/>
      <c r="EO10" s="457"/>
      <c r="ER10" s="462">
        <f t="shared" ref="ER10:FQ10" si="3">SUM(ER9,ER8)</f>
        <v>2465.377</v>
      </c>
      <c r="ES10" s="462">
        <f t="shared" si="3"/>
        <v>2528.9669999999996</v>
      </c>
      <c r="ET10" s="462">
        <f t="shared" si="3"/>
        <v>3597.1040000000003</v>
      </c>
      <c r="EU10" s="462">
        <f t="shared" si="3"/>
        <v>3797.7259999999997</v>
      </c>
      <c r="EV10" s="462">
        <f t="shared" si="3"/>
        <v>2953.6779999999999</v>
      </c>
      <c r="EW10" s="462">
        <f t="shared" si="3"/>
        <v>1596.0630000000001</v>
      </c>
      <c r="EX10" s="462">
        <f t="shared" si="3"/>
        <v>4507.8999999999996</v>
      </c>
      <c r="EY10" s="462">
        <f t="shared" si="3"/>
        <v>5651</v>
      </c>
      <c r="EZ10" s="462">
        <f t="shared" si="3"/>
        <v>4731.5</v>
      </c>
      <c r="FA10" s="462">
        <f t="shared" si="3"/>
        <v>5245.3</v>
      </c>
      <c r="FB10" s="462">
        <f t="shared" si="3"/>
        <v>5856.3</v>
      </c>
      <c r="FC10" s="462">
        <f t="shared" si="3"/>
        <v>6287.4</v>
      </c>
      <c r="FD10" s="462">
        <f t="shared" si="3"/>
        <v>6794.8</v>
      </c>
      <c r="FE10" s="462">
        <f t="shared" si="3"/>
        <v>9052.7999999999993</v>
      </c>
      <c r="FF10" s="462">
        <f t="shared" si="3"/>
        <v>10943.999999999998</v>
      </c>
      <c r="FG10" s="462">
        <f t="shared" si="3"/>
        <v>11819.899999999998</v>
      </c>
      <c r="FH10" s="462">
        <f t="shared" si="3"/>
        <v>13978.4</v>
      </c>
      <c r="FI10" s="462">
        <f t="shared" si="3"/>
        <v>18611</v>
      </c>
      <c r="FJ10" s="462">
        <f t="shared" si="3"/>
        <v>21173.399999999998</v>
      </c>
      <c r="FK10" s="462">
        <f t="shared" si="3"/>
        <v>27558.500000000004</v>
      </c>
      <c r="FL10" s="462">
        <f t="shared" si="3"/>
        <v>28262.899999999998</v>
      </c>
      <c r="FM10" s="462">
        <f t="shared" si="3"/>
        <v>32667.199999999997</v>
      </c>
      <c r="FN10" s="462">
        <f t="shared" si="3"/>
        <v>37673.594999999994</v>
      </c>
      <c r="FO10" s="462">
        <f t="shared" si="3"/>
        <v>48011.947549999997</v>
      </c>
      <c r="FP10" s="462">
        <f t="shared" si="3"/>
        <v>41296.421153899995</v>
      </c>
      <c r="FQ10" s="462">
        <f t="shared" ca="1" si="3"/>
        <v>22137.5</v>
      </c>
      <c r="FR10" s="462">
        <f>SUM(FR9,FR8)</f>
        <v>25940</v>
      </c>
    </row>
    <row r="11" spans="1:177" ht="12" x14ac:dyDescent="0.25">
      <c r="B11" s="463"/>
      <c r="D11" s="448"/>
      <c r="E11" s="310"/>
      <c r="F11" s="310"/>
      <c r="H11" s="310"/>
      <c r="I11" s="310"/>
      <c r="J11" s="448"/>
      <c r="K11" s="310"/>
      <c r="L11" s="310"/>
      <c r="M11" s="310"/>
      <c r="N11" s="310"/>
      <c r="O11" s="310"/>
      <c r="P11" s="448"/>
      <c r="Q11" s="310"/>
      <c r="R11" s="310"/>
      <c r="S11" s="310"/>
      <c r="T11" s="310"/>
      <c r="U11" s="310"/>
      <c r="V11" s="448"/>
      <c r="W11" s="310"/>
      <c r="X11" s="310"/>
      <c r="Y11" s="310"/>
      <c r="Z11" s="310"/>
      <c r="AA11" s="310"/>
      <c r="AB11" s="448"/>
      <c r="AC11" s="310"/>
      <c r="AD11" s="310"/>
      <c r="AE11" s="310"/>
      <c r="AF11" s="310"/>
      <c r="AG11" s="310"/>
      <c r="AH11" s="448"/>
      <c r="AI11" s="310"/>
      <c r="AJ11" s="310"/>
      <c r="AK11" s="310"/>
      <c r="AL11" s="310"/>
      <c r="AM11" s="310"/>
      <c r="AO11" s="310"/>
      <c r="AP11" s="310"/>
      <c r="AQ11" s="310"/>
      <c r="AR11" s="310"/>
      <c r="AS11" s="310"/>
      <c r="AT11" s="445"/>
      <c r="AU11" s="310"/>
      <c r="AV11" s="310"/>
      <c r="AW11" s="310"/>
      <c r="AX11" s="310"/>
      <c r="AY11" s="310"/>
      <c r="BA11" s="310"/>
      <c r="BB11" s="310"/>
      <c r="BC11" s="310"/>
      <c r="BD11" s="310"/>
      <c r="BE11" s="310"/>
      <c r="BF11" s="448"/>
      <c r="BH11" s="464">
        <v>32</v>
      </c>
      <c r="BI11" s="373">
        <v>74</v>
      </c>
      <c r="BJ11" s="373">
        <f>($BK$11-$BH$11)/2</f>
        <v>74</v>
      </c>
      <c r="BK11" s="373">
        <v>180</v>
      </c>
      <c r="BL11" s="448"/>
      <c r="BM11" s="465"/>
      <c r="BN11" s="465"/>
      <c r="BO11" s="465"/>
      <c r="BP11" s="465"/>
      <c r="BQ11" s="465"/>
      <c r="BR11" s="448"/>
      <c r="BS11" s="465"/>
      <c r="BT11" s="465"/>
      <c r="BU11" s="465"/>
      <c r="BV11" s="465"/>
      <c r="BW11" s="465"/>
      <c r="BY11" s="458"/>
      <c r="BZ11" s="458"/>
      <c r="CA11" s="458"/>
      <c r="CB11" s="458"/>
      <c r="CC11" s="458"/>
      <c r="CE11" s="452"/>
      <c r="CF11" s="452"/>
      <c r="CG11" s="452"/>
      <c r="CH11" s="452"/>
      <c r="CI11" s="310"/>
      <c r="CK11" s="452"/>
      <c r="CL11" s="452"/>
      <c r="CM11" s="452"/>
      <c r="CN11" s="452"/>
      <c r="CO11" s="310"/>
      <c r="CQ11" s="452"/>
      <c r="CR11" s="452"/>
      <c r="CS11" s="452"/>
      <c r="CT11" s="452"/>
      <c r="CU11" s="310"/>
      <c r="CW11" s="452"/>
      <c r="CX11" s="452"/>
      <c r="CY11" s="452"/>
      <c r="CZ11" s="452"/>
      <c r="DA11" s="450"/>
      <c r="DC11" s="452"/>
      <c r="DD11" s="452"/>
      <c r="DE11" s="452"/>
      <c r="DF11" s="452"/>
      <c r="DG11" s="694"/>
      <c r="DI11" s="452"/>
      <c r="ER11" s="452"/>
      <c r="ES11" s="452"/>
      <c r="ET11" s="452"/>
      <c r="EU11" s="452"/>
      <c r="EV11" s="452"/>
      <c r="EW11" s="452"/>
      <c r="EX11" s="452"/>
      <c r="EY11" s="452"/>
      <c r="EZ11" s="452"/>
      <c r="FA11" s="452"/>
      <c r="FB11" s="452"/>
      <c r="FC11" s="452"/>
      <c r="FD11" s="452"/>
      <c r="FE11" s="452"/>
      <c r="FF11" s="452"/>
      <c r="FP11" s="311"/>
    </row>
    <row r="12" spans="1:177" ht="12" x14ac:dyDescent="0.25">
      <c r="B12" s="466" t="s">
        <v>713</v>
      </c>
      <c r="D12" s="445"/>
      <c r="I12" s="457"/>
      <c r="J12" s="445"/>
      <c r="P12" s="445"/>
      <c r="AH12" s="445"/>
      <c r="FP12" s="311"/>
    </row>
    <row r="13" spans="1:177" ht="12" x14ac:dyDescent="0.25">
      <c r="B13" s="316" t="s">
        <v>256</v>
      </c>
      <c r="D13" s="445"/>
      <c r="I13" s="457"/>
      <c r="J13" s="445"/>
      <c r="K13" s="274">
        <f>K8/H8-1</f>
        <v>-0.10946707633702857</v>
      </c>
      <c r="L13" s="274">
        <f t="shared" ref="L13:N15" si="4">L8/K8-1</f>
        <v>7.6564341477690645E-2</v>
      </c>
      <c r="M13" s="274">
        <f t="shared" si="4"/>
        <v>-0.32554141306679751</v>
      </c>
      <c r="N13" s="274">
        <f t="shared" si="4"/>
        <v>-6.4815944504478251E-3</v>
      </c>
      <c r="P13" s="445"/>
      <c r="Q13" s="274">
        <f>Q8/N8-1</f>
        <v>0.21289557187560981</v>
      </c>
      <c r="R13" s="274">
        <f t="shared" ref="R13:T15" si="5">R8/Q8-1</f>
        <v>0.52018709060370538</v>
      </c>
      <c r="S13" s="274">
        <f t="shared" si="5"/>
        <v>1.8718698599100581E-2</v>
      </c>
      <c r="T13" s="274">
        <f t="shared" si="5"/>
        <v>0.14247171229902067</v>
      </c>
      <c r="W13" s="274">
        <f>W8/T8-1</f>
        <v>-0.12226047449853927</v>
      </c>
      <c r="X13" s="274">
        <f t="shared" ref="X13:Z15" si="6">X8/W8-1</f>
        <v>-3.8571601540488998E-2</v>
      </c>
      <c r="Y13" s="274">
        <f t="shared" si="6"/>
        <v>2.1088207193603381E-2</v>
      </c>
      <c r="Z13" s="274">
        <f t="shared" si="6"/>
        <v>1.1375279875526445E-2</v>
      </c>
      <c r="AC13" s="274">
        <f>AC8/Z8-1</f>
        <v>-3.8505013930189569E-2</v>
      </c>
      <c r="AD13" s="274">
        <f t="shared" ref="AD13:AF15" si="7">AD8/AC8-1</f>
        <v>-0.11512391674979816</v>
      </c>
      <c r="AE13" s="274">
        <f t="shared" si="7"/>
        <v>-0.18586769866011754</v>
      </c>
      <c r="AF13" s="274">
        <f t="shared" si="7"/>
        <v>-0.35593162954548907</v>
      </c>
      <c r="AH13" s="445"/>
      <c r="AI13" s="274">
        <f>AI8/AF8-1</f>
        <v>-0.73427323335068051</v>
      </c>
      <c r="AJ13" s="274">
        <f t="shared" ref="AJ13:AL15" si="8">AJ8/AI8-1</f>
        <v>0.812650840751731</v>
      </c>
      <c r="AK13" s="274">
        <f t="shared" si="8"/>
        <v>1.5029657479305247</v>
      </c>
      <c r="AL13" s="274">
        <f t="shared" si="8"/>
        <v>-5.8608082565387076E-2</v>
      </c>
      <c r="AO13" s="274">
        <f>AO8/AL8-1</f>
        <v>0.46268712020157121</v>
      </c>
      <c r="AP13" s="274">
        <f t="shared" ref="AP13:AR15" si="9">AP8/AO8-1</f>
        <v>0.4613679544015199</v>
      </c>
      <c r="AQ13" s="274">
        <f t="shared" si="9"/>
        <v>0.11267605633802824</v>
      </c>
      <c r="AR13" s="274">
        <f t="shared" si="9"/>
        <v>0.27857838364167464</v>
      </c>
      <c r="AU13" s="274">
        <f>AU8/AR8-1</f>
        <v>-2.1856675043789409E-2</v>
      </c>
      <c r="AV13" s="274">
        <f t="shared" ref="AV13:AX15" si="10">AV8/AU8-1</f>
        <v>3.8305823730924837E-2</v>
      </c>
      <c r="AW13" s="274">
        <f t="shared" si="10"/>
        <v>-4.5290941811637619E-2</v>
      </c>
      <c r="AX13" s="274">
        <f t="shared" si="10"/>
        <v>-0.22031102733270502</v>
      </c>
      <c r="BA13" s="274">
        <f>BA8/AX8-1</f>
        <v>5.7721365971592498E-2</v>
      </c>
      <c r="BB13" s="274">
        <f t="shared" ref="BB13:BD15" si="11">BB8/BA8-1</f>
        <v>-6.2095238095238092E-2</v>
      </c>
      <c r="BC13" s="274">
        <f t="shared" si="11"/>
        <v>1.5739236393176315E-2</v>
      </c>
      <c r="BD13" s="274">
        <f t="shared" si="11"/>
        <v>-0.23372988103568926</v>
      </c>
      <c r="BG13" s="274">
        <f>BG8/BD8-1</f>
        <v>-0.11689497716894981</v>
      </c>
      <c r="BH13" s="274">
        <f t="shared" ref="BH13:BJ15" si="12">BH8/BG8-1</f>
        <v>0.3524892894075935</v>
      </c>
      <c r="BI13" s="274">
        <f t="shared" si="12"/>
        <v>4.8061168760240358E-2</v>
      </c>
      <c r="BJ13" s="274">
        <f t="shared" si="12"/>
        <v>0.50203230849400726</v>
      </c>
      <c r="BM13" s="274">
        <f>BM8/BJ8-1</f>
        <v>-0.28531779072994734</v>
      </c>
      <c r="BN13" s="274">
        <f t="shared" ref="BN13:BP15" si="13">BN8/BM8-1</f>
        <v>0.20679611650485441</v>
      </c>
      <c r="BO13" s="274">
        <f t="shared" si="13"/>
        <v>-0.28841512469831054</v>
      </c>
      <c r="BP13" s="274">
        <f t="shared" si="13"/>
        <v>0.22702091577162231</v>
      </c>
      <c r="BS13" s="274">
        <f>BS8/BP8-1</f>
        <v>0.14853036026904998</v>
      </c>
      <c r="BT13" s="274">
        <f t="shared" ref="BT13:BV15" si="14">BT8/BS8-1</f>
        <v>-8.9851584436421938E-2</v>
      </c>
      <c r="BU13" s="274">
        <f t="shared" si="14"/>
        <v>-0.1403261348611724</v>
      </c>
      <c r="BV13" s="274">
        <f t="shared" si="14"/>
        <v>-9.6790731057110668E-2</v>
      </c>
      <c r="BY13" s="274">
        <f>BY8/BV8-1</f>
        <v>-2.39527755704394E-2</v>
      </c>
      <c r="BZ13" s="274">
        <f t="shared" ref="BZ13:CB15" si="15">BZ8/BY8-1</f>
        <v>0.47173761339846498</v>
      </c>
      <c r="CA13" s="274">
        <f t="shared" si="15"/>
        <v>-6.0850324008219214E-3</v>
      </c>
      <c r="CB13" s="274">
        <f t="shared" si="15"/>
        <v>2.4966208157748193E-2</v>
      </c>
      <c r="CE13" s="274">
        <f>CE8/CB8-1</f>
        <v>-5.6861376153905741E-2</v>
      </c>
      <c r="CF13" s="274">
        <f t="shared" ref="CF13:CH15" si="16">CF8/CE8-1</f>
        <v>0.13842737292317819</v>
      </c>
      <c r="CG13" s="274">
        <f t="shared" si="16"/>
        <v>0.31413915179539065</v>
      </c>
      <c r="CH13" s="274">
        <f t="shared" si="16"/>
        <v>7.4770465666061936E-2</v>
      </c>
      <c r="CK13" s="274">
        <f>CK8/CH8-1</f>
        <v>-0.14691288556959436</v>
      </c>
      <c r="CL13" s="274">
        <f t="shared" ref="CL13:CN15" si="17">CL8/CK8-1</f>
        <v>0.25112430293218191</v>
      </c>
      <c r="CM13" s="274">
        <f t="shared" si="17"/>
        <v>-2.8277018931225362E-3</v>
      </c>
      <c r="CN13" s="274">
        <f t="shared" si="17"/>
        <v>0.16519273286551961</v>
      </c>
      <c r="CQ13" s="274">
        <f>CQ8/CN8-1</f>
        <v>-0.30330404652889498</v>
      </c>
      <c r="CR13" s="274">
        <f t="shared" ref="CR13:CT15" si="18">CR8/CQ8-1</f>
        <v>9.5796329188869045E-2</v>
      </c>
      <c r="CS13" s="274">
        <f t="shared" si="18"/>
        <v>0.25653771342122322</v>
      </c>
      <c r="CT13" s="274">
        <f t="shared" si="18"/>
        <v>0.34619023047815611</v>
      </c>
      <c r="CW13" s="274">
        <f>CW8/CT8-1</f>
        <v>-0.49404286581275747</v>
      </c>
      <c r="CX13" s="274">
        <f t="shared" ref="CX13:CZ15" si="19">CX8/CW8-1</f>
        <v>0.5395202020202019</v>
      </c>
      <c r="CY13" s="274">
        <f t="shared" si="19"/>
        <v>0.26941687853686536</v>
      </c>
      <c r="CZ13" s="274">
        <f t="shared" si="19"/>
        <v>3.3176120945858756E-2</v>
      </c>
      <c r="DC13" s="274">
        <f>DC8/CZ8-1</f>
        <v>-2.1730294218803792E-2</v>
      </c>
      <c r="DD13" s="274">
        <f t="shared" ref="DD13:DF15" si="20">DD8/DC8-1</f>
        <v>-5.7274354385067894E-2</v>
      </c>
      <c r="DE13" s="274">
        <f t="shared" si="20"/>
        <v>0.39378220775698414</v>
      </c>
      <c r="DF13" s="274">
        <f t="shared" si="20"/>
        <v>-0.15759772323708998</v>
      </c>
      <c r="DI13" s="274">
        <f>DI8/DF8-1</f>
        <v>-0.33957033957033955</v>
      </c>
      <c r="DJ13" s="274">
        <f t="shared" ref="DJ13:DL15" si="21">DJ8/DI8-1</f>
        <v>0.81029206016089561</v>
      </c>
      <c r="DK13" s="274">
        <f t="shared" si="21"/>
        <v>2.7581209998792433E-2</v>
      </c>
      <c r="DL13" s="274">
        <f t="shared" si="21"/>
        <v>0.11591886619503144</v>
      </c>
      <c r="DO13" s="274">
        <f>DO8/DL8-1</f>
        <v>0.12508688051559647</v>
      </c>
      <c r="DP13" s="274">
        <f t="shared" ref="DP13:DR15" si="22">DP8/DO8-1</f>
        <v>4.9477704144670343E-2</v>
      </c>
      <c r="DQ13" s="274">
        <f t="shared" si="22"/>
        <v>-5.3138545512923518E-2</v>
      </c>
      <c r="DR13" s="274">
        <f t="shared" si="22"/>
        <v>7.0513545081195117E-2</v>
      </c>
      <c r="DU13" s="274">
        <f t="shared" ref="DU13:DV15" si="23">DU8/DR8-1</f>
        <v>-0.30208534975802903</v>
      </c>
      <c r="DV13" s="274">
        <f t="shared" si="23"/>
        <v>-0.78298979880211139</v>
      </c>
      <c r="DW13" s="274">
        <f t="shared" ref="DW13:DX15" si="24">DW8/DV8-1</f>
        <v>0.24472263647629666</v>
      </c>
      <c r="DX13" s="274">
        <f t="shared" si="24"/>
        <v>0.20079311508606135</v>
      </c>
      <c r="EA13" s="274">
        <f t="shared" ref="EA13:EB15" si="25">EA8/DX8-1</f>
        <v>-0.19329951235964526</v>
      </c>
      <c r="EB13" s="274">
        <f t="shared" si="25"/>
        <v>-0.74292906788186697</v>
      </c>
      <c r="EC13" s="274">
        <f t="shared" ref="EC13:ED15" si="26">EC8/EB8-1</f>
        <v>-7.5588356176623517E-3</v>
      </c>
      <c r="ED13" s="274">
        <f t="shared" si="26"/>
        <v>0.36555151427851196</v>
      </c>
      <c r="EG13" s="274">
        <f>EG8/ED8-1</f>
        <v>-0.17207278481012656</v>
      </c>
      <c r="EH13" s="274">
        <f t="shared" ref="EH13:EJ15" si="27">EH8/EG8-1</f>
        <v>-6.5137760789934718E-2</v>
      </c>
      <c r="EI13" s="274">
        <f t="shared" si="27"/>
        <v>0.35093696763202731</v>
      </c>
      <c r="EJ13" s="274">
        <f t="shared" si="27"/>
        <v>4.6405422446405664E-2</v>
      </c>
      <c r="FP13" s="311"/>
    </row>
    <row r="14" spans="1:177" ht="12" x14ac:dyDescent="0.25">
      <c r="B14" s="315" t="s">
        <v>255</v>
      </c>
      <c r="C14" s="382"/>
      <c r="D14" s="664"/>
      <c r="E14" s="382"/>
      <c r="F14" s="382"/>
      <c r="G14" s="382"/>
      <c r="H14" s="382"/>
      <c r="I14" s="796"/>
      <c r="J14" s="664"/>
      <c r="K14" s="383">
        <f>K9/H9-1</f>
        <v>-0.3024043120959069</v>
      </c>
      <c r="L14" s="383">
        <f t="shared" si="4"/>
        <v>0.57447901798458445</v>
      </c>
      <c r="M14" s="383">
        <f t="shared" si="4"/>
        <v>-0.10358873940844415</v>
      </c>
      <c r="N14" s="383">
        <f t="shared" si="4"/>
        <v>0.23854856326101315</v>
      </c>
      <c r="O14" s="382"/>
      <c r="P14" s="664"/>
      <c r="Q14" s="383">
        <f>Q9/N9-1</f>
        <v>-0.16943561381352601</v>
      </c>
      <c r="R14" s="383">
        <f t="shared" si="5"/>
        <v>0.32308720785434319</v>
      </c>
      <c r="S14" s="383">
        <f t="shared" si="5"/>
        <v>9.3127396296699416E-3</v>
      </c>
      <c r="T14" s="383">
        <f t="shared" si="5"/>
        <v>-0.12702572710229032</v>
      </c>
      <c r="U14" s="382"/>
      <c r="V14" s="382"/>
      <c r="W14" s="383">
        <f>W9/T9-1</f>
        <v>0.13896509849779659</v>
      </c>
      <c r="X14" s="383">
        <f t="shared" si="6"/>
        <v>3.0702403869884876E-2</v>
      </c>
      <c r="Y14" s="383">
        <f t="shared" si="6"/>
        <v>-0.12703414587423978</v>
      </c>
      <c r="Z14" s="383">
        <f t="shared" si="6"/>
        <v>0.31731803120405533</v>
      </c>
      <c r="AA14" s="382"/>
      <c r="AB14" s="382"/>
      <c r="AC14" s="383">
        <f>AC9/Z9-1</f>
        <v>-0.17358386846905383</v>
      </c>
      <c r="AD14" s="383">
        <f t="shared" si="7"/>
        <v>0.19500715567112148</v>
      </c>
      <c r="AE14" s="383">
        <f t="shared" si="7"/>
        <v>-0.10796063118300425</v>
      </c>
      <c r="AF14" s="383">
        <f t="shared" si="7"/>
        <v>7.1702751252718189E-2</v>
      </c>
      <c r="AG14" s="382"/>
      <c r="AH14" s="664"/>
      <c r="AI14" s="383">
        <f>AI9/AF9-1</f>
        <v>-0.2719709935247101</v>
      </c>
      <c r="AJ14" s="383">
        <f t="shared" si="8"/>
        <v>0.13106331414722794</v>
      </c>
      <c r="AK14" s="383">
        <f t="shared" si="8"/>
        <v>3.4711434417887155E-2</v>
      </c>
      <c r="AL14" s="383">
        <f t="shared" si="8"/>
        <v>0.54024083411851187</v>
      </c>
      <c r="AM14" s="382"/>
      <c r="AN14" s="382"/>
      <c r="AO14" s="383">
        <f>AO9/AL9-1</f>
        <v>-0.25919950523669322</v>
      </c>
      <c r="AP14" s="383">
        <f t="shared" si="9"/>
        <v>0.32214156079854805</v>
      </c>
      <c r="AQ14" s="383">
        <f t="shared" si="9"/>
        <v>2.2649279341111939E-2</v>
      </c>
      <c r="AR14" s="383">
        <f t="shared" si="9"/>
        <v>0.39798657718120811</v>
      </c>
      <c r="AS14" s="382"/>
      <c r="AT14" s="382"/>
      <c r="AU14" s="383">
        <f>AU9/AR9-1</f>
        <v>-0.19443110897743643</v>
      </c>
      <c r="AV14" s="383">
        <f t="shared" si="10"/>
        <v>0.1668653158522051</v>
      </c>
      <c r="AW14" s="383">
        <f t="shared" si="10"/>
        <v>-5.3626149131767109E-2</v>
      </c>
      <c r="AX14" s="383">
        <f t="shared" si="10"/>
        <v>0.1775499190501888</v>
      </c>
      <c r="AY14" s="382"/>
      <c r="AZ14" s="382"/>
      <c r="BA14" s="383">
        <f>BA9/AX9-1</f>
        <v>-7.4702108157653435E-2</v>
      </c>
      <c r="BB14" s="383">
        <f t="shared" si="11"/>
        <v>0.20307082714214952</v>
      </c>
      <c r="BC14" s="383">
        <f t="shared" si="11"/>
        <v>-5.9283655825442594E-2</v>
      </c>
      <c r="BD14" s="383">
        <f t="shared" si="11"/>
        <v>0.12297592997811835</v>
      </c>
      <c r="BE14" s="382"/>
      <c r="BF14" s="382"/>
      <c r="BG14" s="383">
        <f>BG9/BD9-1</f>
        <v>-0.16134060795011707</v>
      </c>
      <c r="BH14" s="383">
        <f t="shared" si="12"/>
        <v>0.2602230483271375</v>
      </c>
      <c r="BI14" s="383">
        <f t="shared" si="12"/>
        <v>0.32264011799410031</v>
      </c>
      <c r="BJ14" s="383">
        <f t="shared" si="12"/>
        <v>0.1349316977976025</v>
      </c>
      <c r="BK14" s="382"/>
      <c r="BL14" s="382"/>
      <c r="BM14" s="383">
        <f>BM9/BJ9-1</f>
        <v>-9.9729796118889769E-2</v>
      </c>
      <c r="BN14" s="383">
        <f t="shared" si="13"/>
        <v>9.3042291950886868E-2</v>
      </c>
      <c r="BO14" s="383">
        <f t="shared" si="13"/>
        <v>9.2611083374937397E-2</v>
      </c>
      <c r="BP14" s="383">
        <f t="shared" si="13"/>
        <v>-6.6255426090929825E-2</v>
      </c>
      <c r="BQ14" s="382"/>
      <c r="BR14" s="382"/>
      <c r="BS14" s="383">
        <f>BS9/BP9-1</f>
        <v>-1.2967947149498449E-2</v>
      </c>
      <c r="BT14" s="383">
        <f t="shared" si="14"/>
        <v>0.28805156172533475</v>
      </c>
      <c r="BU14" s="383">
        <f t="shared" si="14"/>
        <v>0.1045034642032332</v>
      </c>
      <c r="BV14" s="383">
        <f t="shared" si="14"/>
        <v>-3.5894755183830007E-2</v>
      </c>
      <c r="BW14" s="382"/>
      <c r="BX14" s="382"/>
      <c r="BY14" s="383">
        <f>BY9/BV9-1</f>
        <v>-0.14440628953551415</v>
      </c>
      <c r="BZ14" s="383">
        <f t="shared" si="15"/>
        <v>1.689902830587231E-3</v>
      </c>
      <c r="CA14" s="383">
        <f t="shared" si="15"/>
        <v>0.17439898776887386</v>
      </c>
      <c r="CB14" s="383">
        <f t="shared" si="15"/>
        <v>0.11025318728676603</v>
      </c>
      <c r="CC14" s="382"/>
      <c r="CD14" s="382"/>
      <c r="CE14" s="383">
        <f>CE9/CB9-1</f>
        <v>0.17709849587578841</v>
      </c>
      <c r="CF14" s="383">
        <f t="shared" si="16"/>
        <v>-1.4427040395713076E-2</v>
      </c>
      <c r="CG14" s="383">
        <f t="shared" si="16"/>
        <v>-0.123797574236721</v>
      </c>
      <c r="CH14" s="383">
        <f t="shared" si="16"/>
        <v>-3.6595067621320587E-2</v>
      </c>
      <c r="CI14" s="382"/>
      <c r="CJ14" s="382"/>
      <c r="CK14" s="383">
        <f>CK9/CH9-1</f>
        <v>1.9488026424442584E-2</v>
      </c>
      <c r="CL14" s="383">
        <f t="shared" si="17"/>
        <v>5.9290458448080452E-2</v>
      </c>
      <c r="CM14" s="383">
        <f t="shared" si="17"/>
        <v>6.361829025844945E-2</v>
      </c>
      <c r="CN14" s="383">
        <f t="shared" si="17"/>
        <v>3.2638389647735577E-2</v>
      </c>
      <c r="CO14" s="382"/>
      <c r="CP14" s="382"/>
      <c r="CQ14" s="383">
        <f>CQ9/CN9-1</f>
        <v>-0.24798106377053752</v>
      </c>
      <c r="CR14" s="383">
        <f t="shared" si="18"/>
        <v>0.3277170894278838</v>
      </c>
      <c r="CS14" s="383">
        <f t="shared" si="18"/>
        <v>-7.837121740343056E-2</v>
      </c>
      <c r="CT14" s="383">
        <f t="shared" si="18"/>
        <v>0.37040399455288253</v>
      </c>
      <c r="CU14" s="382"/>
      <c r="CV14" s="382"/>
      <c r="CW14" s="383">
        <f>CW9/CT9-1</f>
        <v>-5.4212211549078071E-2</v>
      </c>
      <c r="CX14" s="383">
        <f t="shared" si="19"/>
        <v>3.5605883726359977E-2</v>
      </c>
      <c r="CY14" s="383">
        <f t="shared" si="19"/>
        <v>-2.7843535114417839E-2</v>
      </c>
      <c r="CZ14" s="383">
        <f t="shared" si="19"/>
        <v>0.22425788497217058</v>
      </c>
      <c r="DA14" s="690"/>
      <c r="DC14" s="383">
        <f>DC9/CZ9-1</f>
        <v>0.16982383027088455</v>
      </c>
      <c r="DD14" s="383">
        <f t="shared" si="20"/>
        <v>-0.13318759614606102</v>
      </c>
      <c r="DE14" s="383">
        <f t="shared" si="20"/>
        <v>5.5669717915187933E-2</v>
      </c>
      <c r="DF14" s="383">
        <f t="shared" si="20"/>
        <v>0.34701822686250217</v>
      </c>
      <c r="DG14" s="677"/>
      <c r="DI14" s="383">
        <f>DI9/DF9-1</f>
        <v>-0.18076720966894377</v>
      </c>
      <c r="DJ14" s="383">
        <f t="shared" si="21"/>
        <v>3.4316869788325821E-2</v>
      </c>
      <c r="DK14" s="383">
        <f t="shared" si="21"/>
        <v>0.18108527131782948</v>
      </c>
      <c r="DL14" s="383">
        <f t="shared" si="21"/>
        <v>0.10416119716461014</v>
      </c>
      <c r="DM14" s="677"/>
      <c r="DO14" s="383">
        <f>DO9/DL9-1</f>
        <v>-0.16519051298817089</v>
      </c>
      <c r="DP14" s="383">
        <f t="shared" si="22"/>
        <v>-7.7043577328396506E-2</v>
      </c>
      <c r="DQ14" s="383">
        <f t="shared" si="22"/>
        <v>5.2923931492053544E-2</v>
      </c>
      <c r="DR14" s="383">
        <f t="shared" si="22"/>
        <v>0.13899472450175843</v>
      </c>
      <c r="DS14" s="677"/>
      <c r="DU14" s="383">
        <f t="shared" si="23"/>
        <v>-0.14821486008362827</v>
      </c>
      <c r="DV14" s="383">
        <f t="shared" si="23"/>
        <v>-0.73631203402195777</v>
      </c>
      <c r="DW14" s="383">
        <f t="shared" si="24"/>
        <v>4.0083676361427845E-2</v>
      </c>
      <c r="DX14" s="383">
        <f t="shared" si="24"/>
        <v>0.39291507169272699</v>
      </c>
      <c r="DY14" s="677"/>
      <c r="EA14" s="383">
        <f t="shared" si="25"/>
        <v>-6.7911872933066331E-2</v>
      </c>
      <c r="EB14" s="383">
        <f t="shared" si="25"/>
        <v>-0.67731206307166403</v>
      </c>
      <c r="EC14" s="383">
        <f t="shared" si="26"/>
        <v>-6.3657186485970518E-2</v>
      </c>
      <c r="ED14" s="383">
        <f t="shared" si="26"/>
        <v>8.75547854449088E-2</v>
      </c>
      <c r="EE14" s="677"/>
      <c r="EG14" s="383">
        <f>EG9/ED9-1</f>
        <v>0.16565135895032812</v>
      </c>
      <c r="EH14" s="383">
        <f t="shared" si="27"/>
        <v>-7.2763819095477134E-3</v>
      </c>
      <c r="EI14" s="383">
        <f t="shared" si="27"/>
        <v>-0.10403336842957811</v>
      </c>
      <c r="EJ14" s="761">
        <f t="shared" si="27"/>
        <v>-3.8553672316384291E-2</v>
      </c>
      <c r="FP14" s="311"/>
    </row>
    <row r="15" spans="1:177" ht="12" x14ac:dyDescent="0.25">
      <c r="B15" s="467" t="s">
        <v>741</v>
      </c>
      <c r="C15" s="444"/>
      <c r="D15" s="445"/>
      <c r="E15" s="444"/>
      <c r="F15" s="444"/>
      <c r="G15" s="444"/>
      <c r="H15" s="444"/>
      <c r="I15" s="457"/>
      <c r="J15" s="445"/>
      <c r="K15" s="680">
        <f>K10/H10-1</f>
        <v>-0.12797613740858582</v>
      </c>
      <c r="L15" s="680">
        <f t="shared" si="4"/>
        <v>0.11477624583747148</v>
      </c>
      <c r="M15" s="680">
        <f t="shared" si="4"/>
        <v>-0.30148375727958177</v>
      </c>
      <c r="N15" s="680">
        <f t="shared" si="4"/>
        <v>2.7601832869739162E-2</v>
      </c>
      <c r="O15" s="444"/>
      <c r="P15" s="445"/>
      <c r="Q15" s="680">
        <f>Q10/N10-1</f>
        <v>0.14879651887586265</v>
      </c>
      <c r="R15" s="680">
        <f t="shared" si="5"/>
        <v>0.49629641398814739</v>
      </c>
      <c r="S15" s="680">
        <f t="shared" si="5"/>
        <v>1.7710569851574709E-2</v>
      </c>
      <c r="T15" s="680">
        <f t="shared" si="5"/>
        <v>0.11382537955183092</v>
      </c>
      <c r="U15" s="444"/>
      <c r="V15" s="444"/>
      <c r="W15" s="680">
        <f>W10/T10-1</f>
        <v>-0.10049769233003014</v>
      </c>
      <c r="X15" s="680">
        <f t="shared" si="6"/>
        <v>-3.1263961309793364E-2</v>
      </c>
      <c r="Y15" s="680">
        <f t="shared" si="6"/>
        <v>4.4634506601650692E-3</v>
      </c>
      <c r="Z15" s="680">
        <f t="shared" si="6"/>
        <v>4.1217970534282777E-2</v>
      </c>
      <c r="AA15" s="444"/>
      <c r="AB15" s="444"/>
      <c r="AC15" s="680">
        <f>AC10/Z10-1</f>
        <v>-5.5174958653985473E-2</v>
      </c>
      <c r="AD15" s="680">
        <f t="shared" si="7"/>
        <v>-8.1647461727922255E-2</v>
      </c>
      <c r="AE15" s="680">
        <f t="shared" si="7"/>
        <v>-0.17492480664141874</v>
      </c>
      <c r="AF15" s="680">
        <f t="shared" si="7"/>
        <v>-0.29099072065333031</v>
      </c>
      <c r="AG15" s="444"/>
      <c r="AH15" s="445"/>
      <c r="AI15" s="680">
        <f>AI10/AF10-1</f>
        <v>-0.62815398323275695</v>
      </c>
      <c r="AJ15" s="680">
        <f t="shared" si="8"/>
        <v>0.50633083730428852</v>
      </c>
      <c r="AK15" s="680">
        <f t="shared" si="8"/>
        <v>1.0074909616775125</v>
      </c>
      <c r="AL15" s="680">
        <f t="shared" si="8"/>
        <v>4.5552449970465148E-2</v>
      </c>
      <c r="AM15" s="444"/>
      <c r="AN15" s="444"/>
      <c r="AO15" s="680">
        <f>AO10/AL10-1</f>
        <v>0.27771864008570946</v>
      </c>
      <c r="AP15" s="680">
        <f t="shared" si="9"/>
        <v>0.44068482070638981</v>
      </c>
      <c r="AQ15" s="680">
        <f t="shared" si="9"/>
        <v>0.10040235800505282</v>
      </c>
      <c r="AR15" s="680">
        <f t="shared" si="9"/>
        <v>0.29370748299319716</v>
      </c>
      <c r="AS15" s="444"/>
      <c r="AT15" s="444"/>
      <c r="AU15" s="680">
        <f>AU10/AR10-1</f>
        <v>-4.548442224267113E-2</v>
      </c>
      <c r="AV15" s="680">
        <f t="shared" si="10"/>
        <v>5.3160721663682464E-2</v>
      </c>
      <c r="AW15" s="680">
        <f t="shared" si="10"/>
        <v>-4.6358048908068383E-2</v>
      </c>
      <c r="AX15" s="680">
        <f t="shared" si="10"/>
        <v>-0.16976345560507367</v>
      </c>
      <c r="AY15" s="444"/>
      <c r="AZ15" s="444"/>
      <c r="BA15" s="680">
        <f>BA10/AX10-1</f>
        <v>3.3859113056404322E-2</v>
      </c>
      <c r="BB15" s="680">
        <f t="shared" si="11"/>
        <v>-1.9330617461458588E-2</v>
      </c>
      <c r="BC15" s="680">
        <f t="shared" si="11"/>
        <v>8.9598436100013501E-4</v>
      </c>
      <c r="BD15" s="680">
        <f t="shared" si="11"/>
        <v>-0.16739908854166663</v>
      </c>
      <c r="BE15" s="444"/>
      <c r="BF15" s="444"/>
      <c r="BG15" s="680">
        <f>BG10/BD10-1</f>
        <v>-0.12804222461147508</v>
      </c>
      <c r="BH15" s="680">
        <f t="shared" si="12"/>
        <v>0.36610245488173998</v>
      </c>
      <c r="BI15" s="680">
        <f t="shared" si="12"/>
        <v>0.14236481496676778</v>
      </c>
      <c r="BJ15" s="680">
        <f t="shared" si="12"/>
        <v>0.38076425800890679</v>
      </c>
      <c r="BK15" s="444"/>
      <c r="BL15" s="444"/>
      <c r="BM15" s="680">
        <f>BM10/BJ10-1</f>
        <v>-0.27352650470790207</v>
      </c>
      <c r="BN15" s="680">
        <f t="shared" si="13"/>
        <v>0.17694235588972429</v>
      </c>
      <c r="BO15" s="680">
        <f t="shared" si="13"/>
        <v>-0.19554636164516903</v>
      </c>
      <c r="BP15" s="680">
        <f t="shared" si="13"/>
        <v>0.12993495689003165</v>
      </c>
      <c r="BQ15" s="444"/>
      <c r="BR15" s="444"/>
      <c r="BS15" s="680">
        <f>BS10/BP10-1</f>
        <v>0.10435073627844726</v>
      </c>
      <c r="BT15" s="680">
        <f t="shared" si="14"/>
        <v>2.545608824777057E-3</v>
      </c>
      <c r="BU15" s="680">
        <f t="shared" si="14"/>
        <v>-6.3418173024605617E-2</v>
      </c>
      <c r="BV15" s="680">
        <f t="shared" si="14"/>
        <v>-7.4231861605990157E-2</v>
      </c>
      <c r="BW15" s="444"/>
      <c r="BX15" s="444"/>
      <c r="BY15" s="680">
        <f>BY10/BV10-1</f>
        <v>-7.0422535211267623E-2</v>
      </c>
      <c r="BZ15" s="680">
        <f t="shared" si="15"/>
        <v>0.30483048304830507</v>
      </c>
      <c r="CA15" s="680">
        <f t="shared" si="15"/>
        <v>4.311335939296379E-2</v>
      </c>
      <c r="CB15" s="680">
        <f t="shared" si="15"/>
        <v>5.1140747272126141E-2</v>
      </c>
      <c r="CC15" s="444"/>
      <c r="CD15" s="444"/>
      <c r="CE15" s="680">
        <f>CE10/CB10-1</f>
        <v>1.8978714480444525E-2</v>
      </c>
      <c r="CF15" s="680">
        <f t="shared" si="16"/>
        <v>8.1189545173903976E-2</v>
      </c>
      <c r="CG15" s="680">
        <f t="shared" si="16"/>
        <v>0.16465213667079115</v>
      </c>
      <c r="CH15" s="680">
        <f t="shared" si="16"/>
        <v>4.6171447250143105E-2</v>
      </c>
      <c r="CI15" s="444"/>
      <c r="CJ15" s="444"/>
      <c r="CK15" s="680">
        <f>CK10/CH10-1</f>
        <v>-0.10756131854397755</v>
      </c>
      <c r="CL15" s="680">
        <f t="shared" si="17"/>
        <v>0.19929978118161928</v>
      </c>
      <c r="CM15" s="680">
        <f t="shared" si="17"/>
        <v>1.3027295285359841E-2</v>
      </c>
      <c r="CN15" s="680">
        <f t="shared" si="17"/>
        <v>0.13198371816577215</v>
      </c>
      <c r="CO15" s="444"/>
      <c r="CP15" s="444"/>
      <c r="CQ15" s="680">
        <f>CQ10/CN10-1</f>
        <v>-0.2906603023070804</v>
      </c>
      <c r="CR15" s="680">
        <f t="shared" si="18"/>
        <v>0.15198959221210373</v>
      </c>
      <c r="CS15" s="680">
        <f t="shared" si="18"/>
        <v>0.16301257837143179</v>
      </c>
      <c r="CT15" s="680">
        <f t="shared" si="18"/>
        <v>0.35154863552653604</v>
      </c>
      <c r="CU15" s="444"/>
      <c r="CV15" s="444"/>
      <c r="CW15" s="680">
        <f>CW10/CT10-1</f>
        <v>-0.39535229412347628</v>
      </c>
      <c r="CX15" s="680">
        <f t="shared" si="19"/>
        <v>0.3626567237564533</v>
      </c>
      <c r="CY15" s="680">
        <f t="shared" si="19"/>
        <v>0.1901253871365427</v>
      </c>
      <c r="CZ15" s="680">
        <f t="shared" si="19"/>
        <v>7.4810510358767068E-2</v>
      </c>
      <c r="DA15" s="567"/>
      <c r="DB15" s="744"/>
      <c r="DC15" s="680">
        <f>DC10/CZ10-1</f>
        <v>2.5810394678074999E-2</v>
      </c>
      <c r="DD15" s="680">
        <f t="shared" si="20"/>
        <v>-7.8759824927243982E-2</v>
      </c>
      <c r="DE15" s="680">
        <f t="shared" si="20"/>
        <v>0.30374110740759175</v>
      </c>
      <c r="DF15" s="680">
        <f t="shared" si="20"/>
        <v>-4.8785606624310751E-2</v>
      </c>
      <c r="DG15" s="744"/>
      <c r="DH15" s="744"/>
      <c r="DI15" s="680">
        <f>DI10/DF10-1</f>
        <v>-0.29107830551989744</v>
      </c>
      <c r="DJ15" s="680">
        <f t="shared" si="21"/>
        <v>0.53647012222725232</v>
      </c>
      <c r="DK15" s="680">
        <f t="shared" si="21"/>
        <v>6.4045667986373234E-2</v>
      </c>
      <c r="DL15" s="680">
        <f t="shared" si="21"/>
        <v>0.1128186490836407</v>
      </c>
      <c r="DM15" s="744"/>
      <c r="DN15" s="744"/>
      <c r="DO15" s="680">
        <f>DO10/DL10-1</f>
        <v>4.9143105968710188E-2</v>
      </c>
      <c r="DP15" s="680">
        <f t="shared" si="22"/>
        <v>2.3138952299071924E-2</v>
      </c>
      <c r="DQ15" s="680">
        <f t="shared" si="22"/>
        <v>-3.3220810454486216E-2</v>
      </c>
      <c r="DR15" s="680">
        <f t="shared" si="22"/>
        <v>8.4519706279034823E-2</v>
      </c>
      <c r="DS15" s="744"/>
      <c r="DT15" s="744"/>
      <c r="DU15" s="680">
        <f t="shared" si="23"/>
        <v>-0.26903413016443278</v>
      </c>
      <c r="DV15" s="680">
        <f t="shared" si="23"/>
        <v>-0.77347097991545266</v>
      </c>
      <c r="DW15" s="680">
        <f t="shared" si="24"/>
        <v>0.19614596014608843</v>
      </c>
      <c r="DX15" s="680">
        <f t="shared" si="24"/>
        <v>0.24044835482704574</v>
      </c>
      <c r="DY15" s="744"/>
      <c r="DZ15" s="744"/>
      <c r="EA15" s="680">
        <f t="shared" si="25"/>
        <v>-0.16423759554346407</v>
      </c>
      <c r="EB15" s="680">
        <f t="shared" si="25"/>
        <v>-0.72785170665430643</v>
      </c>
      <c r="EC15" s="680">
        <f t="shared" si="26"/>
        <v>-2.2842804581562071E-2</v>
      </c>
      <c r="ED15" s="680">
        <f t="shared" si="26"/>
        <v>0.29297498669505062</v>
      </c>
      <c r="EE15" s="744"/>
      <c r="EF15" s="744"/>
      <c r="EG15" s="680">
        <f>EG10/ED10-1</f>
        <v>-9.7911092817452139E-2</v>
      </c>
      <c r="EH15" s="680">
        <f t="shared" si="27"/>
        <v>-4.8719557406034397E-2</v>
      </c>
      <c r="EI15" s="680">
        <f t="shared" si="27"/>
        <v>0.21621459577427649</v>
      </c>
      <c r="EJ15" s="680">
        <f t="shared" si="27"/>
        <v>2.7872319447867389E-2</v>
      </c>
      <c r="FP15" s="311"/>
    </row>
    <row r="16" spans="1:177" ht="12" x14ac:dyDescent="0.25">
      <c r="B16" s="314"/>
      <c r="D16" s="445"/>
      <c r="I16" s="457"/>
      <c r="J16" s="445"/>
      <c r="K16" s="274"/>
      <c r="L16" s="274"/>
      <c r="M16" s="274"/>
      <c r="N16" s="274"/>
      <c r="P16" s="445"/>
      <c r="Q16" s="274"/>
      <c r="R16" s="274"/>
      <c r="S16" s="274"/>
      <c r="T16" s="274"/>
      <c r="W16" s="274"/>
      <c r="X16" s="274"/>
      <c r="Y16" s="274"/>
      <c r="Z16" s="274"/>
      <c r="AC16" s="274"/>
      <c r="AD16" s="274"/>
      <c r="AE16" s="274"/>
      <c r="AF16" s="274"/>
      <c r="AH16" s="445"/>
      <c r="AI16" s="274"/>
      <c r="AJ16" s="274"/>
      <c r="AK16" s="274"/>
      <c r="AL16" s="274"/>
      <c r="AO16" s="274"/>
      <c r="AP16" s="274"/>
      <c r="AQ16" s="274"/>
      <c r="AR16" s="274"/>
      <c r="AU16" s="274"/>
      <c r="AV16" s="274"/>
      <c r="AW16" s="274"/>
      <c r="AX16" s="274"/>
      <c r="BA16" s="274"/>
      <c r="BB16" s="274"/>
      <c r="BC16" s="274"/>
      <c r="BD16" s="274"/>
      <c r="BG16" s="274"/>
      <c r="BH16" s="274"/>
      <c r="BI16" s="274"/>
      <c r="BJ16" s="274"/>
      <c r="BM16" s="274"/>
      <c r="BN16" s="274"/>
      <c r="BO16" s="274"/>
      <c r="BP16" s="274"/>
      <c r="BS16" s="274"/>
      <c r="BT16" s="274"/>
      <c r="BU16" s="274"/>
      <c r="BV16" s="274"/>
      <c r="BY16" s="274"/>
      <c r="BZ16" s="274"/>
      <c r="CA16" s="274"/>
      <c r="CB16" s="274"/>
      <c r="CE16" s="274"/>
      <c r="CF16" s="274"/>
      <c r="CG16" s="274"/>
      <c r="CH16" s="274"/>
      <c r="CK16" s="274"/>
      <c r="CL16" s="274"/>
      <c r="CM16" s="274"/>
      <c r="CN16" s="274"/>
      <c r="CQ16" s="274"/>
      <c r="CR16" s="274"/>
      <c r="CS16" s="274"/>
      <c r="CT16" s="274"/>
      <c r="CW16" s="274"/>
      <c r="CX16" s="274"/>
      <c r="CY16" s="274"/>
      <c r="CZ16" s="274"/>
      <c r="DC16" s="274"/>
      <c r="DD16" s="274"/>
      <c r="DE16" s="274"/>
      <c r="DF16" s="274"/>
      <c r="DI16" s="274"/>
      <c r="DJ16" s="274"/>
      <c r="DK16" s="274"/>
      <c r="DL16" s="274"/>
      <c r="DO16" s="274"/>
      <c r="DP16" s="274"/>
      <c r="DQ16" s="274"/>
      <c r="DR16" s="274"/>
      <c r="DU16" s="274"/>
      <c r="DV16" s="274"/>
      <c r="DW16" s="274"/>
      <c r="DX16" s="274"/>
      <c r="EA16" s="274"/>
      <c r="EB16" s="274"/>
      <c r="EC16" s="274"/>
      <c r="ED16" s="274"/>
      <c r="EG16" s="274"/>
      <c r="EH16" s="274"/>
      <c r="EI16" s="274"/>
      <c r="EJ16" s="274"/>
      <c r="FP16" s="311"/>
    </row>
    <row r="17" spans="1:177" ht="12" x14ac:dyDescent="0.25">
      <c r="B17" s="466" t="s">
        <v>714</v>
      </c>
      <c r="D17" s="445"/>
      <c r="I17" s="457"/>
      <c r="J17" s="445"/>
      <c r="K17" s="445"/>
      <c r="L17" s="445"/>
      <c r="M17" s="445"/>
      <c r="N17" s="445"/>
      <c r="O17" s="445"/>
      <c r="P17" s="445"/>
      <c r="Q17" s="445"/>
      <c r="R17" s="445"/>
      <c r="S17" s="445"/>
      <c r="T17" s="445"/>
      <c r="U17" s="445"/>
      <c r="V17" s="445"/>
      <c r="W17" s="445"/>
      <c r="X17" s="445"/>
      <c r="Y17" s="445"/>
      <c r="Z17" s="445"/>
      <c r="AA17" s="445"/>
      <c r="AB17" s="445"/>
      <c r="AC17" s="445"/>
      <c r="AD17" s="445"/>
      <c r="AE17" s="445"/>
      <c r="AF17" s="445"/>
      <c r="AG17" s="445"/>
      <c r="AH17" s="445"/>
      <c r="AI17" s="468"/>
      <c r="AJ17" s="468"/>
      <c r="AK17" s="468"/>
      <c r="AL17" s="468"/>
      <c r="AO17" s="468"/>
      <c r="AP17" s="468"/>
      <c r="AQ17" s="468"/>
      <c r="AR17" s="468"/>
      <c r="AU17" s="468"/>
      <c r="AV17" s="468"/>
      <c r="FP17" s="311"/>
    </row>
    <row r="18" spans="1:177" ht="12" x14ac:dyDescent="0.25">
      <c r="B18" s="316" t="s">
        <v>256</v>
      </c>
      <c r="D18" s="445"/>
      <c r="I18" s="457"/>
      <c r="J18" s="445"/>
      <c r="K18" s="274"/>
      <c r="L18" s="274"/>
      <c r="M18" s="274"/>
      <c r="N18" s="274">
        <f t="shared" ref="N18:O20" si="28">N8/H8-1</f>
        <v>-0.35757685897788083</v>
      </c>
      <c r="O18" s="274">
        <f t="shared" si="28"/>
        <v>2.4263095266558343E-2</v>
      </c>
      <c r="P18" s="445"/>
      <c r="Q18" s="274">
        <f t="shared" ref="Q18:U20" si="29">Q8/K8-1</f>
        <v>-0.1250270907322012</v>
      </c>
      <c r="R18" s="274">
        <f t="shared" si="29"/>
        <v>0.23552533745558635</v>
      </c>
      <c r="S18" s="274">
        <f t="shared" si="29"/>
        <v>0.86616760204970888</v>
      </c>
      <c r="T18" s="274">
        <f t="shared" si="29"/>
        <v>1.1459528921070921</v>
      </c>
      <c r="U18" s="274">
        <f t="shared" si="29"/>
        <v>0.44952053214153942</v>
      </c>
      <c r="W18" s="274">
        <f t="shared" ref="W18:AA20" si="30">W8/Q8-1</f>
        <v>0.552967721989293</v>
      </c>
      <c r="X18" s="274">
        <f t="shared" si="30"/>
        <v>-1.7839791536089278E-2</v>
      </c>
      <c r="Y18" s="274">
        <f t="shared" si="30"/>
        <v>-1.5555316873619551E-2</v>
      </c>
      <c r="Z18" s="274">
        <f t="shared" si="30"/>
        <v>-0.12851845152877972</v>
      </c>
      <c r="AA18" s="274">
        <f t="shared" si="30"/>
        <v>4.6996886095510559E-2</v>
      </c>
      <c r="AC18" s="274">
        <f t="shared" ref="AC18:AG20" si="31">AC8/W8-1</f>
        <v>-4.53601382155846E-2</v>
      </c>
      <c r="AD18" s="274">
        <f t="shared" si="31"/>
        <v>-0.12137192622578608</v>
      </c>
      <c r="AE18" s="274">
        <f t="shared" si="31"/>
        <v>-0.29945376835793713</v>
      </c>
      <c r="AF18" s="274">
        <f t="shared" si="31"/>
        <v>-0.55387512546551221</v>
      </c>
      <c r="AG18" s="274">
        <f t="shared" si="31"/>
        <v>-0.25557697375874089</v>
      </c>
      <c r="AH18" s="445"/>
      <c r="AI18" s="274">
        <f t="shared" ref="AI18:AM20" si="32">AI8/AC8-1</f>
        <v>-0.87670521204020557</v>
      </c>
      <c r="AJ18" s="274">
        <f t="shared" si="32"/>
        <v>-0.74743310923860162</v>
      </c>
      <c r="AK18" s="274">
        <f t="shared" si="32"/>
        <v>-0.22350915742234512</v>
      </c>
      <c r="AL18" s="274">
        <f t="shared" si="32"/>
        <v>0.13494504108120031</v>
      </c>
      <c r="AM18" s="274">
        <f t="shared" si="32"/>
        <v>-0.53318650439990134</v>
      </c>
      <c r="AO18" s="274">
        <f t="shared" ref="AO18:AS20" si="33">AO8/AI8-1</f>
        <v>5.2472799208704259</v>
      </c>
      <c r="AP18" s="274">
        <f t="shared" si="33"/>
        <v>4.0365875618659937</v>
      </c>
      <c r="AQ18" s="274">
        <f t="shared" si="33"/>
        <v>1.2389800541105016</v>
      </c>
      <c r="AR18" s="274">
        <f t="shared" si="33"/>
        <v>2.0409348599377499</v>
      </c>
      <c r="AS18" s="274">
        <f t="shared" si="33"/>
        <v>2.3150389238529252</v>
      </c>
      <c r="AU18" s="274">
        <f t="shared" ref="AU18:AY20" si="34">AU8/AO8-1</f>
        <v>1.0335655478150727</v>
      </c>
      <c r="AV18" s="274">
        <f t="shared" si="34"/>
        <v>0.4448537378114843</v>
      </c>
      <c r="AW18" s="274">
        <f t="shared" si="34"/>
        <v>0.23972736124634864</v>
      </c>
      <c r="AX18" s="274">
        <f t="shared" si="34"/>
        <v>-0.24400274160383817</v>
      </c>
      <c r="AY18" s="274">
        <f t="shared" si="34"/>
        <v>0.25398618635581682</v>
      </c>
      <c r="BA18" s="274">
        <f t="shared" ref="BA18:BE20" si="35">BA8/AU8-1</f>
        <v>-0.18249766427904091</v>
      </c>
      <c r="BB18" s="274">
        <f t="shared" si="35"/>
        <v>-0.26154769046190762</v>
      </c>
      <c r="BC18" s="274">
        <f t="shared" si="35"/>
        <v>-0.21434181589695267</v>
      </c>
      <c r="BD18" s="274">
        <f t="shared" si="35"/>
        <v>-0.22786340284073747</v>
      </c>
      <c r="BE18" s="274">
        <f t="shared" si="35"/>
        <v>-0.22160568398206348</v>
      </c>
      <c r="BG18" s="274">
        <f t="shared" ref="BG18:BK20" si="36">BG8/BA8-1</f>
        <v>-0.35533333333333339</v>
      </c>
      <c r="BH18" s="274">
        <f t="shared" si="36"/>
        <v>-7.0369618196588046E-2</v>
      </c>
      <c r="BI18" s="274">
        <f t="shared" si="36"/>
        <v>-4.0787763670898647E-2</v>
      </c>
      <c r="BJ18" s="274">
        <f t="shared" si="36"/>
        <v>0.88023483365949118</v>
      </c>
      <c r="BK18" s="274">
        <f t="shared" si="36"/>
        <v>5.0373526936027035E-2</v>
      </c>
      <c r="BM18" s="274">
        <f t="shared" ref="BM18:BQ20" si="37">BM8/BG8-1</f>
        <v>0.52164278327670277</v>
      </c>
      <c r="BN18" s="274">
        <f t="shared" si="37"/>
        <v>0.35772801747678873</v>
      </c>
      <c r="BO18" s="274">
        <f t="shared" si="37"/>
        <v>-7.8165711307972896E-2</v>
      </c>
      <c r="BP18" s="274">
        <f t="shared" si="37"/>
        <v>-0.24694698862059405</v>
      </c>
      <c r="BQ18" s="274">
        <f t="shared" si="37"/>
        <v>6.2532869199368957E-2</v>
      </c>
      <c r="BS18" s="274">
        <f t="shared" ref="BS18:BW20" si="38">BS8/BM8-1</f>
        <v>0.21019417475728153</v>
      </c>
      <c r="BT18" s="274">
        <f t="shared" si="38"/>
        <v>-8.7288817377312977E-2</v>
      </c>
      <c r="BU18" s="274">
        <f t="shared" si="38"/>
        <v>0.1026568682871678</v>
      </c>
      <c r="BV18" s="274">
        <f t="shared" si="38"/>
        <v>-0.18833502257440338</v>
      </c>
      <c r="BW18" s="274">
        <f t="shared" si="38"/>
        <v>-1.3198830960686747E-3</v>
      </c>
      <c r="BY18" s="274">
        <f t="shared" ref="BY18:CC20" si="39">BY8/BS8-1</f>
        <v>-0.31022864019253915</v>
      </c>
      <c r="BZ18" s="274">
        <f t="shared" si="39"/>
        <v>0.11538122520934335</v>
      </c>
      <c r="CA18" s="274">
        <f t="shared" si="39"/>
        <v>0.28955193273864466</v>
      </c>
      <c r="CB18" s="274">
        <f t="shared" si="39"/>
        <v>0.46338971506413884</v>
      </c>
      <c r="CC18" s="274">
        <f t="shared" si="39"/>
        <v>0.10261493439063529</v>
      </c>
      <c r="CE18" s="274">
        <f t="shared" ref="CE18:CI20" si="40">CE8/BY8-1</f>
        <v>0.41404977901837636</v>
      </c>
      <c r="CF18" s="274">
        <f t="shared" si="40"/>
        <v>9.3804330646435785E-2</v>
      </c>
      <c r="CG18" s="274">
        <f t="shared" si="40"/>
        <v>0.44621133815695324</v>
      </c>
      <c r="CH18" s="274">
        <f t="shared" si="40"/>
        <v>0.51648436893957039</v>
      </c>
      <c r="CI18" s="274">
        <f t="shared" si="40"/>
        <v>0.36423373287671201</v>
      </c>
      <c r="CK18" s="274">
        <f t="shared" ref="CK18:CO20" si="41">CK8/CE8-1</f>
        <v>0.3716894226024019</v>
      </c>
      <c r="CL18" s="274">
        <f t="shared" si="41"/>
        <v>0.50747778339715355</v>
      </c>
      <c r="CM18" s="274">
        <f t="shared" si="41"/>
        <v>0.143878168123591</v>
      </c>
      <c r="CN18" s="274">
        <f t="shared" si="41"/>
        <v>0.24011458386618245</v>
      </c>
      <c r="CO18" s="274">
        <f t="shared" si="41"/>
        <v>0.29580934151277916</v>
      </c>
      <c r="CQ18" s="274">
        <f t="shared" ref="CQ18:CU20" si="42">CQ8/CK8-1</f>
        <v>1.2772081309587957E-2</v>
      </c>
      <c r="CR18" s="274">
        <f t="shared" si="42"/>
        <v>-0.11296429427270549</v>
      </c>
      <c r="CS18" s="274">
        <f t="shared" si="42"/>
        <v>0.11775449389599157</v>
      </c>
      <c r="CT18" s="274">
        <f t="shared" si="42"/>
        <v>0.29138307965185817</v>
      </c>
      <c r="CU18" s="274">
        <f t="shared" si="42"/>
        <v>8.9234904529549297E-2</v>
      </c>
      <c r="CW18" s="274">
        <f t="shared" ref="CW18:DA20" si="43">CW8/CQ8-1</f>
        <v>-6.2166962699822359E-2</v>
      </c>
      <c r="CX18" s="274">
        <f t="shared" si="43"/>
        <v>0.31759239247892812</v>
      </c>
      <c r="CY18" s="274">
        <f t="shared" si="43"/>
        <v>0.33109735122119033</v>
      </c>
      <c r="CZ18" s="274">
        <f t="shared" si="43"/>
        <v>2.1592615070112231E-2</v>
      </c>
      <c r="DA18" s="404">
        <f t="shared" si="43"/>
        <v>0.1467747134869557</v>
      </c>
      <c r="DC18" s="274">
        <f t="shared" ref="DC18:DG20" si="44">DC8/CW8-1</f>
        <v>0.97525252525252526</v>
      </c>
      <c r="DD18" s="274">
        <f t="shared" si="44"/>
        <v>0.20954646108422859</v>
      </c>
      <c r="DE18" s="274">
        <f t="shared" si="44"/>
        <v>0.32804625920661601</v>
      </c>
      <c r="DF18" s="274">
        <f t="shared" si="44"/>
        <v>8.2825250914548176E-2</v>
      </c>
      <c r="DG18" s="399">
        <f t="shared" si="44"/>
        <v>0.32338486889933615</v>
      </c>
      <c r="DI18" s="274">
        <f t="shared" ref="DI18:DM20" si="45">DI8/DC8-1</f>
        <v>-0.26898491434415761</v>
      </c>
      <c r="DJ18" s="274">
        <f t="shared" si="45"/>
        <v>0.4037496609709792</v>
      </c>
      <c r="DK18" s="274">
        <f t="shared" si="45"/>
        <v>3.4929824134659615E-2</v>
      </c>
      <c r="DL18" s="274">
        <f t="shared" si="45"/>
        <v>0.37095749595749594</v>
      </c>
      <c r="DM18" s="399">
        <f t="shared" si="45"/>
        <v>0.13020135211350126</v>
      </c>
      <c r="DO18" s="274">
        <f t="shared" ref="DO18:DS20" si="46">DO8/DI8-1</f>
        <v>1.3355194123819518</v>
      </c>
      <c r="DP18" s="274">
        <f t="shared" si="46"/>
        <v>0.3539669122086706</v>
      </c>
      <c r="DQ18" s="274">
        <f t="shared" si="46"/>
        <v>0.24760852704068448</v>
      </c>
      <c r="DR18" s="274">
        <f t="shared" si="46"/>
        <v>0.19684492091240346</v>
      </c>
      <c r="DS18" s="399">
        <f t="shared" si="46"/>
        <v>0.42178700349312748</v>
      </c>
      <c r="DT18" s="399"/>
      <c r="DU18" s="274">
        <f t="shared" ref="DU18:DY20" si="47">DU8/DO8-1</f>
        <v>-0.25757235388820243</v>
      </c>
      <c r="DV18" s="274">
        <f t="shared" si="47"/>
        <v>-0.15076434598027166</v>
      </c>
      <c r="DW18" s="274">
        <f t="shared" si="47"/>
        <v>0.1163859688783393</v>
      </c>
      <c r="DX18" s="274">
        <f t="shared" si="47"/>
        <v>0.25224813022437309</v>
      </c>
      <c r="DY18" s="399">
        <f t="shared" si="47"/>
        <v>-7.7443410244958377E-3</v>
      </c>
      <c r="EA18" s="274">
        <f t="shared" ref="EA18:EE20" si="48">EA8/DU8-1</f>
        <v>0.44743942106457535</v>
      </c>
      <c r="EB18" s="274">
        <f t="shared" si="48"/>
        <v>0.1754290155222753</v>
      </c>
      <c r="EC18" s="274">
        <f t="shared" si="48"/>
        <v>-6.2807964900438717E-2</v>
      </c>
      <c r="ED18" s="274">
        <f t="shared" si="48"/>
        <v>6.5782262257760848E-2</v>
      </c>
      <c r="EE18" s="399">
        <f t="shared" si="48"/>
        <v>0.12428854272418666</v>
      </c>
      <c r="EG18" s="274">
        <f t="shared" ref="EG18:EK20" si="49">EG8/EA8-1</f>
        <v>9.3826214201101044E-2</v>
      </c>
      <c r="EH18" s="274">
        <f t="shared" si="49"/>
        <v>4.8944800843444547E-2</v>
      </c>
      <c r="EI18" s="274">
        <f t="shared" si="49"/>
        <v>0.42785120097950946</v>
      </c>
      <c r="EJ18" s="274">
        <f t="shared" si="49"/>
        <v>9.4144910337552457E-2</v>
      </c>
      <c r="EK18" s="404">
        <f t="shared" si="49"/>
        <v>0.15946094474612127</v>
      </c>
      <c r="EL18" s="469">
        <f>EL8/FN8-1</f>
        <v>0.32001811854990314</v>
      </c>
      <c r="EM18" s="470"/>
      <c r="ES18" s="471">
        <f t="shared" ref="ES18:FN18" si="50">ES8/ER8-1</f>
        <v>2.4263095266558343E-2</v>
      </c>
      <c r="ET18" s="471">
        <f t="shared" si="50"/>
        <v>0.44952053214153942</v>
      </c>
      <c r="EU18" s="471">
        <f t="shared" si="50"/>
        <v>4.6996886095510559E-2</v>
      </c>
      <c r="EV18" s="471">
        <f t="shared" si="50"/>
        <v>-0.25557697375874089</v>
      </c>
      <c r="EW18" s="471">
        <f t="shared" si="50"/>
        <v>-0.53318650439990134</v>
      </c>
      <c r="EX18" s="471">
        <f t="shared" si="50"/>
        <v>2.3150389238529252</v>
      </c>
      <c r="EY18" s="471">
        <f t="shared" si="50"/>
        <v>0.25398618635581682</v>
      </c>
      <c r="EZ18" s="471">
        <f t="shared" si="50"/>
        <v>-0.22160568398206348</v>
      </c>
      <c r="FA18" s="471">
        <f t="shared" si="50"/>
        <v>5.0373526936027035E-2</v>
      </c>
      <c r="FB18" s="471">
        <f t="shared" si="50"/>
        <v>6.2532869199368957E-2</v>
      </c>
      <c r="FC18" s="471">
        <f t="shared" si="50"/>
        <v>-1.3198830960686747E-3</v>
      </c>
      <c r="FD18" s="471">
        <f t="shared" si="50"/>
        <v>0.10261493439063529</v>
      </c>
      <c r="FE18" s="471">
        <f t="shared" si="50"/>
        <v>0.36423373287671201</v>
      </c>
      <c r="FF18" s="471">
        <f t="shared" si="50"/>
        <v>0.29580934151277916</v>
      </c>
      <c r="FG18" s="471">
        <f t="shared" si="50"/>
        <v>8.9234904529549297E-2</v>
      </c>
      <c r="FH18" s="471">
        <f t="shared" si="50"/>
        <v>0.1467747134869557</v>
      </c>
      <c r="FI18" s="471">
        <f t="shared" si="50"/>
        <v>0.32338486889933615</v>
      </c>
      <c r="FJ18" s="471">
        <f t="shared" si="50"/>
        <v>0.13020135211350126</v>
      </c>
      <c r="FK18" s="471">
        <f t="shared" si="50"/>
        <v>0.42178700349312748</v>
      </c>
      <c r="FL18" s="471">
        <f t="shared" si="50"/>
        <v>-7.7443410244958377E-3</v>
      </c>
      <c r="FM18" s="471">
        <f t="shared" si="50"/>
        <v>0.12428854272418666</v>
      </c>
      <c r="FN18" s="471">
        <f t="shared" si="50"/>
        <v>0.15946094474612127</v>
      </c>
      <c r="FO18" s="471">
        <f>FO8/FN8-1</f>
        <v>0.32001811854990314</v>
      </c>
      <c r="FP18" s="471">
        <f>FP8/FO8-1</f>
        <v>-0.1900605073434819</v>
      </c>
      <c r="FQ18" s="471">
        <f t="shared" ref="FQ18:FR20" si="51">FQ8/FP8-1</f>
        <v>-0.30682897445647783</v>
      </c>
      <c r="FR18" s="471">
        <f t="shared" si="51"/>
        <v>0.23347598668568703</v>
      </c>
    </row>
    <row r="19" spans="1:177" ht="12" x14ac:dyDescent="0.25">
      <c r="B19" s="315" t="s">
        <v>255</v>
      </c>
      <c r="C19" s="382"/>
      <c r="D19" s="664"/>
      <c r="E19" s="382"/>
      <c r="F19" s="382"/>
      <c r="G19" s="382"/>
      <c r="H19" s="382"/>
      <c r="I19" s="796"/>
      <c r="J19" s="664"/>
      <c r="K19" s="383"/>
      <c r="L19" s="383"/>
      <c r="M19" s="383"/>
      <c r="N19" s="383">
        <f t="shared" si="28"/>
        <v>0.21944160482190034</v>
      </c>
      <c r="O19" s="383">
        <f t="shared" si="28"/>
        <v>3.7250102420568032E-2</v>
      </c>
      <c r="P19" s="664"/>
      <c r="Q19" s="383">
        <f t="shared" si="29"/>
        <v>0.45187934151679521</v>
      </c>
      <c r="R19" s="383">
        <f t="shared" si="29"/>
        <v>0.22006261256360982</v>
      </c>
      <c r="S19" s="383">
        <f t="shared" si="29"/>
        <v>0.37372743085988591</v>
      </c>
      <c r="T19" s="383">
        <f t="shared" si="29"/>
        <v>-3.1746722989156706E-2</v>
      </c>
      <c r="U19" s="383">
        <f t="shared" si="29"/>
        <v>0.22154808174211471</v>
      </c>
      <c r="V19" s="382"/>
      <c r="W19" s="383">
        <f t="shared" si="30"/>
        <v>0.32777988963022198</v>
      </c>
      <c r="X19" s="383">
        <f t="shared" si="30"/>
        <v>3.4358064931591104E-2</v>
      </c>
      <c r="Y19" s="383">
        <f t="shared" si="30"/>
        <v>-0.1053721644728447</v>
      </c>
      <c r="Z19" s="383">
        <f t="shared" si="30"/>
        <v>0.3499932535756054</v>
      </c>
      <c r="AA19" s="383">
        <f t="shared" si="30"/>
        <v>0.13277397232358523</v>
      </c>
      <c r="AB19" s="382"/>
      <c r="AC19" s="383">
        <f t="shared" si="31"/>
        <v>-2.0464978528061728E-2</v>
      </c>
      <c r="AD19" s="383">
        <f t="shared" si="31"/>
        <v>0.13568315693692834</v>
      </c>
      <c r="AE19" s="383">
        <f t="shared" si="31"/>
        <v>0.16049680718000481</v>
      </c>
      <c r="AF19" s="383">
        <f t="shared" si="31"/>
        <v>-5.5878996859981878E-2</v>
      </c>
      <c r="AG19" s="383">
        <f t="shared" si="31"/>
        <v>4.8001343231671489E-2</v>
      </c>
      <c r="AH19" s="664"/>
      <c r="AI19" s="383">
        <f t="shared" si="32"/>
        <v>-0.16827921227147191</v>
      </c>
      <c r="AJ19" s="383">
        <f t="shared" si="32"/>
        <v>-0.21278390162856009</v>
      </c>
      <c r="AK19" s="383">
        <f t="shared" si="32"/>
        <v>-8.6877186347735558E-2</v>
      </c>
      <c r="AL19" s="383">
        <f t="shared" si="32"/>
        <v>0.31233128076644867</v>
      </c>
      <c r="AM19" s="383">
        <f t="shared" si="32"/>
        <v>-3.5961063542961136E-2</v>
      </c>
      <c r="AN19" s="382"/>
      <c r="AO19" s="383">
        <f t="shared" si="33"/>
        <v>0.33535292335655864</v>
      </c>
      <c r="AP19" s="383">
        <f t="shared" si="33"/>
        <v>0.56094320823646626</v>
      </c>
      <c r="AQ19" s="383">
        <f t="shared" si="33"/>
        <v>0.54274650293535998</v>
      </c>
      <c r="AR19" s="383">
        <f t="shared" si="33"/>
        <v>0.40026082630850102</v>
      </c>
      <c r="AS19" s="383">
        <f t="shared" si="33"/>
        <v>0.4558231739889127</v>
      </c>
      <c r="AT19" s="382"/>
      <c r="AU19" s="383">
        <f t="shared" si="34"/>
        <v>0.52268602540834852</v>
      </c>
      <c r="AV19" s="383">
        <f t="shared" si="34"/>
        <v>0.34385724090597125</v>
      </c>
      <c r="AW19" s="383">
        <f t="shared" si="34"/>
        <v>0.24362416107382567</v>
      </c>
      <c r="AX19" s="383">
        <f t="shared" si="34"/>
        <v>4.7527604416706559E-2</v>
      </c>
      <c r="AY19" s="383">
        <f t="shared" si="34"/>
        <v>0.2509784735812135</v>
      </c>
      <c r="AZ19" s="382"/>
      <c r="BA19" s="383">
        <f t="shared" si="35"/>
        <v>0.20321811680572099</v>
      </c>
      <c r="BB19" s="383">
        <f t="shared" si="35"/>
        <v>0.24055158324821235</v>
      </c>
      <c r="BC19" s="383">
        <f t="shared" si="35"/>
        <v>0.23313545601726915</v>
      </c>
      <c r="BD19" s="383">
        <f t="shared" si="35"/>
        <v>0.17598533455545384</v>
      </c>
      <c r="BE19" s="383">
        <f t="shared" si="35"/>
        <v>0.21222787120323261</v>
      </c>
      <c r="BF19" s="382"/>
      <c r="BG19" s="383">
        <f t="shared" si="36"/>
        <v>6.5874195146111925E-2</v>
      </c>
      <c r="BH19" s="383">
        <f t="shared" si="36"/>
        <v>0.11650885137916833</v>
      </c>
      <c r="BI19" s="383">
        <f t="shared" si="36"/>
        <v>0.56980306345733034</v>
      </c>
      <c r="BJ19" s="383">
        <f t="shared" si="36"/>
        <v>0.58651597817614953</v>
      </c>
      <c r="BK19" s="383">
        <f t="shared" si="36"/>
        <v>0.34659640821593696</v>
      </c>
      <c r="BL19" s="382"/>
      <c r="BM19" s="383">
        <f t="shared" si="37"/>
        <v>0.7030669144981414</v>
      </c>
      <c r="BN19" s="383">
        <f t="shared" si="37"/>
        <v>0.47713864306784681</v>
      </c>
      <c r="BO19" s="383">
        <f t="shared" si="37"/>
        <v>0.22023975466964041</v>
      </c>
      <c r="BP19" s="383">
        <f t="shared" si="37"/>
        <v>3.9302382706951633E-3</v>
      </c>
      <c r="BQ19" s="383">
        <f t="shared" si="37"/>
        <v>0.28853218335729136</v>
      </c>
      <c r="BR19" s="382"/>
      <c r="BS19" s="383">
        <f t="shared" si="38"/>
        <v>0.10068212824010914</v>
      </c>
      <c r="BT19" s="383">
        <f t="shared" si="38"/>
        <v>0.29705441837244129</v>
      </c>
      <c r="BU19" s="383">
        <f t="shared" si="38"/>
        <v>0.31117203564084983</v>
      </c>
      <c r="BV19" s="383">
        <f t="shared" si="38"/>
        <v>0.35380474675801321</v>
      </c>
      <c r="BW19" s="383">
        <f t="shared" si="38"/>
        <v>0.27065385807251308</v>
      </c>
      <c r="BX19" s="382"/>
      <c r="BY19" s="383">
        <f t="shared" si="39"/>
        <v>0.17352503718393653</v>
      </c>
      <c r="BZ19" s="383">
        <f t="shared" si="39"/>
        <v>-8.7374903772132417E-2</v>
      </c>
      <c r="CA19" s="383">
        <f t="shared" si="39"/>
        <v>-2.9621885345879062E-2</v>
      </c>
      <c r="CB19" s="383">
        <f t="shared" si="39"/>
        <v>0.11747695644315925</v>
      </c>
      <c r="CC19" s="383">
        <f t="shared" si="39"/>
        <v>3.541117939713212E-2</v>
      </c>
      <c r="CD19" s="382"/>
      <c r="CE19" s="383">
        <f t="shared" si="40"/>
        <v>0.53738910012674279</v>
      </c>
      <c r="CF19" s="383">
        <f t="shared" si="40"/>
        <v>0.5126528890763391</v>
      </c>
      <c r="CG19" s="383">
        <f t="shared" si="40"/>
        <v>0.1285688633506914</v>
      </c>
      <c r="CH19" s="383">
        <f t="shared" si="40"/>
        <v>-2.0701924632055557E-2</v>
      </c>
      <c r="CI19" s="383">
        <f t="shared" si="40"/>
        <v>0.26205954399849252</v>
      </c>
      <c r="CJ19" s="382"/>
      <c r="CK19" s="383">
        <f t="shared" si="41"/>
        <v>-0.15182742511679037</v>
      </c>
      <c r="CL19" s="383">
        <f t="shared" si="41"/>
        <v>-8.8387006831172399E-2</v>
      </c>
      <c r="CM19" s="383">
        <f t="shared" si="41"/>
        <v>0.10660302307080349</v>
      </c>
      <c r="CN19" s="383">
        <f t="shared" si="41"/>
        <v>0.18612716763005799</v>
      </c>
      <c r="CO19" s="383">
        <f t="shared" si="41"/>
        <v>2.1649061251911572E-3</v>
      </c>
      <c r="CP19" s="382"/>
      <c r="CQ19" s="383">
        <f t="shared" si="42"/>
        <v>-0.12506074842054093</v>
      </c>
      <c r="CR19" s="383">
        <f t="shared" si="42"/>
        <v>9.6650864046490259E-2</v>
      </c>
      <c r="CS19" s="383">
        <f t="shared" si="42"/>
        <v>-4.9748382458662865E-2</v>
      </c>
      <c r="CT19" s="383">
        <f t="shared" si="42"/>
        <v>0.26106934001670834</v>
      </c>
      <c r="CU19" s="383">
        <f t="shared" si="42"/>
        <v>5.1733770345264496E-2</v>
      </c>
      <c r="CV19" s="382"/>
      <c r="CW19" s="383">
        <f t="shared" si="43"/>
        <v>0.58600259211257177</v>
      </c>
      <c r="CX19" s="383">
        <f t="shared" si="43"/>
        <v>0.23706596011713854</v>
      </c>
      <c r="CY19" s="383">
        <f t="shared" si="43"/>
        <v>0.30488727492812839</v>
      </c>
      <c r="CZ19" s="383">
        <f t="shared" si="43"/>
        <v>0.16572816605940144</v>
      </c>
      <c r="DA19" s="637">
        <f t="shared" si="43"/>
        <v>0.29679864013032065</v>
      </c>
      <c r="DC19" s="383">
        <f t="shared" si="44"/>
        <v>0.44186318001400871</v>
      </c>
      <c r="DD19" s="383">
        <f t="shared" si="44"/>
        <v>0.20685379325893338</v>
      </c>
      <c r="DE19" s="383">
        <f t="shared" si="44"/>
        <v>0.31052875695732851</v>
      </c>
      <c r="DF19" s="383">
        <f t="shared" si="44"/>
        <v>0.44193976131843171</v>
      </c>
      <c r="DG19" s="765">
        <f t="shared" si="44"/>
        <v>0.35402386739124503</v>
      </c>
      <c r="DI19" s="383">
        <f t="shared" si="45"/>
        <v>9.7967775888592179E-3</v>
      </c>
      <c r="DJ19" s="383">
        <f t="shared" si="45"/>
        <v>0.20493181393611071</v>
      </c>
      <c r="DK19" s="383">
        <f t="shared" si="45"/>
        <v>0.34807998584321354</v>
      </c>
      <c r="DL19" s="383">
        <f t="shared" si="45"/>
        <v>0.105031529164477</v>
      </c>
      <c r="DM19" s="765">
        <f t="shared" si="45"/>
        <v>0.15828005566423986</v>
      </c>
      <c r="DO19" s="383">
        <f t="shared" si="46"/>
        <v>0.12604233483001925</v>
      </c>
      <c r="DP19" s="383">
        <f t="shared" si="46"/>
        <v>4.8062015503875788E-3</v>
      </c>
      <c r="DQ19" s="383">
        <f t="shared" si="46"/>
        <v>-0.10422683118928855</v>
      </c>
      <c r="DR19" s="383">
        <f t="shared" si="46"/>
        <v>-7.5967425548356338E-2</v>
      </c>
      <c r="DS19" s="765">
        <f t="shared" si="46"/>
        <v>-2.1451829151503343E-2</v>
      </c>
      <c r="DT19" s="399"/>
      <c r="DU19" s="383">
        <f t="shared" si="47"/>
        <v>-5.7177442324124361E-2</v>
      </c>
      <c r="DV19" s="383">
        <f t="shared" si="47"/>
        <v>0.14326492825181303</v>
      </c>
      <c r="DW19" s="383">
        <f t="shared" si="47"/>
        <v>0.12932297772567414</v>
      </c>
      <c r="DX19" s="383">
        <f t="shared" si="47"/>
        <v>0.38108716629141215</v>
      </c>
      <c r="DY19" s="765">
        <f t="shared" si="47"/>
        <v>0.15557216320575096</v>
      </c>
      <c r="EA19" s="383">
        <f t="shared" si="48"/>
        <v>0.51129068801450051</v>
      </c>
      <c r="EB19" s="383">
        <f t="shared" si="48"/>
        <v>0.4141305081314528</v>
      </c>
      <c r="EC19" s="383">
        <f t="shared" si="48"/>
        <v>0.2730811652501135</v>
      </c>
      <c r="ED19" s="383">
        <f t="shared" si="48"/>
        <v>-6.0086636545717553E-3</v>
      </c>
      <c r="EE19" s="765">
        <f t="shared" si="48"/>
        <v>0.26157186412491118</v>
      </c>
      <c r="EG19" s="383">
        <f t="shared" si="49"/>
        <v>0.24306631352755992</v>
      </c>
      <c r="EH19" s="383">
        <f t="shared" si="49"/>
        <v>0.17837373544569579</v>
      </c>
      <c r="EI19" s="383">
        <f t="shared" si="49"/>
        <v>0.12756090102945672</v>
      </c>
      <c r="EJ19" s="383">
        <f t="shared" si="49"/>
        <v>-3.1865042174321623E-3</v>
      </c>
      <c r="EK19" s="637">
        <f t="shared" si="49"/>
        <v>0.13471420376179366</v>
      </c>
      <c r="EL19" s="779">
        <f>EL9/FN9-1</f>
        <v>0.13523223544091389</v>
      </c>
      <c r="EM19" s="470"/>
      <c r="ES19" s="471">
        <f t="shared" ref="ES19:FP19" si="52">ES9/ER9-1</f>
        <v>3.7250102420568032E-2</v>
      </c>
      <c r="ET19" s="471">
        <f t="shared" si="52"/>
        <v>0.22154808174211471</v>
      </c>
      <c r="EU19" s="471">
        <f t="shared" si="52"/>
        <v>0.13277397232358523</v>
      </c>
      <c r="EV19" s="471">
        <f t="shared" si="52"/>
        <v>4.8001343231671489E-2</v>
      </c>
      <c r="EW19" s="471">
        <f t="shared" si="52"/>
        <v>-3.5961063542961136E-2</v>
      </c>
      <c r="EX19" s="471">
        <f t="shared" si="52"/>
        <v>0.4558231739889127</v>
      </c>
      <c r="EY19" s="471">
        <f t="shared" si="52"/>
        <v>0.2509784735812135</v>
      </c>
      <c r="EZ19" s="471">
        <f t="shared" si="52"/>
        <v>0.21222787120323261</v>
      </c>
      <c r="FA19" s="471">
        <f t="shared" si="52"/>
        <v>0.34659640821593696</v>
      </c>
      <c r="FB19" s="471">
        <f t="shared" si="52"/>
        <v>0.28853218335729136</v>
      </c>
      <c r="FC19" s="471">
        <f t="shared" si="52"/>
        <v>0.27065385807251308</v>
      </c>
      <c r="FD19" s="471">
        <f t="shared" si="52"/>
        <v>3.541117939713212E-2</v>
      </c>
      <c r="FE19" s="471">
        <f t="shared" si="52"/>
        <v>0.26205954399849252</v>
      </c>
      <c r="FF19" s="471">
        <f t="shared" si="52"/>
        <v>2.1649061251911572E-3</v>
      </c>
      <c r="FG19" s="471">
        <f t="shared" si="52"/>
        <v>5.1733770345264496E-2</v>
      </c>
      <c r="FH19" s="471">
        <f t="shared" si="52"/>
        <v>0.29679864013032065</v>
      </c>
      <c r="FI19" s="471">
        <f t="shared" si="52"/>
        <v>0.35402386739124503</v>
      </c>
      <c r="FJ19" s="471">
        <f t="shared" si="52"/>
        <v>0.15828005566423986</v>
      </c>
      <c r="FK19" s="471">
        <f t="shared" si="52"/>
        <v>-2.1451829151503343E-2</v>
      </c>
      <c r="FL19" s="471">
        <f t="shared" si="52"/>
        <v>0.15557216320575096</v>
      </c>
      <c r="FM19" s="471">
        <f t="shared" si="52"/>
        <v>0.26157186412491118</v>
      </c>
      <c r="FN19" s="471">
        <f t="shared" si="52"/>
        <v>0.13471420376179366</v>
      </c>
      <c r="FO19" s="471">
        <f t="shared" si="52"/>
        <v>0.13523223544091389</v>
      </c>
      <c r="FP19" s="471">
        <f t="shared" si="52"/>
        <v>3.8259975686482761E-2</v>
      </c>
      <c r="FQ19" s="471">
        <f t="shared" ca="1" si="51"/>
        <v>-0.89892848802864245</v>
      </c>
      <c r="FR19" s="471">
        <f t="shared" ca="1" si="51"/>
        <v>-1</v>
      </c>
    </row>
    <row r="20" spans="1:177" s="444" customFormat="1" ht="12" x14ac:dyDescent="0.25">
      <c r="B20" s="467" t="s">
        <v>740</v>
      </c>
      <c r="D20" s="445"/>
      <c r="I20" s="457"/>
      <c r="J20" s="445"/>
      <c r="K20" s="680">
        <f>K10/E10-1</f>
        <v>0.50981840634199571</v>
      </c>
      <c r="L20" s="680">
        <f>L10/F10-1</f>
        <v>0.2385478160121246</v>
      </c>
      <c r="M20" s="680">
        <f>M10/G10-1</f>
        <v>-0.12665445753449789</v>
      </c>
      <c r="N20" s="680">
        <f t="shared" si="28"/>
        <v>-0.30222170711267227</v>
      </c>
      <c r="O20" s="680">
        <f t="shared" si="28"/>
        <v>2.5793215398699498E-2</v>
      </c>
      <c r="P20" s="445"/>
      <c r="Q20" s="680">
        <f t="shared" si="29"/>
        <v>-8.0753052520885604E-2</v>
      </c>
      <c r="R20" s="680">
        <f t="shared" si="29"/>
        <v>0.23384931838876422</v>
      </c>
      <c r="S20" s="680">
        <f t="shared" si="29"/>
        <v>0.79766971207139403</v>
      </c>
      <c r="T20" s="680">
        <f t="shared" si="29"/>
        <v>0.94850776371723899</v>
      </c>
      <c r="U20" s="680">
        <f t="shared" si="29"/>
        <v>0.42236098770762953</v>
      </c>
      <c r="W20" s="680">
        <f t="shared" si="30"/>
        <v>0.52567247652488902</v>
      </c>
      <c r="X20" s="680">
        <f t="shared" si="30"/>
        <v>-1.2245236017049077E-2</v>
      </c>
      <c r="Y20" s="680">
        <f t="shared" si="30"/>
        <v>-2.5102432825247045E-2</v>
      </c>
      <c r="Z20" s="680">
        <f t="shared" si="30"/>
        <v>-8.8653495415104366E-2</v>
      </c>
      <c r="AA20" s="680">
        <f t="shared" si="30"/>
        <v>5.5773199774040272E-2</v>
      </c>
      <c r="AC20" s="680">
        <f t="shared" si="31"/>
        <v>-4.2733974629338589E-2</v>
      </c>
      <c r="AD20" s="680">
        <f t="shared" si="31"/>
        <v>-9.2520925112499985E-2</v>
      </c>
      <c r="AE20" s="680">
        <f t="shared" si="31"/>
        <v>-0.25458863367345419</v>
      </c>
      <c r="AF20" s="680">
        <f t="shared" si="31"/>
        <v>-0.49241792726185052</v>
      </c>
      <c r="AG20" s="680">
        <f t="shared" si="31"/>
        <v>-0.22225089435098788</v>
      </c>
      <c r="AH20" s="445"/>
      <c r="AI20" s="680">
        <f t="shared" si="32"/>
        <v>-0.80023563763587779</v>
      </c>
      <c r="AJ20" s="680">
        <f t="shared" si="32"/>
        <v>-0.67233583326324375</v>
      </c>
      <c r="AK20" s="680">
        <f t="shared" si="32"/>
        <v>-0.20276011388484882</v>
      </c>
      <c r="AL20" s="680">
        <f t="shared" si="32"/>
        <v>0.17566319711635825</v>
      </c>
      <c r="AM20" s="680">
        <f t="shared" si="32"/>
        <v>-0.4596354104949828</v>
      </c>
      <c r="AO20" s="680">
        <f t="shared" si="33"/>
        <v>3.0397549353301567</v>
      </c>
      <c r="AP20" s="680">
        <f t="shared" si="33"/>
        <v>2.8637020968908176</v>
      </c>
      <c r="AQ20" s="680">
        <f t="shared" si="33"/>
        <v>1.117880966445274</v>
      </c>
      <c r="AR20" s="680">
        <f t="shared" si="33"/>
        <v>1.6205461566815829</v>
      </c>
      <c r="AS20" s="680">
        <f t="shared" si="33"/>
        <v>1.8243872578964613</v>
      </c>
      <c r="AU20" s="680">
        <f t="shared" si="34"/>
        <v>0.95767053114046896</v>
      </c>
      <c r="AV20" s="680">
        <f t="shared" si="34"/>
        <v>0.43108449518106084</v>
      </c>
      <c r="AW20" s="680">
        <f t="shared" si="34"/>
        <v>0.24022108843537415</v>
      </c>
      <c r="AX20" s="680">
        <f t="shared" si="34"/>
        <v>-0.20408833968713014</v>
      </c>
      <c r="AY20" s="680">
        <f t="shared" si="34"/>
        <v>0.25357705361698368</v>
      </c>
      <c r="BA20" s="680">
        <f t="shared" si="35"/>
        <v>-0.13792865996419224</v>
      </c>
      <c r="BB20" s="680">
        <f t="shared" si="35"/>
        <v>-0.19726690205309261</v>
      </c>
      <c r="BC20" s="680">
        <f t="shared" si="35"/>
        <v>-0.15749057250599929</v>
      </c>
      <c r="BD20" s="680">
        <f t="shared" si="35"/>
        <v>-0.15509125443884719</v>
      </c>
      <c r="BE20" s="680">
        <f t="shared" si="35"/>
        <v>-0.16271456379401872</v>
      </c>
      <c r="BG20" s="680">
        <f t="shared" si="36"/>
        <v>-0.2874031472162315</v>
      </c>
      <c r="BH20" s="680">
        <f t="shared" si="36"/>
        <v>-7.3307811354565988E-3</v>
      </c>
      <c r="BI20" s="680">
        <f t="shared" si="36"/>
        <v>0.13297526041666674</v>
      </c>
      <c r="BJ20" s="680">
        <f t="shared" si="36"/>
        <v>0.87889746847815475</v>
      </c>
      <c r="BK20" s="680">
        <f t="shared" si="36"/>
        <v>0.1466342597484942</v>
      </c>
      <c r="BM20" s="680">
        <f t="shared" si="37"/>
        <v>0.56540746553077015</v>
      </c>
      <c r="BN20" s="680">
        <f t="shared" si="37"/>
        <v>0.34865020103388855</v>
      </c>
      <c r="BO20" s="680">
        <f t="shared" si="37"/>
        <v>-5.0280132164918778E-2</v>
      </c>
      <c r="BP20" s="680">
        <f t="shared" si="37"/>
        <v>-0.22280601362950636</v>
      </c>
      <c r="BQ20" s="680">
        <f t="shared" si="37"/>
        <v>7.9442611468490298E-2</v>
      </c>
      <c r="BS20" s="680">
        <f t="shared" si="38"/>
        <v>0.18145363408521309</v>
      </c>
      <c r="BT20" s="680">
        <f t="shared" si="38"/>
        <v>6.3884156729130392E-3</v>
      </c>
      <c r="BU20" s="680">
        <f t="shared" si="38"/>
        <v>0.17168355770685206</v>
      </c>
      <c r="BV20" s="680">
        <f t="shared" si="38"/>
        <v>-4.0026773761713597E-2</v>
      </c>
      <c r="BW20" s="680">
        <f t="shared" si="38"/>
        <v>7.3613032119256072E-2</v>
      </c>
      <c r="BY20" s="680">
        <f t="shared" si="39"/>
        <v>-0.19195102733499014</v>
      </c>
      <c r="BZ20" s="680">
        <f t="shared" si="39"/>
        <v>5.1689740644459414E-2</v>
      </c>
      <c r="CA20" s="680">
        <f t="shared" si="39"/>
        <v>0.1713142266976504</v>
      </c>
      <c r="CB20" s="680">
        <f t="shared" si="39"/>
        <v>0.32994003625714696</v>
      </c>
      <c r="CC20" s="680">
        <f t="shared" si="39"/>
        <v>8.0701084709100757E-2</v>
      </c>
      <c r="CE20" s="680">
        <f t="shared" si="40"/>
        <v>0.45784578457845804</v>
      </c>
      <c r="CF20" s="680">
        <f t="shared" si="40"/>
        <v>0.20797884571165759</v>
      </c>
      <c r="CG20" s="680">
        <f t="shared" si="40"/>
        <v>0.34872699217458414</v>
      </c>
      <c r="CH20" s="680">
        <f t="shared" si="40"/>
        <v>0.34235084408094796</v>
      </c>
      <c r="CI20" s="680">
        <f t="shared" si="40"/>
        <v>0.33231294519338306</v>
      </c>
      <c r="CK20" s="680">
        <f t="shared" si="41"/>
        <v>0.17565342663099415</v>
      </c>
      <c r="CL20" s="680">
        <f t="shared" si="41"/>
        <v>0.30408299229085389</v>
      </c>
      <c r="CM20" s="680">
        <f t="shared" si="41"/>
        <v>0.13430579390373443</v>
      </c>
      <c r="CN20" s="680">
        <f t="shared" si="41"/>
        <v>0.22734728948601779</v>
      </c>
      <c r="CO20" s="680">
        <f t="shared" si="41"/>
        <v>0.20890774125132539</v>
      </c>
      <c r="CQ20" s="680">
        <f t="shared" si="42"/>
        <v>-2.4463894967177269E-2</v>
      </c>
      <c r="CR20" s="680">
        <f t="shared" si="42"/>
        <v>-6.2947015034301557E-2</v>
      </c>
      <c r="CS20" s="680">
        <f t="shared" si="42"/>
        <v>7.5789777025323302E-2</v>
      </c>
      <c r="CT20" s="680">
        <f t="shared" si="42"/>
        <v>0.28445505171042162</v>
      </c>
      <c r="CU20" s="680">
        <f t="shared" si="42"/>
        <v>8.0034722222222188E-2</v>
      </c>
      <c r="CW20" s="680">
        <f t="shared" si="43"/>
        <v>9.4881342245749511E-2</v>
      </c>
      <c r="CX20" s="680">
        <f t="shared" si="43"/>
        <v>0.29510494956968714</v>
      </c>
      <c r="CY20" s="680">
        <f t="shared" si="43"/>
        <v>0.32529717060103791</v>
      </c>
      <c r="CZ20" s="680">
        <f t="shared" si="43"/>
        <v>5.393419879100203E-2</v>
      </c>
      <c r="DA20" s="681">
        <f t="shared" si="43"/>
        <v>0.18261575817054299</v>
      </c>
      <c r="DB20" s="744"/>
      <c r="DC20" s="680">
        <f t="shared" si="44"/>
        <v>0.78804392362533804</v>
      </c>
      <c r="DD20" s="680">
        <f t="shared" si="44"/>
        <v>0.20882821661605067</v>
      </c>
      <c r="DE20" s="680">
        <f t="shared" si="44"/>
        <v>0.32422940879231943</v>
      </c>
      <c r="DF20" s="680">
        <f t="shared" si="44"/>
        <v>0.17195176418043778</v>
      </c>
      <c r="DG20" s="766">
        <f t="shared" si="44"/>
        <v>0.33141132032278375</v>
      </c>
      <c r="DH20" s="744"/>
      <c r="DI20" s="680">
        <f t="shared" si="45"/>
        <v>-0.19008226586310417</v>
      </c>
      <c r="DJ20" s="680">
        <f t="shared" si="45"/>
        <v>0.35080344261479524</v>
      </c>
      <c r="DK20" s="680">
        <f t="shared" si="45"/>
        <v>0.10245549768187256</v>
      </c>
      <c r="DL20" s="680">
        <f t="shared" si="45"/>
        <v>0.28975449293966604</v>
      </c>
      <c r="DM20" s="766">
        <f t="shared" si="45"/>
        <v>0.13768201601203578</v>
      </c>
      <c r="DN20" s="744"/>
      <c r="DO20" s="680">
        <f t="shared" si="46"/>
        <v>0.90872566772295205</v>
      </c>
      <c r="DP20" s="680">
        <f t="shared" si="46"/>
        <v>0.27102476751680338</v>
      </c>
      <c r="DQ20" s="680">
        <f t="shared" si="46"/>
        <v>0.15483792811034403</v>
      </c>
      <c r="DR20" s="680">
        <f t="shared" si="46"/>
        <v>0.12547043637833966</v>
      </c>
      <c r="DS20" s="801">
        <f t="shared" si="46"/>
        <v>0.30156233765007068</v>
      </c>
      <c r="DT20" s="766"/>
      <c r="DU20" s="680">
        <f t="shared" si="47"/>
        <v>-0.21585485162017148</v>
      </c>
      <c r="DV20" s="680">
        <f t="shared" si="47"/>
        <v>-9.5547860857974953E-2</v>
      </c>
      <c r="DW20" s="680">
        <f t="shared" si="47"/>
        <v>0.11903191967630744</v>
      </c>
      <c r="DX20" s="680">
        <f t="shared" si="47"/>
        <v>0.27992261987011191</v>
      </c>
      <c r="DY20" s="822">
        <f t="shared" si="47"/>
        <v>2.556017199775007E-2</v>
      </c>
      <c r="DZ20" s="744"/>
      <c r="EA20" s="680">
        <f t="shared" si="48"/>
        <v>0.46342155009451802</v>
      </c>
      <c r="EB20" s="680">
        <f t="shared" si="48"/>
        <v>0.23209136925738472</v>
      </c>
      <c r="EC20" s="680">
        <f t="shared" si="48"/>
        <v>6.5217682428722057E-3</v>
      </c>
      <c r="ED20" s="680">
        <f t="shared" si="48"/>
        <v>4.9142807790301113E-2</v>
      </c>
      <c r="EE20" s="801">
        <f t="shared" si="48"/>
        <v>0.15583326551769283</v>
      </c>
      <c r="EF20" s="744"/>
      <c r="EG20" s="680">
        <f t="shared" si="49"/>
        <v>0.13240328101789056</v>
      </c>
      <c r="EH20" s="680">
        <f t="shared" si="49"/>
        <v>8.4207652404539868E-2</v>
      </c>
      <c r="EI20" s="680">
        <f t="shared" si="49"/>
        <v>0.34945449707291121</v>
      </c>
      <c r="EJ20" s="680">
        <f t="shared" si="49"/>
        <v>7.2771660835562413E-2</v>
      </c>
      <c r="EK20" s="682">
        <f t="shared" si="49"/>
        <v>0.15325448768183358</v>
      </c>
      <c r="EL20" s="472">
        <f>EL10/FN10-1</f>
        <v>0.2744190606179211</v>
      </c>
      <c r="EM20" s="473"/>
      <c r="EZ20" s="453">
        <f t="shared" ref="EZ20:FP20" si="53">EZ10/EY10-1</f>
        <v>-0.16271456379401872</v>
      </c>
      <c r="FA20" s="453">
        <f t="shared" si="53"/>
        <v>0.10859135580682655</v>
      </c>
      <c r="FB20" s="453">
        <f t="shared" si="53"/>
        <v>0.11648523440032021</v>
      </c>
      <c r="FC20" s="453">
        <f t="shared" si="53"/>
        <v>7.3613032119256072E-2</v>
      </c>
      <c r="FD20" s="453">
        <f t="shared" si="53"/>
        <v>8.0701084709100757E-2</v>
      </c>
      <c r="FE20" s="453">
        <f t="shared" si="53"/>
        <v>0.33231294519338306</v>
      </c>
      <c r="FF20" s="453">
        <f t="shared" si="53"/>
        <v>0.20890774125132539</v>
      </c>
      <c r="FG20" s="453">
        <f t="shared" si="53"/>
        <v>8.0034722222222188E-2</v>
      </c>
      <c r="FH20" s="453">
        <f t="shared" si="53"/>
        <v>0.18261575817054299</v>
      </c>
      <c r="FI20" s="453">
        <f t="shared" si="53"/>
        <v>0.33141132032278375</v>
      </c>
      <c r="FJ20" s="453">
        <f t="shared" si="53"/>
        <v>0.13768201601203578</v>
      </c>
      <c r="FK20" s="453">
        <f t="shared" si="53"/>
        <v>0.30156233765007068</v>
      </c>
      <c r="FL20" s="453">
        <f t="shared" si="53"/>
        <v>2.556017199775007E-2</v>
      </c>
      <c r="FM20" s="453">
        <f t="shared" si="53"/>
        <v>0.15583326551769283</v>
      </c>
      <c r="FN20" s="453">
        <f t="shared" si="53"/>
        <v>0.15325448768183358</v>
      </c>
      <c r="FO20" s="453">
        <f t="shared" si="53"/>
        <v>0.2744190606179211</v>
      </c>
      <c r="FP20" s="453">
        <f t="shared" si="53"/>
        <v>-0.13987198476184293</v>
      </c>
      <c r="FQ20" s="453">
        <f t="shared" ca="1" si="51"/>
        <v>-0.46393659834347767</v>
      </c>
      <c r="FR20" s="453">
        <f t="shared" ca="1" si="51"/>
        <v>0.17176736307171092</v>
      </c>
    </row>
    <row r="21" spans="1:177" ht="12" x14ac:dyDescent="0.25">
      <c r="B21" s="474"/>
      <c r="D21" s="445"/>
      <c r="I21" s="457"/>
      <c r="J21" s="445"/>
      <c r="K21" s="468"/>
      <c r="L21" s="468"/>
      <c r="M21" s="468"/>
      <c r="N21" s="468"/>
      <c r="O21" s="468"/>
      <c r="P21" s="445"/>
      <c r="Q21" s="468"/>
      <c r="R21" s="468"/>
      <c r="S21" s="468"/>
      <c r="T21" s="468"/>
      <c r="W21" s="468"/>
      <c r="X21" s="468"/>
      <c r="Y21" s="468"/>
      <c r="Z21" s="468"/>
      <c r="AC21" s="468"/>
      <c r="AD21" s="468"/>
      <c r="AE21" s="468"/>
      <c r="AF21" s="468"/>
      <c r="AH21" s="445"/>
      <c r="AI21" s="274"/>
      <c r="AJ21" s="274"/>
      <c r="AK21" s="274"/>
      <c r="AL21" s="274"/>
      <c r="AO21" s="274"/>
      <c r="AP21" s="274"/>
      <c r="AQ21" s="274"/>
      <c r="AR21" s="274"/>
      <c r="AU21" s="274"/>
      <c r="AV21" s="274"/>
      <c r="AW21" s="274"/>
      <c r="AX21" s="274"/>
      <c r="BA21" s="274"/>
      <c r="BB21" s="274"/>
      <c r="BC21" s="274"/>
      <c r="BD21" s="274"/>
      <c r="BG21" s="274"/>
      <c r="BH21" s="274"/>
      <c r="BI21" s="274"/>
      <c r="BJ21" s="274"/>
      <c r="BM21" s="274"/>
      <c r="BN21" s="274"/>
      <c r="BO21" s="274"/>
      <c r="BP21" s="274"/>
      <c r="BS21" s="274"/>
      <c r="BT21" s="274"/>
      <c r="BU21" s="274"/>
      <c r="BV21" s="274"/>
      <c r="BY21" s="274"/>
      <c r="BZ21" s="274"/>
      <c r="CA21" s="274"/>
      <c r="CB21" s="274"/>
      <c r="CE21" s="274"/>
      <c r="CF21" s="274"/>
      <c r="CG21" s="274"/>
      <c r="CH21" s="274"/>
      <c r="CK21" s="274"/>
      <c r="CL21" s="274"/>
      <c r="CM21" s="274"/>
      <c r="CN21" s="274"/>
      <c r="FP21" s="311"/>
    </row>
    <row r="22" spans="1:177" ht="15" customHeight="1" x14ac:dyDescent="0.25">
      <c r="A22" s="415" t="s">
        <v>719</v>
      </c>
      <c r="B22" s="415"/>
      <c r="C22" s="415"/>
      <c r="D22" s="415"/>
      <c r="E22" s="415" t="str">
        <f>E$3</f>
        <v>1Q04</v>
      </c>
      <c r="F22" s="415" t="str">
        <f>F$3</f>
        <v>2Q04</v>
      </c>
      <c r="G22" s="415" t="str">
        <f>G$3</f>
        <v>3Q04</v>
      </c>
      <c r="H22" s="415" t="str">
        <f>H$3</f>
        <v>4Q04</v>
      </c>
      <c r="I22" s="415">
        <f>I$3</f>
        <v>2004</v>
      </c>
      <c r="J22" s="415"/>
      <c r="K22" s="415" t="str">
        <f>K$3</f>
        <v>1Q05</v>
      </c>
      <c r="L22" s="415" t="str">
        <f>L$3</f>
        <v>2Q05</v>
      </c>
      <c r="M22" s="415" t="str">
        <f>M$3</f>
        <v>3Q05</v>
      </c>
      <c r="N22" s="415" t="str">
        <f>N$3</f>
        <v>4Q05</v>
      </c>
      <c r="O22" s="415">
        <f>O$3</f>
        <v>2005</v>
      </c>
      <c r="P22" s="415"/>
      <c r="Q22" s="415" t="str">
        <f>Q$3</f>
        <v>1Q06</v>
      </c>
      <c r="R22" s="415" t="str">
        <f>R$3</f>
        <v>2Q06</v>
      </c>
      <c r="S22" s="415" t="str">
        <f>S$3</f>
        <v>3Q06</v>
      </c>
      <c r="T22" s="415" t="str">
        <f>T$3</f>
        <v>4Q06</v>
      </c>
      <c r="U22" s="415">
        <f>U$3</f>
        <v>2006</v>
      </c>
      <c r="V22" s="415"/>
      <c r="W22" s="415" t="str">
        <f>W$3</f>
        <v>1Q07</v>
      </c>
      <c r="X22" s="415" t="str">
        <f>X$3</f>
        <v>2Q07</v>
      </c>
      <c r="Y22" s="415" t="str">
        <f>Y$3</f>
        <v>3Q07</v>
      </c>
      <c r="Z22" s="415" t="str">
        <f>Z$3</f>
        <v>4Q07</v>
      </c>
      <c r="AA22" s="415">
        <f>AA$3</f>
        <v>2007</v>
      </c>
      <c r="AB22" s="415"/>
      <c r="AC22" s="415" t="str">
        <f>AC$3</f>
        <v>1Q08</v>
      </c>
      <c r="AD22" s="415" t="str">
        <f>AD$3</f>
        <v>2Q08</v>
      </c>
      <c r="AE22" s="415" t="str">
        <f>AE$3</f>
        <v>3Q08</v>
      </c>
      <c r="AF22" s="415" t="str">
        <f>AF$3</f>
        <v>4Q08</v>
      </c>
      <c r="AG22" s="415">
        <f>AG$3</f>
        <v>2008</v>
      </c>
      <c r="AH22" s="415"/>
      <c r="AI22" s="415" t="str">
        <f>AI$3</f>
        <v>1Q09</v>
      </c>
      <c r="AJ22" s="415" t="str">
        <f>AJ$3</f>
        <v>2Q09</v>
      </c>
      <c r="AK22" s="415" t="str">
        <f>AK$3</f>
        <v>3Q09</v>
      </c>
      <c r="AL22" s="415" t="str">
        <f>AL$3</f>
        <v>4Q09</v>
      </c>
      <c r="AM22" s="415">
        <f>AM$3</f>
        <v>2009</v>
      </c>
      <c r="AN22" s="415"/>
      <c r="AO22" s="415" t="str">
        <f>AO$3</f>
        <v>1Q10</v>
      </c>
      <c r="AP22" s="415" t="str">
        <f>AP$3</f>
        <v>2Q10</v>
      </c>
      <c r="AQ22" s="415" t="str">
        <f>AQ$3</f>
        <v>3Q10</v>
      </c>
      <c r="AR22" s="415" t="str">
        <f>AR$3</f>
        <v>4Q10</v>
      </c>
      <c r="AS22" s="415">
        <f>AS$3</f>
        <v>2010</v>
      </c>
      <c r="AT22" s="415"/>
      <c r="AU22" s="415" t="str">
        <f>AU$3</f>
        <v>1Q11</v>
      </c>
      <c r="AV22" s="415" t="str">
        <f>AV$3</f>
        <v>2Q11</v>
      </c>
      <c r="AW22" s="415" t="str">
        <f>AW$3</f>
        <v>3Q11</v>
      </c>
      <c r="AX22" s="415" t="str">
        <f>AX$3</f>
        <v>4Q11</v>
      </c>
      <c r="AY22" s="415">
        <f>AY$3</f>
        <v>2011</v>
      </c>
      <c r="AZ22" s="415"/>
      <c r="BA22" s="415" t="str">
        <f>BA$3</f>
        <v>1Q12</v>
      </c>
      <c r="BB22" s="415" t="str">
        <f>BB$3</f>
        <v>2Q12</v>
      </c>
      <c r="BC22" s="415" t="str">
        <f>BC$3</f>
        <v>3Q12</v>
      </c>
      <c r="BD22" s="415" t="str">
        <f>BD$3</f>
        <v>4Q12</v>
      </c>
      <c r="BE22" s="415">
        <f>BE$3</f>
        <v>2012</v>
      </c>
      <c r="BF22" s="415"/>
      <c r="BG22" s="415" t="str">
        <f>BG$3</f>
        <v>1Q13</v>
      </c>
      <c r="BH22" s="415" t="str">
        <f>BH$3</f>
        <v>2Q13</v>
      </c>
      <c r="BI22" s="415" t="str">
        <f>BI$3</f>
        <v>3Q13</v>
      </c>
      <c r="BJ22" s="415" t="str">
        <f>BJ$3</f>
        <v>4Q13</v>
      </c>
      <c r="BK22" s="415">
        <f>BK$3</f>
        <v>2013</v>
      </c>
      <c r="BL22" s="415"/>
      <c r="BM22" s="415" t="str">
        <f>BM$3</f>
        <v>1Q14</v>
      </c>
      <c r="BN22" s="415" t="str">
        <f>BN$3</f>
        <v>2Q14</v>
      </c>
      <c r="BO22" s="415" t="str">
        <f>BO$3</f>
        <v>3Q14</v>
      </c>
      <c r="BP22" s="415" t="str">
        <f>BP$3</f>
        <v>4Q14</v>
      </c>
      <c r="BQ22" s="415">
        <f>BQ$3</f>
        <v>2014</v>
      </c>
      <c r="BR22" s="415"/>
      <c r="BS22" s="415" t="str">
        <f>BS$3</f>
        <v>1Q15</v>
      </c>
      <c r="BT22" s="415" t="str">
        <f>BT$3</f>
        <v>2Q15</v>
      </c>
      <c r="BU22" s="415" t="str">
        <f>BU$3</f>
        <v>3Q15</v>
      </c>
      <c r="BV22" s="415" t="str">
        <f>BV$3</f>
        <v>4Q15</v>
      </c>
      <c r="BW22" s="415">
        <f>BW$3</f>
        <v>2015</v>
      </c>
      <c r="BX22" s="415"/>
      <c r="BY22" s="415" t="str">
        <f>BY$3</f>
        <v>1Q16</v>
      </c>
      <c r="BZ22" s="415" t="str">
        <f>BZ$3</f>
        <v>2Q16</v>
      </c>
      <c r="CA22" s="415" t="str">
        <f>CA$3</f>
        <v>3Q16</v>
      </c>
      <c r="CB22" s="415" t="str">
        <f>CB$3</f>
        <v>4Q16</v>
      </c>
      <c r="CC22" s="415">
        <f>CC$3</f>
        <v>2016</v>
      </c>
      <c r="CD22" s="415"/>
      <c r="CE22" s="415" t="str">
        <f>CE$3</f>
        <v>1Q17</v>
      </c>
      <c r="CF22" s="415" t="str">
        <f>CF$3</f>
        <v>2Q17</v>
      </c>
      <c r="CG22" s="415" t="str">
        <f>CG$3</f>
        <v>3Q17</v>
      </c>
      <c r="CH22" s="415" t="str">
        <f>CH$3</f>
        <v>4Q17</v>
      </c>
      <c r="CI22" s="415">
        <f>CI$3</f>
        <v>2017</v>
      </c>
      <c r="CJ22" s="415"/>
      <c r="CK22" s="415" t="str">
        <f>CK$3</f>
        <v>1Q18</v>
      </c>
      <c r="CL22" s="415" t="str">
        <f>CL$3</f>
        <v>2Q18</v>
      </c>
      <c r="CM22" s="415" t="str">
        <f>CM$3</f>
        <v>3Q18</v>
      </c>
      <c r="CN22" s="415" t="str">
        <f>CN$3</f>
        <v>4Q18</v>
      </c>
      <c r="CO22" s="415">
        <f>CO$3</f>
        <v>2018</v>
      </c>
      <c r="CP22" s="415"/>
      <c r="CQ22" s="415"/>
      <c r="CR22" s="415"/>
      <c r="CS22" s="415"/>
      <c r="CT22" s="415"/>
      <c r="CU22" s="415"/>
      <c r="CV22" s="415"/>
      <c r="CW22" s="415"/>
      <c r="CX22" s="415"/>
      <c r="CY22" s="415"/>
      <c r="CZ22" s="415"/>
      <c r="DA22" s="755"/>
      <c r="DB22" s="728"/>
      <c r="DC22" s="415"/>
      <c r="DD22" s="415"/>
      <c r="DE22" s="415"/>
      <c r="DF22" s="415"/>
      <c r="DG22" s="415"/>
      <c r="DH22" s="728"/>
      <c r="DI22" s="415"/>
      <c r="DJ22" s="415"/>
      <c r="DK22" s="415"/>
      <c r="DL22" s="415"/>
      <c r="DM22" s="728"/>
      <c r="DN22" s="728"/>
      <c r="DO22" s="415"/>
      <c r="DP22" s="415"/>
      <c r="DQ22" s="415"/>
      <c r="DR22" s="415"/>
      <c r="DS22" s="728"/>
      <c r="DT22" s="728"/>
      <c r="DU22" s="415"/>
      <c r="DV22" s="415"/>
      <c r="DW22" s="415"/>
      <c r="DX22" s="415"/>
      <c r="DY22" s="728"/>
      <c r="DZ22" s="728"/>
      <c r="EA22" s="415"/>
      <c r="EB22" s="415"/>
      <c r="EC22" s="415"/>
      <c r="ED22" s="415"/>
      <c r="EE22" s="728"/>
      <c r="EF22" s="728"/>
      <c r="EG22" s="415"/>
      <c r="EH22" s="415"/>
      <c r="EI22" s="415"/>
      <c r="EJ22" s="415"/>
      <c r="EK22" s="755"/>
      <c r="EL22" s="755"/>
      <c r="EM22" s="476"/>
      <c r="FA22" s="475"/>
      <c r="FB22" s="475"/>
      <c r="FC22" s="475"/>
      <c r="FD22" s="475"/>
      <c r="FE22" s="415"/>
      <c r="FF22" s="415"/>
      <c r="FG22" s="415"/>
      <c r="FH22" s="415"/>
      <c r="FI22" s="415"/>
      <c r="FJ22" s="415"/>
      <c r="FK22" s="415"/>
      <c r="FL22" s="415"/>
      <c r="FM22" s="415"/>
      <c r="FN22" s="415"/>
      <c r="FO22" s="415"/>
      <c r="FP22" s="415"/>
      <c r="FQ22" s="415"/>
      <c r="FR22" s="415"/>
    </row>
    <row r="23" spans="1:177" ht="12" x14ac:dyDescent="0.25">
      <c r="A23" s="477"/>
      <c r="FP23" s="311"/>
    </row>
    <row r="24" spans="1:177" ht="12" x14ac:dyDescent="0.25">
      <c r="A24" s="477"/>
      <c r="B24" s="325" t="s">
        <v>695</v>
      </c>
      <c r="DU24" s="478">
        <v>0</v>
      </c>
      <c r="DV24" s="478">
        <v>0</v>
      </c>
      <c r="DW24" s="478">
        <v>0</v>
      </c>
      <c r="DX24" s="478">
        <v>0</v>
      </c>
      <c r="DY24" s="694">
        <f>DX24</f>
        <v>0</v>
      </c>
      <c r="EA24" s="478">
        <v>0</v>
      </c>
      <c r="EB24" s="478">
        <v>0</v>
      </c>
      <c r="EC24" s="310">
        <f>EB24+EC73</f>
        <v>1</v>
      </c>
      <c r="ED24" s="310">
        <f>EC24+ED73</f>
        <v>3</v>
      </c>
      <c r="EE24" s="694">
        <f>ED24</f>
        <v>3</v>
      </c>
      <c r="EG24" s="310">
        <f>ED24+EG73</f>
        <v>5</v>
      </c>
      <c r="EH24" s="310">
        <f t="shared" ref="EH24:EJ25" si="54">EG24+EH73</f>
        <v>5</v>
      </c>
      <c r="EI24" s="310">
        <f t="shared" si="54"/>
        <v>7</v>
      </c>
      <c r="EJ24" s="310">
        <f t="shared" si="54"/>
        <v>9</v>
      </c>
      <c r="EK24" s="450">
        <f>EJ24</f>
        <v>9</v>
      </c>
      <c r="EL24" s="450">
        <f>EK24+EL73</f>
        <v>15</v>
      </c>
      <c r="EM24" s="451"/>
      <c r="FD24" s="479"/>
      <c r="FE24" s="452">
        <f>CI24</f>
        <v>0</v>
      </c>
      <c r="FF24" s="452">
        <f>CO24</f>
        <v>0</v>
      </c>
      <c r="FG24" s="373">
        <f>CU24</f>
        <v>0</v>
      </c>
      <c r="FH24" s="373">
        <f>DA24</f>
        <v>0</v>
      </c>
      <c r="FI24" s="373">
        <f>DG24</f>
        <v>0</v>
      </c>
      <c r="FJ24" s="373">
        <f>DM24</f>
        <v>0</v>
      </c>
      <c r="FK24" s="373">
        <f>DS24</f>
        <v>0</v>
      </c>
      <c r="FL24" s="310">
        <f>DY24</f>
        <v>0</v>
      </c>
      <c r="FM24" s="310">
        <f>EE24</f>
        <v>3</v>
      </c>
      <c r="FN24" s="310">
        <f t="shared" ref="FN24:FO26" si="55">EK24</f>
        <v>9</v>
      </c>
      <c r="FO24" s="310">
        <f t="shared" si="55"/>
        <v>15</v>
      </c>
      <c r="FP24" s="310">
        <f>FO24+FP73</f>
        <v>23</v>
      </c>
      <c r="FQ24" s="310">
        <f t="shared" ref="FQ24:FR26" si="56">EN24</f>
        <v>0</v>
      </c>
      <c r="FR24" s="310">
        <f t="shared" si="56"/>
        <v>0</v>
      </c>
    </row>
    <row r="25" spans="1:177" ht="12" x14ac:dyDescent="0.25">
      <c r="A25" s="477"/>
      <c r="B25" s="325" t="s">
        <v>696</v>
      </c>
      <c r="D25" s="445"/>
      <c r="E25" s="480"/>
      <c r="F25" s="480"/>
      <c r="H25" s="481"/>
      <c r="J25" s="445"/>
      <c r="K25" s="481"/>
      <c r="L25" s="481"/>
      <c r="M25" s="481"/>
      <c r="N25" s="481"/>
      <c r="P25" s="445"/>
      <c r="Q25" s="481"/>
      <c r="R25" s="481"/>
      <c r="S25" s="481"/>
      <c r="T25" s="481"/>
      <c r="U25" s="458"/>
      <c r="V25" s="458"/>
      <c r="W25" s="481"/>
      <c r="X25" s="481"/>
      <c r="Y25" s="481"/>
      <c r="Z25" s="458"/>
      <c r="AA25" s="458"/>
      <c r="AB25" s="458"/>
      <c r="AC25" s="481"/>
      <c r="AD25" s="481"/>
      <c r="AE25" s="481"/>
      <c r="AF25" s="458"/>
      <c r="AG25" s="458"/>
      <c r="AI25" s="458"/>
      <c r="AJ25" s="458"/>
      <c r="AK25" s="458"/>
      <c r="AL25" s="458"/>
      <c r="AS25" s="458"/>
      <c r="CE25" s="310">
        <f>BQ74+BW74+CC74+BK74+CE74</f>
        <v>11</v>
      </c>
      <c r="CF25" s="310">
        <f>CE25+CF74</f>
        <v>13</v>
      </c>
      <c r="CG25" s="310">
        <f>CF25+CG74</f>
        <v>17</v>
      </c>
      <c r="CH25" s="310">
        <f>CG25+CH74</f>
        <v>22</v>
      </c>
      <c r="CI25" s="310">
        <f>CH25</f>
        <v>22</v>
      </c>
      <c r="CK25" s="310">
        <f>CH25+CK74</f>
        <v>23</v>
      </c>
      <c r="CL25" s="310">
        <f>CK25+CL74</f>
        <v>30</v>
      </c>
      <c r="CM25" s="310">
        <f>CL25+CM74</f>
        <v>35</v>
      </c>
      <c r="CN25" s="310">
        <f>CM25+CN74</f>
        <v>40</v>
      </c>
      <c r="CO25" s="310">
        <f>CN25</f>
        <v>40</v>
      </c>
      <c r="CQ25" s="310">
        <f>CN25+CQ74</f>
        <v>44</v>
      </c>
      <c r="CR25" s="310">
        <f>CQ25+CR74</f>
        <v>51</v>
      </c>
      <c r="CS25" s="310">
        <f>CR25+CS74</f>
        <v>58</v>
      </c>
      <c r="CT25" s="310">
        <f>CS25+CT74</f>
        <v>66</v>
      </c>
      <c r="CU25" s="310">
        <f>CT25</f>
        <v>66</v>
      </c>
      <c r="CW25" s="310">
        <f>CT25+CW74</f>
        <v>68</v>
      </c>
      <c r="CX25" s="310">
        <f>CW25+CX74</f>
        <v>75</v>
      </c>
      <c r="CY25" s="310">
        <f>CX25+CY74</f>
        <v>89</v>
      </c>
      <c r="CZ25" s="310">
        <f>CY25+CZ74</f>
        <v>97</v>
      </c>
      <c r="DA25" s="450">
        <f>CZ25</f>
        <v>97</v>
      </c>
      <c r="DC25" s="310">
        <f>CZ25+DC74</f>
        <v>104</v>
      </c>
      <c r="DD25" s="310">
        <f>DC25+DD74</f>
        <v>113</v>
      </c>
      <c r="DE25" s="310">
        <f>DD25+DE74</f>
        <v>128</v>
      </c>
      <c r="DF25" s="310">
        <f>DE25+DF74</f>
        <v>139</v>
      </c>
      <c r="DG25" s="694">
        <f>DF25</f>
        <v>139</v>
      </c>
      <c r="DI25" s="310">
        <f>DF25+DI74</f>
        <v>142</v>
      </c>
      <c r="DJ25" s="310">
        <f>DI25+DJ74</f>
        <v>154</v>
      </c>
      <c r="DK25" s="310">
        <f>DJ25+DK74</f>
        <v>166</v>
      </c>
      <c r="DL25" s="310">
        <f>DK25+DL74</f>
        <v>179</v>
      </c>
      <c r="DM25" s="694">
        <f>DL25</f>
        <v>179</v>
      </c>
      <c r="DO25" s="310">
        <f>DL25+DO74</f>
        <v>196</v>
      </c>
      <c r="DP25" s="310">
        <f>DO25+DP74</f>
        <v>208</v>
      </c>
      <c r="DQ25" s="310">
        <f>DP25+DQ74</f>
        <v>219</v>
      </c>
      <c r="DR25" s="310">
        <f>DQ25+DR74</f>
        <v>232</v>
      </c>
      <c r="DS25" s="694">
        <f>DR25</f>
        <v>232</v>
      </c>
      <c r="DT25" s="694"/>
      <c r="DU25" s="310">
        <f>DR25+DU74</f>
        <v>243</v>
      </c>
      <c r="DV25" s="310">
        <f>DS25+DV74</f>
        <v>240</v>
      </c>
      <c r="DW25" s="310">
        <f>DV25+DW74</f>
        <v>251</v>
      </c>
      <c r="DX25" s="310">
        <f>DW25+DX74</f>
        <v>263</v>
      </c>
      <c r="DY25" s="694">
        <f>DX25</f>
        <v>263</v>
      </c>
      <c r="EA25" s="310">
        <f>DX25+EA74</f>
        <v>277</v>
      </c>
      <c r="EB25" s="310">
        <f>DY25+EB74</f>
        <v>273</v>
      </c>
      <c r="EC25" s="310">
        <f>EB25+EC74</f>
        <v>281</v>
      </c>
      <c r="ED25" s="310">
        <f>EC25+ED74</f>
        <v>293</v>
      </c>
      <c r="EE25" s="694">
        <f>ED25</f>
        <v>293</v>
      </c>
      <c r="EG25" s="310">
        <f>ED25+EG74</f>
        <v>307</v>
      </c>
      <c r="EH25" s="310">
        <f t="shared" si="54"/>
        <v>321</v>
      </c>
      <c r="EI25" s="310">
        <f t="shared" si="54"/>
        <v>338</v>
      </c>
      <c r="EJ25" s="310">
        <f t="shared" si="54"/>
        <v>356</v>
      </c>
      <c r="EK25" s="450">
        <f>EJ25</f>
        <v>356</v>
      </c>
      <c r="EL25" s="450">
        <f>FN25+EL74</f>
        <v>440</v>
      </c>
      <c r="EM25" s="451"/>
      <c r="FD25" s="479"/>
      <c r="FE25" s="452">
        <f>CI25</f>
        <v>22</v>
      </c>
      <c r="FF25" s="452">
        <f>CO25</f>
        <v>40</v>
      </c>
      <c r="FG25" s="373">
        <f>CU25</f>
        <v>66</v>
      </c>
      <c r="FH25" s="373">
        <f>DA25</f>
        <v>97</v>
      </c>
      <c r="FI25" s="373">
        <f>DG25</f>
        <v>139</v>
      </c>
      <c r="FJ25" s="373">
        <f>DM25</f>
        <v>179</v>
      </c>
      <c r="FK25" s="373">
        <f>DS25</f>
        <v>232</v>
      </c>
      <c r="FL25" s="310">
        <f>DY25</f>
        <v>263</v>
      </c>
      <c r="FM25" s="310">
        <f>EE25</f>
        <v>293</v>
      </c>
      <c r="FN25" s="310">
        <f t="shared" si="55"/>
        <v>356</v>
      </c>
      <c r="FO25" s="310">
        <f t="shared" si="55"/>
        <v>440</v>
      </c>
      <c r="FP25" s="310">
        <f>GR25+FP74</f>
        <v>61</v>
      </c>
      <c r="FQ25" s="310">
        <f t="shared" si="56"/>
        <v>0</v>
      </c>
      <c r="FR25" s="310">
        <f t="shared" si="56"/>
        <v>0</v>
      </c>
    </row>
    <row r="26" spans="1:177" ht="12" x14ac:dyDescent="0.25">
      <c r="A26" s="445"/>
      <c r="B26" s="381" t="s">
        <v>705</v>
      </c>
      <c r="C26" s="382"/>
      <c r="D26" s="664"/>
      <c r="E26" s="665"/>
      <c r="F26" s="665"/>
      <c r="G26" s="382"/>
      <c r="H26" s="504"/>
      <c r="I26" s="382"/>
      <c r="J26" s="664"/>
      <c r="K26" s="504"/>
      <c r="L26" s="504"/>
      <c r="M26" s="504"/>
      <c r="N26" s="504"/>
      <c r="O26" s="382"/>
      <c r="P26" s="664"/>
      <c r="Q26" s="504"/>
      <c r="R26" s="504"/>
      <c r="S26" s="504"/>
      <c r="T26" s="504"/>
      <c r="U26" s="509"/>
      <c r="V26" s="509"/>
      <c r="W26" s="504"/>
      <c r="X26" s="504"/>
      <c r="Y26" s="504"/>
      <c r="Z26" s="509"/>
      <c r="AA26" s="509"/>
      <c r="AB26" s="509"/>
      <c r="AC26" s="504"/>
      <c r="AD26" s="504"/>
      <c r="AE26" s="504"/>
      <c r="AF26" s="509"/>
      <c r="AG26" s="509"/>
      <c r="AH26" s="382"/>
      <c r="AI26" s="509"/>
      <c r="AJ26" s="509"/>
      <c r="AK26" s="509"/>
      <c r="AL26" s="509"/>
      <c r="AM26" s="382"/>
      <c r="AN26" s="382"/>
      <c r="AO26" s="382"/>
      <c r="AP26" s="382"/>
      <c r="AQ26" s="382"/>
      <c r="AR26" s="382"/>
      <c r="AS26" s="509"/>
      <c r="AT26" s="382"/>
      <c r="AU26" s="382"/>
      <c r="AV26" s="382"/>
      <c r="AW26" s="382"/>
      <c r="AX26" s="382"/>
      <c r="AY26" s="382"/>
      <c r="AZ26" s="382"/>
      <c r="BA26" s="382"/>
      <c r="BB26" s="382"/>
      <c r="BC26" s="382"/>
      <c r="BD26" s="382"/>
      <c r="BE26" s="382"/>
      <c r="BF26" s="382"/>
      <c r="BG26" s="382"/>
      <c r="BH26" s="382"/>
      <c r="BI26" s="382"/>
      <c r="BJ26" s="382"/>
      <c r="BK26" s="382"/>
      <c r="BL26" s="382"/>
      <c r="BM26" s="382"/>
      <c r="BN26" s="382"/>
      <c r="BO26" s="382"/>
      <c r="BP26" s="382"/>
      <c r="BQ26" s="382"/>
      <c r="BR26" s="382"/>
      <c r="BS26" s="382"/>
      <c r="BT26" s="382"/>
      <c r="BU26" s="382"/>
      <c r="BV26" s="382"/>
      <c r="BW26" s="382"/>
      <c r="BX26" s="382"/>
      <c r="BY26" s="382"/>
      <c r="BZ26" s="382"/>
      <c r="CA26" s="382"/>
      <c r="CB26" s="382"/>
      <c r="CC26" s="382"/>
      <c r="CD26" s="382"/>
      <c r="CE26" s="482">
        <f>31+57+31+94+101+72+77+BQ76+BW76+CC76+BK76+CE76</f>
        <v>771</v>
      </c>
      <c r="CF26" s="482">
        <f>CE26+CF76</f>
        <v>787</v>
      </c>
      <c r="CG26" s="482">
        <f>CF26+CG76</f>
        <v>809</v>
      </c>
      <c r="CH26" s="482">
        <f>CG26+CH76</f>
        <v>829</v>
      </c>
      <c r="CI26" s="482">
        <f>CH26</f>
        <v>829</v>
      </c>
      <c r="CJ26" s="382"/>
      <c r="CK26" s="482">
        <f>CH26+CK76</f>
        <v>850</v>
      </c>
      <c r="CL26" s="482">
        <f>CK26+CL76</f>
        <v>869</v>
      </c>
      <c r="CM26" s="482">
        <f>CL26+CM76</f>
        <v>891</v>
      </c>
      <c r="CN26" s="482">
        <f>CM26+CN76</f>
        <v>915</v>
      </c>
      <c r="CO26" s="482">
        <f>CN26</f>
        <v>915</v>
      </c>
      <c r="CP26" s="382"/>
      <c r="CQ26" s="482">
        <f>CN26+CQ76</f>
        <v>932</v>
      </c>
      <c r="CR26" s="482">
        <f>CQ26+CR76</f>
        <v>945</v>
      </c>
      <c r="CS26" s="482">
        <f>CR26+CS76</f>
        <v>966</v>
      </c>
      <c r="CT26" s="482">
        <f>CS26+CT76</f>
        <v>997</v>
      </c>
      <c r="CU26" s="482">
        <f>CT26</f>
        <v>997</v>
      </c>
      <c r="CV26" s="382"/>
      <c r="CW26" s="482">
        <f>CT26+CW76</f>
        <v>1013</v>
      </c>
      <c r="CX26" s="482">
        <f>CW26+CX76</f>
        <v>1030</v>
      </c>
      <c r="CY26" s="482">
        <f>CX26+CY76</f>
        <v>1041</v>
      </c>
      <c r="CZ26" s="482">
        <f>CY26+CZ76</f>
        <v>1065</v>
      </c>
      <c r="DA26" s="483">
        <f>CZ26</f>
        <v>1065</v>
      </c>
      <c r="DC26" s="482">
        <f>CZ26+DC76</f>
        <v>1089</v>
      </c>
      <c r="DD26" s="482">
        <f>DC26+DD76</f>
        <v>1105</v>
      </c>
      <c r="DE26" s="482">
        <f>DD26+DE76</f>
        <v>1126</v>
      </c>
      <c r="DF26" s="482">
        <f>DE26+DF76</f>
        <v>1146</v>
      </c>
      <c r="DG26" s="745">
        <f>DF26</f>
        <v>1146</v>
      </c>
      <c r="DI26" s="482">
        <f>DF26+DI76</f>
        <v>1164</v>
      </c>
      <c r="DJ26" s="482">
        <f>DI26+DJ76</f>
        <v>1185</v>
      </c>
      <c r="DK26" s="482">
        <f>DJ26+DK76</f>
        <v>1205</v>
      </c>
      <c r="DL26" s="482">
        <f>DK26+DL76</f>
        <v>1227</v>
      </c>
      <c r="DM26" s="745">
        <f>DL26</f>
        <v>1227</v>
      </c>
      <c r="DO26" s="482">
        <f>DL26+DO76</f>
        <v>1252</v>
      </c>
      <c r="DP26" s="482">
        <f>DO26+DP76</f>
        <v>1291</v>
      </c>
      <c r="DQ26" s="482">
        <f>DP26+DQ76</f>
        <v>1323</v>
      </c>
      <c r="DR26" s="482">
        <f>DQ26+DR76</f>
        <v>1352</v>
      </c>
      <c r="DS26" s="745">
        <f>DR26</f>
        <v>1352</v>
      </c>
      <c r="DT26" s="694"/>
      <c r="DU26" s="482">
        <f>DR26+DU76</f>
        <v>1372</v>
      </c>
      <c r="DV26" s="482">
        <f>DS26+DV76</f>
        <v>1384</v>
      </c>
      <c r="DW26" s="482">
        <f>DV26+DW76</f>
        <v>1422</v>
      </c>
      <c r="DX26" s="482">
        <f>DW26+DX76</f>
        <v>1461</v>
      </c>
      <c r="DY26" s="745">
        <f>DX26</f>
        <v>1461</v>
      </c>
      <c r="EA26" s="482">
        <f>DX26+EA76</f>
        <v>1486</v>
      </c>
      <c r="EB26" s="482">
        <f>EA26+EB76</f>
        <v>1517</v>
      </c>
      <c r="EC26" s="482">
        <f>EB26+EC76</f>
        <v>1555</v>
      </c>
      <c r="ED26" s="482">
        <f>EC26+ED76</f>
        <v>1592</v>
      </c>
      <c r="EE26" s="745">
        <f>ED26</f>
        <v>1592</v>
      </c>
      <c r="EG26" s="482">
        <f>ED26+EG76</f>
        <v>1609</v>
      </c>
      <c r="EH26" s="482">
        <f>EG26+EH76</f>
        <v>1635.5</v>
      </c>
      <c r="EI26" s="482">
        <f>EH26+EI76</f>
        <v>1668.5</v>
      </c>
      <c r="EJ26" s="482">
        <f>EI26+EJ76</f>
        <v>1713.5</v>
      </c>
      <c r="EK26" s="483">
        <f>EJ26</f>
        <v>1713.5</v>
      </c>
      <c r="EL26" s="484">
        <f>FN26+EL76</f>
        <v>1868.7814754999999</v>
      </c>
      <c r="EM26" s="485"/>
      <c r="FD26" s="452"/>
      <c r="FE26" s="486">
        <f>CI26</f>
        <v>829</v>
      </c>
      <c r="FF26" s="486">
        <f>CO26</f>
        <v>915</v>
      </c>
      <c r="FG26" s="370">
        <f>CU26</f>
        <v>997</v>
      </c>
      <c r="FH26" s="370">
        <f>DA26</f>
        <v>1065</v>
      </c>
      <c r="FI26" s="370">
        <f>DG26</f>
        <v>1146</v>
      </c>
      <c r="FJ26" s="370">
        <f>DM26</f>
        <v>1227</v>
      </c>
      <c r="FK26" s="370">
        <f>DS26</f>
        <v>1352</v>
      </c>
      <c r="FL26" s="482">
        <f>DY26</f>
        <v>1461</v>
      </c>
      <c r="FM26" s="482">
        <f>EE26</f>
        <v>1592</v>
      </c>
      <c r="FN26" s="482">
        <f t="shared" si="55"/>
        <v>1713.5</v>
      </c>
      <c r="FO26" s="482">
        <f t="shared" si="55"/>
        <v>1868.7814754999999</v>
      </c>
      <c r="FP26" s="370">
        <f ca="1">GR26+FP76</f>
        <v>0</v>
      </c>
      <c r="FQ26" s="482">
        <f t="shared" si="56"/>
        <v>0</v>
      </c>
      <c r="FR26" s="482">
        <f t="shared" si="56"/>
        <v>0</v>
      </c>
    </row>
    <row r="27" spans="1:177" s="444" customFormat="1" ht="12" x14ac:dyDescent="0.25">
      <c r="A27" s="477"/>
      <c r="B27" s="444" t="s">
        <v>694</v>
      </c>
      <c r="D27" s="445"/>
      <c r="E27" s="480"/>
      <c r="F27" s="480"/>
      <c r="H27" s="657"/>
      <c r="J27" s="445"/>
      <c r="K27" s="657"/>
      <c r="L27" s="657"/>
      <c r="M27" s="657"/>
      <c r="N27" s="657"/>
      <c r="P27" s="445"/>
      <c r="Q27" s="657"/>
      <c r="R27" s="657"/>
      <c r="S27" s="657"/>
      <c r="T27" s="657"/>
      <c r="U27" s="458"/>
      <c r="V27" s="458"/>
      <c r="W27" s="657"/>
      <c r="X27" s="657"/>
      <c r="Y27" s="657"/>
      <c r="Z27" s="458"/>
      <c r="AA27" s="458"/>
      <c r="AB27" s="458"/>
      <c r="AC27" s="657"/>
      <c r="AD27" s="657"/>
      <c r="AE27" s="657"/>
      <c r="AF27" s="458"/>
      <c r="AG27" s="458"/>
      <c r="AI27" s="458"/>
      <c r="AJ27" s="458"/>
      <c r="AK27" s="458"/>
      <c r="AL27" s="458"/>
      <c r="AS27" s="458"/>
      <c r="CE27" s="571">
        <f>SUM(CE24:CE26)</f>
        <v>782</v>
      </c>
      <c r="CF27" s="571">
        <f>SUM(CF24:CF26)</f>
        <v>800</v>
      </c>
      <c r="CG27" s="571">
        <f>SUM(CG24:CG26)</f>
        <v>826</v>
      </c>
      <c r="CH27" s="571">
        <f>SUM(CH24:CH26)</f>
        <v>851</v>
      </c>
      <c r="CI27" s="571">
        <f>SUM(CI24:CI26)</f>
        <v>851</v>
      </c>
      <c r="CK27" s="571">
        <f>SUM(CK24:CK26)</f>
        <v>873</v>
      </c>
      <c r="CL27" s="571">
        <f>SUM(CL24:CL26)</f>
        <v>899</v>
      </c>
      <c r="CM27" s="571">
        <f>SUM(CM24:CM26)</f>
        <v>926</v>
      </c>
      <c r="CN27" s="571">
        <f>SUM(CN24:CN26)</f>
        <v>955</v>
      </c>
      <c r="CO27" s="571">
        <f>SUM(CO24:CO26)</f>
        <v>955</v>
      </c>
      <c r="CQ27" s="571">
        <f>SUM(CQ24:CQ26)</f>
        <v>976</v>
      </c>
      <c r="CR27" s="571">
        <f>SUM(CR24:CR26)</f>
        <v>996</v>
      </c>
      <c r="CS27" s="571">
        <f>SUM(CS24:CS26)</f>
        <v>1024</v>
      </c>
      <c r="CT27" s="571">
        <f>SUM(CT24:CT26)</f>
        <v>1063</v>
      </c>
      <c r="CU27" s="571">
        <f>SUM(CU24:CU26)</f>
        <v>1063</v>
      </c>
      <c r="CW27" s="571">
        <f>SUM(CW24:CW26)</f>
        <v>1081</v>
      </c>
      <c r="CX27" s="571">
        <f>SUM(CX24:CX26)</f>
        <v>1105</v>
      </c>
      <c r="CY27" s="571">
        <f>SUM(CY24:CY26)</f>
        <v>1130</v>
      </c>
      <c r="CZ27" s="571">
        <f>SUM(CZ24:CZ26)</f>
        <v>1162</v>
      </c>
      <c r="DA27" s="569">
        <f>SUM(DA24:DA26)</f>
        <v>1162</v>
      </c>
      <c r="DB27" s="744"/>
      <c r="DC27" s="571">
        <f>SUM(DC24:DC26)</f>
        <v>1193</v>
      </c>
      <c r="DD27" s="571">
        <f>SUM(DD24:DD26)</f>
        <v>1218</v>
      </c>
      <c r="DE27" s="571">
        <f>SUM(DE24:DE26)</f>
        <v>1254</v>
      </c>
      <c r="DF27" s="571">
        <f>SUM(DF24:DF26)</f>
        <v>1285</v>
      </c>
      <c r="DG27" s="743">
        <f>SUM(DG24:DG26)</f>
        <v>1285</v>
      </c>
      <c r="DH27" s="744"/>
      <c r="DI27" s="571">
        <f>SUM(DI24:DI26)</f>
        <v>1306</v>
      </c>
      <c r="DJ27" s="571">
        <f>SUM(DJ24:DJ26)</f>
        <v>1339</v>
      </c>
      <c r="DK27" s="571">
        <f>SUM(DK24:DK26)</f>
        <v>1371</v>
      </c>
      <c r="DL27" s="571">
        <f>SUM(DL24:DL26)</f>
        <v>1406</v>
      </c>
      <c r="DM27" s="743">
        <f>SUM(DM24:DM26)</f>
        <v>1406</v>
      </c>
      <c r="DN27" s="744"/>
      <c r="DO27" s="571">
        <f>SUM(DO24:DO26)</f>
        <v>1448</v>
      </c>
      <c r="DP27" s="571">
        <f>SUM(DP24:DP26)</f>
        <v>1499</v>
      </c>
      <c r="DQ27" s="571">
        <f>SUM(DQ24:DQ26)</f>
        <v>1542</v>
      </c>
      <c r="DR27" s="571">
        <f>SUM(DR24:DR26)</f>
        <v>1584</v>
      </c>
      <c r="DS27" s="743">
        <f>SUM(DS24:DS26)</f>
        <v>1584</v>
      </c>
      <c r="DT27" s="743"/>
      <c r="DU27" s="571">
        <f>SUM(DU24:DU26)</f>
        <v>1615</v>
      </c>
      <c r="DV27" s="571">
        <f>SUM(DV24:DV26)</f>
        <v>1624</v>
      </c>
      <c r="DW27" s="571">
        <f>SUM(DW24:DW26)</f>
        <v>1673</v>
      </c>
      <c r="DX27" s="571">
        <f>SUM(DX24:DX26)</f>
        <v>1724</v>
      </c>
      <c r="DY27" s="743">
        <f>SUM(DY24:DY26)</f>
        <v>1724</v>
      </c>
      <c r="DZ27" s="744"/>
      <c r="EA27" s="571">
        <f>SUM(EA24:EA26)</f>
        <v>1763</v>
      </c>
      <c r="EB27" s="571">
        <f>SUM(EB24:EB26)</f>
        <v>1790</v>
      </c>
      <c r="EC27" s="571">
        <f>SUM(EC24:EC26)</f>
        <v>1837</v>
      </c>
      <c r="ED27" s="571">
        <f>SUM(ED24:ED26)</f>
        <v>1888</v>
      </c>
      <c r="EE27" s="743">
        <f>SUM(EE24:EE26)</f>
        <v>1888</v>
      </c>
      <c r="EF27" s="744"/>
      <c r="EG27" s="571">
        <f t="shared" ref="EG27:EL27" si="57">SUM(EG24:EG26)</f>
        <v>1921</v>
      </c>
      <c r="EH27" s="571">
        <f t="shared" si="57"/>
        <v>1961.5</v>
      </c>
      <c r="EI27" s="571">
        <f t="shared" si="57"/>
        <v>2013.5</v>
      </c>
      <c r="EJ27" s="571">
        <f t="shared" si="57"/>
        <v>2078.5</v>
      </c>
      <c r="EK27" s="569">
        <f t="shared" si="57"/>
        <v>2078.5</v>
      </c>
      <c r="EL27" s="569">
        <f t="shared" si="57"/>
        <v>2323.7814754999999</v>
      </c>
      <c r="EM27" s="593"/>
      <c r="FD27" s="658"/>
      <c r="FE27" s="571">
        <f t="shared" ref="FE27:FP27" si="58">SUM(FE24:FE26)</f>
        <v>851</v>
      </c>
      <c r="FF27" s="571">
        <f t="shared" si="58"/>
        <v>955</v>
      </c>
      <c r="FG27" s="571">
        <f t="shared" si="58"/>
        <v>1063</v>
      </c>
      <c r="FH27" s="571">
        <f t="shared" si="58"/>
        <v>1162</v>
      </c>
      <c r="FI27" s="571">
        <f t="shared" si="58"/>
        <v>1285</v>
      </c>
      <c r="FJ27" s="571">
        <f t="shared" si="58"/>
        <v>1406</v>
      </c>
      <c r="FK27" s="571">
        <f t="shared" si="58"/>
        <v>1584</v>
      </c>
      <c r="FL27" s="571">
        <f t="shared" si="58"/>
        <v>1724</v>
      </c>
      <c r="FM27" s="571">
        <f t="shared" si="58"/>
        <v>1888</v>
      </c>
      <c r="FN27" s="571">
        <f t="shared" si="58"/>
        <v>2078.5</v>
      </c>
      <c r="FO27" s="571">
        <f t="shared" si="58"/>
        <v>2323.7814754999999</v>
      </c>
      <c r="FP27" s="571">
        <f t="shared" ca="1" si="58"/>
        <v>84</v>
      </c>
      <c r="FQ27" s="571">
        <f t="shared" ref="FQ27:FR27" si="59">SUM(FQ24:FQ26)</f>
        <v>0</v>
      </c>
      <c r="FR27" s="571">
        <f t="shared" si="59"/>
        <v>0</v>
      </c>
    </row>
    <row r="28" spans="1:177" ht="12" x14ac:dyDescent="0.25">
      <c r="A28" s="477"/>
      <c r="D28" s="445"/>
      <c r="E28" s="480"/>
      <c r="F28" s="480"/>
      <c r="H28" s="481"/>
      <c r="J28" s="445"/>
      <c r="K28" s="481"/>
      <c r="L28" s="481"/>
      <c r="M28" s="481"/>
      <c r="N28" s="481"/>
      <c r="P28" s="445"/>
      <c r="Q28" s="481"/>
      <c r="R28" s="481"/>
      <c r="S28" s="481"/>
      <c r="T28" s="481"/>
      <c r="U28" s="458"/>
      <c r="V28" s="458"/>
      <c r="W28" s="481"/>
      <c r="X28" s="481"/>
      <c r="Y28" s="481"/>
      <c r="Z28" s="458"/>
      <c r="AA28" s="458"/>
      <c r="AB28" s="458"/>
      <c r="AC28" s="481"/>
      <c r="AD28" s="481"/>
      <c r="AE28" s="481"/>
      <c r="AF28" s="458"/>
      <c r="AG28" s="458"/>
      <c r="AI28" s="458"/>
      <c r="AJ28" s="458"/>
      <c r="AK28" s="458"/>
      <c r="AL28" s="458"/>
      <c r="AS28" s="458"/>
      <c r="CE28" s="310"/>
      <c r="CF28" s="310"/>
      <c r="CG28" s="310"/>
      <c r="CH28" s="310"/>
      <c r="CI28" s="310"/>
      <c r="CK28" s="310"/>
      <c r="CL28" s="310"/>
      <c r="CM28" s="310"/>
      <c r="CN28" s="310"/>
      <c r="CO28" s="310"/>
      <c r="CQ28" s="310"/>
      <c r="CR28" s="310"/>
      <c r="CS28" s="310"/>
      <c r="CT28" s="310"/>
      <c r="CU28" s="310"/>
      <c r="CW28" s="310"/>
      <c r="CX28" s="310"/>
      <c r="CY28" s="310"/>
      <c r="CZ28" s="310"/>
      <c r="DA28" s="450"/>
      <c r="DC28" s="310"/>
      <c r="DD28" s="310"/>
      <c r="DE28" s="310"/>
      <c r="DF28" s="310"/>
      <c r="DG28" s="694"/>
      <c r="DI28" s="310"/>
      <c r="DJ28" s="310"/>
      <c r="DK28" s="310"/>
      <c r="DL28" s="310"/>
      <c r="DM28" s="694"/>
      <c r="DO28" s="310"/>
      <c r="DP28" s="310"/>
      <c r="DQ28" s="310"/>
      <c r="DR28" s="310"/>
      <c r="DS28" s="694"/>
      <c r="DT28" s="694"/>
      <c r="DU28" s="310"/>
      <c r="DV28" s="310"/>
      <c r="DW28" s="310"/>
      <c r="DX28" s="310"/>
      <c r="DY28" s="694"/>
      <c r="EA28" s="310"/>
      <c r="EB28" s="310"/>
      <c r="EC28" s="310"/>
      <c r="ED28" s="310"/>
      <c r="EE28" s="694"/>
      <c r="EG28" s="310"/>
      <c r="EH28" s="310"/>
      <c r="EI28" s="310"/>
      <c r="EJ28" s="310"/>
      <c r="EK28" s="450"/>
      <c r="EL28" s="450"/>
      <c r="EM28" s="451"/>
      <c r="FD28" s="479"/>
      <c r="FE28" s="310"/>
      <c r="FF28" s="310"/>
      <c r="FG28" s="310"/>
      <c r="FH28" s="310"/>
      <c r="FI28" s="310"/>
      <c r="FJ28" s="310"/>
      <c r="FK28" s="310"/>
      <c r="FL28" s="310"/>
      <c r="FM28" s="310"/>
      <c r="FN28" s="310"/>
      <c r="FO28" s="310"/>
      <c r="FP28" s="310"/>
      <c r="FQ28" s="310"/>
      <c r="FR28" s="310"/>
    </row>
    <row r="29" spans="1:177" ht="12" x14ac:dyDescent="0.25">
      <c r="A29" s="477"/>
      <c r="B29" s="325" t="s">
        <v>695</v>
      </c>
      <c r="D29" s="445"/>
      <c r="E29" s="480"/>
      <c r="F29" s="480"/>
      <c r="H29" s="481"/>
      <c r="J29" s="445"/>
      <c r="K29" s="481"/>
      <c r="L29" s="481"/>
      <c r="M29" s="481"/>
      <c r="N29" s="481"/>
      <c r="P29" s="445"/>
      <c r="Q29" s="481"/>
      <c r="R29" s="481"/>
      <c r="S29" s="481"/>
      <c r="T29" s="481"/>
      <c r="U29" s="458"/>
      <c r="V29" s="458"/>
      <c r="W29" s="481"/>
      <c r="X29" s="481"/>
      <c r="Y29" s="481"/>
      <c r="Z29" s="458"/>
      <c r="AA29" s="458"/>
      <c r="AB29" s="458"/>
      <c r="AC29" s="481"/>
      <c r="AD29" s="481"/>
      <c r="AE29" s="481"/>
      <c r="AF29" s="458"/>
      <c r="AG29" s="458"/>
      <c r="AI29" s="458"/>
      <c r="AJ29" s="458"/>
      <c r="AK29" s="458"/>
      <c r="AL29" s="458"/>
      <c r="AS29" s="458"/>
      <c r="CE29" s="310"/>
      <c r="CF29" s="310"/>
      <c r="CG29" s="310"/>
      <c r="CH29" s="310"/>
      <c r="CI29" s="310"/>
      <c r="CK29" s="310"/>
      <c r="CL29" s="310"/>
      <c r="CM29" s="310"/>
      <c r="CN29" s="310"/>
      <c r="CO29" s="310"/>
      <c r="CQ29" s="310"/>
      <c r="CR29" s="310"/>
      <c r="CS29" s="310"/>
      <c r="CT29" s="310"/>
      <c r="CU29" s="310"/>
      <c r="CW29" s="310"/>
      <c r="CX29" s="310"/>
      <c r="CY29" s="310"/>
      <c r="CZ29" s="310"/>
      <c r="DA29" s="450"/>
      <c r="DC29" s="310"/>
      <c r="DD29" s="310"/>
      <c r="DE29" s="310"/>
      <c r="DF29" s="310"/>
      <c r="DG29" s="694"/>
      <c r="DI29" s="310"/>
      <c r="DJ29" s="310"/>
      <c r="DK29" s="310"/>
      <c r="DL29" s="310"/>
      <c r="DM29" s="694"/>
      <c r="DO29" s="310"/>
      <c r="DP29" s="310"/>
      <c r="DQ29" s="310"/>
      <c r="DR29" s="310"/>
      <c r="DS29" s="694"/>
      <c r="DT29" s="694"/>
      <c r="DU29" s="310"/>
      <c r="DV29" s="310"/>
      <c r="DW29" s="310"/>
      <c r="DX29" s="310"/>
      <c r="DY29" s="694"/>
      <c r="EA29" s="310"/>
      <c r="EB29" s="310"/>
      <c r="EC29" s="490"/>
      <c r="ED29" s="310"/>
      <c r="EE29" s="694"/>
      <c r="EG29" s="493">
        <v>5</v>
      </c>
      <c r="EH29" s="493">
        <v>5</v>
      </c>
      <c r="EI29" s="493">
        <v>5</v>
      </c>
      <c r="EJ29" s="493">
        <v>5</v>
      </c>
      <c r="EK29" s="577">
        <f t="shared" ref="EK29:EK32" si="60">EK34/EE24</f>
        <v>0</v>
      </c>
      <c r="EL29" s="491">
        <v>20</v>
      </c>
      <c r="EM29" s="451"/>
      <c r="FD29" s="479"/>
      <c r="FE29" s="411">
        <f>CI29</f>
        <v>0</v>
      </c>
      <c r="FF29" s="411">
        <f>CO29</f>
        <v>0</v>
      </c>
      <c r="FG29" s="411">
        <f>CU29</f>
        <v>0</v>
      </c>
      <c r="FH29" s="411">
        <f>DA29</f>
        <v>0</v>
      </c>
      <c r="FI29" s="411">
        <f>DG29</f>
        <v>0</v>
      </c>
      <c r="FJ29" s="411">
        <f>DM29</f>
        <v>0</v>
      </c>
      <c r="FK29" s="411">
        <f>DS29</f>
        <v>0</v>
      </c>
      <c r="FL29" s="411">
        <f>DY29</f>
        <v>0</v>
      </c>
      <c r="FM29" s="411">
        <f>EE29</f>
        <v>0</v>
      </c>
      <c r="FN29" s="411">
        <f t="shared" ref="FN29:FO31" si="61">EK29</f>
        <v>0</v>
      </c>
      <c r="FO29" s="411">
        <f t="shared" si="61"/>
        <v>20</v>
      </c>
      <c r="FP29" s="493">
        <v>15</v>
      </c>
      <c r="FQ29" s="493">
        <v>15</v>
      </c>
      <c r="FR29" s="493">
        <v>15</v>
      </c>
    </row>
    <row r="30" spans="1:177" ht="12" x14ac:dyDescent="0.25">
      <c r="A30" s="477"/>
      <c r="B30" s="325" t="s">
        <v>743</v>
      </c>
      <c r="D30" s="445"/>
      <c r="E30" s="480"/>
      <c r="F30" s="480"/>
      <c r="H30" s="481"/>
      <c r="J30" s="445"/>
      <c r="K30" s="481"/>
      <c r="L30" s="481"/>
      <c r="M30" s="481"/>
      <c r="N30" s="481"/>
      <c r="P30" s="445"/>
      <c r="Q30" s="481"/>
      <c r="R30" s="481"/>
      <c r="S30" s="481"/>
      <c r="T30" s="481"/>
      <c r="U30" s="458"/>
      <c r="V30" s="458"/>
      <c r="W30" s="481"/>
      <c r="X30" s="481"/>
      <c r="Y30" s="481"/>
      <c r="Z30" s="458"/>
      <c r="AA30" s="458"/>
      <c r="AB30" s="458"/>
      <c r="AC30" s="481"/>
      <c r="AD30" s="481"/>
      <c r="AE30" s="481"/>
      <c r="AF30" s="458"/>
      <c r="AG30" s="458"/>
      <c r="AI30" s="458"/>
      <c r="AJ30" s="458"/>
      <c r="AK30" s="458"/>
      <c r="AL30" s="458"/>
      <c r="AS30" s="458"/>
      <c r="CE30" s="310"/>
      <c r="CF30" s="310"/>
      <c r="CG30" s="310"/>
      <c r="CH30" s="310"/>
      <c r="CI30" s="310"/>
      <c r="CK30" s="411">
        <f>CK35/CE25</f>
        <v>1.4472727272727235</v>
      </c>
      <c r="CL30" s="411">
        <f t="shared" ref="CL30:CO31" si="62">CL35/CF25</f>
        <v>3.0799999999999974</v>
      </c>
      <c r="CM30" s="411">
        <f t="shared" si="62"/>
        <v>3.7929411764705891</v>
      </c>
      <c r="CN30" s="411">
        <f t="shared" si="62"/>
        <v>3.2536363636363657</v>
      </c>
      <c r="CO30" s="411">
        <f t="shared" si="62"/>
        <v>8.7281818181817972</v>
      </c>
      <c r="CQ30" s="411">
        <f>CQ35/CK25</f>
        <v>1.3086956521739139</v>
      </c>
      <c r="CR30" s="411">
        <f t="shared" ref="CR30" si="63">CR35/CL25</f>
        <v>3.6266666666666691</v>
      </c>
      <c r="CS30" s="411">
        <f t="shared" ref="CS30" si="64">CS35/CM25</f>
        <v>1.0628571428571441</v>
      </c>
      <c r="CT30" s="411">
        <f t="shared" ref="CT30" si="65">CT35/CN25</f>
        <v>2.055000000000001</v>
      </c>
      <c r="CU30" s="411">
        <f t="shared" ref="CU30:CU32" si="66">CU35/CO25</f>
        <v>6.4575000000000049</v>
      </c>
      <c r="CW30" s="411">
        <f>CW35/CQ25</f>
        <v>4.6409090909090915</v>
      </c>
      <c r="CX30" s="411">
        <f t="shared" ref="CX30" si="67">CX35/CR25</f>
        <v>4.4235294117647062</v>
      </c>
      <c r="CY30" s="411">
        <f t="shared" ref="CY30" si="68">CY35/CS25</f>
        <v>3.2103448275862076</v>
      </c>
      <c r="CZ30" s="411">
        <f t="shared" ref="CZ30" si="69">CZ35/CT25</f>
        <v>2.4015151515151496</v>
      </c>
      <c r="DA30" s="577">
        <f t="shared" ref="DA30:DA31" si="70">DA35/CU25</f>
        <v>11.734848484848477</v>
      </c>
      <c r="DC30" s="411">
        <f>DC35/CW25</f>
        <v>6.2455882352941146</v>
      </c>
      <c r="DD30" s="411">
        <f t="shared" ref="DD30" si="71">DD35/CX25</f>
        <v>4.6613333333333324</v>
      </c>
      <c r="DE30" s="411">
        <f t="shared" ref="DE30" si="72">DE35/CY25</f>
        <v>4.5112359550561809</v>
      </c>
      <c r="DF30" s="411">
        <f t="shared" ref="DF30" si="73">DF35/CZ25</f>
        <v>5.8134020618556708</v>
      </c>
      <c r="DG30" s="411">
        <f t="shared" ref="DG30:DG32" si="74">DG35/DA25</f>
        <v>17.935051546391747</v>
      </c>
      <c r="DI30" s="411">
        <f>DI35/DC25</f>
        <v>4.6625000000000005</v>
      </c>
      <c r="DJ30" s="411">
        <f t="shared" ref="DJ30" si="75">DJ35/DD25</f>
        <v>4.5707964601769913</v>
      </c>
      <c r="DK30" s="411">
        <f t="shared" ref="DK30" si="76">DK35/DE25</f>
        <v>4.8656249999999988</v>
      </c>
      <c r="DL30" s="411">
        <f t="shared" ref="DL30" si="77">DL35/DF25</f>
        <v>4.682733812949639</v>
      </c>
      <c r="DM30" s="729">
        <f t="shared" ref="DM30:DM32" si="78">DM35/DG25</f>
        <v>16.367625899280572</v>
      </c>
      <c r="DO30" s="411">
        <f>DO35/DI25</f>
        <v>3.3323943661971835</v>
      </c>
      <c r="DP30" s="411">
        <f t="shared" ref="DP30" si="79">DP35/DJ25</f>
        <v>3.0305194805194806</v>
      </c>
      <c r="DQ30" s="411">
        <f t="shared" ref="DQ30" si="80">DQ35/DK25</f>
        <v>3.1403614457831321</v>
      </c>
      <c r="DR30" s="411">
        <f t="shared" ref="DR30" si="81">DR35/DL25</f>
        <v>2.515083798882682</v>
      </c>
      <c r="DS30" s="729">
        <f t="shared" ref="DS30:DS32" si="82">DS35/DM25</f>
        <v>10.678212290502797</v>
      </c>
      <c r="DT30" s="694"/>
      <c r="DU30" s="411">
        <f>DU35/DO25</f>
        <v>2.2841836734693874</v>
      </c>
      <c r="DV30" s="411">
        <f t="shared" ref="DV30" si="83">DV35/DP25</f>
        <v>2.7798076923076929</v>
      </c>
      <c r="DW30" s="411">
        <f t="shared" ref="DW30" si="84">DW35/DQ25</f>
        <v>2.8091324200913244</v>
      </c>
      <c r="DX30" s="411">
        <f t="shared" ref="DX30" si="85">DX35/DR25</f>
        <v>3.4262931034482764</v>
      </c>
      <c r="DY30" s="729">
        <f t="shared" ref="DY30:DY32" si="86">DY35/DS25</f>
        <v>10.500000000000004</v>
      </c>
      <c r="EA30" s="411">
        <f>EA35/DU25</f>
        <v>4.2827160493827154</v>
      </c>
      <c r="EB30" s="411">
        <f>EB35/DV25</f>
        <v>4.6949999999999994</v>
      </c>
      <c r="EC30" s="411">
        <f>EC35/DW25</f>
        <v>3.8517928286852592</v>
      </c>
      <c r="ED30" s="411">
        <f>ED35/DX25</f>
        <v>4.225475285171103</v>
      </c>
      <c r="EE30" s="729">
        <f t="shared" ref="EE30:EE32" si="87">EE35/DY25</f>
        <v>16.142965779467684</v>
      </c>
      <c r="EG30" s="411">
        <f>EG35/EA25</f>
        <v>4.6884476534296029</v>
      </c>
      <c r="EH30" s="493">
        <v>4.5999999999999996</v>
      </c>
      <c r="EI30" s="493">
        <v>4</v>
      </c>
      <c r="EJ30" s="493">
        <v>4</v>
      </c>
      <c r="EK30" s="577">
        <f t="shared" si="60"/>
        <v>16.554607508532424</v>
      </c>
      <c r="EL30" s="491">
        <v>16</v>
      </c>
      <c r="EM30" s="451"/>
      <c r="FD30" s="479"/>
      <c r="FE30" s="411">
        <f>CI30</f>
        <v>0</v>
      </c>
      <c r="FF30" s="411">
        <f>CO30</f>
        <v>8.7281818181817972</v>
      </c>
      <c r="FG30" s="411">
        <f>CU30</f>
        <v>6.4575000000000049</v>
      </c>
      <c r="FH30" s="411">
        <f>DA30</f>
        <v>11.734848484848477</v>
      </c>
      <c r="FI30" s="411">
        <f>DG30</f>
        <v>17.935051546391747</v>
      </c>
      <c r="FJ30" s="411">
        <f>DM30</f>
        <v>16.367625899280572</v>
      </c>
      <c r="FK30" s="411">
        <f>DS30</f>
        <v>10.678212290502797</v>
      </c>
      <c r="FL30" s="411">
        <f>DY30</f>
        <v>10.500000000000004</v>
      </c>
      <c r="FM30" s="411">
        <f>EE30</f>
        <v>16.142965779467684</v>
      </c>
      <c r="FN30" s="411">
        <f t="shared" si="61"/>
        <v>16.554607508532424</v>
      </c>
      <c r="FO30" s="411">
        <f t="shared" si="61"/>
        <v>16</v>
      </c>
      <c r="FP30" s="493">
        <v>12.5</v>
      </c>
      <c r="FQ30" s="493">
        <v>12.5</v>
      </c>
      <c r="FR30" s="493">
        <v>12.5</v>
      </c>
    </row>
    <row r="31" spans="1:177" ht="12" x14ac:dyDescent="0.25">
      <c r="A31" s="477"/>
      <c r="B31" s="381" t="s">
        <v>745</v>
      </c>
      <c r="C31" s="382"/>
      <c r="D31" s="664"/>
      <c r="E31" s="665"/>
      <c r="F31" s="665"/>
      <c r="G31" s="382"/>
      <c r="H31" s="504"/>
      <c r="I31" s="382"/>
      <c r="J31" s="664"/>
      <c r="K31" s="504"/>
      <c r="L31" s="504"/>
      <c r="M31" s="504"/>
      <c r="N31" s="504"/>
      <c r="O31" s="382"/>
      <c r="P31" s="664"/>
      <c r="Q31" s="504"/>
      <c r="R31" s="504"/>
      <c r="S31" s="504"/>
      <c r="T31" s="504"/>
      <c r="U31" s="509"/>
      <c r="V31" s="509"/>
      <c r="W31" s="504"/>
      <c r="X31" s="504"/>
      <c r="Y31" s="504"/>
      <c r="Z31" s="509"/>
      <c r="AA31" s="509"/>
      <c r="AB31" s="509"/>
      <c r="AC31" s="504"/>
      <c r="AD31" s="504"/>
      <c r="AE31" s="504"/>
      <c r="AF31" s="509"/>
      <c r="AG31" s="509"/>
      <c r="AH31" s="382"/>
      <c r="AI31" s="509"/>
      <c r="AJ31" s="509"/>
      <c r="AK31" s="509"/>
      <c r="AL31" s="509"/>
      <c r="AM31" s="382"/>
      <c r="AN31" s="382"/>
      <c r="AO31" s="382"/>
      <c r="AP31" s="382"/>
      <c r="AQ31" s="382"/>
      <c r="AR31" s="382"/>
      <c r="AS31" s="509"/>
      <c r="AT31" s="382"/>
      <c r="AU31" s="382"/>
      <c r="AV31" s="382"/>
      <c r="AW31" s="382"/>
      <c r="AX31" s="382"/>
      <c r="AY31" s="382"/>
      <c r="AZ31" s="382"/>
      <c r="BA31" s="382"/>
      <c r="BB31" s="382"/>
      <c r="BC31" s="382"/>
      <c r="BD31" s="382"/>
      <c r="BE31" s="382"/>
      <c r="BF31" s="382"/>
      <c r="BG31" s="382"/>
      <c r="BH31" s="382"/>
      <c r="BI31" s="382"/>
      <c r="BJ31" s="382"/>
      <c r="BK31" s="382"/>
      <c r="BL31" s="382"/>
      <c r="BM31" s="382"/>
      <c r="BN31" s="382"/>
      <c r="BO31" s="382"/>
      <c r="BP31" s="382"/>
      <c r="BQ31" s="382"/>
      <c r="BR31" s="382"/>
      <c r="BS31" s="382"/>
      <c r="BT31" s="382"/>
      <c r="BU31" s="382"/>
      <c r="BV31" s="382"/>
      <c r="BW31" s="382"/>
      <c r="BX31" s="382"/>
      <c r="BY31" s="382"/>
      <c r="BZ31" s="382"/>
      <c r="CA31" s="382"/>
      <c r="CB31" s="382"/>
      <c r="CC31" s="382"/>
      <c r="CD31" s="382"/>
      <c r="CE31" s="482"/>
      <c r="CF31" s="482"/>
      <c r="CG31" s="482"/>
      <c r="CH31" s="482"/>
      <c r="CI31" s="482"/>
      <c r="CJ31" s="382"/>
      <c r="CK31" s="696">
        <v>0.78</v>
      </c>
      <c r="CL31" s="696">
        <v>0.78</v>
      </c>
      <c r="CM31" s="696">
        <v>0.78</v>
      </c>
      <c r="CN31" s="696">
        <v>0.78</v>
      </c>
      <c r="CO31" s="697">
        <f t="shared" si="62"/>
        <v>3.0070928829915564</v>
      </c>
      <c r="CP31" s="382"/>
      <c r="CQ31" s="696">
        <v>0.6</v>
      </c>
      <c r="CR31" s="696">
        <v>0.7</v>
      </c>
      <c r="CS31" s="696">
        <v>0.7</v>
      </c>
      <c r="CT31" s="696">
        <v>0.9</v>
      </c>
      <c r="CU31" s="697">
        <f t="shared" si="66"/>
        <v>2.8038251366120219</v>
      </c>
      <c r="CV31" s="382"/>
      <c r="CW31" s="696">
        <v>0.7</v>
      </c>
      <c r="CX31" s="696">
        <v>0.7</v>
      </c>
      <c r="CY31" s="696">
        <v>0.7</v>
      </c>
      <c r="CZ31" s="696">
        <v>0.9</v>
      </c>
      <c r="DA31" s="756">
        <f t="shared" si="70"/>
        <v>2.8960882647943831</v>
      </c>
      <c r="DC31" s="696">
        <v>0.8</v>
      </c>
      <c r="DD31" s="696">
        <v>0.7</v>
      </c>
      <c r="DE31" s="696">
        <v>0.7</v>
      </c>
      <c r="DF31" s="696">
        <v>0.9</v>
      </c>
      <c r="DG31" s="697">
        <f t="shared" si="74"/>
        <v>3.0221596244131455</v>
      </c>
      <c r="DI31" s="696">
        <v>0.7</v>
      </c>
      <c r="DJ31" s="696">
        <v>0.7</v>
      </c>
      <c r="DK31" s="696">
        <v>0.8</v>
      </c>
      <c r="DL31" s="696">
        <v>0.9</v>
      </c>
      <c r="DM31" s="730">
        <f t="shared" si="78"/>
        <v>3.0261780104712042</v>
      </c>
      <c r="DO31" s="696">
        <v>0.8</v>
      </c>
      <c r="DP31" s="696">
        <v>0.7</v>
      </c>
      <c r="DQ31" s="696">
        <v>0.7</v>
      </c>
      <c r="DR31" s="696">
        <v>0.9</v>
      </c>
      <c r="DS31" s="730">
        <f t="shared" si="82"/>
        <v>3.0224123879380604</v>
      </c>
      <c r="DT31" s="694"/>
      <c r="DU31" s="696">
        <v>0.7</v>
      </c>
      <c r="DV31" s="696">
        <v>0.7</v>
      </c>
      <c r="DW31" s="696">
        <v>0.7</v>
      </c>
      <c r="DX31" s="696">
        <v>1</v>
      </c>
      <c r="DY31" s="730">
        <f t="shared" si="86"/>
        <v>3.0016272189349111</v>
      </c>
      <c r="EA31" s="696">
        <v>0.7</v>
      </c>
      <c r="EB31" s="696">
        <v>0.7</v>
      </c>
      <c r="EC31" s="696">
        <v>0.7</v>
      </c>
      <c r="ED31" s="696">
        <v>0.7</v>
      </c>
      <c r="EE31" s="730">
        <f t="shared" si="87"/>
        <v>2.7017796030116359</v>
      </c>
      <c r="EG31" s="696">
        <v>0.8</v>
      </c>
      <c r="EH31" s="696">
        <v>0.8</v>
      </c>
      <c r="EI31" s="696">
        <v>0.7</v>
      </c>
      <c r="EJ31" s="696">
        <v>0.6</v>
      </c>
      <c r="EK31" s="756">
        <f t="shared" si="60"/>
        <v>2.7927763819095479</v>
      </c>
      <c r="EL31" s="769">
        <v>2.8</v>
      </c>
      <c r="EM31" s="451"/>
      <c r="FD31" s="479"/>
      <c r="FE31" s="697">
        <f>CI31</f>
        <v>0</v>
      </c>
      <c r="FF31" s="697">
        <f>CO31</f>
        <v>3.0070928829915564</v>
      </c>
      <c r="FG31" s="697">
        <f>CU31</f>
        <v>2.8038251366120219</v>
      </c>
      <c r="FH31" s="697">
        <f>DA31</f>
        <v>2.8960882647943831</v>
      </c>
      <c r="FI31" s="697">
        <f>DG31</f>
        <v>3.0221596244131455</v>
      </c>
      <c r="FJ31" s="697">
        <f>DM31</f>
        <v>3.0261780104712042</v>
      </c>
      <c r="FK31" s="697">
        <f>DS31</f>
        <v>3.0224123879380604</v>
      </c>
      <c r="FL31" s="697">
        <f>DY31</f>
        <v>3.0016272189349111</v>
      </c>
      <c r="FM31" s="697">
        <f>EE31</f>
        <v>2.7017796030116359</v>
      </c>
      <c r="FN31" s="697">
        <f t="shared" si="61"/>
        <v>2.7927763819095479</v>
      </c>
      <c r="FO31" s="697">
        <f t="shared" si="61"/>
        <v>2.8</v>
      </c>
      <c r="FP31" s="696">
        <v>2.8</v>
      </c>
      <c r="FQ31" s="651">
        <v>3</v>
      </c>
      <c r="FR31" s="651">
        <v>3</v>
      </c>
    </row>
    <row r="32" spans="1:177" s="444" customFormat="1" ht="12" x14ac:dyDescent="0.25">
      <c r="A32" s="477"/>
      <c r="B32" s="444" t="s">
        <v>548</v>
      </c>
      <c r="D32" s="445"/>
      <c r="E32" s="480"/>
      <c r="F32" s="480"/>
      <c r="H32" s="657"/>
      <c r="J32" s="445"/>
      <c r="K32" s="657"/>
      <c r="L32" s="657"/>
      <c r="M32" s="657"/>
      <c r="N32" s="657"/>
      <c r="P32" s="445"/>
      <c r="Q32" s="657"/>
      <c r="R32" s="657"/>
      <c r="S32" s="657"/>
      <c r="T32" s="657"/>
      <c r="U32" s="458"/>
      <c r="V32" s="458"/>
      <c r="W32" s="657"/>
      <c r="X32" s="657"/>
      <c r="Y32" s="657"/>
      <c r="Z32" s="458"/>
      <c r="AA32" s="458"/>
      <c r="AB32" s="458"/>
      <c r="AC32" s="657"/>
      <c r="AD32" s="657"/>
      <c r="AE32" s="657"/>
      <c r="AF32" s="458"/>
      <c r="AG32" s="458"/>
      <c r="AI32" s="458"/>
      <c r="AJ32" s="458"/>
      <c r="AK32" s="458"/>
      <c r="AL32" s="458"/>
      <c r="AS32" s="458"/>
      <c r="CE32" s="654"/>
      <c r="CF32" s="654"/>
      <c r="CG32" s="654"/>
      <c r="CH32" s="654"/>
      <c r="CI32" s="654"/>
      <c r="CK32" s="655">
        <f>CK37/CE27</f>
        <v>0.78938618925831194</v>
      </c>
      <c r="CL32" s="655">
        <f t="shared" ref="CL32:CO32" si="88">CL37/CF27</f>
        <v>0.81737499999999996</v>
      </c>
      <c r="CM32" s="655">
        <f t="shared" si="88"/>
        <v>0.84200968523002417</v>
      </c>
      <c r="CN32" s="655">
        <f t="shared" si="88"/>
        <v>0.84394829612220923</v>
      </c>
      <c r="CO32" s="655">
        <f t="shared" si="88"/>
        <v>3.1549941245593414</v>
      </c>
      <c r="CQ32" s="655">
        <f>CQ37/CK27</f>
        <v>0.61867124856815581</v>
      </c>
      <c r="CR32" s="655">
        <f t="shared" ref="CR32" si="89">CR37/CL27</f>
        <v>0.79766407119021132</v>
      </c>
      <c r="CS32" s="655">
        <f t="shared" ref="CS32" si="90">CS37/CM27</f>
        <v>0.71371490280777539</v>
      </c>
      <c r="CT32" s="655">
        <f t="shared" ref="CT32" si="91">CT37/CN27</f>
        <v>0.94837696335078536</v>
      </c>
      <c r="CU32" s="655">
        <f t="shared" si="66"/>
        <v>2.9568586387434559</v>
      </c>
      <c r="CW32" s="655">
        <f>CW37/CQ27</f>
        <v>0.87766393442622959</v>
      </c>
      <c r="CX32" s="655">
        <f t="shared" ref="CX32" si="92">CX37/CR27</f>
        <v>0.89066265060240968</v>
      </c>
      <c r="CY32" s="655">
        <f t="shared" ref="CY32" si="93">CY37/CS27</f>
        <v>0.84218749999999998</v>
      </c>
      <c r="CZ32" s="655">
        <f t="shared" ref="CZ32" si="94">CZ37/CT27</f>
        <v>0.99322671683913444</v>
      </c>
      <c r="DA32" s="656">
        <f>DA37/CU27</f>
        <v>3.4448730009407336</v>
      </c>
      <c r="DB32" s="744"/>
      <c r="DC32" s="655">
        <f>DC37/CW27</f>
        <v>1.1425531914893616</v>
      </c>
      <c r="DD32" s="655">
        <f t="shared" ref="DD32:DF32" si="95">DD37/CX27</f>
        <v>0.96886877828054285</v>
      </c>
      <c r="DE32" s="655">
        <f t="shared" si="95"/>
        <v>1.0001769911504426</v>
      </c>
      <c r="DF32" s="655">
        <f t="shared" si="95"/>
        <v>1.3101549053356283</v>
      </c>
      <c r="DG32" s="655">
        <f t="shared" si="74"/>
        <v>4.267039586919104</v>
      </c>
      <c r="DH32" s="744"/>
      <c r="DI32" s="655">
        <f>DI37/DC27</f>
        <v>1.0454316848281644</v>
      </c>
      <c r="DJ32" s="655">
        <f t="shared" ref="DJ32" si="96">DJ37/DD27</f>
        <v>1.0591133004926108</v>
      </c>
      <c r="DK32" s="655">
        <f t="shared" ref="DK32" si="97">DK37/DE27</f>
        <v>1.2149920255183413</v>
      </c>
      <c r="DL32" s="655">
        <f t="shared" ref="DL32" si="98">DL37/DF27</f>
        <v>1.3091828793774318</v>
      </c>
      <c r="DM32" s="731">
        <f t="shared" si="78"/>
        <v>4.4693385214007781</v>
      </c>
      <c r="DN32" s="744"/>
      <c r="DO32" s="655">
        <f>DO37/DI27</f>
        <v>1.0753445635528331</v>
      </c>
      <c r="DP32" s="655">
        <f t="shared" ref="DP32" si="99">DP37/DJ27</f>
        <v>0.96803584764749817</v>
      </c>
      <c r="DQ32" s="655">
        <f t="shared" ref="DQ32" si="100">DQ37/DK27</f>
        <v>0.9954777534646243</v>
      </c>
      <c r="DR32" s="655">
        <f t="shared" ref="DR32" si="101">DR37/DL27</f>
        <v>1.1056187766714083</v>
      </c>
      <c r="DS32" s="731">
        <f t="shared" si="82"/>
        <v>3.9970839260312947</v>
      </c>
      <c r="DT32" s="731"/>
      <c r="DU32" s="655">
        <f t="shared" ref="DU32:DV32" si="102">DU37/DO27</f>
        <v>0.91443370165745852</v>
      </c>
      <c r="DV32" s="655">
        <f t="shared" si="102"/>
        <v>0.98859239492995332</v>
      </c>
      <c r="DW32" s="655">
        <f t="shared" ref="DW32" si="103">DW37/DQ27</f>
        <v>0.99954604409857328</v>
      </c>
      <c r="DX32" s="655">
        <f t="shared" ref="DX32" si="104">DX37/DR27</f>
        <v>1.3553661616161616</v>
      </c>
      <c r="DY32" s="731">
        <f t="shared" si="86"/>
        <v>4.0998737373737377</v>
      </c>
      <c r="DZ32" s="744"/>
      <c r="EA32" s="655">
        <f t="shared" ref="EA32" si="105">EA37/DU27</f>
        <v>1.2390712074303405</v>
      </c>
      <c r="EB32" s="655">
        <f t="shared" ref="EB32" si="106">EB37/DV27</f>
        <v>1.2903940886699508</v>
      </c>
      <c r="EC32" s="655">
        <f t="shared" ref="EC32" si="107">EC37/DW27</f>
        <v>1.172863120143455</v>
      </c>
      <c r="ED32" s="655">
        <f t="shared" ref="ED32" si="108">ED37/DX27</f>
        <v>1.2378190255220418</v>
      </c>
      <c r="EE32" s="731">
        <f t="shared" si="87"/>
        <v>4.7522621809744781</v>
      </c>
      <c r="EF32" s="744"/>
      <c r="EG32" s="655">
        <f t="shared" ref="EG32" si="109">EG37/EA27</f>
        <v>1.4109472490073738</v>
      </c>
      <c r="EH32" s="655">
        <f t="shared" ref="EH32" si="110">EH37/EB27</f>
        <v>1.3795530726256984</v>
      </c>
      <c r="EI32" s="655">
        <f t="shared" ref="EI32" si="111">EI37/EC27</f>
        <v>1.2044093630919979</v>
      </c>
      <c r="EJ32" s="655">
        <f t="shared" ref="EJ32" si="112">EJ37/ED27</f>
        <v>1.1266949152542372</v>
      </c>
      <c r="EK32" s="656">
        <f t="shared" si="60"/>
        <v>4.9240466101694915</v>
      </c>
      <c r="EL32" s="656">
        <f>EL37/EK27</f>
        <v>5.0776040413759915</v>
      </c>
      <c r="EM32" s="659"/>
      <c r="FD32" s="658"/>
      <c r="FE32" s="654">
        <f t="shared" ref="FE32:FO32" si="113">FE9/FE27</f>
        <v>3.1481786133960048</v>
      </c>
      <c r="FF32" s="654">
        <f t="shared" si="113"/>
        <v>2.8114136125654445</v>
      </c>
      <c r="FG32" s="654">
        <f t="shared" si="113"/>
        <v>2.6564440263405458</v>
      </c>
      <c r="FH32" s="654">
        <f t="shared" si="113"/>
        <v>3.1513769363166952</v>
      </c>
      <c r="FI32" s="654">
        <f t="shared" si="113"/>
        <v>3.8585992217898828</v>
      </c>
      <c r="FJ32" s="654">
        <f t="shared" si="113"/>
        <v>4.0847083926031287</v>
      </c>
      <c r="FK32" s="654">
        <f t="shared" si="113"/>
        <v>3.5479166666666671</v>
      </c>
      <c r="FL32" s="654">
        <f t="shared" si="113"/>
        <v>3.7669373549883995</v>
      </c>
      <c r="FM32" s="654">
        <f t="shared" si="113"/>
        <v>4.3394597457627118</v>
      </c>
      <c r="FN32" s="654">
        <f t="shared" si="113"/>
        <v>4.472744767861438</v>
      </c>
      <c r="FO32" s="654">
        <f t="shared" si="113"/>
        <v>4.5416490798598756</v>
      </c>
      <c r="FP32" s="655">
        <f>FP37/FO27</f>
        <v>4.7154124632318508</v>
      </c>
      <c r="FQ32" s="859">
        <f t="shared" ref="FQ32" ca="1" si="114">FQ37/FP27</f>
        <v>13.18452380952381</v>
      </c>
      <c r="FR32" s="859" t="str">
        <f>IFERROR(FR37/FQ27,"0")</f>
        <v>0</v>
      </c>
      <c r="FU32" s="444" t="s">
        <v>599</v>
      </c>
    </row>
    <row r="33" spans="1:177" ht="12" x14ac:dyDescent="0.25">
      <c r="A33" s="477"/>
      <c r="D33" s="445"/>
      <c r="E33" s="480"/>
      <c r="F33" s="480"/>
      <c r="H33" s="481"/>
      <c r="J33" s="445"/>
      <c r="K33" s="481"/>
      <c r="L33" s="481"/>
      <c r="M33" s="481"/>
      <c r="N33" s="481"/>
      <c r="P33" s="445"/>
      <c r="Q33" s="481"/>
      <c r="R33" s="481"/>
      <c r="S33" s="481"/>
      <c r="T33" s="481"/>
      <c r="U33" s="458"/>
      <c r="V33" s="458"/>
      <c r="W33" s="481"/>
      <c r="X33" s="481"/>
      <c r="Y33" s="481"/>
      <c r="Z33" s="458"/>
      <c r="AA33" s="458"/>
      <c r="AB33" s="458"/>
      <c r="AC33" s="481"/>
      <c r="AD33" s="481"/>
      <c r="AE33" s="481"/>
      <c r="AF33" s="458"/>
      <c r="AG33" s="458"/>
      <c r="AI33" s="458"/>
      <c r="AJ33" s="458"/>
      <c r="AK33" s="458"/>
      <c r="AL33" s="458"/>
      <c r="AS33" s="458"/>
      <c r="CE33" s="312"/>
      <c r="CF33" s="312"/>
      <c r="CG33" s="312"/>
      <c r="CH33" s="312"/>
      <c r="CI33" s="312"/>
      <c r="CK33" s="312"/>
      <c r="CL33" s="312"/>
      <c r="CM33" s="312"/>
      <c r="CN33" s="312"/>
      <c r="CO33" s="312"/>
      <c r="CQ33" s="312"/>
      <c r="CR33" s="312"/>
      <c r="CS33" s="312"/>
      <c r="CT33" s="312"/>
      <c r="CU33" s="312"/>
      <c r="CW33" s="312"/>
      <c r="CX33" s="312"/>
      <c r="CY33" s="312"/>
      <c r="CZ33" s="312"/>
      <c r="DA33" s="410"/>
      <c r="DC33" s="376"/>
      <c r="DD33" s="376"/>
      <c r="DE33" s="376"/>
      <c r="DF33" s="376"/>
      <c r="DG33" s="774"/>
      <c r="DI33" s="312"/>
      <c r="DJ33" s="312"/>
      <c r="DK33" s="312"/>
      <c r="DL33" s="312"/>
      <c r="DM33" s="774"/>
      <c r="DO33" s="376"/>
      <c r="DP33" s="376"/>
      <c r="DQ33" s="376"/>
      <c r="DR33" s="376"/>
      <c r="DS33" s="774"/>
      <c r="DT33" s="402"/>
      <c r="DU33" s="489"/>
      <c r="DV33" s="489"/>
      <c r="DW33" s="489"/>
      <c r="DX33" s="489"/>
      <c r="DY33" s="402"/>
      <c r="EA33" s="489"/>
      <c r="EB33" s="489"/>
      <c r="EC33" s="490"/>
      <c r="ED33" s="490"/>
      <c r="EE33" s="402"/>
      <c r="EG33" s="490"/>
      <c r="EH33" s="490"/>
      <c r="EI33" s="490"/>
      <c r="EJ33" s="490"/>
      <c r="EK33" s="406"/>
      <c r="EL33" s="770"/>
      <c r="EM33" s="492"/>
      <c r="FD33" s="479"/>
      <c r="FE33" s="312"/>
      <c r="FF33" s="312"/>
      <c r="FG33" s="312"/>
      <c r="FH33" s="312"/>
      <c r="FI33" s="312"/>
      <c r="FJ33" s="312"/>
      <c r="FK33" s="312"/>
      <c r="FL33" s="312"/>
      <c r="FM33" s="312"/>
      <c r="FN33" s="312"/>
      <c r="FO33" s="312"/>
      <c r="FP33" s="490"/>
      <c r="FQ33" s="490"/>
      <c r="FR33" s="490"/>
    </row>
    <row r="34" spans="1:177" ht="12" x14ac:dyDescent="0.25">
      <c r="A34" s="477"/>
      <c r="B34" s="325" t="s">
        <v>742</v>
      </c>
      <c r="D34" s="445"/>
      <c r="E34" s="480"/>
      <c r="F34" s="480"/>
      <c r="H34" s="481"/>
      <c r="J34" s="445"/>
      <c r="K34" s="481"/>
      <c r="L34" s="481"/>
      <c r="M34" s="481"/>
      <c r="N34" s="481"/>
      <c r="P34" s="445"/>
      <c r="Q34" s="481"/>
      <c r="R34" s="481"/>
      <c r="S34" s="481"/>
      <c r="T34" s="481"/>
      <c r="U34" s="458"/>
      <c r="V34" s="458"/>
      <c r="W34" s="481"/>
      <c r="X34" s="481"/>
      <c r="Y34" s="481"/>
      <c r="Z34" s="458"/>
      <c r="AA34" s="458"/>
      <c r="AB34" s="458"/>
      <c r="AC34" s="481"/>
      <c r="AD34" s="481"/>
      <c r="AE34" s="481"/>
      <c r="AF34" s="458"/>
      <c r="AG34" s="458"/>
      <c r="AI34" s="458"/>
      <c r="AJ34" s="458"/>
      <c r="AK34" s="458"/>
      <c r="AL34" s="458"/>
      <c r="AS34" s="458"/>
      <c r="CE34" s="312"/>
      <c r="CF34" s="312"/>
      <c r="CG34" s="312"/>
      <c r="CH34" s="312"/>
      <c r="CI34" s="312"/>
      <c r="CK34" s="312"/>
      <c r="CL34" s="312"/>
      <c r="CM34" s="312"/>
      <c r="CN34" s="312"/>
      <c r="CO34" s="312"/>
      <c r="CQ34" s="312"/>
      <c r="CR34" s="312"/>
      <c r="CS34" s="312"/>
      <c r="CT34" s="312"/>
      <c r="CU34" s="312"/>
      <c r="CW34" s="312"/>
      <c r="CX34" s="312"/>
      <c r="CY34" s="312"/>
      <c r="CZ34" s="312"/>
      <c r="DA34" s="410"/>
      <c r="DC34" s="376"/>
      <c r="DD34" s="376"/>
      <c r="DE34" s="376"/>
      <c r="DF34" s="376"/>
      <c r="DG34" s="774"/>
      <c r="DI34" s="312"/>
      <c r="DJ34" s="312"/>
      <c r="DK34" s="312"/>
      <c r="DL34" s="312"/>
      <c r="DM34" s="774"/>
      <c r="DO34" s="376"/>
      <c r="DP34" s="376"/>
      <c r="DQ34" s="376"/>
      <c r="DR34" s="376"/>
      <c r="DS34" s="774"/>
      <c r="DT34" s="402"/>
      <c r="DU34" s="489"/>
      <c r="DV34" s="489"/>
      <c r="DW34" s="489"/>
      <c r="DX34" s="489"/>
      <c r="DY34" s="402"/>
      <c r="EA34" s="489"/>
      <c r="EB34" s="489"/>
      <c r="EC34" s="490"/>
      <c r="ED34" s="490"/>
      <c r="EE34" s="402"/>
      <c r="EG34" s="452">
        <f t="shared" ref="EG34:EI34" si="115">DU24*EG29</f>
        <v>0</v>
      </c>
      <c r="EH34" s="452">
        <f t="shared" si="115"/>
        <v>0</v>
      </c>
      <c r="EI34" s="452">
        <f t="shared" si="115"/>
        <v>0</v>
      </c>
      <c r="EJ34" s="452">
        <f>DX24*EJ29</f>
        <v>0</v>
      </c>
      <c r="EK34" s="501">
        <f>SUM(EG34:EJ34)</f>
        <v>0</v>
      </c>
      <c r="EL34" s="501">
        <f>EE24*EL29</f>
        <v>60</v>
      </c>
      <c r="EM34" s="492"/>
      <c r="FD34" s="479"/>
      <c r="FE34" s="310">
        <f>CI34</f>
        <v>0</v>
      </c>
      <c r="FF34" s="310">
        <f>CO34</f>
        <v>0</v>
      </c>
      <c r="FG34" s="310">
        <f>CU34</f>
        <v>0</v>
      </c>
      <c r="FH34" s="310">
        <f>DA34</f>
        <v>0</v>
      </c>
      <c r="FI34" s="310">
        <f>DG34</f>
        <v>0</v>
      </c>
      <c r="FJ34" s="310">
        <f>DM34</f>
        <v>0</v>
      </c>
      <c r="FK34" s="310">
        <f>DS34</f>
        <v>0</v>
      </c>
      <c r="FL34" s="310">
        <f>DY34</f>
        <v>0</v>
      </c>
      <c r="FM34" s="310">
        <f>EE34</f>
        <v>0</v>
      </c>
      <c r="FN34" s="310">
        <f t="shared" ref="FN34:FO36" si="116">EK34</f>
        <v>0</v>
      </c>
      <c r="FO34" s="310">
        <f t="shared" si="116"/>
        <v>60</v>
      </c>
      <c r="FP34" s="452">
        <f>FO24*FP29</f>
        <v>225</v>
      </c>
      <c r="FQ34" s="452">
        <f t="shared" ref="FQ34:FR34" si="117">FP24*FQ29</f>
        <v>345</v>
      </c>
      <c r="FR34" s="452">
        <f t="shared" si="117"/>
        <v>0</v>
      </c>
    </row>
    <row r="35" spans="1:177" ht="12" x14ac:dyDescent="0.25">
      <c r="A35" s="477"/>
      <c r="B35" s="325" t="s">
        <v>744</v>
      </c>
      <c r="D35" s="445"/>
      <c r="E35" s="480"/>
      <c r="F35" s="480"/>
      <c r="H35" s="481"/>
      <c r="J35" s="445"/>
      <c r="K35" s="481"/>
      <c r="L35" s="481"/>
      <c r="M35" s="481"/>
      <c r="N35" s="481"/>
      <c r="P35" s="445"/>
      <c r="Q35" s="481"/>
      <c r="R35" s="481"/>
      <c r="S35" s="481"/>
      <c r="T35" s="481"/>
      <c r="U35" s="458"/>
      <c r="V35" s="458"/>
      <c r="W35" s="481"/>
      <c r="X35" s="481"/>
      <c r="Y35" s="481"/>
      <c r="Z35" s="458"/>
      <c r="AA35" s="458"/>
      <c r="AB35" s="458"/>
      <c r="AC35" s="481"/>
      <c r="AD35" s="481"/>
      <c r="AE35" s="481"/>
      <c r="AF35" s="458"/>
      <c r="AG35" s="458"/>
      <c r="AI35" s="458"/>
      <c r="AJ35" s="458"/>
      <c r="AK35" s="458"/>
      <c r="AL35" s="458"/>
      <c r="AS35" s="458"/>
      <c r="CE35" s="312"/>
      <c r="CF35" s="312"/>
      <c r="CG35" s="312"/>
      <c r="CH35" s="312"/>
      <c r="CI35" s="312"/>
      <c r="CK35" s="452">
        <f>CK37-CK36</f>
        <v>15.919999999999959</v>
      </c>
      <c r="CL35" s="452">
        <f t="shared" ref="CL35:CO35" si="118">CL37-CL36</f>
        <v>40.039999999999964</v>
      </c>
      <c r="CM35" s="452">
        <f t="shared" si="118"/>
        <v>64.480000000000018</v>
      </c>
      <c r="CN35" s="452">
        <f t="shared" si="118"/>
        <v>71.580000000000041</v>
      </c>
      <c r="CO35" s="452">
        <f t="shared" si="118"/>
        <v>192.01999999999953</v>
      </c>
      <c r="CQ35" s="452">
        <f>CQ37-CQ36</f>
        <v>30.100000000000023</v>
      </c>
      <c r="CR35" s="452">
        <f t="shared" ref="CR35" si="119">CR37-CR36</f>
        <v>108.80000000000007</v>
      </c>
      <c r="CS35" s="452">
        <f t="shared" ref="CS35" si="120">CS37-CS36</f>
        <v>37.200000000000045</v>
      </c>
      <c r="CT35" s="452">
        <f t="shared" ref="CT35" si="121">CT37-CT36</f>
        <v>82.200000000000045</v>
      </c>
      <c r="CU35" s="452">
        <f t="shared" ref="CU35" si="122">CU37-CU36</f>
        <v>258.30000000000018</v>
      </c>
      <c r="CW35" s="452">
        <f>CW37-CW36</f>
        <v>204.20000000000005</v>
      </c>
      <c r="CX35" s="452">
        <f t="shared" ref="CX35" si="123">CX37-CX36</f>
        <v>225.60000000000002</v>
      </c>
      <c r="CY35" s="452">
        <f t="shared" ref="CY35" si="124">CY37-CY36</f>
        <v>186.20000000000005</v>
      </c>
      <c r="CZ35" s="452">
        <f t="shared" ref="CZ35" si="125">CZ37-CZ36</f>
        <v>158.49999999999989</v>
      </c>
      <c r="DA35" s="501">
        <f t="shared" ref="DA35" si="126">DA37-DA36</f>
        <v>774.49999999999955</v>
      </c>
      <c r="DC35" s="452">
        <f>DC37-DC36</f>
        <v>424.69999999999982</v>
      </c>
      <c r="DD35" s="452">
        <f t="shared" ref="DD35" si="127">DD37-DD36</f>
        <v>349.59999999999991</v>
      </c>
      <c r="DE35" s="452">
        <f t="shared" ref="DE35" si="128">DE37-DE36</f>
        <v>401.50000000000011</v>
      </c>
      <c r="DF35" s="452">
        <f t="shared" ref="DF35" si="129">DF37-DF36</f>
        <v>563.90000000000009</v>
      </c>
      <c r="DG35" s="452">
        <f t="shared" ref="DG35" si="130">DG37-DG36</f>
        <v>1739.6999999999994</v>
      </c>
      <c r="DI35" s="452">
        <f>DI37-DI36</f>
        <v>484.90000000000009</v>
      </c>
      <c r="DJ35" s="452">
        <f t="shared" ref="DJ35" si="131">DJ37-DJ36</f>
        <v>516.5</v>
      </c>
      <c r="DK35" s="452">
        <f t="shared" ref="DK35" si="132">DK37-DK36</f>
        <v>622.79999999999984</v>
      </c>
      <c r="DL35" s="452">
        <f t="shared" ref="DL35" si="133">DL37-DL36</f>
        <v>650.89999999999986</v>
      </c>
      <c r="DM35" s="732">
        <f t="shared" ref="DM35" si="134">DM37-DM36</f>
        <v>2275.0999999999995</v>
      </c>
      <c r="DO35" s="452">
        <f>DO37-DO36</f>
        <v>473.20000000000005</v>
      </c>
      <c r="DP35" s="452">
        <f t="shared" ref="DP35" si="135">DP37-DP36</f>
        <v>466.70000000000005</v>
      </c>
      <c r="DQ35" s="452">
        <f t="shared" ref="DQ35" si="136">DQ37-DQ36</f>
        <v>521.29999999999995</v>
      </c>
      <c r="DR35" s="452">
        <f t="shared" ref="DR35" si="137">DR37-DR36</f>
        <v>450.20000000000005</v>
      </c>
      <c r="DS35" s="732">
        <f t="shared" ref="DS35" si="138">DS37-DS36</f>
        <v>1911.4000000000005</v>
      </c>
      <c r="DT35" s="402"/>
      <c r="DU35" s="452">
        <f>DU37-DU36</f>
        <v>447.69999999999993</v>
      </c>
      <c r="DV35" s="452">
        <f t="shared" ref="DV35" si="139">DV37-DV36</f>
        <v>578.20000000000016</v>
      </c>
      <c r="DW35" s="452">
        <f t="shared" ref="DW35" si="140">DW37-DW36</f>
        <v>615.20000000000005</v>
      </c>
      <c r="DX35" s="452">
        <f t="shared" ref="DX35" si="141">DX37-DX36</f>
        <v>794.90000000000009</v>
      </c>
      <c r="DY35" s="732">
        <f t="shared" ref="DY35" si="142">DY37-DY36</f>
        <v>2436.0000000000009</v>
      </c>
      <c r="EA35" s="452">
        <f>EA37-EA36</f>
        <v>1040.6999999999998</v>
      </c>
      <c r="EB35" s="452">
        <f t="shared" ref="EB35:ED35" si="143">EB37-EB36</f>
        <v>1126.8</v>
      </c>
      <c r="EC35" s="452">
        <f t="shared" si="143"/>
        <v>966.80000000000007</v>
      </c>
      <c r="ED35" s="452">
        <f t="shared" si="143"/>
        <v>1111.3000000000002</v>
      </c>
      <c r="EE35" s="732">
        <f t="shared" ref="EE35" si="144">EE37-EE36</f>
        <v>4245.6000000000004</v>
      </c>
      <c r="EG35" s="452">
        <f>EG37-EG36</f>
        <v>1298.7</v>
      </c>
      <c r="EH35" s="452">
        <f>EB25*EH30</f>
        <v>1255.8</v>
      </c>
      <c r="EI35" s="452">
        <f t="shared" ref="EH35:EJ36" si="145">EC25*EI30</f>
        <v>1124</v>
      </c>
      <c r="EJ35" s="452">
        <f t="shared" si="145"/>
        <v>1172</v>
      </c>
      <c r="EK35" s="501">
        <f>SUM(EG35:EJ35)</f>
        <v>4850.5</v>
      </c>
      <c r="EL35" s="501">
        <f>EK25*EL30</f>
        <v>5696</v>
      </c>
      <c r="EM35" s="492"/>
      <c r="FD35" s="479"/>
      <c r="FE35" s="310">
        <f>CI35</f>
        <v>0</v>
      </c>
      <c r="FF35" s="310">
        <f>CO35</f>
        <v>192.01999999999953</v>
      </c>
      <c r="FG35" s="310">
        <f>CU35</f>
        <v>258.30000000000018</v>
      </c>
      <c r="FH35" s="310">
        <f>DA35</f>
        <v>774.49999999999955</v>
      </c>
      <c r="FI35" s="310">
        <f>DG35</f>
        <v>1739.6999999999994</v>
      </c>
      <c r="FJ35" s="310">
        <f>DM35</f>
        <v>2275.0999999999995</v>
      </c>
      <c r="FK35" s="310">
        <f>DS35</f>
        <v>1911.4000000000005</v>
      </c>
      <c r="FL35" s="310">
        <f>DY35</f>
        <v>2436.0000000000009</v>
      </c>
      <c r="FM35" s="310">
        <f>EE35</f>
        <v>4245.6000000000004</v>
      </c>
      <c r="FN35" s="310">
        <f t="shared" si="116"/>
        <v>4850.5</v>
      </c>
      <c r="FO35" s="310">
        <f t="shared" si="116"/>
        <v>5696</v>
      </c>
      <c r="FP35" s="452">
        <f t="shared" ref="FP35:FP36" si="146">FO25*FP30</f>
        <v>5500</v>
      </c>
      <c r="FQ35" s="452">
        <f t="shared" ref="FQ35:FR36" si="147">FP25*FQ30</f>
        <v>762.5</v>
      </c>
      <c r="FR35" s="452">
        <f t="shared" si="147"/>
        <v>0</v>
      </c>
    </row>
    <row r="36" spans="1:177" ht="12" x14ac:dyDescent="0.25">
      <c r="A36" s="477"/>
      <c r="B36" s="381" t="s">
        <v>746</v>
      </c>
      <c r="C36" s="382"/>
      <c r="D36" s="664"/>
      <c r="E36" s="665"/>
      <c r="F36" s="665"/>
      <c r="G36" s="382"/>
      <c r="H36" s="504"/>
      <c r="I36" s="382"/>
      <c r="J36" s="664"/>
      <c r="K36" s="504"/>
      <c r="L36" s="504"/>
      <c r="M36" s="504"/>
      <c r="N36" s="504"/>
      <c r="O36" s="382"/>
      <c r="P36" s="664"/>
      <c r="Q36" s="504"/>
      <c r="R36" s="504"/>
      <c r="S36" s="504"/>
      <c r="T36" s="504"/>
      <c r="U36" s="509"/>
      <c r="V36" s="509"/>
      <c r="W36" s="504"/>
      <c r="X36" s="504"/>
      <c r="Y36" s="504"/>
      <c r="Z36" s="509"/>
      <c r="AA36" s="509"/>
      <c r="AB36" s="509"/>
      <c r="AC36" s="504"/>
      <c r="AD36" s="504"/>
      <c r="AE36" s="504"/>
      <c r="AF36" s="509"/>
      <c r="AG36" s="509"/>
      <c r="AH36" s="382"/>
      <c r="AI36" s="509"/>
      <c r="AJ36" s="509"/>
      <c r="AK36" s="509"/>
      <c r="AL36" s="509"/>
      <c r="AM36" s="382"/>
      <c r="AN36" s="382"/>
      <c r="AO36" s="382"/>
      <c r="AP36" s="382"/>
      <c r="AQ36" s="382"/>
      <c r="AR36" s="382"/>
      <c r="AS36" s="509"/>
      <c r="AT36" s="382"/>
      <c r="AU36" s="382"/>
      <c r="AV36" s="382"/>
      <c r="AW36" s="382"/>
      <c r="AX36" s="382"/>
      <c r="AY36" s="382"/>
      <c r="AZ36" s="382"/>
      <c r="BA36" s="382"/>
      <c r="BB36" s="382"/>
      <c r="BC36" s="382"/>
      <c r="BD36" s="382"/>
      <c r="BE36" s="382"/>
      <c r="BF36" s="382"/>
      <c r="BG36" s="382"/>
      <c r="BH36" s="382"/>
      <c r="BI36" s="382"/>
      <c r="BJ36" s="382"/>
      <c r="BK36" s="382"/>
      <c r="BL36" s="382"/>
      <c r="BM36" s="382"/>
      <c r="BN36" s="382"/>
      <c r="BO36" s="382"/>
      <c r="BP36" s="382"/>
      <c r="BQ36" s="382"/>
      <c r="BR36" s="382"/>
      <c r="BS36" s="382"/>
      <c r="BT36" s="382"/>
      <c r="BU36" s="382"/>
      <c r="BV36" s="382"/>
      <c r="BW36" s="382"/>
      <c r="BX36" s="382"/>
      <c r="BY36" s="382"/>
      <c r="BZ36" s="382"/>
      <c r="CA36" s="382"/>
      <c r="CB36" s="382"/>
      <c r="CC36" s="382"/>
      <c r="CD36" s="382"/>
      <c r="CE36" s="698"/>
      <c r="CF36" s="698"/>
      <c r="CG36" s="698"/>
      <c r="CH36" s="698"/>
      <c r="CI36" s="698"/>
      <c r="CJ36" s="382"/>
      <c r="CK36" s="486">
        <f>CE26*CK31</f>
        <v>601.38</v>
      </c>
      <c r="CL36" s="486">
        <f t="shared" ref="CL36:CN36" si="148">CF26*CL31</f>
        <v>613.86</v>
      </c>
      <c r="CM36" s="486">
        <f t="shared" si="148"/>
        <v>631.02</v>
      </c>
      <c r="CN36" s="486">
        <f t="shared" si="148"/>
        <v>646.62</v>
      </c>
      <c r="CO36" s="486">
        <f>SUM(CK36:CN36)</f>
        <v>2492.88</v>
      </c>
      <c r="CP36" s="382"/>
      <c r="CQ36" s="486">
        <f>CK26*CQ31</f>
        <v>510</v>
      </c>
      <c r="CR36" s="486">
        <f t="shared" ref="CR36" si="149">CL26*CR31</f>
        <v>608.29999999999995</v>
      </c>
      <c r="CS36" s="486">
        <f t="shared" ref="CS36" si="150">CM26*CS31</f>
        <v>623.69999999999993</v>
      </c>
      <c r="CT36" s="486">
        <f t="shared" ref="CT36" si="151">CN26*CT31</f>
        <v>823.5</v>
      </c>
      <c r="CU36" s="486">
        <f>SUM(CQ36:CT36)</f>
        <v>2565.5</v>
      </c>
      <c r="CV36" s="382"/>
      <c r="CW36" s="486">
        <f>CQ26*CW31</f>
        <v>652.4</v>
      </c>
      <c r="CX36" s="486">
        <f t="shared" ref="CX36" si="152">CR26*CX31</f>
        <v>661.5</v>
      </c>
      <c r="CY36" s="486">
        <f t="shared" ref="CY36" si="153">CS26*CY31</f>
        <v>676.19999999999993</v>
      </c>
      <c r="CZ36" s="486">
        <f t="shared" ref="CZ36" si="154">CT26*CZ31</f>
        <v>897.30000000000007</v>
      </c>
      <c r="DA36" s="506">
        <f>SUM(CW36:CZ36)</f>
        <v>2887.4</v>
      </c>
      <c r="DC36" s="486">
        <f>CW26*DC31</f>
        <v>810.40000000000009</v>
      </c>
      <c r="DD36" s="486">
        <f t="shared" ref="DD36" si="155">CX26*DD31</f>
        <v>721</v>
      </c>
      <c r="DE36" s="486">
        <f t="shared" ref="DE36" si="156">CY26*DE31</f>
        <v>728.69999999999993</v>
      </c>
      <c r="DF36" s="486">
        <f t="shared" ref="DF36" si="157">CZ26*DF31</f>
        <v>958.5</v>
      </c>
      <c r="DG36" s="486">
        <f>SUM(DC36:DF36)</f>
        <v>3218.6</v>
      </c>
      <c r="DI36" s="486">
        <f>DC26*DI31</f>
        <v>762.3</v>
      </c>
      <c r="DJ36" s="486">
        <f t="shared" ref="DJ36" si="158">DD26*DJ31</f>
        <v>773.5</v>
      </c>
      <c r="DK36" s="486">
        <f t="shared" ref="DK36" si="159">DE26*DK31</f>
        <v>900.80000000000007</v>
      </c>
      <c r="DL36" s="486">
        <f t="shared" ref="DL36" si="160">DF26*DL31</f>
        <v>1031.4000000000001</v>
      </c>
      <c r="DM36" s="733">
        <f>SUM(DI36:DL36)</f>
        <v>3468</v>
      </c>
      <c r="DO36" s="486">
        <f>DI26*DO31</f>
        <v>931.2</v>
      </c>
      <c r="DP36" s="486">
        <f t="shared" ref="DP36" si="161">DJ26*DP31</f>
        <v>829.5</v>
      </c>
      <c r="DQ36" s="486">
        <f t="shared" ref="DQ36" si="162">DK26*DQ31</f>
        <v>843.5</v>
      </c>
      <c r="DR36" s="486">
        <f t="shared" ref="DR36" si="163">DL26*DR31</f>
        <v>1104.3</v>
      </c>
      <c r="DS36" s="733">
        <f>SUM(DO36:DR36)</f>
        <v>3708.5</v>
      </c>
      <c r="DT36" s="402"/>
      <c r="DU36" s="486">
        <f>DO26*DU31</f>
        <v>876.4</v>
      </c>
      <c r="DV36" s="486">
        <f t="shared" ref="DV36" si="164">DP26*DV31</f>
        <v>903.69999999999993</v>
      </c>
      <c r="DW36" s="486">
        <f t="shared" ref="DW36" si="165">DQ26*DW31</f>
        <v>926.09999999999991</v>
      </c>
      <c r="DX36" s="486">
        <f t="shared" ref="DX36" si="166">DR26*DX31</f>
        <v>1352</v>
      </c>
      <c r="DY36" s="733">
        <f>SUM(DU36:DX36)</f>
        <v>4058.2</v>
      </c>
      <c r="EA36" s="486">
        <f>DU26*EA31</f>
        <v>960.4</v>
      </c>
      <c r="EB36" s="486">
        <f t="shared" ref="EB36" si="167">DV26*EB31</f>
        <v>968.8</v>
      </c>
      <c r="EC36" s="486">
        <f t="shared" ref="EC36:ED36" si="168">DW26*EC31</f>
        <v>995.4</v>
      </c>
      <c r="ED36" s="486">
        <f t="shared" si="168"/>
        <v>1022.6999999999999</v>
      </c>
      <c r="EE36" s="733">
        <f>SUM(EA36:ED36)</f>
        <v>3947.2999999999997</v>
      </c>
      <c r="EG36" s="486">
        <f>EA26*EG31</f>
        <v>1188.8</v>
      </c>
      <c r="EH36" s="486">
        <f t="shared" si="145"/>
        <v>1213.6000000000001</v>
      </c>
      <c r="EI36" s="486">
        <f t="shared" si="145"/>
        <v>1088.5</v>
      </c>
      <c r="EJ36" s="486">
        <f t="shared" si="145"/>
        <v>955.19999999999993</v>
      </c>
      <c r="EK36" s="506">
        <f>SUM(EG36:EJ36)</f>
        <v>4446.1000000000004</v>
      </c>
      <c r="EL36" s="506">
        <f t="shared" ref="EL36" si="169">EK26*EL31</f>
        <v>4797.7999999999993</v>
      </c>
      <c r="EM36" s="492"/>
      <c r="FD36" s="479"/>
      <c r="FE36" s="482">
        <f>CI36</f>
        <v>0</v>
      </c>
      <c r="FF36" s="482">
        <f>CO36</f>
        <v>2492.88</v>
      </c>
      <c r="FG36" s="482">
        <f>CU36</f>
        <v>2565.5</v>
      </c>
      <c r="FH36" s="482">
        <f>DA36</f>
        <v>2887.4</v>
      </c>
      <c r="FI36" s="482">
        <f>DG36</f>
        <v>3218.6</v>
      </c>
      <c r="FJ36" s="482">
        <f>DM36</f>
        <v>3468</v>
      </c>
      <c r="FK36" s="482">
        <f>DS36</f>
        <v>3708.5</v>
      </c>
      <c r="FL36" s="482">
        <f>DY36</f>
        <v>4058.2</v>
      </c>
      <c r="FM36" s="482">
        <f>EE36</f>
        <v>3947.2999999999997</v>
      </c>
      <c r="FN36" s="482">
        <f t="shared" si="116"/>
        <v>4446.1000000000004</v>
      </c>
      <c r="FO36" s="482">
        <f t="shared" si="116"/>
        <v>4797.7999999999993</v>
      </c>
      <c r="FP36" s="486">
        <f t="shared" si="146"/>
        <v>5232.5881313999998</v>
      </c>
      <c r="FQ36" s="486">
        <f t="shared" ca="1" si="147"/>
        <v>0</v>
      </c>
      <c r="FR36" s="486">
        <f t="shared" si="147"/>
        <v>0</v>
      </c>
    </row>
    <row r="37" spans="1:177" ht="12" x14ac:dyDescent="0.25">
      <c r="B37" s="445" t="s">
        <v>720</v>
      </c>
      <c r="D37" s="445"/>
      <c r="E37" s="480"/>
      <c r="F37" s="480"/>
      <c r="H37" s="481"/>
      <c r="J37" s="445"/>
      <c r="K37" s="494">
        <f>K9</f>
        <v>52.545000000000002</v>
      </c>
      <c r="L37" s="494">
        <f>L9</f>
        <v>82.730999999999995</v>
      </c>
      <c r="M37" s="494">
        <f>M9</f>
        <v>74.161000000000001</v>
      </c>
      <c r="N37" s="494">
        <f>N9</f>
        <v>91.85199999999999</v>
      </c>
      <c r="O37" s="494">
        <f>K37+L37+M37+N37</f>
        <v>301.28899999999999</v>
      </c>
      <c r="P37" s="445"/>
      <c r="Q37" s="494">
        <f>Q9</f>
        <v>76.289000000000001</v>
      </c>
      <c r="R37" s="494">
        <f>R9</f>
        <v>100.937</v>
      </c>
      <c r="S37" s="494">
        <f>S9</f>
        <v>101.877</v>
      </c>
      <c r="T37" s="494">
        <f>T9</f>
        <v>88.935999999999964</v>
      </c>
      <c r="U37" s="494">
        <f>Q37+R37+S37+T37</f>
        <v>368.03899999999999</v>
      </c>
      <c r="V37" s="458"/>
      <c r="W37" s="494">
        <f>W9</f>
        <v>101.295</v>
      </c>
      <c r="X37" s="494">
        <f>X9</f>
        <v>104.405</v>
      </c>
      <c r="Y37" s="494">
        <f>Y9</f>
        <v>91.141999999999996</v>
      </c>
      <c r="Z37" s="494">
        <f>Z9</f>
        <v>120.063</v>
      </c>
      <c r="AA37" s="494">
        <f>W37+X37+Y37+Z37</f>
        <v>416.90499999999997</v>
      </c>
      <c r="AB37" s="458"/>
      <c r="AC37" s="494">
        <f>AC9</f>
        <v>99.221999999999994</v>
      </c>
      <c r="AD37" s="494">
        <f>AD9</f>
        <v>118.571</v>
      </c>
      <c r="AE37" s="494">
        <f>AE9</f>
        <v>105.77</v>
      </c>
      <c r="AF37" s="494">
        <f>AF9</f>
        <v>113.354</v>
      </c>
      <c r="AG37" s="494">
        <f>AC37+AD37+AE37+AF37</f>
        <v>436.91699999999997</v>
      </c>
      <c r="AI37" s="494">
        <f>AI9</f>
        <v>82.525000000000006</v>
      </c>
      <c r="AJ37" s="494">
        <f>AJ9</f>
        <v>93.340999999999994</v>
      </c>
      <c r="AK37" s="494">
        <f>AK9</f>
        <v>96.581000000000003</v>
      </c>
      <c r="AL37" s="494">
        <f>AL9</f>
        <v>148.75800000000001</v>
      </c>
      <c r="AM37" s="494">
        <f>AI37+AJ37+AK37+AL37</f>
        <v>421.20500000000004</v>
      </c>
      <c r="AO37" s="494">
        <f>AO9</f>
        <v>110.2</v>
      </c>
      <c r="AP37" s="494">
        <f>AP9</f>
        <v>145.69999999999999</v>
      </c>
      <c r="AQ37" s="494">
        <f>AQ9</f>
        <v>149</v>
      </c>
      <c r="AR37" s="494">
        <f>AR9</f>
        <v>208.3</v>
      </c>
      <c r="AS37" s="494">
        <f>AO37+AP37+AQ37+AR37</f>
        <v>613.20000000000005</v>
      </c>
      <c r="AU37" s="494">
        <f>AU9</f>
        <v>167.8</v>
      </c>
      <c r="AV37" s="494">
        <f>AV9</f>
        <v>195.8</v>
      </c>
      <c r="AW37" s="494">
        <f>AW9</f>
        <v>185.3</v>
      </c>
      <c r="AX37" s="494">
        <f>AX9</f>
        <v>218.2</v>
      </c>
      <c r="AY37" s="494">
        <f>AU37+AV37+AW37+AX37</f>
        <v>767.10000000000014</v>
      </c>
      <c r="BA37" s="494">
        <f>BA9</f>
        <v>201.9</v>
      </c>
      <c r="BB37" s="494">
        <f>BB9</f>
        <v>242.9</v>
      </c>
      <c r="BC37" s="494">
        <f>BC9</f>
        <v>228.5</v>
      </c>
      <c r="BD37" s="494">
        <f>BD9</f>
        <v>256.60000000000002</v>
      </c>
      <c r="BE37" s="494">
        <f>BA37+BB37+BC37+BD37</f>
        <v>929.9</v>
      </c>
      <c r="BG37" s="457">
        <f>BG9</f>
        <v>215.2</v>
      </c>
      <c r="BH37" s="457">
        <f>BH9</f>
        <v>271.2</v>
      </c>
      <c r="BI37" s="457">
        <f>BI9</f>
        <v>358.7</v>
      </c>
      <c r="BJ37" s="457">
        <f>BJ9</f>
        <v>407.1</v>
      </c>
      <c r="BK37" s="457">
        <f>BG37+BH37+BI37+BJ37</f>
        <v>1252.1999999999998</v>
      </c>
      <c r="BL37" s="495"/>
      <c r="BM37" s="457">
        <f>BM9</f>
        <v>366.5</v>
      </c>
      <c r="BN37" s="457">
        <f>BN9</f>
        <v>400.6</v>
      </c>
      <c r="BO37" s="457">
        <f>BO9</f>
        <v>437.7</v>
      </c>
      <c r="BP37" s="457">
        <f>BP9</f>
        <v>408.7</v>
      </c>
      <c r="BQ37" s="457">
        <f>BM37+BN37+BO37+BP37</f>
        <v>1613.5</v>
      </c>
      <c r="BS37" s="457">
        <f>BS9</f>
        <v>403.4</v>
      </c>
      <c r="BT37" s="457">
        <f>BT9</f>
        <v>519.6</v>
      </c>
      <c r="BU37" s="457">
        <f>BU9</f>
        <v>573.9</v>
      </c>
      <c r="BV37" s="457">
        <f>BV9</f>
        <v>553.29999999999995</v>
      </c>
      <c r="BW37" s="457">
        <f>BS37+BT37+BU37+BV37</f>
        <v>2050.1999999999998</v>
      </c>
      <c r="BY37" s="457">
        <f>BY9</f>
        <v>473.4</v>
      </c>
      <c r="BZ37" s="457">
        <f>BZ9</f>
        <v>474.2</v>
      </c>
      <c r="CA37" s="457">
        <f>CA9</f>
        <v>556.9</v>
      </c>
      <c r="CB37" s="457">
        <f>CB9</f>
        <v>618.29999999999995</v>
      </c>
      <c r="CC37" s="457">
        <f>BY37+BZ37+CA37+CB37</f>
        <v>2122.8000000000002</v>
      </c>
      <c r="CD37" s="496"/>
      <c r="CE37" s="457">
        <f>CE9</f>
        <v>727.8</v>
      </c>
      <c r="CF37" s="457">
        <f>CF9</f>
        <v>717.3</v>
      </c>
      <c r="CG37" s="457">
        <f>CG9</f>
        <v>628.5</v>
      </c>
      <c r="CH37" s="457">
        <f>CH9</f>
        <v>605.5</v>
      </c>
      <c r="CI37" s="457">
        <f>CE37+CF37+CG37+CH37</f>
        <v>2679.1</v>
      </c>
      <c r="CJ37" s="495"/>
      <c r="CK37" s="457">
        <f>CK9</f>
        <v>617.29999999999995</v>
      </c>
      <c r="CL37" s="457">
        <f>CL9</f>
        <v>653.9</v>
      </c>
      <c r="CM37" s="457">
        <f>CM9</f>
        <v>695.5</v>
      </c>
      <c r="CN37" s="457">
        <f>CN9</f>
        <v>718.2</v>
      </c>
      <c r="CO37" s="457">
        <f>CK37+CL37+CM37+CN37</f>
        <v>2684.8999999999996</v>
      </c>
      <c r="CQ37" s="457">
        <f>CQ9</f>
        <v>540.1</v>
      </c>
      <c r="CR37" s="457">
        <f>CR9</f>
        <v>717.1</v>
      </c>
      <c r="CS37" s="457">
        <f>CS9</f>
        <v>660.9</v>
      </c>
      <c r="CT37" s="457">
        <f>CT9</f>
        <v>905.7</v>
      </c>
      <c r="CU37" s="457">
        <f>CQ37+CR37+CS37+CT37</f>
        <v>2823.8</v>
      </c>
      <c r="CW37" s="457">
        <f>CW9</f>
        <v>856.6</v>
      </c>
      <c r="CX37" s="457">
        <f>CX9</f>
        <v>887.1</v>
      </c>
      <c r="CY37" s="457">
        <f>CY9</f>
        <v>862.4</v>
      </c>
      <c r="CZ37" s="457">
        <f>CZ9</f>
        <v>1055.8</v>
      </c>
      <c r="DA37" s="459">
        <f>CW37+CX37+CY37+CZ37</f>
        <v>3661.8999999999996</v>
      </c>
      <c r="DC37" s="457">
        <f>DC9</f>
        <v>1235.0999999999999</v>
      </c>
      <c r="DD37" s="457">
        <f>DD9</f>
        <v>1070.5999999999999</v>
      </c>
      <c r="DE37" s="457">
        <f>DE9</f>
        <v>1130.2</v>
      </c>
      <c r="DF37" s="457">
        <f>DF9</f>
        <v>1522.4</v>
      </c>
      <c r="DG37" s="457">
        <f>DC37+DD37+DE37+DF37</f>
        <v>4958.2999999999993</v>
      </c>
      <c r="DI37" s="457">
        <f>DI9</f>
        <v>1247.2</v>
      </c>
      <c r="DJ37" s="457">
        <f>DJ9</f>
        <v>1290</v>
      </c>
      <c r="DK37" s="457">
        <f>DK9</f>
        <v>1523.6</v>
      </c>
      <c r="DL37" s="457">
        <f>DL9</f>
        <v>1682.3</v>
      </c>
      <c r="DM37" s="734">
        <f>DI37+DJ37+DK37+DL37</f>
        <v>5743.0999999999995</v>
      </c>
      <c r="DO37" s="457">
        <f>DO9</f>
        <v>1404.4</v>
      </c>
      <c r="DP37" s="457">
        <f>DP9</f>
        <v>1296.2</v>
      </c>
      <c r="DQ37" s="457">
        <f>DQ9</f>
        <v>1364.8</v>
      </c>
      <c r="DR37" s="457">
        <f>DR9</f>
        <v>1554.5</v>
      </c>
      <c r="DS37" s="734">
        <f>DO37+DP37+DQ37+DR37</f>
        <v>5619.9000000000005</v>
      </c>
      <c r="DT37" s="830">
        <f>DS37/DM37-1</f>
        <v>-2.1451829151503343E-2</v>
      </c>
      <c r="DU37" s="497">
        <f>DU9</f>
        <v>1324.1</v>
      </c>
      <c r="DV37" s="497">
        <f>DV9</f>
        <v>1481.9</v>
      </c>
      <c r="DW37" s="457">
        <f>DW9</f>
        <v>1541.3</v>
      </c>
      <c r="DX37" s="457">
        <f>DX9</f>
        <v>2146.9</v>
      </c>
      <c r="DY37" s="734">
        <f>SUM(DU37:DX37)</f>
        <v>6494.2000000000007</v>
      </c>
      <c r="DZ37" s="830">
        <f>DY37/DS37-1</f>
        <v>0.15557216320575096</v>
      </c>
      <c r="EA37" s="497">
        <f>EA9</f>
        <v>2001.1</v>
      </c>
      <c r="EB37" s="497">
        <f>EB9</f>
        <v>2095.6</v>
      </c>
      <c r="EC37" s="497">
        <f>EC9</f>
        <v>1962.2</v>
      </c>
      <c r="ED37" s="497">
        <f>ED9</f>
        <v>2134</v>
      </c>
      <c r="EE37" s="734">
        <f>SUM(EA37:ED37)</f>
        <v>8192.9</v>
      </c>
      <c r="EG37" s="497">
        <f>EG9</f>
        <v>2487.5</v>
      </c>
      <c r="EH37" s="457">
        <f>SUM(EH34:EH36)</f>
        <v>2469.4</v>
      </c>
      <c r="EI37" s="457">
        <f t="shared" ref="EI37:EL37" si="170">SUM(EI34:EI36)</f>
        <v>2212.5</v>
      </c>
      <c r="EJ37" s="457">
        <f t="shared" si="170"/>
        <v>2127.1999999999998</v>
      </c>
      <c r="EK37" s="459">
        <f t="shared" si="170"/>
        <v>9296.6</v>
      </c>
      <c r="EL37" s="459">
        <f t="shared" si="170"/>
        <v>10553.8</v>
      </c>
      <c r="EM37" s="498"/>
      <c r="EN37" s="457"/>
      <c r="EO37" s="457"/>
      <c r="FA37" s="457">
        <f>BK37</f>
        <v>1252.1999999999998</v>
      </c>
      <c r="FB37" s="457">
        <f>BQ37</f>
        <v>1613.5</v>
      </c>
      <c r="FC37" s="457">
        <f>BW37</f>
        <v>2050.1999999999998</v>
      </c>
      <c r="FD37" s="457">
        <f>CC37</f>
        <v>2122.8000000000002</v>
      </c>
      <c r="FE37" s="457">
        <f>CI37</f>
        <v>2679.1</v>
      </c>
      <c r="FF37" s="457">
        <f>CO37</f>
        <v>2684.8999999999996</v>
      </c>
      <c r="FG37" s="462">
        <f>CU37</f>
        <v>2823.8</v>
      </c>
      <c r="FH37" s="462">
        <f>DA37</f>
        <v>3661.8999999999996</v>
      </c>
      <c r="FI37" s="462">
        <f>DG37</f>
        <v>4958.2999999999993</v>
      </c>
      <c r="FJ37" s="462">
        <f>DM37</f>
        <v>5743.0999999999995</v>
      </c>
      <c r="FK37" s="462">
        <f>DS37</f>
        <v>5619.9000000000005</v>
      </c>
      <c r="FL37" s="457">
        <f>DY37</f>
        <v>6494.2000000000007</v>
      </c>
      <c r="FM37" s="457">
        <f>EE37</f>
        <v>8192.9</v>
      </c>
      <c r="FN37" s="457">
        <f>FN27*FN32</f>
        <v>9296.5999999999985</v>
      </c>
      <c r="FO37" s="457">
        <f>FO27*FO32</f>
        <v>10553.8</v>
      </c>
      <c r="FP37" s="457">
        <f t="shared" ref="FP37" si="171">SUM(FP34:FP36)</f>
        <v>10957.5881314</v>
      </c>
      <c r="FQ37" s="457">
        <f t="shared" ref="FQ37" ca="1" si="172">SUM(FQ34:FQ36)</f>
        <v>1107.5</v>
      </c>
      <c r="FR37" s="457">
        <f t="shared" ref="FR37" si="173">SUM(FR34:FR36)</f>
        <v>0</v>
      </c>
    </row>
    <row r="38" spans="1:177" ht="12" x14ac:dyDescent="0.25">
      <c r="A38" s="477"/>
      <c r="B38" s="316" t="s">
        <v>721</v>
      </c>
      <c r="D38" s="445"/>
      <c r="E38" s="480"/>
      <c r="F38" s="480"/>
      <c r="H38" s="481"/>
      <c r="J38" s="445"/>
      <c r="K38" s="481"/>
      <c r="L38" s="481"/>
      <c r="M38" s="481"/>
      <c r="N38" s="481"/>
      <c r="P38" s="445"/>
      <c r="Q38" s="481"/>
      <c r="R38" s="481"/>
      <c r="S38" s="481"/>
      <c r="T38" s="481"/>
      <c r="U38" s="458"/>
      <c r="V38" s="458"/>
      <c r="W38" s="481"/>
      <c r="X38" s="481"/>
      <c r="Y38" s="481"/>
      <c r="Z38" s="458"/>
      <c r="AA38" s="458"/>
      <c r="AB38" s="458"/>
      <c r="AC38" s="481"/>
      <c r="AD38" s="481"/>
      <c r="AE38" s="481"/>
      <c r="AF38" s="458"/>
      <c r="AG38" s="458"/>
      <c r="AI38" s="458"/>
      <c r="AJ38" s="458"/>
      <c r="AK38" s="458"/>
      <c r="AL38" s="458"/>
      <c r="AS38" s="458"/>
      <c r="CK38" s="274">
        <f>CK37/CE37-1</f>
        <v>-0.15182742511679037</v>
      </c>
      <c r="CL38" s="274">
        <f>CL37/CF37-1</f>
        <v>-8.8387006831172399E-2</v>
      </c>
      <c r="CM38" s="274">
        <f>CM37/CG37-1</f>
        <v>0.10660302307080349</v>
      </c>
      <c r="CN38" s="274">
        <f>CN37/CH37-1</f>
        <v>0.18612716763005799</v>
      </c>
      <c r="CO38" s="274">
        <f>CO37/CI37-1</f>
        <v>2.1649061251911572E-3</v>
      </c>
      <c r="CQ38" s="274">
        <f>CQ37/CK37-1</f>
        <v>-0.12506074842054093</v>
      </c>
      <c r="CR38" s="274">
        <f>CR37/CL37-1</f>
        <v>9.6650864046490259E-2</v>
      </c>
      <c r="CS38" s="274">
        <f>CS37/CM37-1</f>
        <v>-4.9748382458662865E-2</v>
      </c>
      <c r="CT38" s="274">
        <f>CT37/CN37-1</f>
        <v>0.26106934001670834</v>
      </c>
      <c r="CU38" s="274">
        <f>CU37/CO37-1</f>
        <v>5.1733770345264496E-2</v>
      </c>
      <c r="CW38" s="274">
        <f>CW37/CQ37-1</f>
        <v>0.58600259211257177</v>
      </c>
      <c r="CX38" s="274">
        <f>CX37/CR37-1</f>
        <v>0.23706596011713854</v>
      </c>
      <c r="CY38" s="274">
        <f>CY37/CS37-1</f>
        <v>0.30488727492812839</v>
      </c>
      <c r="CZ38" s="274">
        <f>CZ37/CT37-1</f>
        <v>0.16572816605940144</v>
      </c>
      <c r="DA38" s="404">
        <f>DA37/CU37-1</f>
        <v>0.29679864013032065</v>
      </c>
      <c r="DC38" s="274">
        <f>DC37/CW37-1</f>
        <v>0.44186318001400871</v>
      </c>
      <c r="DD38" s="274">
        <f>DD37/CX37-1</f>
        <v>0.20685379325893338</v>
      </c>
      <c r="DE38" s="274">
        <f>DE37/CY37-1</f>
        <v>0.31052875695732851</v>
      </c>
      <c r="DF38" s="274">
        <f>DF37/CZ37-1</f>
        <v>0.44193976131843171</v>
      </c>
      <c r="DG38" s="399">
        <f>DG37/DA37-1</f>
        <v>0.35402386739124503</v>
      </c>
      <c r="DI38" s="274">
        <f>DI37/DC37-1</f>
        <v>9.7967775888592179E-3</v>
      </c>
      <c r="DJ38" s="274">
        <f>DJ37/DD37-1</f>
        <v>0.20493181393611071</v>
      </c>
      <c r="DK38" s="274">
        <f>DK37/DE37-1</f>
        <v>0.34807998584321354</v>
      </c>
      <c r="DL38" s="274">
        <f>DL37/DF37-1</f>
        <v>0.105031529164477</v>
      </c>
      <c r="DM38" s="399">
        <f>DM37/DG37-1</f>
        <v>0.15828005566423986</v>
      </c>
      <c r="DO38" s="274">
        <f>DO37/DI37-1</f>
        <v>0.12604233483001925</v>
      </c>
      <c r="DP38" s="274">
        <f>DP37/DJ37-1</f>
        <v>4.8062015503875788E-3</v>
      </c>
      <c r="DQ38" s="274">
        <f>DQ37/DK37-1</f>
        <v>-0.10422683118928855</v>
      </c>
      <c r="DR38" s="274">
        <f>DR37/DL37-1</f>
        <v>-7.5967425548356338E-2</v>
      </c>
      <c r="DS38" s="399">
        <f>DS37/DM37-1</f>
        <v>-2.1451829151503343E-2</v>
      </c>
      <c r="DT38" s="399"/>
      <c r="DU38" s="274">
        <f>DU37/DO37-1</f>
        <v>-5.7177442324124361E-2</v>
      </c>
      <c r="DV38" s="274">
        <f>DV37/DP37-1</f>
        <v>0.14326492825181303</v>
      </c>
      <c r="DW38" s="274">
        <f>DW37/DQ37-1</f>
        <v>0.12932297772567414</v>
      </c>
      <c r="DX38" s="274">
        <f>DX37/DR37-1</f>
        <v>0.38108716629141215</v>
      </c>
      <c r="DY38" s="399">
        <f>DY37/DS37-1</f>
        <v>0.15557216320575096</v>
      </c>
      <c r="EA38" s="274">
        <f>EA37/DU37-1</f>
        <v>0.51129068801450051</v>
      </c>
      <c r="EB38" s="274">
        <f>EB37/DV37-1</f>
        <v>0.4141305081314528</v>
      </c>
      <c r="EC38" s="274">
        <f>EC37/DW37-1</f>
        <v>0.2730811652501135</v>
      </c>
      <c r="ED38" s="274">
        <f>ED37/DX37-1</f>
        <v>-6.0086636545717553E-3</v>
      </c>
      <c r="EE38" s="399">
        <f>EE37/DY37-1</f>
        <v>0.26157186412491118</v>
      </c>
      <c r="EG38" s="274">
        <f>EG37/EA37-1</f>
        <v>0.24306631352755992</v>
      </c>
      <c r="EH38" s="274">
        <f>EH37/EB37-1</f>
        <v>0.17837373544569579</v>
      </c>
      <c r="EI38" s="274">
        <f>EI37/EC37-1</f>
        <v>0.12756090102945672</v>
      </c>
      <c r="EJ38" s="274">
        <f>EJ37/ED37-1</f>
        <v>-3.1865042174321623E-3</v>
      </c>
      <c r="EK38" s="404">
        <f>EK37/EE37-1</f>
        <v>0.13471420376179388</v>
      </c>
      <c r="EL38" s="404">
        <f>EL37/EK37-1</f>
        <v>0.13523223544091367</v>
      </c>
      <c r="FD38" s="479"/>
      <c r="FE38" s="479"/>
      <c r="FF38" s="479"/>
      <c r="FG38" s="479"/>
      <c r="FH38" s="479"/>
      <c r="FM38" s="468">
        <f t="shared" ref="FM38:FO38" si="174">FM37/FL37-1</f>
        <v>0.26157186412491118</v>
      </c>
      <c r="FN38" s="468">
        <f t="shared" si="174"/>
        <v>0.13471420376179366</v>
      </c>
      <c r="FO38" s="468">
        <f t="shared" si="174"/>
        <v>0.13523223544091389</v>
      </c>
      <c r="FP38" s="468">
        <f>FP37/FO37-1</f>
        <v>3.8259975686482761E-2</v>
      </c>
      <c r="FQ38" s="274">
        <f t="shared" ref="FQ38:FR38" ca="1" si="175">FQ37/FP37-1</f>
        <v>-0.89892848802864245</v>
      </c>
      <c r="FR38" s="274">
        <f t="shared" ca="1" si="175"/>
        <v>-1</v>
      </c>
    </row>
    <row r="39" spans="1:177" ht="12" x14ac:dyDescent="0.25">
      <c r="B39" s="316" t="s">
        <v>722</v>
      </c>
      <c r="D39" s="445"/>
      <c r="E39" s="480"/>
      <c r="F39" s="480"/>
      <c r="H39" s="481"/>
      <c r="J39" s="445"/>
      <c r="K39" s="274">
        <f>K$37/K10</f>
        <v>7.6743880352865584E-2</v>
      </c>
      <c r="L39" s="274">
        <f>L$37/L10</f>
        <v>0.10839092582523763</v>
      </c>
      <c r="M39" s="274">
        <f>M$37/M10</f>
        <v>0.13909890781820602</v>
      </c>
      <c r="N39" s="274">
        <f>N$37/N10</f>
        <v>0.16765321637106678</v>
      </c>
      <c r="O39" s="274">
        <f>O$37/O10</f>
        <v>0.11913520421579246</v>
      </c>
      <c r="P39" s="445"/>
      <c r="Q39" s="274">
        <f>Q$37/Q10</f>
        <v>0.1212110138387963</v>
      </c>
      <c r="R39" s="274">
        <f>R$37/R10</f>
        <v>0.10717979429872344</v>
      </c>
      <c r="S39" s="274">
        <f>S$37/S10</f>
        <v>0.10629538006308213</v>
      </c>
      <c r="T39" s="274">
        <f>T$37/T10</f>
        <v>8.3310305032097506E-2</v>
      </c>
      <c r="U39" s="274">
        <f>U$37/U10</f>
        <v>0.1023153625805648</v>
      </c>
      <c r="V39" s="458"/>
      <c r="W39" s="274">
        <f>W$37/W10</f>
        <v>0.10548892311633619</v>
      </c>
      <c r="X39" s="274">
        <f>X$37/X10</f>
        <v>0.11223664888596487</v>
      </c>
      <c r="Y39" s="274">
        <f>Y$37/Y10</f>
        <v>9.7543381986228209E-2</v>
      </c>
      <c r="Z39" s="274">
        <f>Z$37/Z10</f>
        <v>0.12340898788862428</v>
      </c>
      <c r="AA39" s="274">
        <f>AA$37/AA10</f>
        <v>0.10977753529348878</v>
      </c>
      <c r="AB39" s="458"/>
      <c r="AC39" s="274">
        <f>AC$37/AC10</f>
        <v>0.10794292477872255</v>
      </c>
      <c r="AD39" s="274">
        <f>AD$37/AD10</f>
        <v>0.14046083844592888</v>
      </c>
      <c r="AE39" s="274">
        <f>AE$37/AE10</f>
        <v>0.1518608227218364</v>
      </c>
      <c r="AF39" s="274">
        <f>AF$37/AF10</f>
        <v>0.22954517840508687</v>
      </c>
      <c r="AG39" s="274">
        <f>AG$37/AG10</f>
        <v>0.14792303020166719</v>
      </c>
      <c r="AI39" s="274">
        <f>AI$37/AI10</f>
        <v>0.44942137508509195</v>
      </c>
      <c r="AJ39" s="274">
        <f>AJ$37/AJ10</f>
        <v>0.33745842371655821</v>
      </c>
      <c r="AK39" s="274">
        <f>AK$37/AK10</f>
        <v>0.17393457620769642</v>
      </c>
      <c r="AL39" s="274">
        <f>AL$37/AL10</f>
        <v>0.25622926592325418</v>
      </c>
      <c r="AM39" s="274">
        <f>AM$37/AM10</f>
        <v>0.26390249006461525</v>
      </c>
      <c r="AO39" s="274">
        <f>AO$37/AO10</f>
        <v>0.14855756268535991</v>
      </c>
      <c r="AP39" s="274">
        <f>AP$37/AP10</f>
        <v>0.13633386357256477</v>
      </c>
      <c r="AQ39" s="274">
        <f>AQ$37/AQ10</f>
        <v>0.12670068027210885</v>
      </c>
      <c r="AR39" s="274">
        <f>AR$37/AR10</f>
        <v>0.13691336926515055</v>
      </c>
      <c r="AS39" s="274">
        <f>AS$37/AS10</f>
        <v>0.13602786219747556</v>
      </c>
      <c r="AU39" s="274">
        <f>AU$37/AU10</f>
        <v>0.11554882247624294</v>
      </c>
      <c r="AV39" s="274">
        <f>AV$37/AV10</f>
        <v>0.12802406172355174</v>
      </c>
      <c r="AW39" s="274">
        <f>AW$37/AW10</f>
        <v>0.12704833733287624</v>
      </c>
      <c r="AX39" s="274">
        <f>AX$37/AX10</f>
        <v>0.18019654802213228</v>
      </c>
      <c r="AY39" s="274">
        <f>AY$37/AY10</f>
        <v>0.13574588568394977</v>
      </c>
      <c r="BA39" s="274">
        <f>BA$37/BA10</f>
        <v>0.16127486220944165</v>
      </c>
      <c r="BB39" s="274">
        <f>BB$37/BB10</f>
        <v>0.19784963753359941</v>
      </c>
      <c r="BC39" s="274">
        <f>BC$37/BC10</f>
        <v>0.18595377604166669</v>
      </c>
      <c r="BD39" s="274">
        <f>BD$37/BD10</f>
        <v>0.25080637278858375</v>
      </c>
      <c r="BE39" s="274">
        <f>BE$37/BE10</f>
        <v>0.19653386875198139</v>
      </c>
      <c r="BG39" s="274">
        <f>BG$37/BG10</f>
        <v>0.24122856182042374</v>
      </c>
      <c r="BH39" s="274">
        <f>BH$37/BH10</f>
        <v>0.22253220644949534</v>
      </c>
      <c r="BI39" s="274">
        <f>BI$37/BI10</f>
        <v>0.25764976296509123</v>
      </c>
      <c r="BJ39" s="274">
        <f>BJ$37/BJ10</f>
        <v>0.21177755813348592</v>
      </c>
      <c r="BK39" s="274">
        <f>BK$37/BK10</f>
        <v>0.23080751294859267</v>
      </c>
      <c r="BM39" s="274">
        <f>BM$37/BM10</f>
        <v>0.26244181883279627</v>
      </c>
      <c r="BN39" s="274">
        <f>BN$37/BN10</f>
        <v>0.2437332684351424</v>
      </c>
      <c r="BO39" s="274">
        <f>BO$37/BO10</f>
        <v>0.33103917712902736</v>
      </c>
      <c r="BP39" s="274">
        <f>BP$37/BP10</f>
        <v>0.27356091030789825</v>
      </c>
      <c r="BQ39" s="274">
        <f>BQ$37/BQ10</f>
        <v>0.27551525707357888</v>
      </c>
      <c r="BS39" s="274">
        <f>BS$37/BS10</f>
        <v>0.24449966664646339</v>
      </c>
      <c r="BT39" s="274">
        <f>BT$37/BT10</f>
        <v>0.31412852910948558</v>
      </c>
      <c r="BU39" s="274">
        <f>BU$37/BU10</f>
        <v>0.37044926413632845</v>
      </c>
      <c r="BV39" s="274">
        <f>BV$37/BV10</f>
        <v>0.3857899874494492</v>
      </c>
      <c r="BW39" s="274">
        <f>BW$37/BW10</f>
        <v>0.32608073289436013</v>
      </c>
      <c r="BY39" s="274">
        <f>BY$37/BY10</f>
        <v>0.35508550855085513</v>
      </c>
      <c r="BZ39" s="274">
        <f>BZ$37/BZ10</f>
        <v>0.27259140032191304</v>
      </c>
      <c r="CA39" s="274">
        <f>CA$37/CA10</f>
        <v>0.30689959219662738</v>
      </c>
      <c r="CB39" s="274">
        <f>CB$37/CB10</f>
        <v>0.32415854042151621</v>
      </c>
      <c r="CC39" s="274">
        <f>CC$37/CC10</f>
        <v>0.31241537646435513</v>
      </c>
      <c r="CE39" s="274">
        <f>CE37/CE55</f>
        <v>0.59861819378187198</v>
      </c>
      <c r="CF39" s="274">
        <f>CF37/CF55</f>
        <v>0.51824290152445629</v>
      </c>
      <c r="CG39" s="274">
        <f>CG37/CG55</f>
        <v>0.34553851228764637</v>
      </c>
      <c r="CH39" s="274">
        <f>CH37/CH55</f>
        <v>0.30973451327433627</v>
      </c>
      <c r="CI39" s="274">
        <f>CI37/CI55</f>
        <v>0.42033669611057928</v>
      </c>
      <c r="CK39" s="274">
        <f>CK37/CK55</f>
        <v>0.37015050668585475</v>
      </c>
      <c r="CL39" s="274">
        <f>CL37/CL55</f>
        <v>0.31339563862928349</v>
      </c>
      <c r="CM39" s="274">
        <f>CM37/CM55</f>
        <v>0.33427857348841683</v>
      </c>
      <c r="CN39" s="274">
        <f>CN37/CN55</f>
        <v>0.29625046405147876</v>
      </c>
      <c r="CO39" s="274">
        <f>CO37/CO55</f>
        <v>0.32508384690825876</v>
      </c>
      <c r="CQ39" s="274">
        <f>CQ37/CQ55</f>
        <v>0.31977501480165782</v>
      </c>
      <c r="CR39" s="274">
        <f>CR37/CR55</f>
        <v>0.38745407391398318</v>
      </c>
      <c r="CS39" s="274">
        <f>CS37/CS55</f>
        <v>0.28418472652218785</v>
      </c>
      <c r="CT39" s="274">
        <f>CT37/CT55</f>
        <v>0.28929632350592521</v>
      </c>
      <c r="CU39" s="274">
        <f>CU37/CU55</f>
        <v>0.3138915752381588</v>
      </c>
      <c r="CW39" s="274">
        <f>CW37/CW55</f>
        <v>0.54078282828282831</v>
      </c>
      <c r="CX39" s="274">
        <f>CX37/CX55</f>
        <v>0.36377429672763062</v>
      </c>
      <c r="CY39" s="274">
        <f>CY37/CY55</f>
        <v>0.27858896498255586</v>
      </c>
      <c r="CZ39" s="274">
        <f>CZ37/CZ55</f>
        <v>0.33011287246349619</v>
      </c>
      <c r="DA39" s="404">
        <f>DA37/DA55</f>
        <v>0.3549556535646779</v>
      </c>
      <c r="DC39" s="274">
        <f>DC37/DC55</f>
        <v>0.39475198159038605</v>
      </c>
      <c r="DD39" s="274">
        <f>DD37/DD55</f>
        <v>0.3629644697586113</v>
      </c>
      <c r="DE39" s="274">
        <f>DE37/DE55</f>
        <v>0.27491425652501761</v>
      </c>
      <c r="DF39" s="274">
        <f>DF37/DF55</f>
        <v>0.43959343959343966</v>
      </c>
      <c r="DG39" s="399">
        <f>DG37/DG55</f>
        <v>0.36317358471218142</v>
      </c>
      <c r="DI39" s="274">
        <f>DI37/DI55</f>
        <v>0.54529555788737327</v>
      </c>
      <c r="DJ39" s="274">
        <f>DJ37/DJ55</f>
        <v>0.31155657529283903</v>
      </c>
      <c r="DK39" s="274">
        <f>DK37/DK55</f>
        <v>0.35809810327402636</v>
      </c>
      <c r="DL39" s="274">
        <f>DL37/DL55</f>
        <v>0.35432507003096109</v>
      </c>
      <c r="DM39" s="399">
        <f>DM37/DM55</f>
        <v>0.37219626319643817</v>
      </c>
      <c r="DO39" s="274">
        <f>DO37/DO55</f>
        <v>0.26290763413081736</v>
      </c>
      <c r="DP39" s="274">
        <f>DP37/DP55</f>
        <v>0.23121242931806424</v>
      </c>
      <c r="DQ39" s="274">
        <f>DQ37/DQ55</f>
        <v>0.25711163859688785</v>
      </c>
      <c r="DR39" s="274">
        <f>DR37/DR55</f>
        <v>0.27355917289925208</v>
      </c>
      <c r="DS39" s="399">
        <f>DS37/DS55</f>
        <v>0.25616493304039456</v>
      </c>
      <c r="DU39" s="274">
        <f>DU37/DU55</f>
        <v>0.33387125242693966</v>
      </c>
      <c r="DV39" s="274">
        <f>DV37/DV55</f>
        <v>0.31126467684681475</v>
      </c>
      <c r="DW39" s="274">
        <f>DW37/DW55</f>
        <v>0.26009112386095173</v>
      </c>
      <c r="DX39" s="274">
        <f>DX37/DX55</f>
        <v>0.30170463328602148</v>
      </c>
      <c r="DY39" s="399">
        <f>DY37/DY55</f>
        <v>0.29832741505004901</v>
      </c>
      <c r="EA39" s="274">
        <f>EA37/EA55</f>
        <v>0.3485994007386245</v>
      </c>
      <c r="EB39" s="274">
        <f>EB37/EB55</f>
        <v>0.37447508085988451</v>
      </c>
      <c r="EC39" s="274">
        <f>EC37/EC55</f>
        <v>0.3533076452158882</v>
      </c>
      <c r="ED39" s="274">
        <f>ED37/ED55</f>
        <v>0.28138185654008441</v>
      </c>
      <c r="EE39" s="399">
        <f>EE37/EE55</f>
        <v>0.33475419352877472</v>
      </c>
      <c r="EG39" s="274">
        <f t="shared" ref="EG39:EL39" si="176">EG37/EG55</f>
        <v>0.39616180920528749</v>
      </c>
      <c r="EH39" s="274">
        <f t="shared" si="176"/>
        <v>0.42068143100511074</v>
      </c>
      <c r="EI39" s="274">
        <f t="shared" si="176"/>
        <v>0.27900378310214374</v>
      </c>
      <c r="EJ39" s="274">
        <f t="shared" si="176"/>
        <v>0.25635108240002563</v>
      </c>
      <c r="EK39" s="404">
        <f t="shared" si="176"/>
        <v>0.32761044641971432</v>
      </c>
      <c r="EL39" s="404">
        <f t="shared" si="176"/>
        <v>0.2817491170889469</v>
      </c>
      <c r="EM39" s="499"/>
      <c r="FA39" s="274">
        <f t="shared" ref="FA39:FP39" ca="1" si="177">FA37/FA55</f>
        <v>0.31359094437905383</v>
      </c>
      <c r="FB39" s="274">
        <f t="shared" si="177"/>
        <v>0.38029131705477515</v>
      </c>
      <c r="FC39" s="274">
        <f t="shared" si="177"/>
        <v>0.48385726423109598</v>
      </c>
      <c r="FD39" s="274">
        <f t="shared" si="177"/>
        <v>0.45436643835616441</v>
      </c>
      <c r="FE39" s="274">
        <f t="shared" si="177"/>
        <v>0.42033669611057928</v>
      </c>
      <c r="FF39" s="274">
        <f t="shared" si="177"/>
        <v>0.32508384690825876</v>
      </c>
      <c r="FG39" s="274">
        <f t="shared" si="177"/>
        <v>0.3138915752381588</v>
      </c>
      <c r="FH39" s="274">
        <f t="shared" si="177"/>
        <v>0.3549556535646779</v>
      </c>
      <c r="FI39" s="274">
        <f t="shared" si="177"/>
        <v>0.36317358471218142</v>
      </c>
      <c r="FJ39" s="274">
        <f t="shared" si="177"/>
        <v>0.37219626319643817</v>
      </c>
      <c r="FK39" s="274">
        <f t="shared" si="177"/>
        <v>0.2561641040152341</v>
      </c>
      <c r="FL39" s="274">
        <f t="shared" si="177"/>
        <v>0.29832741505004901</v>
      </c>
      <c r="FM39" s="274">
        <f t="shared" si="177"/>
        <v>0.33475419352877472</v>
      </c>
      <c r="FN39" s="274">
        <f t="shared" si="177"/>
        <v>0.32761044641971426</v>
      </c>
      <c r="FO39" s="274">
        <f t="shared" si="177"/>
        <v>0.2817491170889469</v>
      </c>
      <c r="FP39" s="468">
        <f t="shared" si="177"/>
        <v>0.36117368533171967</v>
      </c>
      <c r="FQ39" s="274">
        <f ca="1">FQ37/FQ55</f>
        <v>5.2662862577270562E-2</v>
      </c>
      <c r="FR39" s="274">
        <f>FR37/FR55</f>
        <v>0</v>
      </c>
    </row>
    <row r="40" spans="1:177" ht="12" x14ac:dyDescent="0.25">
      <c r="B40" s="445"/>
      <c r="CE40" s="274"/>
      <c r="CK40" s="274"/>
      <c r="FP40" s="311"/>
    </row>
    <row r="41" spans="1:177" ht="12" x14ac:dyDescent="0.25">
      <c r="B41" s="445"/>
      <c r="CE41" s="274"/>
      <c r="CK41" s="274"/>
      <c r="FP41" s="311"/>
    </row>
    <row r="42" spans="1:177" ht="14.25" customHeight="1" x14ac:dyDescent="0.25">
      <c r="A42" s="415" t="s">
        <v>718</v>
      </c>
      <c r="B42" s="415"/>
      <c r="C42" s="415"/>
      <c r="D42" s="415"/>
      <c r="E42" s="415"/>
      <c r="F42" s="415"/>
      <c r="G42" s="415"/>
      <c r="H42" s="415"/>
      <c r="I42" s="415"/>
      <c r="J42" s="415"/>
      <c r="K42" s="415"/>
      <c r="L42" s="415"/>
      <c r="M42" s="415"/>
      <c r="N42" s="415"/>
      <c r="O42" s="415"/>
      <c r="P42" s="415"/>
      <c r="Q42" s="415"/>
      <c r="R42" s="415"/>
      <c r="S42" s="415"/>
      <c r="T42" s="415"/>
      <c r="U42" s="415"/>
      <c r="V42" s="415"/>
      <c r="W42" s="415"/>
      <c r="X42" s="415"/>
      <c r="Y42" s="415"/>
      <c r="Z42" s="415"/>
      <c r="AA42" s="415"/>
      <c r="AB42" s="415"/>
      <c r="AC42" s="415"/>
      <c r="AD42" s="415"/>
      <c r="AE42" s="415"/>
      <c r="AF42" s="415"/>
      <c r="AG42" s="415"/>
      <c r="AH42" s="415"/>
      <c r="AI42" s="415"/>
      <c r="AJ42" s="415"/>
      <c r="AK42" s="415"/>
      <c r="AL42" s="415"/>
      <c r="AM42" s="415"/>
      <c r="AN42" s="415"/>
      <c r="AO42" s="415"/>
      <c r="AP42" s="415"/>
      <c r="AQ42" s="415"/>
      <c r="AR42" s="415"/>
      <c r="AS42" s="415"/>
      <c r="AT42" s="415"/>
      <c r="AU42" s="415"/>
      <c r="AV42" s="415"/>
      <c r="AW42" s="415"/>
      <c r="AX42" s="415"/>
      <c r="AY42" s="415"/>
      <c r="AZ42" s="415"/>
      <c r="BA42" s="415"/>
      <c r="BB42" s="415"/>
      <c r="BC42" s="415"/>
      <c r="BD42" s="415"/>
      <c r="BE42" s="415"/>
      <c r="BF42" s="415"/>
      <c r="BG42" s="415"/>
      <c r="BH42" s="415"/>
      <c r="BI42" s="415"/>
      <c r="BJ42" s="415"/>
      <c r="BK42" s="415"/>
      <c r="BL42" s="415"/>
      <c r="BM42" s="415"/>
      <c r="BN42" s="415"/>
      <c r="BO42" s="415"/>
      <c r="BP42" s="415"/>
      <c r="BQ42" s="415"/>
      <c r="BR42" s="415"/>
      <c r="BS42" s="415"/>
      <c r="BT42" s="415"/>
      <c r="BU42" s="415"/>
      <c r="BV42" s="415"/>
      <c r="BW42" s="415"/>
      <c r="BX42" s="415"/>
      <c r="BY42" s="415"/>
      <c r="BZ42" s="415"/>
      <c r="CA42" s="415"/>
      <c r="CB42" s="415"/>
      <c r="CC42" s="415"/>
      <c r="CD42" s="415"/>
      <c r="CE42" s="415"/>
      <c r="CF42" s="415"/>
      <c r="CG42" s="415"/>
      <c r="CH42" s="415"/>
      <c r="CI42" s="415"/>
      <c r="CJ42" s="415"/>
      <c r="CK42" s="415"/>
      <c r="CL42" s="415"/>
      <c r="CM42" s="415"/>
      <c r="CN42" s="415"/>
      <c r="CO42" s="415"/>
      <c r="CP42" s="415"/>
      <c r="CQ42" s="415"/>
      <c r="CR42" s="415"/>
      <c r="CS42" s="415"/>
      <c r="CT42" s="415"/>
      <c r="CU42" s="415"/>
      <c r="CV42" s="415"/>
      <c r="CW42" s="415"/>
      <c r="CX42" s="415"/>
      <c r="CY42" s="415"/>
      <c r="CZ42" s="415"/>
      <c r="DA42" s="755"/>
      <c r="DB42" s="728"/>
      <c r="DC42" s="415"/>
      <c r="DD42" s="415"/>
      <c r="DE42" s="415"/>
      <c r="DF42" s="415"/>
      <c r="DG42" s="415"/>
      <c r="DH42" s="728"/>
      <c r="DI42" s="415"/>
      <c r="DJ42" s="415"/>
      <c r="DK42" s="415"/>
      <c r="DL42" s="415"/>
      <c r="DM42" s="728"/>
      <c r="DN42" s="728"/>
      <c r="DO42" s="415"/>
      <c r="DP42" s="415"/>
      <c r="DQ42" s="415"/>
      <c r="DR42" s="415"/>
      <c r="DS42" s="728"/>
      <c r="DT42" s="728"/>
      <c r="DU42" s="415"/>
      <c r="DV42" s="415"/>
      <c r="DW42" s="415"/>
      <c r="DX42" s="415"/>
      <c r="DY42" s="728"/>
      <c r="DZ42" s="728"/>
      <c r="EA42" s="415"/>
      <c r="EB42" s="415"/>
      <c r="EC42" s="415"/>
      <c r="ED42" s="415"/>
      <c r="EE42" s="728"/>
      <c r="EF42" s="728"/>
      <c r="EG42" s="415"/>
      <c r="EH42" s="415"/>
      <c r="EI42" s="415"/>
      <c r="EJ42" s="415"/>
      <c r="EK42" s="755"/>
      <c r="EL42" s="755"/>
      <c r="EM42" s="476"/>
      <c r="FA42" s="475">
        <f>FA$3</f>
        <v>2013</v>
      </c>
      <c r="FB42" s="475">
        <f>FB$3</f>
        <v>2014</v>
      </c>
      <c r="FC42" s="475">
        <f>FC$3</f>
        <v>2015</v>
      </c>
      <c r="FD42" s="475">
        <f>FD$3</f>
        <v>2016</v>
      </c>
      <c r="FE42" s="415"/>
      <c r="FF42" s="415"/>
      <c r="FG42" s="415"/>
      <c r="FH42" s="415"/>
      <c r="FI42" s="415"/>
      <c r="FJ42" s="415"/>
      <c r="FK42" s="415"/>
      <c r="FL42" s="415"/>
      <c r="FM42" s="415"/>
      <c r="FN42" s="415"/>
      <c r="FO42" s="415"/>
      <c r="FP42" s="415"/>
      <c r="FQ42" s="415"/>
      <c r="FR42" s="415"/>
    </row>
    <row r="43" spans="1:177" ht="12" x14ac:dyDescent="0.25">
      <c r="A43" s="477"/>
      <c r="FP43" s="311"/>
    </row>
    <row r="44" spans="1:177" ht="12" x14ac:dyDescent="0.25">
      <c r="A44" s="477"/>
      <c r="B44" s="500" t="s">
        <v>663</v>
      </c>
      <c r="EE44" s="802">
        <f>4500/EE47</f>
        <v>0.43138190220629791</v>
      </c>
      <c r="EL44" s="399">
        <f>4500/EL47</f>
        <v>0.22796352583586627</v>
      </c>
      <c r="FP44" s="311"/>
    </row>
    <row r="45" spans="1:177" x14ac:dyDescent="0.2">
      <c r="B45" s="539" t="s">
        <v>586</v>
      </c>
      <c r="EM45" s="425"/>
      <c r="FP45" s="311"/>
      <c r="FQ45" s="452">
        <f t="shared" ref="FQ45:FR47" si="178">FQ72*FQ85</f>
        <v>0</v>
      </c>
      <c r="FR45" s="452">
        <f t="shared" si="178"/>
        <v>1800</v>
      </c>
      <c r="FU45" s="311" t="s">
        <v>635</v>
      </c>
    </row>
    <row r="46" spans="1:177" ht="12" x14ac:dyDescent="0.25">
      <c r="B46" s="661" t="s">
        <v>250</v>
      </c>
      <c r="D46" s="445"/>
      <c r="E46" s="480"/>
      <c r="F46" s="480"/>
      <c r="H46" s="481"/>
      <c r="J46" s="445"/>
      <c r="K46" s="481"/>
      <c r="L46" s="481"/>
      <c r="M46" s="481"/>
      <c r="N46" s="481"/>
      <c r="P46" s="445"/>
      <c r="Q46" s="481"/>
      <c r="R46" s="481"/>
      <c r="S46" s="481"/>
      <c r="T46" s="481"/>
      <c r="U46" s="458"/>
      <c r="V46" s="458"/>
      <c r="W46" s="481"/>
      <c r="X46" s="481"/>
      <c r="Y46" s="481"/>
      <c r="Z46" s="458"/>
      <c r="AA46" s="458"/>
      <c r="AB46" s="458"/>
      <c r="AC46" s="481"/>
      <c r="AD46" s="481"/>
      <c r="AE46" s="481"/>
      <c r="AF46" s="481"/>
      <c r="AG46" s="458"/>
      <c r="AI46" s="481"/>
      <c r="AJ46" s="481"/>
      <c r="AK46" s="481"/>
      <c r="AL46" s="481"/>
      <c r="AO46" s="481"/>
      <c r="AP46" s="481"/>
      <c r="AS46" s="481"/>
      <c r="CF46" s="481"/>
      <c r="CG46" s="481"/>
      <c r="CH46" s="481"/>
      <c r="CI46" s="481"/>
      <c r="DI46" s="452"/>
      <c r="DJ46" s="452"/>
      <c r="DK46" s="452"/>
      <c r="DL46" s="452"/>
      <c r="DM46" s="750"/>
      <c r="DO46" s="425">
        <f>DO206</f>
        <v>0</v>
      </c>
      <c r="DP46" s="425">
        <f t="shared" ref="DP46:DR46" si="179">DP206</f>
        <v>0</v>
      </c>
      <c r="DQ46" s="425">
        <f t="shared" si="179"/>
        <v>0</v>
      </c>
      <c r="DR46" s="425">
        <f t="shared" si="179"/>
        <v>0</v>
      </c>
      <c r="DS46" s="750">
        <f>DO46+DP46+DQ46+DR46</f>
        <v>0</v>
      </c>
      <c r="DU46" s="425">
        <f>DU206</f>
        <v>0</v>
      </c>
      <c r="DV46" s="425">
        <f t="shared" ref="DV46:DW46" si="180">DV206</f>
        <v>0</v>
      </c>
      <c r="DW46" s="425">
        <f t="shared" si="180"/>
        <v>0</v>
      </c>
      <c r="DX46" s="425">
        <f t="shared" ref="DX46" si="181">DX206</f>
        <v>500</v>
      </c>
      <c r="DY46" s="750">
        <f>DU46+DV46+DW46+DX46</f>
        <v>500</v>
      </c>
      <c r="EA46" s="425">
        <f t="shared" ref="EA46:EB46" si="182">EA206</f>
        <v>0</v>
      </c>
      <c r="EB46" s="425">
        <f t="shared" si="182"/>
        <v>250</v>
      </c>
      <c r="EC46" s="425">
        <f>EC206</f>
        <v>360</v>
      </c>
      <c r="ED46" s="425">
        <f t="shared" ref="ED46" si="183">ED206</f>
        <v>610</v>
      </c>
      <c r="EE46" s="750">
        <f>SUM(EA46:ED46)</f>
        <v>1220</v>
      </c>
      <c r="EG46" s="425">
        <f>EG206</f>
        <v>720</v>
      </c>
      <c r="EH46" s="425">
        <f>EH206</f>
        <v>0</v>
      </c>
      <c r="EI46" s="425">
        <f>EI206</f>
        <v>720</v>
      </c>
      <c r="EJ46" s="425">
        <f>EJ206</f>
        <v>720</v>
      </c>
      <c r="EK46" s="502">
        <f>SUM(EG46:EJ46)</f>
        <v>2160</v>
      </c>
      <c r="EL46" s="707">
        <f>EL206</f>
        <v>2190</v>
      </c>
      <c r="EM46" s="425"/>
      <c r="FA46" s="452">
        <f>BK46</f>
        <v>0</v>
      </c>
      <c r="FB46" s="452">
        <f>BQ46</f>
        <v>0</v>
      </c>
      <c r="FC46" s="452">
        <f>BW46</f>
        <v>0</v>
      </c>
      <c r="FD46" s="452">
        <f>CC46</f>
        <v>0</v>
      </c>
      <c r="FE46" s="452">
        <f>CI46</f>
        <v>0</v>
      </c>
      <c r="FF46" s="452">
        <f>CO46</f>
        <v>0</v>
      </c>
      <c r="FG46" s="310">
        <f>CU46</f>
        <v>0</v>
      </c>
      <c r="FH46" s="310">
        <f>DA46</f>
        <v>0</v>
      </c>
      <c r="FI46" s="310">
        <f>DG46</f>
        <v>0</v>
      </c>
      <c r="FJ46" s="310">
        <f>DM46</f>
        <v>0</v>
      </c>
      <c r="FK46" s="310">
        <f>DS46</f>
        <v>0</v>
      </c>
      <c r="FL46" s="310">
        <f>DY46</f>
        <v>500</v>
      </c>
      <c r="FM46" s="452">
        <f>EE46</f>
        <v>1220</v>
      </c>
      <c r="FN46" s="452">
        <f>EK46</f>
        <v>2160</v>
      </c>
      <c r="FO46" s="452">
        <f>EL46</f>
        <v>2190</v>
      </c>
      <c r="FP46" s="425">
        <f>FP206</f>
        <v>2880</v>
      </c>
      <c r="FQ46" s="452">
        <f>FQ73*FQ86</f>
        <v>7700</v>
      </c>
      <c r="FR46" s="452">
        <f>FR73*FR86</f>
        <v>9600</v>
      </c>
      <c r="FU46" s="487" t="s">
        <v>523</v>
      </c>
    </row>
    <row r="47" spans="1:177" ht="12" x14ac:dyDescent="0.25">
      <c r="B47" s="663" t="s">
        <v>543</v>
      </c>
      <c r="C47" s="382"/>
      <c r="D47" s="664"/>
      <c r="E47" s="665"/>
      <c r="F47" s="665"/>
      <c r="G47" s="382"/>
      <c r="H47" s="504"/>
      <c r="I47" s="382"/>
      <c r="J47" s="664"/>
      <c r="K47" s="504"/>
      <c r="L47" s="504"/>
      <c r="M47" s="504"/>
      <c r="N47" s="504"/>
      <c r="O47" s="382"/>
      <c r="P47" s="664"/>
      <c r="Q47" s="504"/>
      <c r="R47" s="504"/>
      <c r="S47" s="504"/>
      <c r="T47" s="504"/>
      <c r="U47" s="509"/>
      <c r="V47" s="509"/>
      <c r="W47" s="504"/>
      <c r="X47" s="504"/>
      <c r="Y47" s="504"/>
      <c r="Z47" s="509"/>
      <c r="AA47" s="509"/>
      <c r="AB47" s="509"/>
      <c r="AC47" s="504"/>
      <c r="AD47" s="504"/>
      <c r="AE47" s="504"/>
      <c r="AF47" s="504"/>
      <c r="AG47" s="509"/>
      <c r="AH47" s="382"/>
      <c r="AI47" s="504"/>
      <c r="AJ47" s="504"/>
      <c r="AK47" s="504"/>
      <c r="AL47" s="504"/>
      <c r="AM47" s="382"/>
      <c r="AN47" s="382"/>
      <c r="AO47" s="504"/>
      <c r="AP47" s="504"/>
      <c r="AQ47" s="382"/>
      <c r="AR47" s="382"/>
      <c r="AS47" s="504"/>
      <c r="AT47" s="382"/>
      <c r="AU47" s="503"/>
      <c r="AV47" s="503">
        <f>AV72*AV87</f>
        <v>0</v>
      </c>
      <c r="AW47" s="503">
        <f>AW55-SUM(AW49:AW52)</f>
        <v>78.938400000000001</v>
      </c>
      <c r="AX47" s="503">
        <f>AX55-SUM(AX49:AX52)</f>
        <v>39.70799999999997</v>
      </c>
      <c r="AY47" s="503">
        <f>AU47+AV47+AW47+AX47</f>
        <v>118.64639999999997</v>
      </c>
      <c r="AZ47" s="382"/>
      <c r="BA47" s="504">
        <f>BA55-SUM(BA49:BA52)</f>
        <v>42</v>
      </c>
      <c r="BB47" s="504"/>
      <c r="BC47" s="504"/>
      <c r="BD47" s="504"/>
      <c r="BE47" s="504">
        <f>BA47+BB47+BC47+BD47</f>
        <v>42</v>
      </c>
      <c r="BF47" s="382"/>
      <c r="BG47" s="382"/>
      <c r="BH47" s="504">
        <f ca="1">BH60*BH$55</f>
        <v>0</v>
      </c>
      <c r="BI47" s="504">
        <f ca="1">BI60*BI$55</f>
        <v>0</v>
      </c>
      <c r="BJ47" s="504">
        <f>BJ60*BJ$55</f>
        <v>57.648000000000003</v>
      </c>
      <c r="BK47" s="504">
        <f ca="1">BG47+BH47+BI47+BJ47</f>
        <v>57.648000000000003</v>
      </c>
      <c r="BL47" s="382"/>
      <c r="BM47" s="504">
        <f>BM60*BM$55</f>
        <v>61.8</v>
      </c>
      <c r="BN47" s="504">
        <f>BN60*BN$55</f>
        <v>62.150000000000006</v>
      </c>
      <c r="BO47" s="504">
        <f>BO60*BO$55</f>
        <v>123.83000000000001</v>
      </c>
      <c r="BP47" s="504">
        <f>BP60*BP$55</f>
        <v>65.117999999999995</v>
      </c>
      <c r="BQ47" s="504">
        <f>BM47+BN47+BO47+BP47</f>
        <v>312.89800000000002</v>
      </c>
      <c r="BR47" s="382"/>
      <c r="BS47" s="504">
        <f>BS60*BS$55</f>
        <v>0</v>
      </c>
      <c r="BT47" s="504">
        <f>BT60*BT$55</f>
        <v>68.069999999999993</v>
      </c>
      <c r="BU47" s="504">
        <f>BU60*BU$55</f>
        <v>0</v>
      </c>
      <c r="BV47" s="504">
        <f>BV60*BV$55</f>
        <v>0</v>
      </c>
      <c r="BW47" s="504">
        <f>BS47+BT47+BU47+BV47</f>
        <v>68.069999999999993</v>
      </c>
      <c r="BX47" s="382"/>
      <c r="BY47" s="504">
        <f>BY60*BY$55</f>
        <v>0</v>
      </c>
      <c r="BZ47" s="504">
        <f>BZ60*BZ$55</f>
        <v>101.23200000000001</v>
      </c>
      <c r="CA47" s="504">
        <f>CA60*CA$55</f>
        <v>88.039000000000016</v>
      </c>
      <c r="CB47" s="504">
        <f>CB60*CB$55</f>
        <v>141.80099999999999</v>
      </c>
      <c r="CC47" s="504">
        <f>BY47+BZ47+CA47+CB47</f>
        <v>331.072</v>
      </c>
      <c r="CD47" s="382"/>
      <c r="CE47" s="504">
        <f>CE60*CE$55</f>
        <v>0</v>
      </c>
      <c r="CF47" s="504">
        <f>CF60*CF$55</f>
        <v>221.45599999999999</v>
      </c>
      <c r="CG47" s="504">
        <f>CG60*CG$55</f>
        <v>381.96899999999999</v>
      </c>
      <c r="CH47" s="504">
        <f>CH60*CH$55</f>
        <v>488.72500000000002</v>
      </c>
      <c r="CI47" s="504">
        <f>CE47+CF47+CG47+CH47</f>
        <v>1092.1500000000001</v>
      </c>
      <c r="CJ47" s="382"/>
      <c r="CK47" s="504">
        <f>CK60*CK$55</f>
        <v>116.73900000000002</v>
      </c>
      <c r="CL47" s="504">
        <f>CL60*CL$55</f>
        <v>667.68000000000006</v>
      </c>
      <c r="CM47" s="504">
        <f>CM60*CM$55</f>
        <v>520.15</v>
      </c>
      <c r="CN47" s="504">
        <f>CN60*CN$55</f>
        <v>581.83199999999999</v>
      </c>
      <c r="CO47" s="504">
        <f>CK47+CL47+CM47+CN47</f>
        <v>1886.4009999999998</v>
      </c>
      <c r="CP47" s="382"/>
      <c r="CQ47" s="504">
        <f>CQ60*CQ$55</f>
        <v>371.58</v>
      </c>
      <c r="CR47" s="504">
        <f>CR60*CR$55</f>
        <v>758.82799999999997</v>
      </c>
      <c r="CS47" s="504">
        <f>CS60*CS$55</f>
        <v>744.19200000000001</v>
      </c>
      <c r="CT47" s="504">
        <f>CT60*CT$55</f>
        <v>907.90299999999991</v>
      </c>
      <c r="CU47" s="504">
        <f>CQ47+CR47+CS47+CT47</f>
        <v>2782.5029999999997</v>
      </c>
      <c r="CV47" s="382"/>
      <c r="CW47" s="504">
        <f>CW60*CW$55</f>
        <v>348.48</v>
      </c>
      <c r="CX47" s="504">
        <f>CX60*CX$55</f>
        <v>951.05399999999997</v>
      </c>
      <c r="CY47" s="504">
        <f>CY60*CY$55</f>
        <v>2043.096</v>
      </c>
      <c r="CZ47" s="504">
        <f>CZ60*CZ$55</f>
        <v>1151.3879999999999</v>
      </c>
      <c r="DA47" s="505">
        <f>CW47+CX47+CY47+CZ47</f>
        <v>4494.018</v>
      </c>
      <c r="DC47" s="504">
        <f>DC60*DC$55</f>
        <v>1126.3679999999999</v>
      </c>
      <c r="DD47" s="504">
        <f>DD60*DD$55</f>
        <v>1327.32</v>
      </c>
      <c r="DE47" s="504">
        <f>DE60*DE$55</f>
        <v>2219.9940000000001</v>
      </c>
      <c r="DF47" s="504">
        <f>DF60*DF$55</f>
        <v>1593.0719999999999</v>
      </c>
      <c r="DG47" s="751">
        <f>DC47+DD47+DE47+DF47</f>
        <v>6266.7540000000008</v>
      </c>
      <c r="DI47" s="504">
        <f>DI60*DI$55</f>
        <v>594.67200000000003</v>
      </c>
      <c r="DJ47" s="504">
        <f>DJ60*DJ$55</f>
        <v>1987.4399999999998</v>
      </c>
      <c r="DK47" s="504">
        <f>DK60*DK$55</f>
        <v>2169.8969999999999</v>
      </c>
      <c r="DL47" s="504">
        <f>DL60*DL$55</f>
        <v>2326.471</v>
      </c>
      <c r="DM47" s="751">
        <f>DI47+DJ47+DK47+DL47</f>
        <v>7078.48</v>
      </c>
      <c r="DO47" s="504">
        <f>DO179</f>
        <v>2884.6800000000003</v>
      </c>
      <c r="DP47" s="504">
        <f t="shared" ref="DP47:DQ47" si="184">DP179</f>
        <v>2074.2199999999998</v>
      </c>
      <c r="DQ47" s="504">
        <f t="shared" si="184"/>
        <v>1857.87</v>
      </c>
      <c r="DR47" s="504">
        <f>DR179</f>
        <v>2397.4840000000013</v>
      </c>
      <c r="DS47" s="751">
        <f>DO47+DP47+DQ47+DR47</f>
        <v>9214.2540000000008</v>
      </c>
      <c r="DT47" s="830">
        <f>DS47/DM47-1</f>
        <v>0.30172777206405921</v>
      </c>
      <c r="DU47" s="504">
        <f>DU179</f>
        <v>1824.3140000000001</v>
      </c>
      <c r="DV47" s="504">
        <f t="shared" ref="DV47" si="185">DV179</f>
        <v>1475.8789999999999</v>
      </c>
      <c r="DW47" s="504">
        <f>DW179</f>
        <v>2074.1</v>
      </c>
      <c r="DX47" s="504">
        <f>DX179</f>
        <v>2488.6779999999999</v>
      </c>
      <c r="DY47" s="751">
        <f>DU47+DV47+DW47+DX47</f>
        <v>7862.9709999999995</v>
      </c>
      <c r="EA47" s="504">
        <f>EA179</f>
        <v>3214.6240000000003</v>
      </c>
      <c r="EB47" s="504">
        <f>EB179</f>
        <v>2436.1280000000002</v>
      </c>
      <c r="EC47" s="504">
        <f t="shared" ref="EC47:ED47" si="186">EC179</f>
        <v>1750.52</v>
      </c>
      <c r="ED47" s="504">
        <f t="shared" si="186"/>
        <v>3030.3199999999997</v>
      </c>
      <c r="EE47" s="751">
        <f>SUM(EA47:ED47)</f>
        <v>10431.592000000001</v>
      </c>
      <c r="EG47" s="504">
        <f t="shared" ref="EG47:EJ47" si="187">EG179</f>
        <v>3424.1400000000003</v>
      </c>
      <c r="EH47" s="504">
        <f t="shared" si="187"/>
        <v>3220</v>
      </c>
      <c r="EI47" s="504">
        <f t="shared" si="187"/>
        <v>3910</v>
      </c>
      <c r="EJ47" s="504">
        <f t="shared" si="187"/>
        <v>4140</v>
      </c>
      <c r="EK47" s="505">
        <f>SUM(EG47:EJ47)</f>
        <v>14694.14</v>
      </c>
      <c r="EL47" s="505">
        <f t="shared" ref="EL47" si="188">EL179</f>
        <v>19740</v>
      </c>
      <c r="EM47" s="425"/>
      <c r="EN47" s="457"/>
      <c r="EO47" s="457"/>
      <c r="FA47" s="486">
        <f ca="1">BK47</f>
        <v>57.648000000000003</v>
      </c>
      <c r="FB47" s="486">
        <f>BQ47</f>
        <v>312.89800000000002</v>
      </c>
      <c r="FC47" s="486">
        <f>BW47</f>
        <v>68.069999999999993</v>
      </c>
      <c r="FD47" s="486">
        <f>CC47</f>
        <v>331.072</v>
      </c>
      <c r="FE47" s="486">
        <f>CI47</f>
        <v>1092.1500000000001</v>
      </c>
      <c r="FF47" s="486">
        <f>CO47</f>
        <v>1886.4009999999998</v>
      </c>
      <c r="FG47" s="482">
        <f>CU47</f>
        <v>2782.5029999999997</v>
      </c>
      <c r="FH47" s="482">
        <f>DA47</f>
        <v>4494.018</v>
      </c>
      <c r="FI47" s="482">
        <f>DG47</f>
        <v>6266.7540000000008</v>
      </c>
      <c r="FJ47" s="482">
        <f>DM47</f>
        <v>7078.48</v>
      </c>
      <c r="FK47" s="482">
        <f>DS47</f>
        <v>9214.2540000000008</v>
      </c>
      <c r="FL47" s="482">
        <f>DY47</f>
        <v>7862.9709999999995</v>
      </c>
      <c r="FM47" s="486">
        <f>EE47</f>
        <v>10431.592000000001</v>
      </c>
      <c r="FN47" s="486">
        <f>EK47</f>
        <v>14694.14</v>
      </c>
      <c r="FO47" s="486">
        <f>EL47</f>
        <v>19740</v>
      </c>
      <c r="FP47" s="504">
        <f t="shared" ref="FP47" si="189">FP179</f>
        <v>14335</v>
      </c>
      <c r="FQ47" s="486">
        <f t="shared" si="178"/>
        <v>13230</v>
      </c>
      <c r="FR47" s="486">
        <f t="shared" si="178"/>
        <v>13440</v>
      </c>
    </row>
    <row r="48" spans="1:177" ht="12" x14ac:dyDescent="0.25">
      <c r="B48" s="666" t="s">
        <v>616</v>
      </c>
      <c r="D48" s="445"/>
      <c r="E48" s="480"/>
      <c r="F48" s="480"/>
      <c r="H48" s="481"/>
      <c r="J48" s="445"/>
      <c r="K48" s="481"/>
      <c r="L48" s="481"/>
      <c r="M48" s="481"/>
      <c r="N48" s="481"/>
      <c r="P48" s="445"/>
      <c r="Q48" s="481"/>
      <c r="R48" s="481"/>
      <c r="S48" s="481"/>
      <c r="T48" s="481"/>
      <c r="U48" s="458"/>
      <c r="V48" s="458"/>
      <c r="W48" s="481"/>
      <c r="X48" s="481"/>
      <c r="Y48" s="481"/>
      <c r="Z48" s="458"/>
      <c r="AA48" s="458"/>
      <c r="AB48" s="458"/>
      <c r="AC48" s="481"/>
      <c r="AD48" s="481"/>
      <c r="AE48" s="481"/>
      <c r="AF48" s="481"/>
      <c r="AG48" s="458"/>
      <c r="AI48" s="481"/>
      <c r="AJ48" s="481"/>
      <c r="AK48" s="481"/>
      <c r="AL48" s="481"/>
      <c r="AO48" s="481"/>
      <c r="AP48" s="481"/>
      <c r="AS48" s="481"/>
      <c r="AU48" s="660"/>
      <c r="AV48" s="660"/>
      <c r="AW48" s="660"/>
      <c r="AX48" s="660"/>
      <c r="AY48" s="660"/>
      <c r="BA48" s="481"/>
      <c r="BB48" s="481"/>
      <c r="BC48" s="481"/>
      <c r="BD48" s="481"/>
      <c r="BE48" s="481"/>
      <c r="BH48" s="481"/>
      <c r="BI48" s="481"/>
      <c r="BJ48" s="481"/>
      <c r="BK48" s="481"/>
      <c r="BM48" s="481"/>
      <c r="BN48" s="481"/>
      <c r="BO48" s="481"/>
      <c r="BP48" s="481"/>
      <c r="BQ48" s="481"/>
      <c r="BS48" s="481"/>
      <c r="BT48" s="481"/>
      <c r="BU48" s="481"/>
      <c r="BV48" s="481"/>
      <c r="BW48" s="481"/>
      <c r="BY48" s="481"/>
      <c r="BZ48" s="481"/>
      <c r="CA48" s="481"/>
      <c r="CB48" s="481"/>
      <c r="CC48" s="481"/>
      <c r="CE48" s="481"/>
      <c r="CF48" s="481"/>
      <c r="CG48" s="481"/>
      <c r="CH48" s="481"/>
      <c r="CI48" s="481"/>
      <c r="CK48" s="481"/>
      <c r="CL48" s="481"/>
      <c r="CM48" s="481"/>
      <c r="CN48" s="481"/>
      <c r="CO48" s="481"/>
      <c r="CQ48" s="457">
        <f t="shared" ref="CQ48" si="190">SUM(CQ45:CQ47)</f>
        <v>371.58</v>
      </c>
      <c r="CR48" s="457">
        <f t="shared" ref="CR48" si="191">SUM(CR45:CR47)</f>
        <v>758.82799999999997</v>
      </c>
      <c r="CS48" s="457">
        <f t="shared" ref="CS48" si="192">SUM(CS45:CS47)</f>
        <v>744.19200000000001</v>
      </c>
      <c r="CT48" s="457">
        <f t="shared" ref="CT48" si="193">SUM(CT45:CT47)</f>
        <v>907.90299999999991</v>
      </c>
      <c r="CU48" s="457">
        <f t="shared" ref="CU48" si="194">SUM(CU45:CU47)</f>
        <v>2782.5029999999997</v>
      </c>
      <c r="CW48" s="457">
        <f t="shared" ref="CW48" si="195">SUM(CW45:CW47)</f>
        <v>348.48</v>
      </c>
      <c r="CX48" s="457">
        <f t="shared" ref="CX48" si="196">SUM(CX45:CX47)</f>
        <v>951.05399999999997</v>
      </c>
      <c r="CY48" s="457">
        <f t="shared" ref="CY48" si="197">SUM(CY45:CY47)</f>
        <v>2043.096</v>
      </c>
      <c r="CZ48" s="457">
        <f t="shared" ref="CZ48" si="198">SUM(CZ45:CZ47)</f>
        <v>1151.3879999999999</v>
      </c>
      <c r="DA48" s="459">
        <f t="shared" ref="DA48" si="199">SUM(DA45:DA47)</f>
        <v>4494.018</v>
      </c>
      <c r="DC48" s="457">
        <f t="shared" ref="DC48" si="200">SUM(DC45:DC47)</f>
        <v>1126.3679999999999</v>
      </c>
      <c r="DD48" s="457">
        <f t="shared" ref="DD48" si="201">SUM(DD45:DD47)</f>
        <v>1327.32</v>
      </c>
      <c r="DE48" s="457">
        <f t="shared" ref="DE48" si="202">SUM(DE45:DE47)</f>
        <v>2219.9940000000001</v>
      </c>
      <c r="DF48" s="457">
        <f t="shared" ref="DF48" si="203">SUM(DF45:DF47)</f>
        <v>1593.0719999999999</v>
      </c>
      <c r="DG48" s="457">
        <f t="shared" ref="DG48" si="204">SUM(DG45:DG47)</f>
        <v>6266.7540000000008</v>
      </c>
      <c r="DI48" s="457">
        <f t="shared" ref="DI48" si="205">SUM(DI45:DI47)</f>
        <v>594.67200000000003</v>
      </c>
      <c r="DJ48" s="457">
        <f t="shared" ref="DJ48" si="206">SUM(DJ45:DJ47)</f>
        <v>1987.4399999999998</v>
      </c>
      <c r="DK48" s="457">
        <f t="shared" ref="DK48" si="207">SUM(DK45:DK47)</f>
        <v>2169.8969999999999</v>
      </c>
      <c r="DL48" s="457">
        <f t="shared" ref="DL48" si="208">SUM(DL45:DL47)</f>
        <v>2326.471</v>
      </c>
      <c r="DM48" s="734">
        <f t="shared" ref="DM48" si="209">SUM(DM45:DM47)</f>
        <v>7078.48</v>
      </c>
      <c r="DO48" s="457">
        <f t="shared" ref="DO48" si="210">SUM(DO45:DO47)</f>
        <v>2884.6800000000003</v>
      </c>
      <c r="DP48" s="457">
        <f t="shared" ref="DP48" si="211">SUM(DP45:DP47)</f>
        <v>2074.2199999999998</v>
      </c>
      <c r="DQ48" s="457">
        <f t="shared" ref="DQ48" si="212">SUM(DQ45:DQ47)</f>
        <v>1857.87</v>
      </c>
      <c r="DR48" s="457">
        <f t="shared" ref="DR48" si="213">SUM(DR45:DR47)</f>
        <v>2397.4840000000013</v>
      </c>
      <c r="DS48" s="734">
        <f t="shared" ref="DS48" si="214">SUM(DS45:DS47)</f>
        <v>9214.2540000000008</v>
      </c>
      <c r="DT48" s="830"/>
      <c r="DU48" s="457">
        <f t="shared" ref="DU48" si="215">SUM(DU45:DU47)</f>
        <v>1824.3140000000001</v>
      </c>
      <c r="DV48" s="457">
        <f t="shared" ref="DV48" si="216">SUM(DV45:DV47)</f>
        <v>1475.8789999999999</v>
      </c>
      <c r="DW48" s="457">
        <f t="shared" ref="DW48" si="217">SUM(DW45:DW47)</f>
        <v>2074.1</v>
      </c>
      <c r="DX48" s="457">
        <f t="shared" ref="DX48" si="218">SUM(DX45:DX47)</f>
        <v>2988.6779999999999</v>
      </c>
      <c r="DY48" s="734">
        <f t="shared" ref="DY48" si="219">SUM(DY45:DY47)</f>
        <v>8362.9709999999995</v>
      </c>
      <c r="DZ48" s="734"/>
      <c r="EA48" s="457">
        <f>SUM(EA45:EA47)</f>
        <v>3214.6240000000003</v>
      </c>
      <c r="EB48" s="457">
        <f>SUM(EB45:EB47)</f>
        <v>2686.1280000000002</v>
      </c>
      <c r="EC48" s="457">
        <f t="shared" ref="EC48:EL48" si="220">SUM(EC45:EC47)</f>
        <v>2110.52</v>
      </c>
      <c r="ED48" s="457">
        <f t="shared" si="220"/>
        <v>3640.3199999999997</v>
      </c>
      <c r="EE48" s="734">
        <f t="shared" si="220"/>
        <v>11651.592000000001</v>
      </c>
      <c r="EG48" s="457">
        <f t="shared" si="220"/>
        <v>4144.1400000000003</v>
      </c>
      <c r="EH48" s="457">
        <f t="shared" si="220"/>
        <v>3220</v>
      </c>
      <c r="EI48" s="457">
        <f t="shared" si="220"/>
        <v>4630</v>
      </c>
      <c r="EJ48" s="457">
        <f t="shared" si="220"/>
        <v>4860</v>
      </c>
      <c r="EK48" s="459">
        <f t="shared" si="220"/>
        <v>16854.14</v>
      </c>
      <c r="EL48" s="459">
        <f t="shared" si="220"/>
        <v>21930</v>
      </c>
      <c r="EM48" s="425"/>
      <c r="EN48" s="457"/>
      <c r="EO48" s="457"/>
      <c r="FA48" s="452"/>
      <c r="FB48" s="452"/>
      <c r="FC48" s="452"/>
      <c r="FD48" s="452"/>
      <c r="FE48" s="457"/>
      <c r="FF48" s="457"/>
      <c r="FG48" s="457">
        <f t="shared" ref="FG48" si="221">SUM(FG45:FG47)</f>
        <v>2782.5029999999997</v>
      </c>
      <c r="FH48" s="457">
        <f t="shared" ref="FH48" si="222">SUM(FH45:FH47)</f>
        <v>4494.018</v>
      </c>
      <c r="FI48" s="457">
        <f t="shared" ref="FI48" si="223">SUM(FI45:FI47)</f>
        <v>6266.7540000000008</v>
      </c>
      <c r="FJ48" s="457">
        <f t="shared" ref="FJ48" si="224">SUM(FJ45:FJ47)</f>
        <v>7078.48</v>
      </c>
      <c r="FK48" s="457">
        <f t="shared" ref="FK48" si="225">SUM(FK45:FK47)</f>
        <v>9214.2540000000008</v>
      </c>
      <c r="FL48" s="457">
        <f t="shared" ref="FL48" si="226">SUM(FL45:FL47)</f>
        <v>8362.9709999999995</v>
      </c>
      <c r="FM48" s="457">
        <f t="shared" ref="FM48" si="227">SUM(FM45:FM47)</f>
        <v>11651.592000000001</v>
      </c>
      <c r="FN48" s="457">
        <f t="shared" ref="FN48" si="228">SUM(FN45:FN47)</f>
        <v>16854.14</v>
      </c>
      <c r="FO48" s="457">
        <f t="shared" ref="FO48" si="229">SUM(FO45:FO47)</f>
        <v>21930</v>
      </c>
      <c r="FP48" s="457">
        <f>SUM(FP45:FP47)</f>
        <v>17215</v>
      </c>
      <c r="FQ48" s="457">
        <f>SUM(FQ45:FQ47)</f>
        <v>20930</v>
      </c>
      <c r="FR48" s="457">
        <f>SUM(FR45:FR47)</f>
        <v>24840</v>
      </c>
    </row>
    <row r="49" spans="2:174" ht="12" x14ac:dyDescent="0.25">
      <c r="B49" s="539" t="s">
        <v>252</v>
      </c>
      <c r="D49" s="445"/>
      <c r="E49" s="480"/>
      <c r="F49" s="480"/>
      <c r="H49" s="481"/>
      <c r="J49" s="445"/>
      <c r="K49" s="507"/>
      <c r="L49" s="481"/>
      <c r="M49" s="481"/>
      <c r="N49" s="481"/>
      <c r="P49" s="445"/>
      <c r="Q49" s="481"/>
      <c r="R49" s="481"/>
      <c r="S49" s="481"/>
      <c r="T49" s="481"/>
      <c r="U49" s="458"/>
      <c r="V49" s="458"/>
      <c r="W49" s="507"/>
      <c r="X49" s="507"/>
      <c r="Y49" s="481">
        <f>Y$55*Y62</f>
        <v>337.2928</v>
      </c>
      <c r="Z49" s="481">
        <f t="shared" ref="Y49:Z52" si="230">Z$55*Z62</f>
        <v>392.29903999999999</v>
      </c>
      <c r="AA49" s="481">
        <f>W49+X49+Y49+Z49</f>
        <v>729.59184000000005</v>
      </c>
      <c r="AB49" s="458"/>
      <c r="AC49" s="481">
        <f t="shared" ref="AC49:AF52" si="231">AC$55*AC62</f>
        <v>418.19286</v>
      </c>
      <c r="AD49" s="481">
        <f t="shared" si="231"/>
        <v>471.6309</v>
      </c>
      <c r="AE49" s="481">
        <f t="shared" si="231"/>
        <v>454.85670999999996</v>
      </c>
      <c r="AF49" s="481">
        <f t="shared" si="231"/>
        <v>277.74018000000001</v>
      </c>
      <c r="AG49" s="481">
        <f>AC49+AD49+AE49+AF49</f>
        <v>1622.42065</v>
      </c>
      <c r="AI49" s="481">
        <f t="shared" ref="AI49:AL52" si="232">AI$55*AI62</f>
        <v>29.318999999999996</v>
      </c>
      <c r="AJ49" s="481">
        <f t="shared" si="232"/>
        <v>163.10050999999999</v>
      </c>
      <c r="AK49" s="481">
        <f t="shared" si="232"/>
        <v>385.30043999999998</v>
      </c>
      <c r="AL49" s="481">
        <f t="shared" si="232"/>
        <v>302.26559999999995</v>
      </c>
      <c r="AM49" s="481">
        <f>AI49+AJ49+AK49+AL49</f>
        <v>879.98554999999988</v>
      </c>
      <c r="AO49" s="481">
        <f t="shared" ref="AO49:AR52" si="233">AO$55*AO62</f>
        <v>524.22799999999995</v>
      </c>
      <c r="AP49" s="481">
        <f t="shared" si="233"/>
        <v>784.55</v>
      </c>
      <c r="AQ49" s="481">
        <f t="shared" si="233"/>
        <v>749.71</v>
      </c>
      <c r="AR49" s="481">
        <f t="shared" si="233"/>
        <v>919.16999999999985</v>
      </c>
      <c r="AS49" s="481">
        <f>AO49+AP49+AQ49+AR49</f>
        <v>2977.6579999999994</v>
      </c>
      <c r="AU49" s="481">
        <f t="shared" ref="AU49:AX52" si="234">AU$55*AU62</f>
        <v>911.92399999999998</v>
      </c>
      <c r="AV49" s="481">
        <f t="shared" si="234"/>
        <v>920.18399999999986</v>
      </c>
      <c r="AW49" s="481">
        <f t="shared" si="234"/>
        <v>901.42560000000003</v>
      </c>
      <c r="AX49" s="481">
        <f t="shared" si="234"/>
        <v>804.0870000000001</v>
      </c>
      <c r="AY49" s="481">
        <f>AU49+AV49+AW49+AX49</f>
        <v>3537.6205999999997</v>
      </c>
      <c r="BA49" s="481">
        <f t="shared" ref="BA49:BD52" si="235">BA62*BA$55</f>
        <v>588</v>
      </c>
      <c r="BB49" s="481">
        <f t="shared" si="235"/>
        <v>709.05599999999993</v>
      </c>
      <c r="BC49" s="481">
        <f t="shared" si="235"/>
        <v>830.24899999999991</v>
      </c>
      <c r="BD49" s="481">
        <f t="shared" si="235"/>
        <v>582.54</v>
      </c>
      <c r="BE49" s="481">
        <f>BA49+BB49+BC49+BD49</f>
        <v>2709.8449999999998</v>
      </c>
      <c r="BG49" s="481">
        <f t="shared" ref="BG49:BJ52" si="236">BG62*BG$55</f>
        <v>500.90599999999995</v>
      </c>
      <c r="BH49" s="481">
        <f t="shared" si="236"/>
        <v>714.09</v>
      </c>
      <c r="BI49" s="481">
        <f t="shared" si="236"/>
        <v>844.36</v>
      </c>
      <c r="BJ49" s="481">
        <f t="shared" si="236"/>
        <v>1066.4880000000001</v>
      </c>
      <c r="BK49" s="481">
        <f>BG49+BH49+BI49+BJ49</f>
        <v>3125.8440000000001</v>
      </c>
      <c r="BM49" s="481">
        <f t="shared" ref="BM49:BP52" si="237">BM62*BM$55</f>
        <v>782.8</v>
      </c>
      <c r="BN49" s="481">
        <f t="shared" si="237"/>
        <v>1131.1300000000001</v>
      </c>
      <c r="BO49" s="481">
        <f t="shared" si="237"/>
        <v>636.84</v>
      </c>
      <c r="BP49" s="481">
        <f t="shared" si="237"/>
        <v>900.79899999999986</v>
      </c>
      <c r="BQ49" s="481">
        <f>BM49+BN49+BO49+BP49</f>
        <v>3451.569</v>
      </c>
      <c r="BS49" s="481">
        <f t="shared" ref="BS49:BV52" si="238">BS62*BS$55</f>
        <v>1034.595</v>
      </c>
      <c r="BT49" s="481">
        <f t="shared" si="238"/>
        <v>896.255</v>
      </c>
      <c r="BU49" s="481">
        <f t="shared" si="238"/>
        <v>663.20400000000006</v>
      </c>
      <c r="BV49" s="481">
        <f t="shared" si="238"/>
        <v>634.24799999999993</v>
      </c>
      <c r="BW49" s="481">
        <f>BS49+BT49+BU49+BV49</f>
        <v>3228.3020000000001</v>
      </c>
      <c r="BY49" s="481">
        <f t="shared" ref="BY49:CB52" si="239">BY62*BY$55</f>
        <v>679.24199999999996</v>
      </c>
      <c r="BZ49" s="481">
        <f t="shared" si="239"/>
        <v>961.70400000000006</v>
      </c>
      <c r="CA49" s="481">
        <f t="shared" si="239"/>
        <v>968.42900000000009</v>
      </c>
      <c r="CB49" s="481">
        <f t="shared" si="239"/>
        <v>915.26099999999985</v>
      </c>
      <c r="CC49" s="481">
        <f>BY49+BZ49+CA49+CB49</f>
        <v>3524.636</v>
      </c>
      <c r="CE49" s="481">
        <f t="shared" ref="CE49:CH52" si="240">CE62*CE$55</f>
        <v>899.69200000000001</v>
      </c>
      <c r="CF49" s="481">
        <f t="shared" si="240"/>
        <v>885.82399999999996</v>
      </c>
      <c r="CG49" s="481">
        <f t="shared" si="240"/>
        <v>1145.9070000000002</v>
      </c>
      <c r="CH49" s="481">
        <f t="shared" si="240"/>
        <v>1094.7440000000001</v>
      </c>
      <c r="CI49" s="481">
        <f>CE49+CF49+CG49+CH49</f>
        <v>4026.1670000000004</v>
      </c>
      <c r="CK49" s="481">
        <f t="shared" ref="CK49:CN52" si="241">CK62*CK$55</f>
        <v>1200.7439999999999</v>
      </c>
      <c r="CL49" s="481">
        <f t="shared" si="241"/>
        <v>1022.385</v>
      </c>
      <c r="CM49" s="481">
        <f t="shared" si="241"/>
        <v>1206.7479999999998</v>
      </c>
      <c r="CN49" s="481">
        <f t="shared" si="241"/>
        <v>1381.8509999999999</v>
      </c>
      <c r="CO49" s="481">
        <f>CK49+CL49+CM49+CN49</f>
        <v>4811.7279999999992</v>
      </c>
      <c r="CQ49" s="481">
        <f t="shared" ref="CQ49:CT52" si="242">CQ62*CQ$55</f>
        <v>1013.4</v>
      </c>
      <c r="CR49" s="481">
        <f t="shared" si="242"/>
        <v>758.82799999999997</v>
      </c>
      <c r="CS49" s="481">
        <f t="shared" si="242"/>
        <v>1186.056</v>
      </c>
      <c r="CT49" s="481">
        <f t="shared" si="242"/>
        <v>1753.192</v>
      </c>
      <c r="CU49" s="481">
        <f>CQ49+CR49+CS49+CT49</f>
        <v>4711.4760000000006</v>
      </c>
      <c r="CW49" s="481">
        <f t="shared" ref="CW49:CZ52" si="243">CW62*CW$55</f>
        <v>823.68000000000006</v>
      </c>
      <c r="CX49" s="481">
        <f t="shared" si="243"/>
        <v>999.82599999999991</v>
      </c>
      <c r="CY49" s="481">
        <f t="shared" si="243"/>
        <v>650.07599999999991</v>
      </c>
      <c r="CZ49" s="481">
        <f t="shared" si="243"/>
        <v>1439.2350000000001</v>
      </c>
      <c r="DA49" s="502">
        <f>CW49+CX49+CY49+CZ49</f>
        <v>3912.817</v>
      </c>
      <c r="DC49" s="481">
        <f t="shared" ref="DC49:DF52" si="244">DC62*DC$55</f>
        <v>1470.5360000000001</v>
      </c>
      <c r="DD49" s="481">
        <f t="shared" si="244"/>
        <v>1002.864</v>
      </c>
      <c r="DE49" s="481">
        <f t="shared" si="244"/>
        <v>1315.5520000000001</v>
      </c>
      <c r="DF49" s="481">
        <f t="shared" si="244"/>
        <v>1212.1199999999999</v>
      </c>
      <c r="DG49" s="750">
        <f>DC49+DD49+DE49+DF49</f>
        <v>5001.0720000000001</v>
      </c>
      <c r="DI49" s="481">
        <f t="shared" ref="DI49:DL52" si="245">DI62*DI$55</f>
        <v>1074.9839999999999</v>
      </c>
      <c r="DJ49" s="481">
        <f t="shared" si="245"/>
        <v>1366.365</v>
      </c>
      <c r="DK49" s="481">
        <f t="shared" si="245"/>
        <v>1318.9569999999999</v>
      </c>
      <c r="DL49" s="481">
        <f t="shared" si="245"/>
        <v>1471.8489999999999</v>
      </c>
      <c r="DM49" s="750">
        <f>DI49+DJ49+DK49+DL49</f>
        <v>5232.1549999999997</v>
      </c>
      <c r="DO49" s="481">
        <f t="shared" ref="DO49:DR52" si="246">DO62*DO$55</f>
        <v>1602.54</v>
      </c>
      <c r="DP49" s="481">
        <f t="shared" si="246"/>
        <v>2746.989</v>
      </c>
      <c r="DQ49" s="481">
        <f t="shared" si="246"/>
        <v>2547.9359999999997</v>
      </c>
      <c r="DR49" s="481">
        <f t="shared" si="246"/>
        <v>2097.3910000000005</v>
      </c>
      <c r="DS49" s="750">
        <f>DO49+DP49+DQ49+DR49</f>
        <v>8994.8559999999998</v>
      </c>
      <c r="DU49" s="481">
        <f t="shared" ref="DU49:DX52" si="247">DU62*DU$55</f>
        <v>1546.701</v>
      </c>
      <c r="DV49" s="481">
        <f t="shared" si="247"/>
        <v>2380.4499999999998</v>
      </c>
      <c r="DW49" s="481">
        <f t="shared" si="247"/>
        <v>2844.48</v>
      </c>
      <c r="DX49" s="481">
        <f t="shared" si="247"/>
        <v>2917.5189999999998</v>
      </c>
      <c r="DY49" s="750">
        <f>DU49+DV49+DW49+DX49</f>
        <v>9689.15</v>
      </c>
      <c r="EA49" s="481">
        <f t="shared" ref="EA49:EC52" si="248">EA62*EA$55</f>
        <v>1894.3319999999999</v>
      </c>
      <c r="EB49" s="481">
        <f>EB62*EB$55</f>
        <v>2406.3230000000003</v>
      </c>
      <c r="EC49" s="481">
        <f>EC62*EC$55</f>
        <v>2887.9760000000001</v>
      </c>
      <c r="ED49" s="481">
        <f>ED62*ED$55</f>
        <v>3033.6000000000004</v>
      </c>
      <c r="EE49" s="750"/>
      <c r="EG49" s="481">
        <f>EG62*EG$55</f>
        <v>1444.17</v>
      </c>
      <c r="EH49" s="425"/>
      <c r="EI49" s="425"/>
      <c r="EJ49" s="425"/>
      <c r="EK49" s="502"/>
      <c r="EL49" s="707"/>
      <c r="EM49" s="425"/>
      <c r="FA49" s="452">
        <f>BK49</f>
        <v>3125.8440000000001</v>
      </c>
      <c r="FB49" s="452">
        <f>BQ49</f>
        <v>3451.569</v>
      </c>
      <c r="FC49" s="452">
        <f>BW49</f>
        <v>3228.3020000000001</v>
      </c>
      <c r="FD49" s="452">
        <f>CC49</f>
        <v>3524.636</v>
      </c>
      <c r="FE49" s="452">
        <f t="shared" ref="FE49:FE54" si="249">CI49</f>
        <v>4026.1670000000004</v>
      </c>
      <c r="FF49" s="452">
        <f t="shared" ref="FF49:FF54" si="250">CO49</f>
        <v>4811.7279999999992</v>
      </c>
      <c r="FG49" s="310">
        <f t="shared" ref="FG49:FG54" si="251">CU49</f>
        <v>4711.4760000000006</v>
      </c>
      <c r="FH49" s="310">
        <f t="shared" ref="FH49:FH54" si="252">DA49</f>
        <v>3912.817</v>
      </c>
      <c r="FI49" s="310">
        <f t="shared" ref="FI49:FI54" si="253">DG49</f>
        <v>5001.0720000000001</v>
      </c>
      <c r="FJ49" s="310">
        <f t="shared" ref="FJ49:FJ54" si="254">DM49</f>
        <v>5232.1549999999997</v>
      </c>
      <c r="FK49" s="310">
        <f t="shared" ref="FK49:FK54" si="255">DS49</f>
        <v>8994.8559999999998</v>
      </c>
      <c r="FL49" s="310">
        <f t="shared" ref="FL49:FL54" si="256">DY49</f>
        <v>9689.15</v>
      </c>
      <c r="FM49" s="452"/>
      <c r="FN49" s="452"/>
      <c r="FO49" s="452"/>
      <c r="FP49" s="425"/>
      <c r="FQ49" s="452">
        <f t="shared" ref="FQ49:FR53" ca="1" si="257">FQ76*FQ89</f>
        <v>0</v>
      </c>
      <c r="FR49" s="452">
        <f t="shared" ca="1" si="257"/>
        <v>0</v>
      </c>
    </row>
    <row r="50" spans="2:174" ht="12" x14ac:dyDescent="0.25">
      <c r="B50" s="539" t="s">
        <v>54</v>
      </c>
      <c r="D50" s="445"/>
      <c r="E50" s="480"/>
      <c r="F50" s="480"/>
      <c r="H50" s="481"/>
      <c r="J50" s="445"/>
      <c r="K50" s="481">
        <f t="shared" ref="K50:N52" si="258">K$55*K63</f>
        <v>265.49669999999998</v>
      </c>
      <c r="L50" s="481">
        <f t="shared" si="258"/>
        <v>449.15244000000001</v>
      </c>
      <c r="M50" s="481">
        <f t="shared" si="258"/>
        <v>325.88432</v>
      </c>
      <c r="N50" s="481">
        <f t="shared" si="258"/>
        <v>218.88816000000003</v>
      </c>
      <c r="O50" s="481">
        <f>SUM(K50:N50)</f>
        <v>1259.4216200000001</v>
      </c>
      <c r="P50" s="445"/>
      <c r="Q50" s="481">
        <f t="shared" ref="Q50:T52" si="259">Q$55*Q63</f>
        <v>276.5505</v>
      </c>
      <c r="R50" s="481">
        <f t="shared" si="259"/>
        <v>487.67385999999999</v>
      </c>
      <c r="S50" s="481">
        <f t="shared" si="259"/>
        <v>548.19584000000009</v>
      </c>
      <c r="T50" s="481">
        <f t="shared" si="259"/>
        <v>685.01369999999997</v>
      </c>
      <c r="U50" s="481">
        <f>SUM(Q50:T50)</f>
        <v>1997.4339</v>
      </c>
      <c r="V50" s="458"/>
      <c r="W50" s="481">
        <f>W$55*W63</f>
        <v>481.01088000000004</v>
      </c>
      <c r="X50" s="481">
        <f>X$55*X63</f>
        <v>487.23202999999995</v>
      </c>
      <c r="Y50" s="481">
        <f t="shared" si="230"/>
        <v>286.69888000000003</v>
      </c>
      <c r="Z50" s="481">
        <f t="shared" si="230"/>
        <v>281.43191999999999</v>
      </c>
      <c r="AA50" s="481">
        <f>W50+X50+Y50+Z50</f>
        <v>1536.3737099999998</v>
      </c>
      <c r="AB50" s="458"/>
      <c r="AC50" s="481">
        <f t="shared" si="231"/>
        <v>262.39551999999998</v>
      </c>
      <c r="AD50" s="481">
        <f t="shared" si="231"/>
        <v>188.65236000000002</v>
      </c>
      <c r="AE50" s="481">
        <f t="shared" si="231"/>
        <v>59.072299999999998</v>
      </c>
      <c r="AF50" s="481">
        <f t="shared" si="231"/>
        <v>72.288539999999998</v>
      </c>
      <c r="AG50" s="481">
        <f>AC50+AD50+AE50+AF50</f>
        <v>582.4087199999999</v>
      </c>
      <c r="AI50" s="481">
        <f t="shared" si="232"/>
        <v>60.66</v>
      </c>
      <c r="AJ50" s="481">
        <f t="shared" si="232"/>
        <v>16.493309999999997</v>
      </c>
      <c r="AK50" s="481">
        <f t="shared" si="232"/>
        <v>18.347639999999998</v>
      </c>
      <c r="AL50" s="481">
        <f t="shared" si="232"/>
        <v>38.862719999999996</v>
      </c>
      <c r="AM50" s="481">
        <f>AI50+AJ50+AK50+AL50</f>
        <v>134.36366999999998</v>
      </c>
      <c r="AO50" s="481">
        <f t="shared" si="233"/>
        <v>31.580000000000002</v>
      </c>
      <c r="AP50" s="481">
        <f t="shared" si="233"/>
        <v>27.689999999999998</v>
      </c>
      <c r="AQ50" s="481">
        <f t="shared" si="233"/>
        <v>10.27</v>
      </c>
      <c r="AR50" s="481">
        <f t="shared" si="233"/>
        <v>118.17899999999999</v>
      </c>
      <c r="AS50" s="481">
        <f>AO50+AP50+AQ50+AR50</f>
        <v>187.71899999999999</v>
      </c>
      <c r="AU50" s="481">
        <f t="shared" si="234"/>
        <v>64.220000000000013</v>
      </c>
      <c r="AV50" s="481">
        <f t="shared" si="234"/>
        <v>93.352000000000004</v>
      </c>
      <c r="AW50" s="481">
        <f t="shared" si="234"/>
        <v>63.660000000000004</v>
      </c>
      <c r="AX50" s="481">
        <f t="shared" si="234"/>
        <v>0</v>
      </c>
      <c r="AY50" s="481">
        <f>AU50+AV50+AW50+AX50</f>
        <v>221.232</v>
      </c>
      <c r="BA50" s="481">
        <f t="shared" si="235"/>
        <v>63</v>
      </c>
      <c r="BB50" s="481">
        <f t="shared" si="235"/>
        <v>0</v>
      </c>
      <c r="BC50" s="481">
        <f t="shared" si="235"/>
        <v>0</v>
      </c>
      <c r="BD50" s="481">
        <f t="shared" si="235"/>
        <v>22.994999999999997</v>
      </c>
      <c r="BE50" s="481">
        <f>BA50+BB50+BC50+BD50</f>
        <v>85.995000000000005</v>
      </c>
      <c r="BG50" s="481">
        <f t="shared" si="236"/>
        <v>0</v>
      </c>
      <c r="BH50" s="481">
        <f t="shared" si="236"/>
        <v>0</v>
      </c>
      <c r="BI50" s="481">
        <f t="shared" ca="1" si="236"/>
        <v>0</v>
      </c>
      <c r="BJ50" s="481">
        <f t="shared" si="236"/>
        <v>43.235999999999997</v>
      </c>
      <c r="BK50" s="481">
        <f ca="1">BG50+BH50+BI50+BJ50</f>
        <v>43.235999999999997</v>
      </c>
      <c r="BM50" s="481">
        <f t="shared" si="237"/>
        <v>0</v>
      </c>
      <c r="BN50" s="481">
        <f t="shared" si="237"/>
        <v>12.43</v>
      </c>
      <c r="BO50" s="481">
        <f t="shared" si="237"/>
        <v>0</v>
      </c>
      <c r="BP50" s="481">
        <f t="shared" si="237"/>
        <v>10.853</v>
      </c>
      <c r="BQ50" s="481">
        <f>BM50+BN50+BO50+BP50</f>
        <v>23.283000000000001</v>
      </c>
      <c r="BS50" s="481">
        <f t="shared" si="238"/>
        <v>37.394999999999996</v>
      </c>
      <c r="BT50" s="481">
        <f t="shared" si="238"/>
        <v>11.345000000000001</v>
      </c>
      <c r="BU50" s="481">
        <f t="shared" si="238"/>
        <v>29.258999999999997</v>
      </c>
      <c r="BV50" s="481">
        <f t="shared" si="238"/>
        <v>26.427</v>
      </c>
      <c r="BW50" s="481">
        <f>BS50+BT50+BU50+BV50</f>
        <v>104.42599999999999</v>
      </c>
      <c r="BY50" s="481">
        <f t="shared" si="239"/>
        <v>42.99</v>
      </c>
      <c r="BZ50" s="481">
        <f t="shared" si="239"/>
        <v>37.962000000000003</v>
      </c>
      <c r="CA50" s="481">
        <f t="shared" si="239"/>
        <v>25.154</v>
      </c>
      <c r="CB50" s="481">
        <f t="shared" si="239"/>
        <v>25.782</v>
      </c>
      <c r="CC50" s="481">
        <f>BY50+BZ50+CA50+CB50</f>
        <v>131.88800000000001</v>
      </c>
      <c r="CE50" s="481">
        <f t="shared" si="240"/>
        <v>60.79</v>
      </c>
      <c r="CF50" s="481">
        <f t="shared" si="240"/>
        <v>41.522999999999996</v>
      </c>
      <c r="CG50" s="481">
        <f t="shared" si="240"/>
        <v>36.378</v>
      </c>
      <c r="CH50" s="481">
        <f t="shared" si="240"/>
        <v>78.196000000000012</v>
      </c>
      <c r="CI50" s="481">
        <f>CE50+CF50+CG50+CH50</f>
        <v>216.887</v>
      </c>
      <c r="CK50" s="481">
        <f t="shared" si="241"/>
        <v>66.707999999999998</v>
      </c>
      <c r="CL50" s="481">
        <f t="shared" si="241"/>
        <v>83.460000000000008</v>
      </c>
      <c r="CM50" s="481">
        <f t="shared" si="241"/>
        <v>62.417999999999992</v>
      </c>
      <c r="CN50" s="481">
        <f t="shared" si="241"/>
        <v>72.728999999999999</v>
      </c>
      <c r="CO50" s="481">
        <f>CK50+CL50+CM50+CN50</f>
        <v>285.315</v>
      </c>
      <c r="CQ50" s="481">
        <f t="shared" si="242"/>
        <v>67.56</v>
      </c>
      <c r="CR50" s="481">
        <f t="shared" si="242"/>
        <v>37.015999999999998</v>
      </c>
      <c r="CS50" s="481">
        <f t="shared" si="242"/>
        <v>162.792</v>
      </c>
      <c r="CT50" s="481">
        <f t="shared" si="242"/>
        <v>125.22799999999999</v>
      </c>
      <c r="CU50" s="481">
        <f>CQ50+CR50+CS50+CT50</f>
        <v>392.596</v>
      </c>
      <c r="CW50" s="481">
        <f t="shared" si="243"/>
        <v>110.88000000000001</v>
      </c>
      <c r="CX50" s="481">
        <f t="shared" si="243"/>
        <v>121.93</v>
      </c>
      <c r="CY50" s="481">
        <f t="shared" si="243"/>
        <v>30.956</v>
      </c>
      <c r="CZ50" s="481">
        <f t="shared" si="243"/>
        <v>127.93200000000002</v>
      </c>
      <c r="DA50" s="502">
        <f>CW50+CX50+CY50+CZ50</f>
        <v>391.69800000000004</v>
      </c>
      <c r="DC50" s="481">
        <f t="shared" si="244"/>
        <v>62.576000000000008</v>
      </c>
      <c r="DD50" s="481">
        <f t="shared" si="244"/>
        <v>147.47999999999999</v>
      </c>
      <c r="DE50" s="481">
        <f t="shared" si="244"/>
        <v>123.33300000000001</v>
      </c>
      <c r="DF50" s="481">
        <f t="shared" si="244"/>
        <v>103.89599999999999</v>
      </c>
      <c r="DG50" s="750">
        <f>DC50+DD50+DE50+DF50</f>
        <v>437.28499999999997</v>
      </c>
      <c r="DI50" s="481">
        <f t="shared" si="245"/>
        <v>137.23199999999997</v>
      </c>
      <c r="DJ50" s="481">
        <f t="shared" si="245"/>
        <v>165.62</v>
      </c>
      <c r="DK50" s="481">
        <f t="shared" si="245"/>
        <v>127.64099999999999</v>
      </c>
      <c r="DL50" s="481">
        <f t="shared" si="245"/>
        <v>189.916</v>
      </c>
      <c r="DM50" s="750">
        <f>DI50+DJ50+DK50+DL50</f>
        <v>620.40899999999988</v>
      </c>
      <c r="DO50" s="481">
        <f t="shared" si="246"/>
        <v>160.25399999999999</v>
      </c>
      <c r="DP50" s="481">
        <f t="shared" si="246"/>
        <v>112.12200000000001</v>
      </c>
      <c r="DQ50" s="481">
        <f t="shared" si="246"/>
        <v>106.164</v>
      </c>
      <c r="DR50" s="481">
        <f t="shared" si="246"/>
        <v>433.18790000000001</v>
      </c>
      <c r="DS50" s="750">
        <f>DO50+DP50+DQ50+DR50</f>
        <v>811.72789999999998</v>
      </c>
      <c r="DU50" s="481">
        <f t="shared" si="247"/>
        <v>118.977</v>
      </c>
      <c r="DV50" s="481">
        <f t="shared" si="247"/>
        <v>333.26300000000003</v>
      </c>
      <c r="DW50" s="481">
        <f t="shared" si="247"/>
        <v>177.78</v>
      </c>
      <c r="DX50" s="481">
        <f t="shared" si="247"/>
        <v>142.31799999999998</v>
      </c>
      <c r="DY50" s="750">
        <f>DU50+DV50+DW50+DX50</f>
        <v>772.33799999999997</v>
      </c>
      <c r="EA50" s="481">
        <f t="shared" si="248"/>
        <v>114.80799999999999</v>
      </c>
      <c r="EB50" s="481">
        <f t="shared" si="248"/>
        <v>111.92200000000001</v>
      </c>
      <c r="EC50" s="481">
        <f t="shared" si="248"/>
        <v>111.07600000000001</v>
      </c>
      <c r="ED50" s="481">
        <f t="shared" ref="ED50" si="260">ED63*ED$55</f>
        <v>151.68</v>
      </c>
      <c r="EE50" s="750"/>
      <c r="EG50" s="481">
        <f t="shared" ref="EG50" si="261">EG63*EG$55</f>
        <v>125.58</v>
      </c>
      <c r="EH50" s="425"/>
      <c r="EI50" s="425"/>
      <c r="EJ50" s="425"/>
      <c r="EK50" s="502"/>
      <c r="EL50" s="707"/>
      <c r="EM50" s="425"/>
      <c r="FA50" s="452">
        <f ca="1">BK50</f>
        <v>43.235999999999997</v>
      </c>
      <c r="FB50" s="452">
        <f>BQ50</f>
        <v>23.283000000000001</v>
      </c>
      <c r="FC50" s="452">
        <f>BW50</f>
        <v>104.42599999999999</v>
      </c>
      <c r="FD50" s="452">
        <f>CC50</f>
        <v>131.88800000000001</v>
      </c>
      <c r="FE50" s="452">
        <f t="shared" si="249"/>
        <v>216.887</v>
      </c>
      <c r="FF50" s="452">
        <f t="shared" si="250"/>
        <v>285.315</v>
      </c>
      <c r="FG50" s="310">
        <f t="shared" si="251"/>
        <v>392.596</v>
      </c>
      <c r="FH50" s="310">
        <f t="shared" si="252"/>
        <v>391.69800000000004</v>
      </c>
      <c r="FI50" s="310">
        <f t="shared" si="253"/>
        <v>437.28499999999997</v>
      </c>
      <c r="FJ50" s="310">
        <f t="shared" si="254"/>
        <v>620.40899999999988</v>
      </c>
      <c r="FK50" s="310">
        <f t="shared" si="255"/>
        <v>811.72789999999998</v>
      </c>
      <c r="FL50" s="310">
        <f t="shared" si="256"/>
        <v>772.33799999999997</v>
      </c>
      <c r="FM50" s="452"/>
      <c r="FN50" s="452"/>
      <c r="FO50" s="452"/>
      <c r="FP50" s="425"/>
      <c r="FQ50" s="452">
        <f t="shared" ca="1" si="257"/>
        <v>0</v>
      </c>
      <c r="FR50" s="452">
        <f t="shared" ca="1" si="257"/>
        <v>0</v>
      </c>
    </row>
    <row r="51" spans="2:174" ht="12" x14ac:dyDescent="0.25">
      <c r="B51" s="539" t="s">
        <v>53</v>
      </c>
      <c r="D51" s="445"/>
      <c r="E51" s="480"/>
      <c r="F51" s="480"/>
      <c r="H51" s="481"/>
      <c r="J51" s="445"/>
      <c r="K51" s="481">
        <f t="shared" si="258"/>
        <v>322.38884999999999</v>
      </c>
      <c r="L51" s="481">
        <f t="shared" si="258"/>
        <v>217.77088000000001</v>
      </c>
      <c r="M51" s="481">
        <f t="shared" si="258"/>
        <v>110.15808</v>
      </c>
      <c r="N51" s="481">
        <f t="shared" si="258"/>
        <v>205.20765000000003</v>
      </c>
      <c r="O51" s="481">
        <f>SUM(K51:N51)</f>
        <v>855.52546000000007</v>
      </c>
      <c r="P51" s="445"/>
      <c r="Q51" s="481">
        <f t="shared" si="259"/>
        <v>254.42646000000002</v>
      </c>
      <c r="R51" s="481">
        <f t="shared" si="259"/>
        <v>302.69412</v>
      </c>
      <c r="S51" s="481">
        <f t="shared" si="259"/>
        <v>248.40124</v>
      </c>
      <c r="T51" s="481">
        <f t="shared" si="259"/>
        <v>215.29002</v>
      </c>
      <c r="U51" s="481">
        <f>SUM(Q51:T51)</f>
        <v>1020.8118400000001</v>
      </c>
      <c r="V51" s="458"/>
      <c r="W51" s="481">
        <f>W$55*W64</f>
        <v>292.04232000000002</v>
      </c>
      <c r="X51" s="481">
        <f>X$55*X64</f>
        <v>256.00326999999999</v>
      </c>
      <c r="Y51" s="481">
        <f t="shared" si="230"/>
        <v>143.34944000000002</v>
      </c>
      <c r="Z51" s="481">
        <f t="shared" si="230"/>
        <v>127.92359999999999</v>
      </c>
      <c r="AA51" s="481">
        <f>W51+X51+Y51+Z51</f>
        <v>819.31862999999987</v>
      </c>
      <c r="AB51" s="458"/>
      <c r="AC51" s="481">
        <f t="shared" si="231"/>
        <v>114.79804000000001</v>
      </c>
      <c r="AD51" s="481">
        <f t="shared" si="231"/>
        <v>36.279299999999999</v>
      </c>
      <c r="AE51" s="481">
        <f t="shared" si="231"/>
        <v>47.257839999999995</v>
      </c>
      <c r="AF51" s="481">
        <f t="shared" si="231"/>
        <v>22.827960000000001</v>
      </c>
      <c r="AG51" s="481">
        <f>AC51+AD51+AE51+AF51</f>
        <v>221.16314</v>
      </c>
      <c r="AI51" s="481">
        <f t="shared" si="232"/>
        <v>3.0329999999999999</v>
      </c>
      <c r="AJ51" s="481">
        <f t="shared" si="232"/>
        <v>0</v>
      </c>
      <c r="AK51" s="481">
        <f t="shared" si="232"/>
        <v>45.869100000000003</v>
      </c>
      <c r="AL51" s="481">
        <f t="shared" si="232"/>
        <v>90.679679999999991</v>
      </c>
      <c r="AM51" s="481">
        <f>AI51+AJ51+AK51+AL51</f>
        <v>139.58177999999998</v>
      </c>
      <c r="AO51" s="481">
        <f t="shared" si="233"/>
        <v>69.475999999999999</v>
      </c>
      <c r="AP51" s="481">
        <f t="shared" si="233"/>
        <v>101.53</v>
      </c>
      <c r="AQ51" s="481">
        <f t="shared" si="233"/>
        <v>256.75</v>
      </c>
      <c r="AR51" s="481">
        <f t="shared" si="233"/>
        <v>249.48899999999998</v>
      </c>
      <c r="AS51" s="481">
        <f>AO51+AP51+AQ51+AR51</f>
        <v>677.24499999999989</v>
      </c>
      <c r="AU51" s="481">
        <f t="shared" si="234"/>
        <v>295.41200000000003</v>
      </c>
      <c r="AV51" s="481">
        <f t="shared" si="234"/>
        <v>306.72800000000001</v>
      </c>
      <c r="AW51" s="481">
        <f t="shared" si="234"/>
        <v>203.71200000000002</v>
      </c>
      <c r="AX51" s="481">
        <f t="shared" si="234"/>
        <v>138.97800000000001</v>
      </c>
      <c r="AY51" s="481">
        <f>AU51+AV51+AW51+AX51</f>
        <v>944.83000000000015</v>
      </c>
      <c r="BA51" s="481">
        <f t="shared" si="235"/>
        <v>346.5</v>
      </c>
      <c r="BB51" s="481">
        <f t="shared" si="235"/>
        <v>265.89600000000002</v>
      </c>
      <c r="BC51" s="481">
        <f t="shared" si="235"/>
        <v>150.04499999999999</v>
      </c>
      <c r="BD51" s="481">
        <f t="shared" si="235"/>
        <v>145.63499999999999</v>
      </c>
      <c r="BE51" s="481">
        <f>BA51+BB51+BC51+BD51</f>
        <v>908.07599999999991</v>
      </c>
      <c r="BG51" s="481">
        <f t="shared" si="236"/>
        <v>155.68700000000001</v>
      </c>
      <c r="BH51" s="481">
        <f t="shared" si="236"/>
        <v>183.10000000000002</v>
      </c>
      <c r="BI51" s="481">
        <f t="shared" si="236"/>
        <v>105.545</v>
      </c>
      <c r="BJ51" s="481">
        <f t="shared" si="236"/>
        <v>273.82800000000003</v>
      </c>
      <c r="BK51" s="481">
        <f>BG51+BH51+BI51+BJ51</f>
        <v>718.16000000000008</v>
      </c>
      <c r="BM51" s="481">
        <f t="shared" si="237"/>
        <v>175.10000000000002</v>
      </c>
      <c r="BN51" s="481">
        <f t="shared" si="237"/>
        <v>24.86</v>
      </c>
      <c r="BO51" s="481">
        <f t="shared" si="237"/>
        <v>106.14</v>
      </c>
      <c r="BP51" s="481">
        <f t="shared" si="237"/>
        <v>97.676999999999992</v>
      </c>
      <c r="BQ51" s="481">
        <f>BM51+BN51+BO51+BP51</f>
        <v>403.77700000000004</v>
      </c>
      <c r="BS51" s="481">
        <f t="shared" si="238"/>
        <v>149.57999999999998</v>
      </c>
      <c r="BT51" s="481">
        <f t="shared" si="238"/>
        <v>136.13999999999999</v>
      </c>
      <c r="BU51" s="481">
        <f t="shared" si="238"/>
        <v>263.33100000000002</v>
      </c>
      <c r="BV51" s="481">
        <f t="shared" si="238"/>
        <v>202.607</v>
      </c>
      <c r="BW51" s="481">
        <f>BS51+BT51+BU51+BV51</f>
        <v>751.6579999999999</v>
      </c>
      <c r="BY51" s="481">
        <f t="shared" si="239"/>
        <v>120.372</v>
      </c>
      <c r="BZ51" s="481">
        <f t="shared" si="239"/>
        <v>139.19400000000002</v>
      </c>
      <c r="CA51" s="481">
        <f t="shared" si="239"/>
        <v>150.92400000000001</v>
      </c>
      <c r="CB51" s="481">
        <f t="shared" si="239"/>
        <v>128.91</v>
      </c>
      <c r="CC51" s="481">
        <f>BY51+BZ51+CA51+CB51</f>
        <v>539.4</v>
      </c>
      <c r="CE51" s="481">
        <f t="shared" si="240"/>
        <v>182.36999999999998</v>
      </c>
      <c r="CF51" s="481">
        <f t="shared" si="240"/>
        <v>124.56899999999999</v>
      </c>
      <c r="CG51" s="481">
        <f t="shared" si="240"/>
        <v>181.89000000000001</v>
      </c>
      <c r="CH51" s="481">
        <f t="shared" si="240"/>
        <v>195.49</v>
      </c>
      <c r="CI51" s="481">
        <f>CE51+CF51+CG51+CH51</f>
        <v>684.31899999999996</v>
      </c>
      <c r="CK51" s="481">
        <f t="shared" si="241"/>
        <v>233.47800000000004</v>
      </c>
      <c r="CL51" s="481">
        <f t="shared" si="241"/>
        <v>208.65</v>
      </c>
      <c r="CM51" s="481">
        <f t="shared" si="241"/>
        <v>187.25399999999999</v>
      </c>
      <c r="CN51" s="481">
        <f t="shared" si="241"/>
        <v>242.43000000000004</v>
      </c>
      <c r="CO51" s="481">
        <f>CK51+CL51+CM51+CN51</f>
        <v>871.81200000000013</v>
      </c>
      <c r="CQ51" s="481">
        <f t="shared" si="242"/>
        <v>152.01</v>
      </c>
      <c r="CR51" s="481">
        <f t="shared" si="242"/>
        <v>203.58799999999999</v>
      </c>
      <c r="CS51" s="481">
        <f t="shared" si="242"/>
        <v>139.536</v>
      </c>
      <c r="CT51" s="481">
        <f t="shared" si="242"/>
        <v>187.84199999999998</v>
      </c>
      <c r="CU51" s="481">
        <f>CQ51+CR51+CS51+CT51</f>
        <v>682.97599999999989</v>
      </c>
      <c r="CW51" s="481">
        <f t="shared" si="243"/>
        <v>205.92000000000002</v>
      </c>
      <c r="CX51" s="481">
        <f t="shared" si="243"/>
        <v>243.86</v>
      </c>
      <c r="CY51" s="481">
        <f t="shared" si="243"/>
        <v>247.648</v>
      </c>
      <c r="CZ51" s="481">
        <f t="shared" si="243"/>
        <v>351.81300000000005</v>
      </c>
      <c r="DA51" s="502">
        <f>CW51+CX51+CY51+CZ51</f>
        <v>1049.241</v>
      </c>
      <c r="DC51" s="481">
        <f t="shared" si="244"/>
        <v>344.16800000000001</v>
      </c>
      <c r="DD51" s="481">
        <f t="shared" si="244"/>
        <v>324.45600000000002</v>
      </c>
      <c r="DE51" s="481">
        <f t="shared" si="244"/>
        <v>287.77700000000004</v>
      </c>
      <c r="DF51" s="481">
        <f t="shared" si="244"/>
        <v>346.32</v>
      </c>
      <c r="DG51" s="750">
        <f>DC51+DD51+DE51+DF51</f>
        <v>1302.721</v>
      </c>
      <c r="DI51" s="481">
        <f t="shared" si="245"/>
        <v>274.46399999999994</v>
      </c>
      <c r="DJ51" s="481">
        <f t="shared" si="245"/>
        <v>414.05</v>
      </c>
      <c r="DK51" s="481">
        <f t="shared" si="245"/>
        <v>425.47</v>
      </c>
      <c r="DL51" s="481">
        <f t="shared" si="245"/>
        <v>569.74799999999993</v>
      </c>
      <c r="DM51" s="750">
        <f>DI51+DJ51+DK51+DL51</f>
        <v>1683.732</v>
      </c>
      <c r="DO51" s="481">
        <f t="shared" si="246"/>
        <v>480.762</v>
      </c>
      <c r="DP51" s="481">
        <f t="shared" si="246"/>
        <v>504.54900000000004</v>
      </c>
      <c r="DQ51" s="481">
        <f t="shared" si="246"/>
        <v>530.82000000000005</v>
      </c>
      <c r="DR51" s="481">
        <f t="shared" si="246"/>
        <v>677.73000000000047</v>
      </c>
      <c r="DS51" s="750">
        <f>DO51+DP51+DQ51+DR51</f>
        <v>2193.8610000000008</v>
      </c>
      <c r="DU51" s="481">
        <f t="shared" si="247"/>
        <v>317.27199999999999</v>
      </c>
      <c r="DV51" s="481">
        <f t="shared" si="247"/>
        <v>428.48099999999994</v>
      </c>
      <c r="DW51" s="481">
        <f t="shared" si="247"/>
        <v>592.6</v>
      </c>
      <c r="DX51" s="481">
        <f t="shared" si="247"/>
        <v>640.43099999999993</v>
      </c>
      <c r="DY51" s="750">
        <f>DU51+DV51+DW51+DX51</f>
        <v>1978.7840000000001</v>
      </c>
      <c r="EA51" s="481">
        <f t="shared" si="248"/>
        <v>287.02</v>
      </c>
      <c r="EB51" s="481">
        <f t="shared" si="248"/>
        <v>223.84400000000002</v>
      </c>
      <c r="EC51" s="481">
        <f t="shared" si="248"/>
        <v>166.614</v>
      </c>
      <c r="ED51" s="481">
        <f t="shared" ref="ED51" si="262">ED64*ED$55</f>
        <v>379.20000000000005</v>
      </c>
      <c r="EE51" s="750"/>
      <c r="EG51" s="481">
        <f t="shared" ref="EG51" si="263">EG64*EG$55</f>
        <v>376.74</v>
      </c>
      <c r="EH51" s="425"/>
      <c r="EI51" s="425"/>
      <c r="EJ51" s="425"/>
      <c r="EK51" s="502"/>
      <c r="EL51" s="707"/>
      <c r="EM51" s="425"/>
      <c r="FA51" s="452">
        <f>BK51</f>
        <v>718.16000000000008</v>
      </c>
      <c r="FB51" s="452">
        <f>BQ51</f>
        <v>403.77700000000004</v>
      </c>
      <c r="FC51" s="452">
        <f>BW51</f>
        <v>751.6579999999999</v>
      </c>
      <c r="FD51" s="452">
        <f>CC51</f>
        <v>539.4</v>
      </c>
      <c r="FE51" s="452">
        <f t="shared" si="249"/>
        <v>684.31899999999996</v>
      </c>
      <c r="FF51" s="452">
        <f t="shared" si="250"/>
        <v>871.81200000000013</v>
      </c>
      <c r="FG51" s="310">
        <f t="shared" si="251"/>
        <v>682.97599999999989</v>
      </c>
      <c r="FH51" s="310">
        <f t="shared" si="252"/>
        <v>1049.241</v>
      </c>
      <c r="FI51" s="310">
        <f t="shared" si="253"/>
        <v>1302.721</v>
      </c>
      <c r="FJ51" s="310">
        <f t="shared" si="254"/>
        <v>1683.732</v>
      </c>
      <c r="FK51" s="310">
        <f t="shared" si="255"/>
        <v>2193.8610000000008</v>
      </c>
      <c r="FL51" s="310">
        <f t="shared" si="256"/>
        <v>1978.7840000000001</v>
      </c>
      <c r="FM51" s="452"/>
      <c r="FN51" s="452"/>
      <c r="FO51" s="452"/>
      <c r="FP51" s="425"/>
      <c r="FQ51" s="452">
        <f t="shared" ca="1" si="257"/>
        <v>1037.5</v>
      </c>
      <c r="FR51" s="452">
        <f t="shared" ca="1" si="257"/>
        <v>1100</v>
      </c>
    </row>
    <row r="52" spans="2:174" ht="12" x14ac:dyDescent="0.25">
      <c r="B52" s="663" t="s">
        <v>251</v>
      </c>
      <c r="C52" s="382"/>
      <c r="D52" s="664"/>
      <c r="E52" s="665"/>
      <c r="F52" s="665"/>
      <c r="G52" s="382"/>
      <c r="H52" s="504"/>
      <c r="I52" s="382"/>
      <c r="J52" s="664"/>
      <c r="K52" s="504">
        <f t="shared" si="258"/>
        <v>44.249450000000003</v>
      </c>
      <c r="L52" s="504">
        <f t="shared" si="258"/>
        <v>13.61068</v>
      </c>
      <c r="M52" s="504">
        <f t="shared" si="258"/>
        <v>22.949600000000004</v>
      </c>
      <c r="N52" s="504">
        <f t="shared" si="258"/>
        <v>31.921190000000006</v>
      </c>
      <c r="O52" s="504">
        <f>SUM(K52:N52)</f>
        <v>112.73092000000001</v>
      </c>
      <c r="P52" s="664"/>
      <c r="Q52" s="504">
        <f t="shared" si="259"/>
        <v>22.124040000000001</v>
      </c>
      <c r="R52" s="504">
        <f t="shared" si="259"/>
        <v>50.449019999999997</v>
      </c>
      <c r="S52" s="504">
        <f t="shared" si="259"/>
        <v>59.958920000000006</v>
      </c>
      <c r="T52" s="504">
        <f t="shared" si="259"/>
        <v>78.287279999999996</v>
      </c>
      <c r="U52" s="504">
        <f>SUM(Q52:T52)</f>
        <v>210.81925999999999</v>
      </c>
      <c r="V52" s="509"/>
      <c r="W52" s="486">
        <f>W55-W51-W50-W49</f>
        <v>85.894799999999918</v>
      </c>
      <c r="X52" s="486">
        <f>X55-X51-X50-X49</f>
        <v>82.581700000000126</v>
      </c>
      <c r="Y52" s="504">
        <f t="shared" si="230"/>
        <v>75.890879999999996</v>
      </c>
      <c r="Z52" s="504">
        <f t="shared" si="230"/>
        <v>51.169439999999994</v>
      </c>
      <c r="AA52" s="486">
        <f>W52+X52+Y52+Z52</f>
        <v>295.53682000000003</v>
      </c>
      <c r="AB52" s="509"/>
      <c r="AC52" s="504">
        <f t="shared" si="231"/>
        <v>24.59958</v>
      </c>
      <c r="AD52" s="504">
        <f t="shared" si="231"/>
        <v>29.023440000000001</v>
      </c>
      <c r="AE52" s="504">
        <f t="shared" si="231"/>
        <v>29.536149999999999</v>
      </c>
      <c r="AF52" s="504">
        <f t="shared" si="231"/>
        <v>7.6093200000000003</v>
      </c>
      <c r="AG52" s="486">
        <f>AC52+AD52+AE52+AF52</f>
        <v>90.768489999999986</v>
      </c>
      <c r="AH52" s="382"/>
      <c r="AI52" s="504">
        <f t="shared" si="232"/>
        <v>8.0879999999999992</v>
      </c>
      <c r="AJ52" s="504">
        <f t="shared" si="232"/>
        <v>3.6651799999999999</v>
      </c>
      <c r="AK52" s="504">
        <f t="shared" si="232"/>
        <v>9.1738199999999992</v>
      </c>
      <c r="AL52" s="504">
        <f t="shared" si="232"/>
        <v>0</v>
      </c>
      <c r="AM52" s="486">
        <f>AI52+AJ52+AK52+AL52</f>
        <v>20.927</v>
      </c>
      <c r="AN52" s="382"/>
      <c r="AO52" s="504">
        <f t="shared" si="233"/>
        <v>6.3160000000000007</v>
      </c>
      <c r="AP52" s="504">
        <f t="shared" si="233"/>
        <v>9.23</v>
      </c>
      <c r="AQ52" s="504">
        <f t="shared" si="233"/>
        <v>10.27</v>
      </c>
      <c r="AR52" s="504">
        <f t="shared" si="233"/>
        <v>26.262</v>
      </c>
      <c r="AS52" s="486">
        <f>AO52+AP52+AQ52+AR52</f>
        <v>52.078000000000003</v>
      </c>
      <c r="AT52" s="382"/>
      <c r="AU52" s="504">
        <f t="shared" si="234"/>
        <v>12.844000000000001</v>
      </c>
      <c r="AV52" s="504">
        <f t="shared" si="234"/>
        <v>13.335999999999999</v>
      </c>
      <c r="AW52" s="504">
        <f t="shared" si="234"/>
        <v>25.464000000000002</v>
      </c>
      <c r="AX52" s="504">
        <f t="shared" si="234"/>
        <v>9.9270000000000014</v>
      </c>
      <c r="AY52" s="486">
        <f>AU52+AV52+AW52+AX52</f>
        <v>61.571000000000005</v>
      </c>
      <c r="AZ52" s="382"/>
      <c r="BA52" s="486">
        <f t="shared" si="235"/>
        <v>10.5</v>
      </c>
      <c r="BB52" s="486">
        <f t="shared" si="235"/>
        <v>9.847999999999999</v>
      </c>
      <c r="BC52" s="486">
        <f t="shared" si="235"/>
        <v>20.006</v>
      </c>
      <c r="BD52" s="486">
        <f t="shared" si="235"/>
        <v>15.33</v>
      </c>
      <c r="BE52" s="486">
        <f>BA52+BB52+BC52+BD52</f>
        <v>55.683999999999997</v>
      </c>
      <c r="BF52" s="21"/>
      <c r="BG52" s="486">
        <f t="shared" si="236"/>
        <v>20.306999999999999</v>
      </c>
      <c r="BH52" s="486">
        <f t="shared" si="236"/>
        <v>18.309999999999999</v>
      </c>
      <c r="BI52" s="486">
        <f t="shared" si="236"/>
        <v>9.5950000000000006</v>
      </c>
      <c r="BJ52" s="486">
        <f t="shared" si="236"/>
        <v>0</v>
      </c>
      <c r="BK52" s="486">
        <f>BG52+BH52+BI52+BJ52</f>
        <v>48.211999999999996</v>
      </c>
      <c r="BL52" s="382"/>
      <c r="BM52" s="486">
        <f t="shared" si="237"/>
        <v>10.3</v>
      </c>
      <c r="BN52" s="486">
        <f t="shared" si="237"/>
        <v>12.43</v>
      </c>
      <c r="BO52" s="486">
        <f t="shared" si="237"/>
        <v>17.690000000000001</v>
      </c>
      <c r="BP52" s="486">
        <f t="shared" si="237"/>
        <v>10.853</v>
      </c>
      <c r="BQ52" s="486">
        <f>BM52+BN52+BO52+BP52</f>
        <v>51.273000000000003</v>
      </c>
      <c r="BR52" s="21"/>
      <c r="BS52" s="486">
        <f t="shared" si="238"/>
        <v>24.93</v>
      </c>
      <c r="BT52" s="486">
        <f t="shared" si="238"/>
        <v>22.69</v>
      </c>
      <c r="BU52" s="486">
        <f t="shared" si="238"/>
        <v>19.506</v>
      </c>
      <c r="BV52" s="486">
        <f t="shared" si="238"/>
        <v>17.617999999999999</v>
      </c>
      <c r="BW52" s="486">
        <f>BS52+BT52+BU52+BV52</f>
        <v>84.744</v>
      </c>
      <c r="BX52" s="382"/>
      <c r="BY52" s="486">
        <f t="shared" si="239"/>
        <v>17.195999999999998</v>
      </c>
      <c r="BZ52" s="486">
        <f t="shared" si="239"/>
        <v>25.308000000000003</v>
      </c>
      <c r="CA52" s="486">
        <f t="shared" si="239"/>
        <v>25.154</v>
      </c>
      <c r="CB52" s="486">
        <f t="shared" si="239"/>
        <v>12.891</v>
      </c>
      <c r="CC52" s="486">
        <f>BY52+BZ52+CA52+CB52</f>
        <v>80.549000000000007</v>
      </c>
      <c r="CD52" s="382"/>
      <c r="CE52" s="486">
        <f t="shared" si="240"/>
        <v>12.157999999999999</v>
      </c>
      <c r="CF52" s="486">
        <f t="shared" si="240"/>
        <v>27.681999999999999</v>
      </c>
      <c r="CG52" s="486">
        <f t="shared" si="240"/>
        <v>18.189</v>
      </c>
      <c r="CH52" s="486">
        <f t="shared" si="240"/>
        <v>19.549000000000003</v>
      </c>
      <c r="CI52" s="486">
        <f>CE52+CF52+CG52+CH52</f>
        <v>77.578000000000003</v>
      </c>
      <c r="CJ52" s="382"/>
      <c r="CK52" s="486">
        <f t="shared" si="241"/>
        <v>16.677</v>
      </c>
      <c r="CL52" s="486">
        <f t="shared" si="241"/>
        <v>20.865000000000002</v>
      </c>
      <c r="CM52" s="486">
        <f t="shared" si="241"/>
        <v>20.806000000000001</v>
      </c>
      <c r="CN52" s="486">
        <f t="shared" si="241"/>
        <v>24.243000000000002</v>
      </c>
      <c r="CO52" s="486">
        <f>CK52+CL52+CM52+CN52</f>
        <v>82.591000000000008</v>
      </c>
      <c r="CP52" s="382"/>
      <c r="CQ52" s="486">
        <f t="shared" si="242"/>
        <v>33.78</v>
      </c>
      <c r="CR52" s="486">
        <f t="shared" si="242"/>
        <v>18.507999999999999</v>
      </c>
      <c r="CS52" s="486">
        <f t="shared" si="242"/>
        <v>23.256</v>
      </c>
      <c r="CT52" s="486">
        <f t="shared" si="242"/>
        <v>62.613999999999997</v>
      </c>
      <c r="CU52" s="486">
        <f>CQ52+CR52+CS52+CT52</f>
        <v>138.15799999999999</v>
      </c>
      <c r="CV52" s="382"/>
      <c r="CW52" s="486">
        <f t="shared" si="243"/>
        <v>47.519999999999996</v>
      </c>
      <c r="CX52" s="486">
        <f t="shared" si="243"/>
        <v>24.385999999999999</v>
      </c>
      <c r="CY52" s="486">
        <f t="shared" si="243"/>
        <v>30.956</v>
      </c>
      <c r="CZ52" s="486">
        <f t="shared" si="243"/>
        <v>31.983000000000004</v>
      </c>
      <c r="DA52" s="506">
        <f>CW52+CX52+CY52+CZ52</f>
        <v>134.845</v>
      </c>
      <c r="DC52" s="486">
        <f t="shared" si="244"/>
        <v>31.288000000000004</v>
      </c>
      <c r="DD52" s="486">
        <f t="shared" si="244"/>
        <v>29.495999999999999</v>
      </c>
      <c r="DE52" s="486">
        <f t="shared" si="244"/>
        <v>41.111000000000004</v>
      </c>
      <c r="DF52" s="486">
        <f t="shared" si="244"/>
        <v>34.631999999999998</v>
      </c>
      <c r="DG52" s="733">
        <f>DC52+DD52+DE52+DF52</f>
        <v>136.52700000000002</v>
      </c>
      <c r="DI52" s="486">
        <f t="shared" si="245"/>
        <v>45.744</v>
      </c>
      <c r="DJ52" s="486">
        <f t="shared" si="245"/>
        <v>41.405000000000001</v>
      </c>
      <c r="DK52" s="486">
        <f t="shared" si="245"/>
        <v>42.546999999999997</v>
      </c>
      <c r="DL52" s="486">
        <f t="shared" si="245"/>
        <v>47.478999999999999</v>
      </c>
      <c r="DM52" s="733">
        <f>DI52+DJ52+DK52+DL52</f>
        <v>177.17500000000001</v>
      </c>
      <c r="DO52" s="486">
        <f t="shared" si="246"/>
        <v>53.418000000000006</v>
      </c>
      <c r="DP52" s="486">
        <f t="shared" si="246"/>
        <v>56.061000000000007</v>
      </c>
      <c r="DQ52" s="486">
        <f t="shared" si="246"/>
        <v>53.082000000000001</v>
      </c>
      <c r="DR52" s="486">
        <f t="shared" si="246"/>
        <v>56.824999999999989</v>
      </c>
      <c r="DS52" s="733">
        <f>DO52+DP52+DQ52+DR52</f>
        <v>219.386</v>
      </c>
      <c r="DU52" s="486">
        <f t="shared" si="247"/>
        <v>39.658999999999999</v>
      </c>
      <c r="DV52" s="486">
        <f t="shared" si="247"/>
        <v>95.217999999999989</v>
      </c>
      <c r="DW52" s="486">
        <f t="shared" si="247"/>
        <v>118.52</v>
      </c>
      <c r="DX52" s="486">
        <f t="shared" si="247"/>
        <v>142.31799999999998</v>
      </c>
      <c r="DY52" s="733">
        <f>DU52+DV52+DW52+DX52</f>
        <v>395.71499999999997</v>
      </c>
      <c r="EA52" s="486">
        <f t="shared" si="248"/>
        <v>57.403999999999996</v>
      </c>
      <c r="EB52" s="486">
        <f t="shared" si="248"/>
        <v>55.961000000000006</v>
      </c>
      <c r="EC52" s="486">
        <f t="shared" si="248"/>
        <v>55.538000000000004</v>
      </c>
      <c r="ED52" s="486">
        <f t="shared" ref="ED52" si="264">ED65*ED$55</f>
        <v>75.84</v>
      </c>
      <c r="EE52" s="733"/>
      <c r="EF52" s="824"/>
      <c r="EG52" s="486">
        <f t="shared" ref="EG52" si="265">EG65*EG$55</f>
        <v>62.79</v>
      </c>
      <c r="EH52" s="674"/>
      <c r="EI52" s="674"/>
      <c r="EJ52" s="674"/>
      <c r="EK52" s="506"/>
      <c r="EL52" s="711"/>
      <c r="EM52" s="425"/>
      <c r="FA52" s="452">
        <f>BK52</f>
        <v>48.211999999999996</v>
      </c>
      <c r="FB52" s="452">
        <f>BQ52</f>
        <v>51.273000000000003</v>
      </c>
      <c r="FC52" s="452">
        <f>BW52</f>
        <v>84.744</v>
      </c>
      <c r="FD52" s="452">
        <f>CC52</f>
        <v>80.549000000000007</v>
      </c>
      <c r="FE52" s="486">
        <f t="shared" si="249"/>
        <v>77.578000000000003</v>
      </c>
      <c r="FF52" s="486">
        <f t="shared" si="250"/>
        <v>82.591000000000008</v>
      </c>
      <c r="FG52" s="482">
        <f t="shared" si="251"/>
        <v>138.15799999999999</v>
      </c>
      <c r="FH52" s="482">
        <f t="shared" si="252"/>
        <v>134.845</v>
      </c>
      <c r="FI52" s="482">
        <f t="shared" si="253"/>
        <v>136.52700000000002</v>
      </c>
      <c r="FJ52" s="482">
        <f t="shared" si="254"/>
        <v>177.17500000000001</v>
      </c>
      <c r="FK52" s="482">
        <f t="shared" si="255"/>
        <v>219.386</v>
      </c>
      <c r="FL52" s="482">
        <f t="shared" si="256"/>
        <v>395.71499999999997</v>
      </c>
      <c r="FM52" s="486"/>
      <c r="FN52" s="486"/>
      <c r="FO52" s="486"/>
      <c r="FP52" s="674"/>
      <c r="FQ52" s="486">
        <f t="shared" ca="1" si="257"/>
        <v>0</v>
      </c>
      <c r="FR52" s="486">
        <f t="shared" ca="1" si="257"/>
        <v>0</v>
      </c>
    </row>
    <row r="53" spans="2:174" ht="12" x14ac:dyDescent="0.25">
      <c r="B53" s="666" t="s">
        <v>682</v>
      </c>
      <c r="D53" s="445"/>
      <c r="E53" s="480"/>
      <c r="F53" s="480"/>
      <c r="H53" s="481"/>
      <c r="J53" s="445"/>
      <c r="K53" s="481"/>
      <c r="L53" s="481"/>
      <c r="M53" s="481"/>
      <c r="N53" s="481"/>
      <c r="O53" s="481"/>
      <c r="P53" s="445"/>
      <c r="Q53" s="481"/>
      <c r="R53" s="481"/>
      <c r="S53" s="481"/>
      <c r="T53" s="481"/>
      <c r="U53" s="481"/>
      <c r="V53" s="458"/>
      <c r="W53" s="452"/>
      <c r="X53" s="452"/>
      <c r="Y53" s="481"/>
      <c r="Z53" s="481"/>
      <c r="AA53" s="452"/>
      <c r="AB53" s="458"/>
      <c r="AC53" s="481"/>
      <c r="AD53" s="481"/>
      <c r="AE53" s="481"/>
      <c r="AF53" s="481"/>
      <c r="AG53" s="452"/>
      <c r="AI53" s="481"/>
      <c r="AJ53" s="481"/>
      <c r="AK53" s="481"/>
      <c r="AL53" s="481"/>
      <c r="AM53" s="452"/>
      <c r="AO53" s="481"/>
      <c r="AP53" s="481"/>
      <c r="AQ53" s="481"/>
      <c r="AR53" s="481"/>
      <c r="AS53" s="452"/>
      <c r="AU53" s="481"/>
      <c r="AV53" s="481"/>
      <c r="AW53" s="481"/>
      <c r="AX53" s="481"/>
      <c r="AY53" s="452"/>
      <c r="BA53" s="452"/>
      <c r="BB53" s="452"/>
      <c r="BC53" s="452"/>
      <c r="BD53" s="452"/>
      <c r="BE53" s="452"/>
      <c r="BF53" s="22"/>
      <c r="BG53" s="452"/>
      <c r="BH53" s="452"/>
      <c r="BI53" s="452"/>
      <c r="BJ53" s="452"/>
      <c r="BK53" s="452"/>
      <c r="BM53" s="452"/>
      <c r="BN53" s="452"/>
      <c r="BO53" s="452"/>
      <c r="BP53" s="452"/>
      <c r="BQ53" s="452"/>
      <c r="BR53" s="22"/>
      <c r="BS53" s="452"/>
      <c r="BT53" s="452"/>
      <c r="BU53" s="452"/>
      <c r="BV53" s="452"/>
      <c r="BW53" s="452"/>
      <c r="BY53" s="452"/>
      <c r="BZ53" s="452"/>
      <c r="CA53" s="452"/>
      <c r="CB53" s="452"/>
      <c r="CC53" s="452"/>
      <c r="CE53" s="452"/>
      <c r="CF53" s="452"/>
      <c r="CG53" s="452"/>
      <c r="CH53" s="452"/>
      <c r="CI53" s="452"/>
      <c r="CK53" s="452"/>
      <c r="CL53" s="452"/>
      <c r="CM53" s="452"/>
      <c r="CN53" s="452"/>
      <c r="CO53" s="452"/>
      <c r="CQ53" s="457">
        <f t="shared" ref="CQ53" si="266">SUM(CQ49:CQ52)</f>
        <v>1266.75</v>
      </c>
      <c r="CR53" s="457">
        <f t="shared" ref="CR53" si="267">SUM(CR49:CR52)</f>
        <v>1017.9399999999999</v>
      </c>
      <c r="CS53" s="457">
        <f t="shared" ref="CS53" si="268">SUM(CS49:CS52)</f>
        <v>1511.64</v>
      </c>
      <c r="CT53" s="457">
        <f t="shared" ref="CT53" si="269">SUM(CT49:CT52)</f>
        <v>2128.8760000000002</v>
      </c>
      <c r="CU53" s="457">
        <f t="shared" ref="CU53" si="270">SUM(CU49:CU52)</f>
        <v>5925.2060000000001</v>
      </c>
      <c r="CW53" s="457">
        <f t="shared" ref="CW53" si="271">SUM(CW49:CW52)</f>
        <v>1188</v>
      </c>
      <c r="CX53" s="457">
        <f t="shared" ref="CX53" si="272">SUM(CX49:CX52)</f>
        <v>1390.002</v>
      </c>
      <c r="CY53" s="457">
        <f t="shared" ref="CY53" si="273">SUM(CY49:CY52)</f>
        <v>959.63599999999997</v>
      </c>
      <c r="CZ53" s="457">
        <f t="shared" ref="CZ53" si="274">SUM(CZ49:CZ52)</f>
        <v>1950.9630000000002</v>
      </c>
      <c r="DA53" s="459">
        <f t="shared" ref="DA53" si="275">SUM(DA49:DA52)</f>
        <v>5488.6010000000006</v>
      </c>
      <c r="DC53" s="457">
        <f t="shared" ref="DC53" si="276">SUM(DC49:DC52)</f>
        <v>1908.5680000000002</v>
      </c>
      <c r="DD53" s="457">
        <f t="shared" ref="DD53" si="277">SUM(DD49:DD52)</f>
        <v>1504.2960000000003</v>
      </c>
      <c r="DE53" s="457">
        <f t="shared" ref="DE53" si="278">SUM(DE49:DE52)</f>
        <v>1767.7730000000004</v>
      </c>
      <c r="DF53" s="457">
        <f t="shared" ref="DF53" si="279">SUM(DF49:DF52)</f>
        <v>1696.9679999999998</v>
      </c>
      <c r="DG53" s="457">
        <f t="shared" ref="DG53" si="280">SUM(DG49:DG52)</f>
        <v>6877.6049999999996</v>
      </c>
      <c r="DI53" s="457">
        <f t="shared" ref="DI53" si="281">SUM(DI49:DI52)</f>
        <v>1532.4239999999998</v>
      </c>
      <c r="DJ53" s="457">
        <f t="shared" ref="DJ53" si="282">SUM(DJ49:DJ52)</f>
        <v>1987.44</v>
      </c>
      <c r="DK53" s="457">
        <f t="shared" ref="DK53" si="283">SUM(DK49:DK52)</f>
        <v>1914.615</v>
      </c>
      <c r="DL53" s="457">
        <f t="shared" ref="DL53" si="284">SUM(DL49:DL52)</f>
        <v>2278.9919999999997</v>
      </c>
      <c r="DM53" s="734">
        <f t="shared" ref="DM53" si="285">SUM(DM49:DM52)</f>
        <v>7713.4709999999995</v>
      </c>
      <c r="DO53" s="457">
        <f t="shared" ref="DO53" si="286">SUM(DO49:DO52)</f>
        <v>2296.9740000000002</v>
      </c>
      <c r="DP53" s="457">
        <f t="shared" ref="DP53" si="287">SUM(DP49:DP52)</f>
        <v>3419.721</v>
      </c>
      <c r="DQ53" s="457">
        <f t="shared" ref="DQ53" si="288">SUM(DQ49:DQ52)</f>
        <v>3238.002</v>
      </c>
      <c r="DR53" s="457">
        <f t="shared" ref="DR53" si="289">SUM(DR49:DR52)</f>
        <v>3265.1339000000007</v>
      </c>
      <c r="DS53" s="734">
        <f t="shared" ref="DS53" si="290">SUM(DS49:DS52)</f>
        <v>12219.830900000001</v>
      </c>
      <c r="DU53" s="457">
        <f t="shared" ref="DU53" si="291">SUM(DU49:DU52)</f>
        <v>2022.6090000000002</v>
      </c>
      <c r="DV53" s="457">
        <f t="shared" ref="DV53" si="292">SUM(DV49:DV52)</f>
        <v>3237.4119999999994</v>
      </c>
      <c r="DW53" s="457">
        <f t="shared" ref="DW53" si="293">SUM(DW49:DW52)</f>
        <v>3733.38</v>
      </c>
      <c r="DX53" s="457">
        <f t="shared" ref="DX53" si="294">SUM(DX49:DX52)</f>
        <v>3842.5859999999993</v>
      </c>
      <c r="DY53" s="734">
        <f t="shared" ref="DY53" si="295">SUM(DY49:DY52)</f>
        <v>12835.986999999999</v>
      </c>
      <c r="DZ53" s="734"/>
      <c r="EA53" s="457">
        <f>SUM(EA49:EA52)</f>
        <v>2353.5639999999999</v>
      </c>
      <c r="EB53" s="457">
        <f>SUM(EB49:EB52)</f>
        <v>2798.05</v>
      </c>
      <c r="EC53" s="457">
        <f>SUM(EC49:EC52)</f>
        <v>3221.2040000000002</v>
      </c>
      <c r="ED53" s="457">
        <f>SUM(ED49:ED52)</f>
        <v>3640.3200000000006</v>
      </c>
      <c r="EE53" s="752">
        <f>SUM(EA53:ED53)</f>
        <v>12013.137999999999</v>
      </c>
      <c r="EF53" s="824"/>
      <c r="EG53" s="457">
        <f>SUM(EG49:EG52)</f>
        <v>2009.28</v>
      </c>
      <c r="EH53" s="498">
        <f>EH338</f>
        <v>2500</v>
      </c>
      <c r="EI53" s="498">
        <f>EI338</f>
        <v>3125</v>
      </c>
      <c r="EJ53" s="498">
        <f>EJ338</f>
        <v>3237.9949999999972</v>
      </c>
      <c r="EK53" s="673">
        <f>SUM(EG53:EJ53)</f>
        <v>10872.274999999998</v>
      </c>
      <c r="EL53" s="715">
        <f>EL338</f>
        <v>14678.14755</v>
      </c>
      <c r="EM53" s="425"/>
      <c r="FA53" s="452"/>
      <c r="FB53" s="452"/>
      <c r="FC53" s="452"/>
      <c r="FD53" s="452"/>
      <c r="FE53" s="457">
        <f t="shared" si="249"/>
        <v>0</v>
      </c>
      <c r="FF53" s="457">
        <f t="shared" si="250"/>
        <v>0</v>
      </c>
      <c r="FG53" s="571">
        <f t="shared" si="251"/>
        <v>5925.2060000000001</v>
      </c>
      <c r="FH53" s="571">
        <f t="shared" si="252"/>
        <v>5488.6010000000006</v>
      </c>
      <c r="FI53" s="571">
        <f t="shared" si="253"/>
        <v>6877.6049999999996</v>
      </c>
      <c r="FJ53" s="571">
        <f t="shared" si="254"/>
        <v>7713.4709999999995</v>
      </c>
      <c r="FK53" s="571">
        <f t="shared" si="255"/>
        <v>12219.830900000001</v>
      </c>
      <c r="FL53" s="571">
        <f t="shared" si="256"/>
        <v>12835.986999999999</v>
      </c>
      <c r="FM53" s="457">
        <f t="shared" ref="FM53:FM54" si="296">EE53</f>
        <v>12013.137999999999</v>
      </c>
      <c r="FN53" s="457">
        <f>EK53</f>
        <v>10872.274999999998</v>
      </c>
      <c r="FO53" s="457">
        <f>EL53</f>
        <v>14678.14755</v>
      </c>
      <c r="FP53" s="498">
        <f>FP338</f>
        <v>12243.833022499999</v>
      </c>
      <c r="FQ53" s="457">
        <f t="shared" si="257"/>
        <v>0</v>
      </c>
      <c r="FR53" s="457">
        <f t="shared" si="257"/>
        <v>0</v>
      </c>
    </row>
    <row r="54" spans="2:174" ht="12" x14ac:dyDescent="0.25">
      <c r="B54" s="315" t="s">
        <v>56</v>
      </c>
      <c r="C54" s="382"/>
      <c r="D54" s="664"/>
      <c r="E54" s="665"/>
      <c r="F54" s="665"/>
      <c r="G54" s="382"/>
      <c r="H54" s="504"/>
      <c r="I54" s="382"/>
      <c r="J54" s="664"/>
      <c r="K54" s="508"/>
      <c r="L54" s="508"/>
      <c r="M54" s="508"/>
      <c r="N54" s="508"/>
      <c r="O54" s="382"/>
      <c r="P54" s="664"/>
      <c r="Q54" s="508"/>
      <c r="R54" s="508"/>
      <c r="S54" s="508"/>
      <c r="T54" s="508"/>
      <c r="U54" s="509"/>
      <c r="V54" s="509"/>
      <c r="W54" s="508"/>
      <c r="X54" s="508"/>
      <c r="Y54" s="508"/>
      <c r="Z54" s="508"/>
      <c r="AA54" s="508"/>
      <c r="AB54" s="509"/>
      <c r="AC54" s="508"/>
      <c r="AD54" s="508"/>
      <c r="AE54" s="508"/>
      <c r="AF54" s="508"/>
      <c r="AG54" s="508"/>
      <c r="AH54" s="382"/>
      <c r="AI54" s="508"/>
      <c r="AJ54" s="508"/>
      <c r="AK54" s="508"/>
      <c r="AL54" s="508"/>
      <c r="AM54" s="508"/>
      <c r="AN54" s="382"/>
      <c r="AO54" s="508"/>
      <c r="AP54" s="508"/>
      <c r="AQ54" s="508"/>
      <c r="AR54" s="508"/>
      <c r="AS54" s="508"/>
      <c r="AT54" s="382"/>
      <c r="AU54" s="508"/>
      <c r="AV54" s="508"/>
      <c r="AW54" s="508"/>
      <c r="AX54" s="508"/>
      <c r="AY54" s="508"/>
      <c r="AZ54" s="382"/>
      <c r="BA54" s="508"/>
      <c r="BB54" s="508"/>
      <c r="BC54" s="508"/>
      <c r="BD54" s="508"/>
      <c r="BE54" s="508"/>
      <c r="BF54" s="382"/>
      <c r="BG54" s="508"/>
      <c r="BH54" s="508"/>
      <c r="BI54" s="508"/>
      <c r="BJ54" s="508"/>
      <c r="BK54" s="508"/>
      <c r="BL54" s="382"/>
      <c r="BM54" s="508"/>
      <c r="BN54" s="508"/>
      <c r="BO54" s="508"/>
      <c r="BP54" s="508"/>
      <c r="BQ54" s="508"/>
      <c r="BR54" s="382"/>
      <c r="BS54" s="508"/>
      <c r="BT54" s="508"/>
      <c r="BU54" s="508"/>
      <c r="BV54" s="508"/>
      <c r="BW54" s="508"/>
      <c r="BX54" s="382"/>
      <c r="BY54" s="486">
        <f>BY67*BY$55</f>
        <v>0</v>
      </c>
      <c r="BZ54" s="486">
        <f>BZ67*BZ$55</f>
        <v>0</v>
      </c>
      <c r="CA54" s="486">
        <f>CA67*CA$55</f>
        <v>0</v>
      </c>
      <c r="CB54" s="486">
        <f>CB67*CB$55</f>
        <v>64.454999999999998</v>
      </c>
      <c r="CC54" s="486">
        <f>BY54+BZ54+CA54+CB54</f>
        <v>64.454999999999998</v>
      </c>
      <c r="CD54" s="382"/>
      <c r="CE54" s="486">
        <f>CE67*CE$55</f>
        <v>60.79</v>
      </c>
      <c r="CF54" s="486">
        <f>CF67*CF$55</f>
        <v>83.045999999999992</v>
      </c>
      <c r="CG54" s="486">
        <f>CG67*CG$55</f>
        <v>54.567</v>
      </c>
      <c r="CH54" s="486">
        <f>CH67*CH$55</f>
        <v>78.196000000000012</v>
      </c>
      <c r="CI54" s="486">
        <f>CE54+CF54+CG54+CH54</f>
        <v>276.59899999999999</v>
      </c>
      <c r="CJ54" s="382"/>
      <c r="CK54" s="486">
        <f>CK67*CK$55</f>
        <v>33.353999999999999</v>
      </c>
      <c r="CL54" s="486">
        <f>CL67*CL$55</f>
        <v>83.460000000000008</v>
      </c>
      <c r="CM54" s="486">
        <f>CM67*CM$55</f>
        <v>83.224000000000004</v>
      </c>
      <c r="CN54" s="486">
        <f>CN67*CN$55</f>
        <v>121.21500000000002</v>
      </c>
      <c r="CO54" s="486">
        <f>CK54+CL54+CM54+CN54</f>
        <v>321.25300000000004</v>
      </c>
      <c r="CP54" s="382"/>
      <c r="CQ54" s="486">
        <f>CQ67*CQ$55</f>
        <v>50.669999999999995</v>
      </c>
      <c r="CR54" s="486">
        <f>CR67*CR$55</f>
        <v>74.031999999999996</v>
      </c>
      <c r="CS54" s="486">
        <f>CS67*CS$55</f>
        <v>69.768000000000001</v>
      </c>
      <c r="CT54" s="486">
        <f>CT67*CT$55</f>
        <v>93.920999999999992</v>
      </c>
      <c r="CU54" s="486">
        <f>CQ54+CR54+CS54+CT54</f>
        <v>288.39099999999996</v>
      </c>
      <c r="CV54" s="382"/>
      <c r="CW54" s="486">
        <f>CW67*CW$55</f>
        <v>47.519999999999996</v>
      </c>
      <c r="CX54" s="486">
        <f>CX67*CX$55</f>
        <v>97.543999999999997</v>
      </c>
      <c r="CY54" s="486">
        <f>CY67*CY$55</f>
        <v>92.867999999999995</v>
      </c>
      <c r="CZ54" s="486">
        <f>CZ67*CZ$55</f>
        <v>95.948999999999998</v>
      </c>
      <c r="DA54" s="506">
        <f>CW54+CX54+CY54+CZ54</f>
        <v>333.88099999999997</v>
      </c>
      <c r="DC54" s="486">
        <f>DC67*DC$55</f>
        <v>93.864000000000004</v>
      </c>
      <c r="DD54" s="486">
        <f>DD67*DD$55</f>
        <v>117.98399999999999</v>
      </c>
      <c r="DE54" s="486">
        <f>DE67*DE$55</f>
        <v>123.33300000000001</v>
      </c>
      <c r="DF54" s="486">
        <f>DF67*DF$55</f>
        <v>173.16</v>
      </c>
      <c r="DG54" s="733">
        <f>DC54+DD54+DE54+DF54</f>
        <v>508.34100000000001</v>
      </c>
      <c r="DI54" s="486">
        <f>DI67*DI$55</f>
        <v>160.10400000000001</v>
      </c>
      <c r="DJ54" s="486">
        <f>DJ67*DJ$55</f>
        <v>165.62</v>
      </c>
      <c r="DK54" s="486">
        <f>DK67*DK$55</f>
        <v>170.18799999999999</v>
      </c>
      <c r="DL54" s="486">
        <f>DL67*DL$55</f>
        <v>142.43699999999998</v>
      </c>
      <c r="DM54" s="733">
        <f>DI54+DJ54+DK54+DL54</f>
        <v>638.34900000000005</v>
      </c>
      <c r="DO54" s="486">
        <f>DO67*DO$55</f>
        <v>160.25399999999999</v>
      </c>
      <c r="DP54" s="486">
        <f>DP67*DP$55</f>
        <v>112.12200000000001</v>
      </c>
      <c r="DQ54" s="486">
        <f>DQ67*DQ$55</f>
        <v>212.328</v>
      </c>
      <c r="DR54" s="486">
        <f>DR67*DR$55</f>
        <v>19.882100000000037</v>
      </c>
      <c r="DS54" s="733">
        <f>DO54+DP54+DQ54+DR54</f>
        <v>504.58609999999999</v>
      </c>
      <c r="DT54" s="830">
        <f>SUM(DS49:DS54)/SUM(DM49:DM54)-1</f>
        <v>0.55267949394754212</v>
      </c>
      <c r="DU54" s="486">
        <f>DU67*DU$55</f>
        <v>118.977</v>
      </c>
      <c r="DV54" s="486">
        <f>DV67*DV$55</f>
        <v>47.608999999999995</v>
      </c>
      <c r="DW54" s="486">
        <f>DW67*DW$55</f>
        <v>118.52</v>
      </c>
      <c r="DX54" s="486">
        <f>DX67*DX$55</f>
        <v>284.63599999999997</v>
      </c>
      <c r="DY54" s="733">
        <f>DU54+DV54+DW54+DX54</f>
        <v>569.74199999999996</v>
      </c>
      <c r="EA54" s="486">
        <f>EA67*EA$55</f>
        <v>172.21199999999999</v>
      </c>
      <c r="EB54" s="486">
        <f>EB67*EB$55</f>
        <v>111.92200000000001</v>
      </c>
      <c r="EC54" s="486">
        <f>EC67*EC$55</f>
        <v>222.15200000000002</v>
      </c>
      <c r="ED54" s="486">
        <f>ED67*ED$55</f>
        <v>303.36</v>
      </c>
      <c r="EE54" s="733">
        <f>SUM(EA54:ED54)</f>
        <v>809.64600000000007</v>
      </c>
      <c r="EF54" s="824"/>
      <c r="EG54" s="486">
        <f>EG67*EG$55</f>
        <v>125.58</v>
      </c>
      <c r="EH54" s="675">
        <v>150</v>
      </c>
      <c r="EI54" s="675">
        <v>175</v>
      </c>
      <c r="EJ54" s="675">
        <v>200</v>
      </c>
      <c r="EK54" s="506">
        <f>SUM(EG54:EJ54)</f>
        <v>650.57999999999993</v>
      </c>
      <c r="EL54" s="771">
        <v>850</v>
      </c>
      <c r="EM54" s="425"/>
      <c r="EN54" s="457"/>
      <c r="EO54" s="457"/>
      <c r="FA54" s="486">
        <f>BK54</f>
        <v>0</v>
      </c>
      <c r="FB54" s="486">
        <f>BQ54</f>
        <v>0</v>
      </c>
      <c r="FC54" s="486">
        <f>BW54</f>
        <v>0</v>
      </c>
      <c r="FD54" s="486">
        <f>CC54</f>
        <v>64.454999999999998</v>
      </c>
      <c r="FE54" s="486">
        <f t="shared" si="249"/>
        <v>276.59899999999999</v>
      </c>
      <c r="FF54" s="486">
        <f t="shared" si="250"/>
        <v>321.25300000000004</v>
      </c>
      <c r="FG54" s="370">
        <f t="shared" si="251"/>
        <v>288.39099999999996</v>
      </c>
      <c r="FH54" s="370">
        <f t="shared" si="252"/>
        <v>333.88099999999997</v>
      </c>
      <c r="FI54" s="370">
        <f t="shared" si="253"/>
        <v>508.34100000000001</v>
      </c>
      <c r="FJ54" s="370">
        <f t="shared" si="254"/>
        <v>638.34900000000005</v>
      </c>
      <c r="FK54" s="370">
        <f t="shared" si="255"/>
        <v>504.58609999999999</v>
      </c>
      <c r="FL54" s="482">
        <f t="shared" si="256"/>
        <v>569.74199999999996</v>
      </c>
      <c r="FM54" s="486">
        <f t="shared" si="296"/>
        <v>809.64600000000007</v>
      </c>
      <c r="FN54" s="486">
        <f>EK54</f>
        <v>650.57999999999993</v>
      </c>
      <c r="FO54" s="486">
        <f>EL54</f>
        <v>850</v>
      </c>
      <c r="FP54" s="675">
        <v>880</v>
      </c>
      <c r="FQ54" s="695">
        <v>100</v>
      </c>
      <c r="FR54" s="695">
        <v>1100</v>
      </c>
    </row>
    <row r="55" spans="2:174" ht="12" x14ac:dyDescent="0.25">
      <c r="B55" s="445" t="s">
        <v>249</v>
      </c>
      <c r="D55" s="445"/>
      <c r="E55" s="480"/>
      <c r="F55" s="480"/>
      <c r="H55" s="481"/>
      <c r="J55" s="445"/>
      <c r="K55" s="457">
        <f>K$8</f>
        <v>632.13499999999999</v>
      </c>
      <c r="L55" s="457">
        <f>L$8</f>
        <v>680.53399999999999</v>
      </c>
      <c r="M55" s="457">
        <f>M$8</f>
        <v>458.99200000000002</v>
      </c>
      <c r="N55" s="457">
        <f>N$8</f>
        <v>456.01700000000005</v>
      </c>
      <c r="O55" s="457">
        <f>SUM(O46:O54)</f>
        <v>2227.6779999999999</v>
      </c>
      <c r="P55" s="445"/>
      <c r="Q55" s="457">
        <f>Q$8</f>
        <v>553.101</v>
      </c>
      <c r="R55" s="457">
        <f>R$8</f>
        <v>840.81700000000001</v>
      </c>
      <c r="S55" s="457">
        <f>S$8</f>
        <v>856.55600000000004</v>
      </c>
      <c r="T55" s="457">
        <f>T$8</f>
        <v>978.59100000000001</v>
      </c>
      <c r="U55" s="457">
        <f>SUM(U46:U54)</f>
        <v>3229.0650000000005</v>
      </c>
      <c r="V55" s="458"/>
      <c r="W55" s="457">
        <f>W$8</f>
        <v>858.94799999999998</v>
      </c>
      <c r="X55" s="457">
        <f>X$8</f>
        <v>825.81700000000001</v>
      </c>
      <c r="Y55" s="457">
        <f>Y$8</f>
        <v>843.23199999999997</v>
      </c>
      <c r="Z55" s="457">
        <f>Z$8</f>
        <v>852.82399999999996</v>
      </c>
      <c r="AA55" s="457">
        <f>SUM(AA46:AA54)</f>
        <v>3380.8209999999999</v>
      </c>
      <c r="AB55" s="458"/>
      <c r="AC55" s="457">
        <f>AC$8</f>
        <v>819.98599999999999</v>
      </c>
      <c r="AD55" s="457">
        <f>AD$8</f>
        <v>725.58600000000001</v>
      </c>
      <c r="AE55" s="457">
        <f>AE$8</f>
        <v>590.72299999999996</v>
      </c>
      <c r="AF55" s="457">
        <f>AF$8</f>
        <v>380.46600000000001</v>
      </c>
      <c r="AG55" s="457">
        <f>SUM(AG46:AG54)</f>
        <v>2516.761</v>
      </c>
      <c r="AI55" s="457">
        <f>AI$8</f>
        <v>101.1</v>
      </c>
      <c r="AJ55" s="457">
        <f>AJ$8</f>
        <v>183.25899999999999</v>
      </c>
      <c r="AK55" s="457">
        <f>AK$8</f>
        <v>458.69099999999997</v>
      </c>
      <c r="AL55" s="457">
        <f>AL$8</f>
        <v>431.80799999999999</v>
      </c>
      <c r="AM55" s="457">
        <f>SUM(AM46:AM54)</f>
        <v>1174.8579999999997</v>
      </c>
      <c r="AO55" s="457">
        <f>AO$8</f>
        <v>631.6</v>
      </c>
      <c r="AP55" s="457">
        <f>AP$8</f>
        <v>923</v>
      </c>
      <c r="AQ55" s="457">
        <f>AQ$8</f>
        <v>1027</v>
      </c>
      <c r="AR55" s="457">
        <f>AR$8</f>
        <v>1313.1</v>
      </c>
      <c r="AS55" s="457">
        <f>SUM(AS46:AS54)</f>
        <v>3894.6999999999994</v>
      </c>
      <c r="AU55" s="457">
        <f>AU$8</f>
        <v>1284.4000000000001</v>
      </c>
      <c r="AV55" s="457">
        <f>AV$8</f>
        <v>1333.6</v>
      </c>
      <c r="AW55" s="457">
        <f>AW$8</f>
        <v>1273.2</v>
      </c>
      <c r="AX55" s="457">
        <f>AX$8</f>
        <v>992.7</v>
      </c>
      <c r="AY55" s="457">
        <f>SUM(AY46:AY54)</f>
        <v>4883.8999999999996</v>
      </c>
      <c r="BA55" s="457">
        <f>BA$8</f>
        <v>1050</v>
      </c>
      <c r="BB55" s="457">
        <f>BB$8</f>
        <v>984.8</v>
      </c>
      <c r="BC55" s="457">
        <f>BC$8</f>
        <v>1000.3</v>
      </c>
      <c r="BD55" s="457">
        <f>BD$8</f>
        <v>766.5</v>
      </c>
      <c r="BE55" s="457">
        <f>SUM(BE46:BE54)</f>
        <v>3801.6</v>
      </c>
      <c r="BG55" s="457">
        <f>BG$8</f>
        <v>676.9</v>
      </c>
      <c r="BH55" s="457">
        <f>BH$8</f>
        <v>915.5</v>
      </c>
      <c r="BI55" s="457">
        <f>BI$8</f>
        <v>959.5</v>
      </c>
      <c r="BJ55" s="457">
        <f>BJ$8</f>
        <v>1441.2</v>
      </c>
      <c r="BK55" s="457">
        <f ca="1">SUM(BK46:BK54)</f>
        <v>3993.1</v>
      </c>
      <c r="BM55" s="457">
        <f>BM$8</f>
        <v>1030</v>
      </c>
      <c r="BN55" s="457">
        <f>BN$8</f>
        <v>1243</v>
      </c>
      <c r="BO55" s="457">
        <f>BO$8</f>
        <v>884.5</v>
      </c>
      <c r="BP55" s="457">
        <f>BP$8</f>
        <v>1085.3</v>
      </c>
      <c r="BQ55" s="457">
        <f>SUM(BQ46:BQ54)</f>
        <v>4242.8</v>
      </c>
      <c r="BS55" s="457">
        <f>BS$8</f>
        <v>1246.5</v>
      </c>
      <c r="BT55" s="457">
        <f>BT$8</f>
        <v>1134.5</v>
      </c>
      <c r="BU55" s="457">
        <f>BU$8</f>
        <v>975.3</v>
      </c>
      <c r="BV55" s="457">
        <f>BV$8</f>
        <v>880.9</v>
      </c>
      <c r="BW55" s="457">
        <f>SUM(BW46:BW54)</f>
        <v>4237.2</v>
      </c>
      <c r="BY55" s="457">
        <f>BY$8</f>
        <v>859.8</v>
      </c>
      <c r="BZ55" s="457">
        <f>BZ$8</f>
        <v>1265.4000000000001</v>
      </c>
      <c r="CA55" s="457">
        <f>CA$8</f>
        <v>1257.7</v>
      </c>
      <c r="CB55" s="457">
        <f>CB$8</f>
        <v>1289.0999999999999</v>
      </c>
      <c r="CC55" s="457">
        <f>SUM(CC46:CC54)</f>
        <v>4672</v>
      </c>
      <c r="CE55" s="457">
        <f>CE8</f>
        <v>1215.8</v>
      </c>
      <c r="CF55" s="457">
        <f>CF8</f>
        <v>1384.1</v>
      </c>
      <c r="CG55" s="457">
        <f>CG8</f>
        <v>1818.9</v>
      </c>
      <c r="CH55" s="457">
        <f>CH8</f>
        <v>1954.9</v>
      </c>
      <c r="CI55" s="457">
        <f>SUM(CI46:CI54)</f>
        <v>6373.7000000000016</v>
      </c>
      <c r="CK55" s="457">
        <f>CK8</f>
        <v>1667.7</v>
      </c>
      <c r="CL55" s="457">
        <f>CL8</f>
        <v>2086.5</v>
      </c>
      <c r="CM55" s="457">
        <f>CM8</f>
        <v>2080.6</v>
      </c>
      <c r="CN55" s="457">
        <f>CN8</f>
        <v>2424.3000000000002</v>
      </c>
      <c r="CO55" s="457">
        <f>SUM(CO46:CO54)</f>
        <v>8259.0999999999985</v>
      </c>
      <c r="CQ55" s="457">
        <f t="shared" ref="CQ55:CU55" si="297">CQ8</f>
        <v>1689</v>
      </c>
      <c r="CR55" s="457">
        <f t="shared" si="297"/>
        <v>1850.8</v>
      </c>
      <c r="CS55" s="457">
        <f t="shared" si="297"/>
        <v>2325.6</v>
      </c>
      <c r="CT55" s="457">
        <f t="shared" si="297"/>
        <v>3130.7</v>
      </c>
      <c r="CU55" s="457">
        <f t="shared" si="297"/>
        <v>8996.0999999999985</v>
      </c>
      <c r="CW55" s="457">
        <f t="shared" ref="CW55:DA55" si="298">CW8</f>
        <v>1584</v>
      </c>
      <c r="CX55" s="457">
        <f t="shared" si="298"/>
        <v>2438.6</v>
      </c>
      <c r="CY55" s="457">
        <f t="shared" si="298"/>
        <v>3095.6</v>
      </c>
      <c r="CZ55" s="457">
        <f t="shared" si="298"/>
        <v>3198.3</v>
      </c>
      <c r="DA55" s="459">
        <f t="shared" si="298"/>
        <v>10316.5</v>
      </c>
      <c r="DC55" s="457">
        <f t="shared" ref="DC55:DG55" si="299">DC8</f>
        <v>3128.8</v>
      </c>
      <c r="DD55" s="457">
        <f t="shared" si="299"/>
        <v>2949.6</v>
      </c>
      <c r="DE55" s="457">
        <f t="shared" si="299"/>
        <v>4111.1000000000004</v>
      </c>
      <c r="DF55" s="457">
        <f t="shared" si="299"/>
        <v>3463.2</v>
      </c>
      <c r="DG55" s="457">
        <f t="shared" si="299"/>
        <v>13652.7</v>
      </c>
      <c r="DI55" s="457">
        <f t="shared" ref="DI55:DS55" si="300">DI8</f>
        <v>2287.1999999999998</v>
      </c>
      <c r="DJ55" s="457">
        <f t="shared" si="300"/>
        <v>4140.5</v>
      </c>
      <c r="DK55" s="457">
        <f t="shared" si="300"/>
        <v>4254.7</v>
      </c>
      <c r="DL55" s="457">
        <f t="shared" si="300"/>
        <v>4747.8999999999996</v>
      </c>
      <c r="DM55" s="734">
        <f t="shared" si="300"/>
        <v>15430.3</v>
      </c>
      <c r="DO55" s="457">
        <f t="shared" si="300"/>
        <v>5341.8</v>
      </c>
      <c r="DP55" s="457">
        <f t="shared" si="300"/>
        <v>5606.1</v>
      </c>
      <c r="DQ55" s="457">
        <f t="shared" si="300"/>
        <v>5308.2</v>
      </c>
      <c r="DR55" s="457">
        <f t="shared" si="300"/>
        <v>5682.5</v>
      </c>
      <c r="DS55" s="734">
        <f t="shared" si="300"/>
        <v>21938.600000000002</v>
      </c>
      <c r="DT55" s="830">
        <f>DS55/DM55-1</f>
        <v>0.42178700349312748</v>
      </c>
      <c r="DU55" s="457">
        <f>DU8</f>
        <v>3965.9</v>
      </c>
      <c r="DV55" s="457">
        <f t="shared" ref="DV55:DX55" si="301">DV8</f>
        <v>4760.8999999999996</v>
      </c>
      <c r="DW55" s="457">
        <f t="shared" si="301"/>
        <v>5926</v>
      </c>
      <c r="DX55" s="457">
        <f t="shared" si="301"/>
        <v>7115.9</v>
      </c>
      <c r="DY55" s="734">
        <f t="shared" ref="DY55" si="302">DY8</f>
        <v>21768.699999999997</v>
      </c>
      <c r="DZ55" s="734"/>
      <c r="EA55" s="457">
        <f t="shared" ref="EA55:EB55" si="303">EA8</f>
        <v>5740.4</v>
      </c>
      <c r="EB55" s="457">
        <f t="shared" si="303"/>
        <v>5596.1</v>
      </c>
      <c r="EC55" s="457">
        <f t="shared" ref="EC55:ED55" si="304">EC8</f>
        <v>5553.8</v>
      </c>
      <c r="ED55" s="457">
        <f t="shared" si="304"/>
        <v>7584</v>
      </c>
      <c r="EE55" s="734">
        <f t="shared" ref="EE55:EL55" si="305">SUM(EE48,EE53:EE54)</f>
        <v>24474.376</v>
      </c>
      <c r="EF55" s="824"/>
      <c r="EG55" s="457">
        <f t="shared" ref="EG55" si="306">EG8</f>
        <v>6279</v>
      </c>
      <c r="EH55" s="457">
        <f t="shared" si="305"/>
        <v>5870</v>
      </c>
      <c r="EI55" s="457">
        <f t="shared" si="305"/>
        <v>7930</v>
      </c>
      <c r="EJ55" s="457">
        <f t="shared" si="305"/>
        <v>8297.9949999999972</v>
      </c>
      <c r="EK55" s="459">
        <f t="shared" si="305"/>
        <v>28376.994999999995</v>
      </c>
      <c r="EL55" s="459">
        <f t="shared" si="305"/>
        <v>37458.147550000002</v>
      </c>
      <c r="EM55" s="498"/>
      <c r="EN55" s="457"/>
      <c r="EO55" s="457"/>
      <c r="FA55" s="457">
        <f t="shared" ref="FA55:FF55" ca="1" si="307">SUM(FA45:FA54)</f>
        <v>3993.1</v>
      </c>
      <c r="FB55" s="457">
        <f t="shared" si="307"/>
        <v>4242.8</v>
      </c>
      <c r="FC55" s="457">
        <f t="shared" si="307"/>
        <v>4237.2</v>
      </c>
      <c r="FD55" s="457">
        <f t="shared" si="307"/>
        <v>4672</v>
      </c>
      <c r="FE55" s="457">
        <f t="shared" si="307"/>
        <v>6373.7000000000016</v>
      </c>
      <c r="FF55" s="457">
        <f t="shared" si="307"/>
        <v>8259.0999999999985</v>
      </c>
      <c r="FG55" s="457">
        <f t="shared" ref="FG55" si="308">SUM(FG48,FG53:FG54)</f>
        <v>8996.0999999999985</v>
      </c>
      <c r="FH55" s="457">
        <f t="shared" ref="FH55" si="309">SUM(FH48,FH53:FH54)</f>
        <v>10316.5</v>
      </c>
      <c r="FI55" s="457">
        <f t="shared" ref="FI55" si="310">SUM(FI48,FI53:FI54)</f>
        <v>13652.7</v>
      </c>
      <c r="FJ55" s="457">
        <f t="shared" ref="FJ55" si="311">SUM(FJ48,FJ53:FJ54)</f>
        <v>15430.3</v>
      </c>
      <c r="FK55" s="457">
        <f t="shared" ref="FK55" si="312">SUM(FK48,FK53:FK54)</f>
        <v>21938.671000000002</v>
      </c>
      <c r="FL55" s="457">
        <f t="shared" ref="FL55" si="313">SUM(FL48,FL53:FL54)</f>
        <v>21768.699999999997</v>
      </c>
      <c r="FM55" s="457">
        <f t="shared" ref="FM55" si="314">SUM(FM48,FM53:FM54)</f>
        <v>24474.376</v>
      </c>
      <c r="FN55" s="457">
        <f t="shared" ref="FN55" si="315">SUM(FN48,FN53:FN54)</f>
        <v>28376.994999999995</v>
      </c>
      <c r="FO55" s="457">
        <f t="shared" ref="FO55" si="316">SUM(FO48,FO53:FO54)</f>
        <v>37458.147550000002</v>
      </c>
      <c r="FP55" s="457">
        <f>SUM(FP48,FP53:FP54)</f>
        <v>30338.833022499999</v>
      </c>
      <c r="FQ55" s="457">
        <f>SUM(FQ48,FQ53:FQ54)</f>
        <v>21030</v>
      </c>
      <c r="FR55" s="457">
        <f>SUM(FR48,FR53:FR54)</f>
        <v>25940</v>
      </c>
    </row>
    <row r="56" spans="2:174" ht="12" x14ac:dyDescent="0.25">
      <c r="B56" s="510" t="s">
        <v>253</v>
      </c>
      <c r="D56" s="445"/>
      <c r="E56" s="480"/>
      <c r="F56" s="480"/>
      <c r="H56" s="481"/>
      <c r="J56" s="445"/>
      <c r="K56" s="481"/>
      <c r="L56" s="481"/>
      <c r="M56" s="481"/>
      <c r="N56" s="481"/>
      <c r="P56" s="445"/>
      <c r="Q56" s="481"/>
      <c r="R56" s="481"/>
      <c r="S56" s="481"/>
      <c r="T56" s="481"/>
      <c r="U56" s="458"/>
      <c r="V56" s="458"/>
      <c r="W56" s="481"/>
      <c r="X56" s="481"/>
      <c r="Y56" s="481"/>
      <c r="Z56" s="458"/>
      <c r="AA56" s="458"/>
      <c r="AB56" s="458"/>
      <c r="AC56" s="481"/>
      <c r="AD56" s="481"/>
      <c r="AE56" s="481"/>
      <c r="AF56" s="481"/>
      <c r="AG56" s="458"/>
      <c r="AI56" s="481"/>
      <c r="AJ56" s="481"/>
      <c r="AK56" s="481"/>
      <c r="AL56" s="481"/>
      <c r="AO56" s="481"/>
      <c r="AP56" s="481"/>
      <c r="AS56" s="481"/>
      <c r="BM56" s="445"/>
      <c r="BN56" s="445"/>
      <c r="BO56" s="445"/>
      <c r="BP56" s="445"/>
      <c r="BQ56" s="445"/>
      <c r="CE56" s="307">
        <f>CE55-CE8</f>
        <v>0</v>
      </c>
      <c r="CF56" s="307">
        <f>CF55-CF8</f>
        <v>0</v>
      </c>
      <c r="CG56" s="307">
        <f>CG55-CG8</f>
        <v>0</v>
      </c>
      <c r="CH56" s="307">
        <f>CH55-CH8</f>
        <v>0</v>
      </c>
      <c r="CK56" s="307">
        <f>CK55-CK8</f>
        <v>0</v>
      </c>
      <c r="CL56" s="307">
        <f>CL55-CL8</f>
        <v>0</v>
      </c>
      <c r="CM56" s="307">
        <f>CM55-CM8</f>
        <v>0</v>
      </c>
      <c r="CN56" s="307">
        <f>CN55-CN8</f>
        <v>0</v>
      </c>
      <c r="CQ56" s="307">
        <f>CQ55-CQ8</f>
        <v>0</v>
      </c>
      <c r="CR56" s="307">
        <f>CR55-CR8</f>
        <v>0</v>
      </c>
      <c r="CS56" s="307">
        <f>CS55-CS8</f>
        <v>0</v>
      </c>
      <c r="CT56" s="307">
        <f>CT55-CT8</f>
        <v>0</v>
      </c>
      <c r="CW56" s="307">
        <f>CW55-CW8</f>
        <v>0</v>
      </c>
      <c r="CX56" s="307">
        <f>CX55-CX8</f>
        <v>0</v>
      </c>
      <c r="CY56" s="307">
        <f>CY55-CY8</f>
        <v>0</v>
      </c>
      <c r="CZ56" s="307">
        <f>CZ55-CZ8</f>
        <v>0</v>
      </c>
      <c r="DC56" s="307">
        <f>DC55-DC8</f>
        <v>0</v>
      </c>
      <c r="DD56" s="307">
        <f>DD55-DD8</f>
        <v>0</v>
      </c>
      <c r="DE56" s="307">
        <f>DE55-DE8</f>
        <v>0</v>
      </c>
      <c r="DF56" s="307">
        <f>DF55-DF8</f>
        <v>0</v>
      </c>
      <c r="DI56" s="307">
        <f>DI55-DI8</f>
        <v>0</v>
      </c>
      <c r="DJ56" s="307">
        <f>DJ55-DJ8</f>
        <v>0</v>
      </c>
      <c r="DK56" s="307">
        <f>DK55-DK8</f>
        <v>0</v>
      </c>
      <c r="DL56" s="307">
        <f>DL55-DL8</f>
        <v>0</v>
      </c>
      <c r="DM56" s="735">
        <f>DM55-DM8</f>
        <v>0</v>
      </c>
      <c r="DO56" s="307">
        <f>SUM(DO46:DO47,DO49:DO52,DO54)-DO55</f>
        <v>0.10799999999926513</v>
      </c>
      <c r="DP56" s="307">
        <f t="shared" ref="DP56:DR56" si="317">SUM(DP46:DP47,DP49:DP52,DP54)-DP55</f>
        <v>-3.7000000000261934E-2</v>
      </c>
      <c r="DQ56" s="307">
        <f t="shared" si="317"/>
        <v>0</v>
      </c>
      <c r="DR56" s="307">
        <f t="shared" si="317"/>
        <v>0</v>
      </c>
      <c r="DS56" s="735">
        <f>DS55-DS8</f>
        <v>0</v>
      </c>
      <c r="DT56" s="735"/>
      <c r="DU56" s="307">
        <f>DU55-DU8</f>
        <v>0</v>
      </c>
      <c r="DV56" s="307">
        <f t="shared" ref="DV56:EC56" si="318">DV55-DV8</f>
        <v>0</v>
      </c>
      <c r="DW56" s="307">
        <f t="shared" si="318"/>
        <v>0</v>
      </c>
      <c r="DX56" s="307">
        <f t="shared" si="318"/>
        <v>0</v>
      </c>
      <c r="DY56" s="735">
        <f t="shared" si="318"/>
        <v>0</v>
      </c>
      <c r="DZ56" s="735"/>
      <c r="EA56" s="307">
        <f t="shared" si="318"/>
        <v>0</v>
      </c>
      <c r="EB56" s="307">
        <f t="shared" si="318"/>
        <v>0</v>
      </c>
      <c r="EC56" s="307">
        <f t="shared" si="318"/>
        <v>0</v>
      </c>
      <c r="ED56" s="307">
        <f t="shared" ref="ED56" si="319">ED55-ED8</f>
        <v>0</v>
      </c>
      <c r="EE56" s="735">
        <f>EE55-EE8</f>
        <v>7.6000000000931323E-2</v>
      </c>
      <c r="EG56" s="307">
        <f>EG55-EG8</f>
        <v>0</v>
      </c>
      <c r="EH56" s="307">
        <f t="shared" ref="EH56:EL56" si="320">EH55-EH8</f>
        <v>0</v>
      </c>
      <c r="EI56" s="307">
        <f t="shared" si="320"/>
        <v>0</v>
      </c>
      <c r="EJ56" s="307">
        <f t="shared" si="320"/>
        <v>0</v>
      </c>
      <c r="EK56" s="511">
        <f>EK55-EK8</f>
        <v>0</v>
      </c>
      <c r="EL56" s="511">
        <f t="shared" si="320"/>
        <v>0</v>
      </c>
      <c r="EM56" s="512"/>
      <c r="FA56" s="307">
        <f t="shared" ref="FA56:FM56" ca="1" si="321">FA55-FA8</f>
        <v>0</v>
      </c>
      <c r="FB56" s="307">
        <f t="shared" si="321"/>
        <v>0</v>
      </c>
      <c r="FC56" s="307">
        <f t="shared" si="321"/>
        <v>0</v>
      </c>
      <c r="FD56" s="307">
        <f t="shared" si="321"/>
        <v>0</v>
      </c>
      <c r="FE56" s="307">
        <f t="shared" si="321"/>
        <v>0</v>
      </c>
      <c r="FF56" s="307">
        <f t="shared" si="321"/>
        <v>0</v>
      </c>
      <c r="FG56" s="307">
        <f t="shared" si="321"/>
        <v>0</v>
      </c>
      <c r="FH56" s="307">
        <f t="shared" si="321"/>
        <v>0</v>
      </c>
      <c r="FI56" s="307">
        <f t="shared" si="321"/>
        <v>0</v>
      </c>
      <c r="FJ56" s="307">
        <f t="shared" si="321"/>
        <v>0</v>
      </c>
      <c r="FK56" s="307">
        <f t="shared" si="321"/>
        <v>7.0999999999912689E-2</v>
      </c>
      <c r="FL56" s="307">
        <f t="shared" si="321"/>
        <v>0</v>
      </c>
      <c r="FM56" s="307">
        <f t="shared" si="321"/>
        <v>7.6000000000931323E-2</v>
      </c>
      <c r="FN56" s="307">
        <f t="shared" ref="FN56:FO56" si="322">FN55-FN8</f>
        <v>0</v>
      </c>
      <c r="FO56" s="307">
        <f t="shared" si="322"/>
        <v>0</v>
      </c>
      <c r="FP56" s="307">
        <f t="shared" ref="FP56" si="323">FP55-FP8</f>
        <v>0</v>
      </c>
      <c r="FQ56" s="307">
        <f>FQ55-FQ8</f>
        <v>0</v>
      </c>
      <c r="FR56" s="307">
        <f>FR55-FR8</f>
        <v>0</v>
      </c>
    </row>
    <row r="57" spans="2:174" ht="12" x14ac:dyDescent="0.25">
      <c r="B57" s="668" t="s">
        <v>247</v>
      </c>
      <c r="D57" s="445"/>
      <c r="E57" s="480"/>
      <c r="F57" s="480"/>
      <c r="H57" s="481"/>
      <c r="J57" s="445"/>
      <c r="K57" s="481"/>
      <c r="L57" s="481"/>
      <c r="M57" s="481"/>
      <c r="N57" s="481"/>
      <c r="P57" s="445"/>
      <c r="Q57" s="481"/>
      <c r="R57" s="481"/>
      <c r="S57" s="481"/>
      <c r="T57" s="481"/>
      <c r="U57" s="458"/>
      <c r="V57" s="458"/>
      <c r="W57" s="481"/>
      <c r="X57" s="481"/>
      <c r="Y57" s="481"/>
      <c r="Z57" s="458"/>
      <c r="AA57" s="458"/>
      <c r="AB57" s="458"/>
      <c r="AC57" s="481"/>
      <c r="AD57" s="481"/>
      <c r="AE57" s="481"/>
      <c r="AF57" s="481"/>
      <c r="AG57" s="458"/>
      <c r="AI57" s="481"/>
      <c r="AJ57" s="481"/>
      <c r="AK57" s="481"/>
      <c r="AL57" s="481"/>
      <c r="AO57" s="481"/>
      <c r="AP57" s="481"/>
      <c r="AS57" s="481"/>
      <c r="DY57" s="753"/>
      <c r="DZ57" s="828"/>
      <c r="EA57" s="413"/>
      <c r="EB57" s="413"/>
      <c r="EC57" s="413"/>
      <c r="ED57" s="413"/>
      <c r="EE57" s="753"/>
      <c r="EK57" s="676"/>
      <c r="FP57" s="311"/>
    </row>
    <row r="58" spans="2:174" x14ac:dyDescent="0.2">
      <c r="B58" s="539" t="s">
        <v>586</v>
      </c>
      <c r="EL58" s="404"/>
      <c r="EM58" s="499"/>
      <c r="FA58" s="274"/>
      <c r="FB58" s="274"/>
      <c r="FC58" s="274"/>
      <c r="FD58" s="274"/>
      <c r="FE58" s="274"/>
      <c r="FF58" s="274"/>
      <c r="FG58" s="274"/>
      <c r="FH58" s="274"/>
      <c r="FI58" s="274"/>
      <c r="FJ58" s="274"/>
      <c r="FK58" s="274"/>
      <c r="FL58" s="274"/>
      <c r="FM58" s="274"/>
      <c r="FN58" s="274"/>
      <c r="FO58" s="274"/>
      <c r="FP58" s="468"/>
      <c r="FQ58" s="274">
        <f>FQ45/FQ$55</f>
        <v>0</v>
      </c>
      <c r="FR58" s="274">
        <f t="shared" ref="FQ58:FR60" si="324">FR45/FR$55</f>
        <v>6.939090208172706E-2</v>
      </c>
    </row>
    <row r="59" spans="2:174" ht="12" x14ac:dyDescent="0.25">
      <c r="B59" s="661" t="s">
        <v>250</v>
      </c>
      <c r="D59" s="445"/>
      <c r="E59" s="480"/>
      <c r="F59" s="480"/>
      <c r="H59" s="481"/>
      <c r="J59" s="445"/>
      <c r="K59" s="481"/>
      <c r="L59" s="481"/>
      <c r="M59" s="481"/>
      <c r="N59" s="481"/>
      <c r="P59" s="445"/>
      <c r="Q59" s="481"/>
      <c r="R59" s="481"/>
      <c r="S59" s="481"/>
      <c r="T59" s="481"/>
      <c r="U59" s="458"/>
      <c r="V59" s="458"/>
      <c r="W59" s="481"/>
      <c r="X59" s="481"/>
      <c r="Y59" s="481"/>
      <c r="Z59" s="458"/>
      <c r="AA59" s="458"/>
      <c r="AB59" s="458"/>
      <c r="AC59" s="481"/>
      <c r="AD59" s="481"/>
      <c r="AE59" s="481"/>
      <c r="AF59" s="481"/>
      <c r="AG59" s="458"/>
      <c r="AI59" s="481"/>
      <c r="AJ59" s="481"/>
      <c r="AK59" s="481"/>
      <c r="AL59" s="481"/>
      <c r="AO59" s="481"/>
      <c r="AP59" s="481"/>
      <c r="AS59" s="481"/>
      <c r="CK59" s="513"/>
      <c r="CQ59" s="471">
        <f>CQ46/CQ$55</f>
        <v>0</v>
      </c>
      <c r="CR59" s="471">
        <f t="shared" ref="CR59" si="325">CR46/CR$55</f>
        <v>0</v>
      </c>
      <c r="CS59" s="471">
        <f>CS46/CS$55</f>
        <v>0</v>
      </c>
      <c r="CT59" s="471">
        <f>CT46/CT$55</f>
        <v>0</v>
      </c>
      <c r="CU59" s="471">
        <f>CU46/CU$55</f>
        <v>0</v>
      </c>
      <c r="CW59" s="471">
        <f>CW46/CW$55</f>
        <v>0</v>
      </c>
      <c r="CX59" s="471">
        <f t="shared" ref="CX59" si="326">CX46/CX$55</f>
        <v>0</v>
      </c>
      <c r="CY59" s="471">
        <f>CY46/CY$55</f>
        <v>0</v>
      </c>
      <c r="CZ59" s="471">
        <f>CZ46/CZ$55</f>
        <v>0</v>
      </c>
      <c r="DA59" s="469">
        <f>DA46/DA$55</f>
        <v>0</v>
      </c>
      <c r="DC59" s="471">
        <f>DC46/DC$55</f>
        <v>0</v>
      </c>
      <c r="DD59" s="471">
        <f t="shared" ref="DD59" si="327">DD46/DD$55</f>
        <v>0</v>
      </c>
      <c r="DE59" s="471">
        <f>DE46/DE$55</f>
        <v>0</v>
      </c>
      <c r="DF59" s="471">
        <f>DF46/DF$55</f>
        <v>0</v>
      </c>
      <c r="DG59" s="471">
        <f>DG46/DG$55</f>
        <v>0</v>
      </c>
      <c r="DI59" s="471">
        <f>DI46/DI$55</f>
        <v>0</v>
      </c>
      <c r="DJ59" s="471">
        <f t="shared" ref="DJ59" si="328">DJ46/DJ$55</f>
        <v>0</v>
      </c>
      <c r="DK59" s="471">
        <f>DK46/DK$55</f>
        <v>0</v>
      </c>
      <c r="DL59" s="471">
        <f>DL46/DL$55</f>
        <v>0</v>
      </c>
      <c r="DM59" s="736">
        <f>DM46/DM$55</f>
        <v>0</v>
      </c>
      <c r="DO59" s="471">
        <f>DO46/DO$55</f>
        <v>0</v>
      </c>
      <c r="DP59" s="471">
        <f t="shared" ref="DP59" si="329">DP46/DP$55</f>
        <v>0</v>
      </c>
      <c r="DQ59" s="471">
        <f>DQ46/DQ$55</f>
        <v>0</v>
      </c>
      <c r="DR59" s="471">
        <f>DR46/DR$55</f>
        <v>0</v>
      </c>
      <c r="DS59" s="736">
        <f>DS46/DS$55</f>
        <v>0</v>
      </c>
      <c r="DT59" s="736"/>
      <c r="DU59" s="471">
        <f>DU46/DU$55</f>
        <v>0</v>
      </c>
      <c r="DV59" s="471">
        <f t="shared" ref="DV59" si="330">DV46/DV$55</f>
        <v>0</v>
      </c>
      <c r="DW59" s="471">
        <f>DW46/DW$55</f>
        <v>0</v>
      </c>
      <c r="DX59" s="471">
        <f>DX46/DX$55</f>
        <v>7.0265180792310186E-2</v>
      </c>
      <c r="DY59" s="736">
        <f>DY46/DY$55</f>
        <v>2.296875789551053E-2</v>
      </c>
      <c r="EA59" s="471">
        <f>EA46/EA$55</f>
        <v>0</v>
      </c>
      <c r="EB59" s="471">
        <f t="shared" ref="EB59:EC59" si="331">EB46/EB$55</f>
        <v>4.4673969371526595E-2</v>
      </c>
      <c r="EC59" s="471">
        <f t="shared" si="331"/>
        <v>6.4820483272714169E-2</v>
      </c>
      <c r="ED59" s="471">
        <f t="shared" ref="ED59" si="332">ED46/ED$55</f>
        <v>8.0432489451476796E-2</v>
      </c>
      <c r="EE59" s="736">
        <f>EE46/EE55</f>
        <v>4.9848053327284016E-2</v>
      </c>
      <c r="EG59" s="471">
        <f>EG46/EG55</f>
        <v>0.11466794075489728</v>
      </c>
      <c r="EH59" s="471">
        <f>EH46/EH55</f>
        <v>0</v>
      </c>
      <c r="EI59" s="471">
        <f t="shared" ref="EI59:EL59" si="333">EI46/EI55</f>
        <v>9.0794451450189162E-2</v>
      </c>
      <c r="EJ59" s="471">
        <f t="shared" si="333"/>
        <v>8.6767948160971442E-2</v>
      </c>
      <c r="EK59" s="469">
        <f t="shared" si="333"/>
        <v>7.6117996285371317E-2</v>
      </c>
      <c r="EL59" s="469">
        <f t="shared" si="333"/>
        <v>5.8465251039890247E-2</v>
      </c>
      <c r="EM59" s="499"/>
      <c r="FA59" s="274"/>
      <c r="FB59" s="274"/>
      <c r="FC59" s="274"/>
      <c r="FD59" s="274"/>
      <c r="FE59" s="274"/>
      <c r="FF59" s="274"/>
      <c r="FG59" s="274"/>
      <c r="FH59" s="274"/>
      <c r="FI59" s="274"/>
      <c r="FJ59" s="274">
        <f t="shared" ref="FJ59:FM60" si="334">FJ46/FJ$55</f>
        <v>0</v>
      </c>
      <c r="FK59" s="274">
        <f t="shared" si="334"/>
        <v>0</v>
      </c>
      <c r="FL59" s="274">
        <f t="shared" si="334"/>
        <v>2.296875789551053E-2</v>
      </c>
      <c r="FM59" s="274">
        <f t="shared" si="334"/>
        <v>4.9848053327284016E-2</v>
      </c>
      <c r="FN59" s="274">
        <f t="shared" ref="FN59:FO59" si="335">FN46/FN$55</f>
        <v>7.6117996285371317E-2</v>
      </c>
      <c r="FO59" s="274">
        <f t="shared" si="335"/>
        <v>5.8465251039890247E-2</v>
      </c>
      <c r="FP59" s="843">
        <f t="shared" ref="FP59" si="336">FP46/FP55</f>
        <v>9.4927843726359665E-2</v>
      </c>
      <c r="FQ59" s="274">
        <f t="shared" si="324"/>
        <v>0.36614360437470278</v>
      </c>
      <c r="FR59" s="274">
        <f>FR46/FR$55</f>
        <v>0.37008481110254432</v>
      </c>
    </row>
    <row r="60" spans="2:174" ht="12" x14ac:dyDescent="0.25">
      <c r="B60" s="663" t="s">
        <v>543</v>
      </c>
      <c r="C60" s="382"/>
      <c r="D60" s="664"/>
      <c r="E60" s="665"/>
      <c r="F60" s="665"/>
      <c r="G60" s="382"/>
      <c r="H60" s="504"/>
      <c r="I60" s="382"/>
      <c r="J60" s="664"/>
      <c r="K60" s="504"/>
      <c r="L60" s="504"/>
      <c r="M60" s="504"/>
      <c r="N60" s="504"/>
      <c r="O60" s="382"/>
      <c r="P60" s="664"/>
      <c r="Q60" s="504"/>
      <c r="R60" s="504"/>
      <c r="S60" s="504"/>
      <c r="T60" s="504"/>
      <c r="U60" s="509"/>
      <c r="V60" s="509"/>
      <c r="W60" s="504"/>
      <c r="X60" s="504"/>
      <c r="Y60" s="504"/>
      <c r="Z60" s="509"/>
      <c r="AA60" s="509"/>
      <c r="AB60" s="509"/>
      <c r="AC60" s="504"/>
      <c r="AD60" s="504"/>
      <c r="AE60" s="504"/>
      <c r="AF60" s="504"/>
      <c r="AG60" s="509"/>
      <c r="AH60" s="382"/>
      <c r="AI60" s="504"/>
      <c r="AJ60" s="504"/>
      <c r="AK60" s="504"/>
      <c r="AL60" s="504"/>
      <c r="AM60" s="382"/>
      <c r="AN60" s="382"/>
      <c r="AO60" s="504"/>
      <c r="AP60" s="504"/>
      <c r="AQ60" s="382"/>
      <c r="AR60" s="382"/>
      <c r="AS60" s="504"/>
      <c r="AT60" s="382"/>
      <c r="AU60" s="382"/>
      <c r="AV60" s="382"/>
      <c r="AW60" s="383">
        <f>AW47/AW55</f>
        <v>6.2E-2</v>
      </c>
      <c r="AX60" s="383">
        <f>AX47/AX55</f>
        <v>3.9999999999999966E-2</v>
      </c>
      <c r="AY60" s="383">
        <f>AY47/AY$55</f>
        <v>2.4293372100165848E-2</v>
      </c>
      <c r="AZ60" s="382"/>
      <c r="BA60" s="383">
        <f>BA47/BA55</f>
        <v>0.04</v>
      </c>
      <c r="BB60" s="383">
        <f>BB47/BB$55</f>
        <v>0</v>
      </c>
      <c r="BC60" s="383">
        <f>BC47/BC$55</f>
        <v>0</v>
      </c>
      <c r="BD60" s="383">
        <f>BD47/BD$55</f>
        <v>0</v>
      </c>
      <c r="BE60" s="383">
        <f>BE47/BE$55</f>
        <v>1.1047979797979798E-2</v>
      </c>
      <c r="BF60" s="382"/>
      <c r="BG60" s="383">
        <f>BG47/BG$55</f>
        <v>0</v>
      </c>
      <c r="BH60" s="383">
        <f ca="1">BH47/BH$55</f>
        <v>0</v>
      </c>
      <c r="BI60" s="383">
        <f ca="1">BI47/BI$55</f>
        <v>0</v>
      </c>
      <c r="BJ60" s="777">
        <v>0.04</v>
      </c>
      <c r="BK60" s="383">
        <f ca="1">BK47/BK$55</f>
        <v>1.4436903658811451E-2</v>
      </c>
      <c r="BL60" s="382"/>
      <c r="BM60" s="777">
        <v>0.06</v>
      </c>
      <c r="BN60" s="777">
        <v>0.05</v>
      </c>
      <c r="BO60" s="777">
        <v>0.14000000000000001</v>
      </c>
      <c r="BP60" s="777">
        <v>0.06</v>
      </c>
      <c r="BQ60" s="383">
        <f>BQ47/BQ$55</f>
        <v>7.3747996606014901E-2</v>
      </c>
      <c r="BR60" s="382"/>
      <c r="BS60" s="778">
        <v>0</v>
      </c>
      <c r="BT60" s="778">
        <v>0.06</v>
      </c>
      <c r="BU60" s="778">
        <v>0</v>
      </c>
      <c r="BV60" s="778">
        <v>0</v>
      </c>
      <c r="BW60" s="383">
        <f>BW47/BW$55</f>
        <v>1.6064854148966298E-2</v>
      </c>
      <c r="BX60" s="382"/>
      <c r="BY60" s="778">
        <v>0</v>
      </c>
      <c r="BZ60" s="778">
        <v>0.08</v>
      </c>
      <c r="CA60" s="778">
        <v>7.0000000000000007E-2</v>
      </c>
      <c r="CB60" s="778">
        <v>0.11</v>
      </c>
      <c r="CC60" s="383">
        <f>CC47/CC$55</f>
        <v>7.0863013698630142E-2</v>
      </c>
      <c r="CD60" s="382"/>
      <c r="CE60" s="778">
        <v>0</v>
      </c>
      <c r="CF60" s="778">
        <v>0.16</v>
      </c>
      <c r="CG60" s="778">
        <v>0.21</v>
      </c>
      <c r="CH60" s="778">
        <v>0.25</v>
      </c>
      <c r="CI60" s="778">
        <f>CI47/CI55</f>
        <v>0.17135258954767243</v>
      </c>
      <c r="CJ60" s="382"/>
      <c r="CK60" s="778">
        <v>7.0000000000000007E-2</v>
      </c>
      <c r="CL60" s="778">
        <v>0.32</v>
      </c>
      <c r="CM60" s="778">
        <v>0.25</v>
      </c>
      <c r="CN60" s="778">
        <v>0.24</v>
      </c>
      <c r="CO60" s="778">
        <f>CO47/CO55</f>
        <v>0.22840273153249147</v>
      </c>
      <c r="CP60" s="382"/>
      <c r="CQ60" s="778">
        <v>0.22</v>
      </c>
      <c r="CR60" s="778">
        <v>0.41</v>
      </c>
      <c r="CS60" s="778">
        <v>0.32</v>
      </c>
      <c r="CT60" s="778">
        <v>0.28999999999999998</v>
      </c>
      <c r="CU60" s="778">
        <v>0</v>
      </c>
      <c r="CV60" s="382"/>
      <c r="CW60" s="778">
        <v>0.22</v>
      </c>
      <c r="CX60" s="778">
        <v>0.39</v>
      </c>
      <c r="CY60" s="778">
        <v>0.66</v>
      </c>
      <c r="CZ60" s="778">
        <v>0.36</v>
      </c>
      <c r="DA60" s="779">
        <v>0</v>
      </c>
      <c r="DC60" s="778">
        <v>0.36</v>
      </c>
      <c r="DD60" s="778">
        <v>0.45</v>
      </c>
      <c r="DE60" s="778">
        <v>0.54</v>
      </c>
      <c r="DF60" s="778">
        <v>0.46</v>
      </c>
      <c r="DG60" s="778">
        <v>0</v>
      </c>
      <c r="DI60" s="778">
        <v>0.26</v>
      </c>
      <c r="DJ60" s="778">
        <v>0.48</v>
      </c>
      <c r="DK60" s="778">
        <v>0.51</v>
      </c>
      <c r="DL60" s="778">
        <v>0.49</v>
      </c>
      <c r="DM60" s="803">
        <v>0</v>
      </c>
      <c r="DO60" s="778">
        <v>0.54</v>
      </c>
      <c r="DP60" s="778">
        <v>0.37</v>
      </c>
      <c r="DQ60" s="778">
        <v>0.35</v>
      </c>
      <c r="DR60" s="778">
        <v>0.42190655521337461</v>
      </c>
      <c r="DS60" s="803">
        <v>0.42</v>
      </c>
      <c r="DT60" s="399"/>
      <c r="DU60" s="778">
        <v>0.46</v>
      </c>
      <c r="DV60" s="778">
        <v>0.31</v>
      </c>
      <c r="DW60" s="778">
        <v>0.35</v>
      </c>
      <c r="DX60" s="778">
        <v>0.34973481920768978</v>
      </c>
      <c r="DY60" s="803">
        <v>0.3570312421044895</v>
      </c>
      <c r="EA60" s="778">
        <v>0.56000000000000005</v>
      </c>
      <c r="EB60" s="778">
        <v>0.43532603062847341</v>
      </c>
      <c r="EC60" s="778">
        <v>0.31517951672728584</v>
      </c>
      <c r="ED60" s="778">
        <v>0.39956751054852319</v>
      </c>
      <c r="EE60" s="803">
        <f>EE47/EE55</f>
        <v>0.42622504451186011</v>
      </c>
      <c r="EG60" s="778">
        <f>EG47/EG55</f>
        <v>0.54533205924510275</v>
      </c>
      <c r="EH60" s="778">
        <f>EH47/EH55</f>
        <v>0.54855195911413968</v>
      </c>
      <c r="EI60" s="778">
        <f t="shared" ref="EI60:EL60" si="337">EI47/EI55</f>
        <v>0.49306431273644391</v>
      </c>
      <c r="EJ60" s="778">
        <f t="shared" si="337"/>
        <v>0.49891570192558582</v>
      </c>
      <c r="EK60" s="779">
        <f t="shared" si="337"/>
        <v>0.51781874719292875</v>
      </c>
      <c r="EL60" s="779">
        <f t="shared" si="337"/>
        <v>0.52698815320887371</v>
      </c>
      <c r="EM60" s="499"/>
      <c r="FA60" s="274">
        <f t="shared" ref="FA60:FI60" ca="1" si="338">FA47/FA$55</f>
        <v>1.4436903658811451E-2</v>
      </c>
      <c r="FB60" s="274">
        <f t="shared" si="338"/>
        <v>7.3747996606014901E-2</v>
      </c>
      <c r="FC60" s="274">
        <f t="shared" si="338"/>
        <v>1.6064854148966298E-2</v>
      </c>
      <c r="FD60" s="274">
        <f t="shared" si="338"/>
        <v>7.0863013698630142E-2</v>
      </c>
      <c r="FE60" s="274">
        <f t="shared" si="338"/>
        <v>0.17135258954767243</v>
      </c>
      <c r="FF60" s="274">
        <f t="shared" si="338"/>
        <v>0.22840273153249147</v>
      </c>
      <c r="FG60" s="274">
        <f t="shared" si="338"/>
        <v>0.30930103044652685</v>
      </c>
      <c r="FH60" s="274">
        <f t="shared" si="338"/>
        <v>0.43561459797411911</v>
      </c>
      <c r="FI60" s="274">
        <f t="shared" si="338"/>
        <v>0.45901206354786966</v>
      </c>
      <c r="FJ60" s="274">
        <f t="shared" si="334"/>
        <v>0.45873897461488111</v>
      </c>
      <c r="FK60" s="274">
        <f t="shared" si="334"/>
        <v>0.42000055518404011</v>
      </c>
      <c r="FL60" s="274">
        <f t="shared" si="334"/>
        <v>0.36120535447684066</v>
      </c>
      <c r="FM60" s="274">
        <f t="shared" si="334"/>
        <v>0.42622504451186011</v>
      </c>
      <c r="FN60" s="274">
        <f t="shared" ref="FN60:FO60" si="339">FN47/FN$55</f>
        <v>0.51781874719292875</v>
      </c>
      <c r="FO60" s="274">
        <f t="shared" si="339"/>
        <v>0.52698815320887371</v>
      </c>
      <c r="FP60" s="843">
        <f t="shared" ref="FP60" si="340">FP47/FP55</f>
        <v>0.47249674993658536</v>
      </c>
      <c r="FQ60" s="274">
        <f t="shared" si="324"/>
        <v>0.62910128388017117</v>
      </c>
      <c r="FR60" s="274">
        <f t="shared" si="324"/>
        <v>0.51811873554356203</v>
      </c>
    </row>
    <row r="61" spans="2:174" ht="12" x14ac:dyDescent="0.25">
      <c r="B61" s="666" t="s">
        <v>616</v>
      </c>
      <c r="D61" s="445"/>
      <c r="E61" s="480"/>
      <c r="F61" s="480"/>
      <c r="H61" s="481"/>
      <c r="J61" s="445"/>
      <c r="K61" s="481"/>
      <c r="L61" s="481"/>
      <c r="M61" s="481"/>
      <c r="N61" s="481"/>
      <c r="P61" s="445"/>
      <c r="Q61" s="481"/>
      <c r="R61" s="481"/>
      <c r="S61" s="481"/>
      <c r="T61" s="481"/>
      <c r="U61" s="458"/>
      <c r="V61" s="458"/>
      <c r="W61" s="481"/>
      <c r="X61" s="481"/>
      <c r="Y61" s="481"/>
      <c r="Z61" s="458"/>
      <c r="AA61" s="458"/>
      <c r="AB61" s="458"/>
      <c r="AC61" s="481"/>
      <c r="AD61" s="481"/>
      <c r="AE61" s="481"/>
      <c r="AF61" s="481"/>
      <c r="AG61" s="458"/>
      <c r="AI61" s="481"/>
      <c r="AJ61" s="481"/>
      <c r="AK61" s="481"/>
      <c r="AL61" s="481"/>
      <c r="AO61" s="481"/>
      <c r="AP61" s="481"/>
      <c r="AS61" s="481"/>
      <c r="AW61" s="274"/>
      <c r="AX61" s="274"/>
      <c r="AY61" s="274"/>
      <c r="BA61" s="274"/>
      <c r="BB61" s="274"/>
      <c r="BC61" s="274"/>
      <c r="BD61" s="274"/>
      <c r="BE61" s="274"/>
      <c r="BG61" s="274"/>
      <c r="BH61" s="274"/>
      <c r="BI61" s="274"/>
      <c r="BJ61" s="513"/>
      <c r="BK61" s="274"/>
      <c r="BM61" s="513"/>
      <c r="BN61" s="513"/>
      <c r="BO61" s="513"/>
      <c r="BP61" s="513"/>
      <c r="BQ61" s="274"/>
      <c r="BS61" s="471"/>
      <c r="BT61" s="471"/>
      <c r="BU61" s="471"/>
      <c r="BV61" s="471"/>
      <c r="BW61" s="274"/>
      <c r="BY61" s="471"/>
      <c r="BZ61" s="471"/>
      <c r="CA61" s="471"/>
      <c r="CB61" s="471"/>
      <c r="CC61" s="274"/>
      <c r="CE61" s="471"/>
      <c r="CF61" s="471"/>
      <c r="CG61" s="471"/>
      <c r="CH61" s="471"/>
      <c r="CI61" s="471"/>
      <c r="CK61" s="471"/>
      <c r="CL61" s="471"/>
      <c r="CM61" s="471"/>
      <c r="CN61" s="471"/>
      <c r="CO61" s="471"/>
      <c r="CQ61" s="453">
        <f>CQ48/CQ55</f>
        <v>0.22</v>
      </c>
      <c r="CR61" s="453">
        <f t="shared" ref="CR61" si="341">CR48/CR55</f>
        <v>0.41</v>
      </c>
      <c r="CS61" s="453">
        <f>CS48/CS55</f>
        <v>0.32</v>
      </c>
      <c r="CT61" s="453">
        <f>CT48/CT55</f>
        <v>0.28999999999999998</v>
      </c>
      <c r="CU61" s="453">
        <f>CU48/CU55</f>
        <v>0.30930103044652685</v>
      </c>
      <c r="CW61" s="453">
        <f>CW48/CW55</f>
        <v>0.22</v>
      </c>
      <c r="CX61" s="453">
        <f t="shared" ref="CX61" si="342">CX48/CX55</f>
        <v>0.39</v>
      </c>
      <c r="CY61" s="453">
        <f>CY48/CY55</f>
        <v>0.66</v>
      </c>
      <c r="CZ61" s="453">
        <f>CZ48/CZ55</f>
        <v>0.35999999999999993</v>
      </c>
      <c r="DA61" s="472">
        <f>DA48/DA55</f>
        <v>0.43561459797411911</v>
      </c>
      <c r="DC61" s="453">
        <f>DC48/DC55</f>
        <v>0.36</v>
      </c>
      <c r="DD61" s="453">
        <f t="shared" ref="DD61" si="343">DD48/DD55</f>
        <v>0.45</v>
      </c>
      <c r="DE61" s="453">
        <f>DE48/DE55</f>
        <v>0.54</v>
      </c>
      <c r="DF61" s="453">
        <f>DF48/DF55</f>
        <v>0.45999999999999996</v>
      </c>
      <c r="DG61" s="453">
        <f>DG48/DG55</f>
        <v>0.45901206354786966</v>
      </c>
      <c r="DI61" s="453">
        <f>DI48/DI55</f>
        <v>0.26</v>
      </c>
      <c r="DJ61" s="453">
        <f t="shared" ref="DJ61" si="344">DJ48/DJ55</f>
        <v>0.48</v>
      </c>
      <c r="DK61" s="453">
        <f>DK48/DK55</f>
        <v>0.51</v>
      </c>
      <c r="DL61" s="453">
        <f>DL48/DL55</f>
        <v>0.49000000000000005</v>
      </c>
      <c r="DM61" s="737">
        <f>DM48/DM55</f>
        <v>0.45873897461488111</v>
      </c>
      <c r="DO61" s="453">
        <f>DO48/DO55</f>
        <v>0.54002021790407728</v>
      </c>
      <c r="DP61" s="453">
        <f t="shared" ref="DP61" si="345">DP48/DP55</f>
        <v>0.36999340004637798</v>
      </c>
      <c r="DQ61" s="453">
        <f>DQ48/DQ55</f>
        <v>0.35</v>
      </c>
      <c r="DR61" s="453">
        <f>DR48/DR55</f>
        <v>0.42190655521337461</v>
      </c>
      <c r="DS61" s="737">
        <f>DS48/DS55</f>
        <v>0.4200019144339201</v>
      </c>
      <c r="DT61" s="399"/>
      <c r="DU61" s="453">
        <f>DU48/DU55</f>
        <v>0.46</v>
      </c>
      <c r="DV61" s="453">
        <f t="shared" ref="DV61" si="346">DV48/DV55</f>
        <v>0.31</v>
      </c>
      <c r="DW61" s="453">
        <f>DW48/DW55</f>
        <v>0.35</v>
      </c>
      <c r="DX61" s="453">
        <f>DX48/DX55</f>
        <v>0.42</v>
      </c>
      <c r="DY61" s="737">
        <f>DY48/DY55</f>
        <v>0.38417411237235116</v>
      </c>
      <c r="EA61" s="453">
        <f>EA48/EA55</f>
        <v>0.56000000000000005</v>
      </c>
      <c r="EB61" s="453">
        <f t="shared" ref="EB61:EC61" si="347">EB48/EB55</f>
        <v>0.48</v>
      </c>
      <c r="EC61" s="453">
        <f t="shared" si="347"/>
        <v>0.38001368432424643</v>
      </c>
      <c r="ED61" s="453">
        <f t="shared" ref="ED61" si="348">ED48/ED55</f>
        <v>0.48</v>
      </c>
      <c r="EE61" s="737">
        <f>EE48/EE55</f>
        <v>0.47607309783914409</v>
      </c>
      <c r="EG61" s="453">
        <f>EG48/EG55</f>
        <v>0.66</v>
      </c>
      <c r="EH61" s="453">
        <f>EH48/EH55</f>
        <v>0.54855195911413968</v>
      </c>
      <c r="EI61" s="453">
        <f t="shared" ref="EI61:EL61" si="349">EI48/EI55</f>
        <v>0.58385876418663307</v>
      </c>
      <c r="EJ61" s="453">
        <f t="shared" si="349"/>
        <v>0.58568365008655721</v>
      </c>
      <c r="EK61" s="472">
        <f t="shared" si="349"/>
        <v>0.59393674347830006</v>
      </c>
      <c r="EL61" s="472">
        <f t="shared" si="349"/>
        <v>0.58545340424876402</v>
      </c>
      <c r="EM61" s="499"/>
      <c r="FA61" s="274"/>
      <c r="FB61" s="274"/>
      <c r="FC61" s="274"/>
      <c r="FD61" s="274"/>
      <c r="FE61" s="274"/>
      <c r="FF61" s="274"/>
      <c r="FG61" s="274"/>
      <c r="FH61" s="274"/>
      <c r="FI61" s="274"/>
      <c r="FJ61" s="274"/>
      <c r="FK61" s="274"/>
      <c r="FL61" s="274"/>
      <c r="FM61" s="274"/>
      <c r="FN61" s="274"/>
      <c r="FO61" s="274"/>
      <c r="FP61" s="844">
        <f t="shared" ref="FP61" si="350">FP48/FP55</f>
        <v>0.56742459366294506</v>
      </c>
      <c r="FQ61" s="274"/>
      <c r="FR61" s="274"/>
    </row>
    <row r="62" spans="2:174" ht="12" x14ac:dyDescent="0.25">
      <c r="B62" s="539" t="s">
        <v>252</v>
      </c>
      <c r="D62" s="445"/>
      <c r="E62" s="480"/>
      <c r="F62" s="480"/>
      <c r="H62" s="481"/>
      <c r="J62" s="445"/>
      <c r="K62" s="514"/>
      <c r="L62" s="481"/>
      <c r="M62" s="481"/>
      <c r="N62" s="481"/>
      <c r="P62" s="445"/>
      <c r="Q62" s="481"/>
      <c r="R62" s="481"/>
      <c r="S62" s="481"/>
      <c r="T62" s="481"/>
      <c r="U62" s="458"/>
      <c r="V62" s="458"/>
      <c r="W62" s="549">
        <v>0.02</v>
      </c>
      <c r="X62" s="549">
        <v>0.02</v>
      </c>
      <c r="Y62" s="515">
        <v>0.4</v>
      </c>
      <c r="Z62" s="515">
        <v>0.46</v>
      </c>
      <c r="AA62" s="274">
        <f>AA49/AA$55</f>
        <v>0.21580315550571891</v>
      </c>
      <c r="AB62" s="458"/>
      <c r="AC62" s="515">
        <v>0.51</v>
      </c>
      <c r="AD62" s="515">
        <v>0.65</v>
      </c>
      <c r="AE62" s="515">
        <v>0.77</v>
      </c>
      <c r="AF62" s="515">
        <v>0.73</v>
      </c>
      <c r="AG62" s="274">
        <f>AG49/AG$55</f>
        <v>0.6446462933905921</v>
      </c>
      <c r="AI62" s="515">
        <v>0.28999999999999998</v>
      </c>
      <c r="AJ62" s="515">
        <v>0.89</v>
      </c>
      <c r="AK62" s="515">
        <v>0.84</v>
      </c>
      <c r="AL62" s="515">
        <v>0.7</v>
      </c>
      <c r="AM62" s="274">
        <f>AM49/AM$55</f>
        <v>0.74901439152646543</v>
      </c>
      <c r="AO62" s="515">
        <f>100%-AO63-AO64-AO65</f>
        <v>0.83</v>
      </c>
      <c r="AP62" s="515">
        <v>0.85</v>
      </c>
      <c r="AQ62" s="515">
        <v>0.73</v>
      </c>
      <c r="AR62" s="515">
        <v>0.7</v>
      </c>
      <c r="AS62" s="274">
        <f>AS49/AS$55</f>
        <v>0.76454104295581171</v>
      </c>
      <c r="AU62" s="515">
        <v>0.71</v>
      </c>
      <c r="AV62" s="515">
        <v>0.69</v>
      </c>
      <c r="AW62" s="515">
        <v>0.70799999999999996</v>
      </c>
      <c r="AX62" s="515">
        <v>0.81</v>
      </c>
      <c r="AY62" s="274">
        <f>AY49/AY$55</f>
        <v>0.72434337312393782</v>
      </c>
      <c r="BA62" s="515">
        <v>0.56000000000000005</v>
      </c>
      <c r="BB62" s="515">
        <v>0.72</v>
      </c>
      <c r="BC62" s="515">
        <v>0.83</v>
      </c>
      <c r="BD62" s="515">
        <v>0.76</v>
      </c>
      <c r="BE62" s="274">
        <f>BE49/BE$55</f>
        <v>0.71281697180134673</v>
      </c>
      <c r="BG62" s="513">
        <v>0.74</v>
      </c>
      <c r="BH62" s="513">
        <v>0.78</v>
      </c>
      <c r="BI62" s="513">
        <v>0.88</v>
      </c>
      <c r="BJ62" s="513">
        <v>0.74</v>
      </c>
      <c r="BK62" s="274">
        <f ca="1">BK49/BK$55</f>
        <v>0.78281134957802212</v>
      </c>
      <c r="BM62" s="513">
        <v>0.76</v>
      </c>
      <c r="BN62" s="513">
        <v>0.91</v>
      </c>
      <c r="BO62" s="513">
        <v>0.72</v>
      </c>
      <c r="BP62" s="513">
        <v>0.83</v>
      </c>
      <c r="BQ62" s="274">
        <f>BQ49/BQ$55</f>
        <v>0.81351206750259253</v>
      </c>
      <c r="BS62" s="471">
        <v>0.83</v>
      </c>
      <c r="BT62" s="471">
        <v>0.79</v>
      </c>
      <c r="BU62" s="471">
        <v>0.68</v>
      </c>
      <c r="BV62" s="471">
        <v>0.72</v>
      </c>
      <c r="BW62" s="274">
        <f>BW49/BW$55</f>
        <v>0.76189511941848398</v>
      </c>
      <c r="BY62" s="471">
        <v>0.79</v>
      </c>
      <c r="BZ62" s="471">
        <v>0.76</v>
      </c>
      <c r="CA62" s="471">
        <v>0.77</v>
      </c>
      <c r="CB62" s="471">
        <v>0.71</v>
      </c>
      <c r="CC62" s="274">
        <f>CC49/CC$55</f>
        <v>0.75441695205479453</v>
      </c>
      <c r="CE62" s="471">
        <v>0.74</v>
      </c>
      <c r="CF62" s="471">
        <v>0.64</v>
      </c>
      <c r="CG62" s="471">
        <v>0.63</v>
      </c>
      <c r="CH62" s="471">
        <v>0.56000000000000005</v>
      </c>
      <c r="CI62" s="274">
        <f>CI49/CI$55</f>
        <v>0.63168442192133289</v>
      </c>
      <c r="CK62" s="471">
        <v>0.72</v>
      </c>
      <c r="CL62" s="471">
        <v>0.49</v>
      </c>
      <c r="CM62" s="471">
        <v>0.57999999999999996</v>
      </c>
      <c r="CN62" s="471">
        <v>0.56999999999999995</v>
      </c>
      <c r="CO62" s="274">
        <f>CO49/CO$55</f>
        <v>0.58259713528108392</v>
      </c>
      <c r="CQ62" s="471">
        <v>0.6</v>
      </c>
      <c r="CR62" s="471">
        <v>0.41</v>
      </c>
      <c r="CS62" s="471">
        <v>0.51</v>
      </c>
      <c r="CT62" s="471">
        <v>0.56000000000000005</v>
      </c>
      <c r="CU62" s="471">
        <v>0</v>
      </c>
      <c r="CW62" s="471">
        <v>0.52</v>
      </c>
      <c r="CX62" s="471">
        <v>0.41</v>
      </c>
      <c r="CY62" s="471">
        <v>0.21</v>
      </c>
      <c r="CZ62" s="471">
        <v>0.45</v>
      </c>
      <c r="DA62" s="469">
        <v>0</v>
      </c>
      <c r="DC62" s="471">
        <v>0.47</v>
      </c>
      <c r="DD62" s="471">
        <v>0.34</v>
      </c>
      <c r="DE62" s="471">
        <v>0.32</v>
      </c>
      <c r="DF62" s="471">
        <v>0.35</v>
      </c>
      <c r="DG62" s="471">
        <v>0</v>
      </c>
      <c r="DI62" s="471">
        <v>0.47</v>
      </c>
      <c r="DJ62" s="471">
        <v>0.33</v>
      </c>
      <c r="DK62" s="471">
        <v>0.31</v>
      </c>
      <c r="DL62" s="471">
        <v>0.31</v>
      </c>
      <c r="DM62" s="736">
        <v>0</v>
      </c>
      <c r="DO62" s="471">
        <v>0.3</v>
      </c>
      <c r="DP62" s="471">
        <v>0.49</v>
      </c>
      <c r="DQ62" s="471">
        <v>0.48</v>
      </c>
      <c r="DR62" s="471">
        <v>0.36909652441707003</v>
      </c>
      <c r="DS62" s="736">
        <v>0.41</v>
      </c>
      <c r="DT62" s="399"/>
      <c r="DU62" s="471">
        <v>0.39</v>
      </c>
      <c r="DV62" s="471">
        <v>0.5</v>
      </c>
      <c r="DW62" s="471">
        <v>0.48</v>
      </c>
      <c r="DX62" s="471">
        <v>0.41</v>
      </c>
      <c r="DY62" s="736">
        <v>0.44</v>
      </c>
      <c r="EA62" s="471">
        <v>0.33</v>
      </c>
      <c r="EB62" s="471">
        <v>0.43</v>
      </c>
      <c r="EC62" s="471">
        <v>0.52</v>
      </c>
      <c r="ED62" s="471">
        <v>0.4</v>
      </c>
      <c r="EE62" s="736"/>
      <c r="EG62" s="471">
        <v>0.23</v>
      </c>
      <c r="EH62" s="471"/>
      <c r="EI62" s="471"/>
      <c r="EJ62" s="471"/>
      <c r="EK62" s="469"/>
      <c r="EL62" s="469"/>
      <c r="EM62" s="499"/>
      <c r="FA62" s="274">
        <f t="shared" ref="FA62:FM62" ca="1" si="351">FA49/FA$55</f>
        <v>0.78281134957802212</v>
      </c>
      <c r="FB62" s="274">
        <f t="shared" si="351"/>
        <v>0.81351206750259253</v>
      </c>
      <c r="FC62" s="274">
        <f t="shared" si="351"/>
        <v>0.76189511941848398</v>
      </c>
      <c r="FD62" s="274">
        <f t="shared" si="351"/>
        <v>0.75441695205479453</v>
      </c>
      <c r="FE62" s="274">
        <f t="shared" si="351"/>
        <v>0.63168442192133289</v>
      </c>
      <c r="FF62" s="274">
        <f t="shared" si="351"/>
        <v>0.58259713528108392</v>
      </c>
      <c r="FG62" s="274">
        <f t="shared" si="351"/>
        <v>0.5237242805215595</v>
      </c>
      <c r="FH62" s="274">
        <f t="shared" si="351"/>
        <v>0.37927756506567151</v>
      </c>
      <c r="FI62" s="274">
        <f t="shared" si="351"/>
        <v>0.36630644487903491</v>
      </c>
      <c r="FJ62" s="274">
        <f t="shared" si="351"/>
        <v>0.33908316753400775</v>
      </c>
      <c r="FK62" s="274">
        <f t="shared" si="351"/>
        <v>0.41000004056763506</v>
      </c>
      <c r="FL62" s="274">
        <f t="shared" si="351"/>
        <v>0.44509548112657166</v>
      </c>
      <c r="FM62" s="274">
        <f t="shared" si="351"/>
        <v>0</v>
      </c>
      <c r="FN62" s="274">
        <f t="shared" ref="FN62:FO62" si="352">FN49/FN$55</f>
        <v>0</v>
      </c>
      <c r="FO62" s="274">
        <f t="shared" si="352"/>
        <v>0</v>
      </c>
      <c r="FP62" s="843"/>
      <c r="FQ62" s="274">
        <f ca="1">FQ49/FQ$55</f>
        <v>0</v>
      </c>
      <c r="FR62" s="274">
        <f t="shared" ref="FQ62:FR65" ca="1" si="353">FR49/FR$55</f>
        <v>0</v>
      </c>
    </row>
    <row r="63" spans="2:174" ht="12" x14ac:dyDescent="0.25">
      <c r="B63" s="539" t="s">
        <v>54</v>
      </c>
      <c r="D63" s="445"/>
      <c r="E63" s="480"/>
      <c r="F63" s="480"/>
      <c r="H63" s="481"/>
      <c r="J63" s="445"/>
      <c r="K63" s="515">
        <v>0.42</v>
      </c>
      <c r="L63" s="515">
        <v>0.66</v>
      </c>
      <c r="M63" s="515">
        <v>0.71</v>
      </c>
      <c r="N63" s="515">
        <v>0.48</v>
      </c>
      <c r="O63" s="274">
        <f>O50/O$55</f>
        <v>0.5653517339579599</v>
      </c>
      <c r="P63" s="445"/>
      <c r="Q63" s="515">
        <v>0.5</v>
      </c>
      <c r="R63" s="515">
        <v>0.57999999999999996</v>
      </c>
      <c r="S63" s="515">
        <v>0.64</v>
      </c>
      <c r="T63" s="515">
        <v>0.7</v>
      </c>
      <c r="U63" s="274">
        <f>U50/U$55</f>
        <v>0.61857965076577881</v>
      </c>
      <c r="V63" s="458"/>
      <c r="W63" s="515">
        <v>0.56000000000000005</v>
      </c>
      <c r="X63" s="515">
        <v>0.59</v>
      </c>
      <c r="Y63" s="515">
        <v>0.34</v>
      </c>
      <c r="Z63" s="515">
        <v>0.33</v>
      </c>
      <c r="AA63" s="274">
        <f>AA50/AA$55</f>
        <v>0.45443805217726696</v>
      </c>
      <c r="AB63" s="458"/>
      <c r="AC63" s="515">
        <v>0.32</v>
      </c>
      <c r="AD63" s="515">
        <v>0.26</v>
      </c>
      <c r="AE63" s="515">
        <v>0.1</v>
      </c>
      <c r="AF63" s="515">
        <v>0.19</v>
      </c>
      <c r="AG63" s="274">
        <f>AG50/AG$55</f>
        <v>0.23141200932468356</v>
      </c>
      <c r="AI63" s="515">
        <v>0.6</v>
      </c>
      <c r="AJ63" s="515">
        <v>0.09</v>
      </c>
      <c r="AK63" s="515">
        <v>0.04</v>
      </c>
      <c r="AL63" s="515">
        <v>0.09</v>
      </c>
      <c r="AM63" s="274">
        <f>AM50/AM$55</f>
        <v>0.11436588081283017</v>
      </c>
      <c r="AO63" s="515">
        <v>0.05</v>
      </c>
      <c r="AP63" s="515">
        <v>0.03</v>
      </c>
      <c r="AQ63" s="515">
        <v>0.01</v>
      </c>
      <c r="AR63" s="515">
        <v>0.09</v>
      </c>
      <c r="AS63" s="274">
        <f>AS50/AS$55</f>
        <v>4.8198577554112006E-2</v>
      </c>
      <c r="AU63" s="515">
        <v>0.05</v>
      </c>
      <c r="AV63" s="515">
        <v>7.0000000000000007E-2</v>
      </c>
      <c r="AW63" s="515">
        <v>0.05</v>
      </c>
      <c r="AX63" s="515">
        <v>0</v>
      </c>
      <c r="AY63" s="274">
        <f>AY50/AY$55</f>
        <v>4.5298224779377137E-2</v>
      </c>
      <c r="BA63" s="515">
        <v>0.06</v>
      </c>
      <c r="BB63" s="515">
        <v>0</v>
      </c>
      <c r="BC63" s="515">
        <v>0</v>
      </c>
      <c r="BD63" s="515">
        <v>0.03</v>
      </c>
      <c r="BE63" s="274">
        <f>BE50/BE$55</f>
        <v>2.2620738636363637E-2</v>
      </c>
      <c r="BG63" s="513">
        <v>0</v>
      </c>
      <c r="BH63" s="513">
        <v>0</v>
      </c>
      <c r="BI63" s="513">
        <f ca="1">BI50/BI$55</f>
        <v>0</v>
      </c>
      <c r="BJ63" s="513">
        <v>0.03</v>
      </c>
      <c r="BK63" s="274">
        <f ca="1">BK50/BK$55</f>
        <v>1.0827677744108586E-2</v>
      </c>
      <c r="BM63" s="513">
        <v>0</v>
      </c>
      <c r="BN63" s="513">
        <v>0.01</v>
      </c>
      <c r="BO63" s="513">
        <v>0</v>
      </c>
      <c r="BP63" s="513">
        <v>0.01</v>
      </c>
      <c r="BQ63" s="274">
        <f>BQ50/BQ$55</f>
        <v>5.4876496653153582E-3</v>
      </c>
      <c r="BS63" s="471">
        <v>0.03</v>
      </c>
      <c r="BT63" s="471">
        <v>0.01</v>
      </c>
      <c r="BU63" s="471">
        <v>0.03</v>
      </c>
      <c r="BV63" s="471">
        <v>0.03</v>
      </c>
      <c r="BW63" s="274">
        <f>BW50/BW$55</f>
        <v>2.4645048617011233E-2</v>
      </c>
      <c r="BY63" s="471">
        <v>0.05</v>
      </c>
      <c r="BZ63" s="471">
        <v>0.03</v>
      </c>
      <c r="CA63" s="471">
        <v>0.02</v>
      </c>
      <c r="CB63" s="471">
        <v>0.02</v>
      </c>
      <c r="CC63" s="274">
        <f>CC50/CC$55</f>
        <v>2.8229452054794522E-2</v>
      </c>
      <c r="CE63" s="471">
        <v>0.05</v>
      </c>
      <c r="CF63" s="471">
        <v>0.03</v>
      </c>
      <c r="CG63" s="471">
        <v>0.02</v>
      </c>
      <c r="CH63" s="471">
        <v>0.04</v>
      </c>
      <c r="CI63" s="274">
        <f>CI50/CI$55</f>
        <v>3.4028429326764663E-2</v>
      </c>
      <c r="CK63" s="471">
        <v>0.04</v>
      </c>
      <c r="CL63" s="471">
        <v>0.04</v>
      </c>
      <c r="CM63" s="471">
        <v>0.03</v>
      </c>
      <c r="CN63" s="471">
        <v>0.03</v>
      </c>
      <c r="CO63" s="274">
        <f>CO50/CO$55</f>
        <v>3.4545531595452296E-2</v>
      </c>
      <c r="CQ63" s="471">
        <v>0.04</v>
      </c>
      <c r="CR63" s="471">
        <v>0.02</v>
      </c>
      <c r="CS63" s="471">
        <v>7.0000000000000007E-2</v>
      </c>
      <c r="CT63" s="471">
        <v>0.04</v>
      </c>
      <c r="CU63" s="471">
        <v>0</v>
      </c>
      <c r="CW63" s="471">
        <v>7.0000000000000007E-2</v>
      </c>
      <c r="CX63" s="471">
        <v>0.05</v>
      </c>
      <c r="CY63" s="471">
        <v>0.01</v>
      </c>
      <c r="CZ63" s="471">
        <v>0.04</v>
      </c>
      <c r="DA63" s="469">
        <v>0</v>
      </c>
      <c r="DC63" s="471">
        <v>0.02</v>
      </c>
      <c r="DD63" s="471">
        <v>0.05</v>
      </c>
      <c r="DE63" s="471">
        <v>0.03</v>
      </c>
      <c r="DF63" s="471">
        <v>0.03</v>
      </c>
      <c r="DG63" s="471">
        <v>0</v>
      </c>
      <c r="DI63" s="471">
        <v>0.06</v>
      </c>
      <c r="DJ63" s="471">
        <v>0.04</v>
      </c>
      <c r="DK63" s="471">
        <v>0.03</v>
      </c>
      <c r="DL63" s="471">
        <v>0.04</v>
      </c>
      <c r="DM63" s="736">
        <v>0</v>
      </c>
      <c r="DN63" s="827"/>
      <c r="DO63" s="471">
        <v>0.03</v>
      </c>
      <c r="DP63" s="471">
        <v>0.02</v>
      </c>
      <c r="DQ63" s="471">
        <v>0.02</v>
      </c>
      <c r="DR63" s="471">
        <v>7.6231922569291691E-2</v>
      </c>
      <c r="DS63" s="736">
        <v>3.6999999999999998E-2</v>
      </c>
      <c r="DT63" s="827"/>
      <c r="DU63" s="471">
        <v>0.03</v>
      </c>
      <c r="DV63" s="471">
        <v>7.0000000000000007E-2</v>
      </c>
      <c r="DW63" s="471">
        <v>0.03</v>
      </c>
      <c r="DX63" s="471">
        <v>0.02</v>
      </c>
      <c r="DY63" s="736">
        <v>0.04</v>
      </c>
      <c r="DZ63" s="827"/>
      <c r="EA63" s="471">
        <v>0.02</v>
      </c>
      <c r="EB63" s="471">
        <v>0.02</v>
      </c>
      <c r="EC63" s="471">
        <v>0.02</v>
      </c>
      <c r="ED63" s="471">
        <v>0.02</v>
      </c>
      <c r="EE63" s="736"/>
      <c r="EF63" s="827"/>
      <c r="EG63" s="471">
        <v>0.02</v>
      </c>
      <c r="EH63" s="471"/>
      <c r="EI63" s="471"/>
      <c r="EJ63" s="471"/>
      <c r="EK63" s="469"/>
      <c r="EL63" s="469"/>
      <c r="EM63" s="499"/>
      <c r="FA63" s="274">
        <f t="shared" ref="FA63:FM63" ca="1" si="354">FA50/FA$55</f>
        <v>1.0827677744108586E-2</v>
      </c>
      <c r="FB63" s="274">
        <f t="shared" si="354"/>
        <v>5.4876496653153582E-3</v>
      </c>
      <c r="FC63" s="274">
        <f t="shared" si="354"/>
        <v>2.4645048617011233E-2</v>
      </c>
      <c r="FD63" s="274">
        <f t="shared" si="354"/>
        <v>2.8229452054794522E-2</v>
      </c>
      <c r="FE63" s="274">
        <f t="shared" si="354"/>
        <v>3.4028429326764663E-2</v>
      </c>
      <c r="FF63" s="274">
        <f t="shared" si="354"/>
        <v>3.4545531595452296E-2</v>
      </c>
      <c r="FG63" s="274">
        <f t="shared" si="354"/>
        <v>4.3640688742899711E-2</v>
      </c>
      <c r="FH63" s="274">
        <f t="shared" si="354"/>
        <v>3.7968109339407752E-2</v>
      </c>
      <c r="FI63" s="274">
        <f t="shared" si="354"/>
        <v>3.2029195690229766E-2</v>
      </c>
      <c r="FJ63" s="274">
        <f t="shared" si="354"/>
        <v>4.0207189750037259E-2</v>
      </c>
      <c r="FK63" s="274">
        <f t="shared" si="354"/>
        <v>3.6999866582620243E-2</v>
      </c>
      <c r="FL63" s="274">
        <f t="shared" si="354"/>
        <v>3.5479289071005622E-2</v>
      </c>
      <c r="FM63" s="274">
        <f t="shared" si="354"/>
        <v>0</v>
      </c>
      <c r="FN63" s="274">
        <f t="shared" ref="FN63:FO63" si="355">FN50/FN$55</f>
        <v>0</v>
      </c>
      <c r="FO63" s="274">
        <f t="shared" si="355"/>
        <v>0</v>
      </c>
      <c r="FP63" s="843"/>
      <c r="FQ63" s="274">
        <f t="shared" ca="1" si="353"/>
        <v>0</v>
      </c>
      <c r="FR63" s="274">
        <f t="shared" ca="1" si="353"/>
        <v>0</v>
      </c>
    </row>
    <row r="64" spans="2:174" ht="12" x14ac:dyDescent="0.25">
      <c r="B64" s="539" t="s">
        <v>53</v>
      </c>
      <c r="D64" s="445"/>
      <c r="E64" s="480"/>
      <c r="F64" s="480"/>
      <c r="H64" s="481"/>
      <c r="J64" s="445"/>
      <c r="K64" s="515">
        <v>0.51</v>
      </c>
      <c r="L64" s="515">
        <v>0.32</v>
      </c>
      <c r="M64" s="515">
        <v>0.24</v>
      </c>
      <c r="N64" s="515">
        <v>0.45</v>
      </c>
      <c r="O64" s="274">
        <f>O51/O$55</f>
        <v>0.38404359157831613</v>
      </c>
      <c r="P64" s="445"/>
      <c r="Q64" s="515">
        <v>0.46</v>
      </c>
      <c r="R64" s="515">
        <v>0.36</v>
      </c>
      <c r="S64" s="515">
        <v>0.28999999999999998</v>
      </c>
      <c r="T64" s="515">
        <v>0.22</v>
      </c>
      <c r="U64" s="274">
        <f>U51/U$55</f>
        <v>0.31613232932752977</v>
      </c>
      <c r="V64" s="458"/>
      <c r="W64" s="515">
        <v>0.34</v>
      </c>
      <c r="X64" s="515">
        <v>0.31</v>
      </c>
      <c r="Y64" s="515">
        <v>0.17</v>
      </c>
      <c r="Z64" s="515">
        <v>0.15</v>
      </c>
      <c r="AA64" s="274">
        <f>AA51/AA$55</f>
        <v>0.24234309654370934</v>
      </c>
      <c r="AB64" s="458"/>
      <c r="AC64" s="515">
        <v>0.14000000000000001</v>
      </c>
      <c r="AD64" s="515">
        <v>0.05</v>
      </c>
      <c r="AE64" s="515">
        <v>0.08</v>
      </c>
      <c r="AF64" s="515">
        <v>0.06</v>
      </c>
      <c r="AG64" s="274">
        <f>AG51/AG$55</f>
        <v>8.7876099478655309E-2</v>
      </c>
      <c r="AI64" s="515">
        <v>0.03</v>
      </c>
      <c r="AJ64" s="515">
        <v>0</v>
      </c>
      <c r="AK64" s="515">
        <v>0.1</v>
      </c>
      <c r="AL64" s="515">
        <v>0.21</v>
      </c>
      <c r="AM64" s="274">
        <f>AM51/AM$55</f>
        <v>0.11880736225143806</v>
      </c>
      <c r="AO64" s="515">
        <v>0.11</v>
      </c>
      <c r="AP64" s="515">
        <v>0.11</v>
      </c>
      <c r="AQ64" s="515">
        <v>0.25</v>
      </c>
      <c r="AR64" s="515">
        <v>0.19</v>
      </c>
      <c r="AS64" s="274">
        <f>AS51/AS$55</f>
        <v>0.17388887462448968</v>
      </c>
      <c r="AU64" s="515">
        <v>0.23</v>
      </c>
      <c r="AV64" s="515">
        <v>0.23</v>
      </c>
      <c r="AW64" s="515">
        <v>0.16</v>
      </c>
      <c r="AX64" s="515">
        <v>0.14000000000000001</v>
      </c>
      <c r="AY64" s="274">
        <f>AY51/AY$55</f>
        <v>0.19345809701263339</v>
      </c>
      <c r="BA64" s="515">
        <v>0.33</v>
      </c>
      <c r="BB64" s="515">
        <v>0.27</v>
      </c>
      <c r="BC64" s="515">
        <v>0.15</v>
      </c>
      <c r="BD64" s="515">
        <v>0.19</v>
      </c>
      <c r="BE64" s="274">
        <f>BE51/BE$55</f>
        <v>0.23886679292929291</v>
      </c>
      <c r="BG64" s="513">
        <v>0.23</v>
      </c>
      <c r="BH64" s="513">
        <v>0.2</v>
      </c>
      <c r="BI64" s="513">
        <v>0.11</v>
      </c>
      <c r="BJ64" s="513">
        <v>0.19</v>
      </c>
      <c r="BK64" s="274">
        <f ca="1">BK51/BK$55</f>
        <v>0.17985024166687538</v>
      </c>
      <c r="BM64" s="513">
        <v>0.17</v>
      </c>
      <c r="BN64" s="513">
        <v>0.02</v>
      </c>
      <c r="BO64" s="513">
        <v>0.12</v>
      </c>
      <c r="BP64" s="513">
        <v>0.09</v>
      </c>
      <c r="BQ64" s="274">
        <f>BQ51/BQ$55</f>
        <v>9.5167578014518722E-2</v>
      </c>
      <c r="BS64" s="471">
        <v>0.12</v>
      </c>
      <c r="BT64" s="471">
        <v>0.12</v>
      </c>
      <c r="BU64" s="471">
        <v>0.27</v>
      </c>
      <c r="BV64" s="471">
        <v>0.23</v>
      </c>
      <c r="BW64" s="274">
        <f>BW51/BW$55</f>
        <v>0.17739497781553853</v>
      </c>
      <c r="BY64" s="471">
        <v>0.14000000000000001</v>
      </c>
      <c r="BZ64" s="471">
        <v>0.11</v>
      </c>
      <c r="CA64" s="471">
        <v>0.12</v>
      </c>
      <c r="CB64" s="471">
        <v>0.1</v>
      </c>
      <c r="CC64" s="274">
        <f>CC51/CC$55</f>
        <v>0.11545376712328767</v>
      </c>
      <c r="CE64" s="471">
        <v>0.15</v>
      </c>
      <c r="CF64" s="471">
        <v>0.09</v>
      </c>
      <c r="CG64" s="471">
        <v>0.1</v>
      </c>
      <c r="CH64" s="471">
        <v>0.1</v>
      </c>
      <c r="CI64" s="274">
        <f>CI51/CI$55</f>
        <v>0.10736605111630604</v>
      </c>
      <c r="CK64" s="471">
        <v>0.14000000000000001</v>
      </c>
      <c r="CL64" s="471">
        <v>0.1</v>
      </c>
      <c r="CM64" s="471">
        <v>0.09</v>
      </c>
      <c r="CN64" s="471">
        <v>0.1</v>
      </c>
      <c r="CO64" s="274">
        <f>CO51/CO$55</f>
        <v>0.10555774842295168</v>
      </c>
      <c r="CQ64" s="471">
        <v>0.09</v>
      </c>
      <c r="CR64" s="471">
        <v>0.11</v>
      </c>
      <c r="CS64" s="471">
        <v>0.06</v>
      </c>
      <c r="CT64" s="471">
        <v>0.06</v>
      </c>
      <c r="CU64" s="471">
        <v>0</v>
      </c>
      <c r="CW64" s="471">
        <v>0.13</v>
      </c>
      <c r="CX64" s="471">
        <v>0.1</v>
      </c>
      <c r="CY64" s="471">
        <v>0.08</v>
      </c>
      <c r="CZ64" s="471">
        <v>0.11</v>
      </c>
      <c r="DA64" s="469">
        <v>0</v>
      </c>
      <c r="DC64" s="471">
        <v>0.11</v>
      </c>
      <c r="DD64" s="471">
        <v>0.11</v>
      </c>
      <c r="DE64" s="471">
        <v>7.0000000000000007E-2</v>
      </c>
      <c r="DF64" s="471">
        <v>0.1</v>
      </c>
      <c r="DG64" s="471">
        <v>0</v>
      </c>
      <c r="DI64" s="471">
        <v>0.12</v>
      </c>
      <c r="DJ64" s="471">
        <v>0.1</v>
      </c>
      <c r="DK64" s="471">
        <v>0.1</v>
      </c>
      <c r="DL64" s="471">
        <v>0.12</v>
      </c>
      <c r="DM64" s="736">
        <v>0</v>
      </c>
      <c r="DO64" s="471">
        <v>0.09</v>
      </c>
      <c r="DP64" s="471">
        <v>0.09</v>
      </c>
      <c r="DQ64" s="471">
        <v>0.1</v>
      </c>
      <c r="DR64" s="471">
        <v>0.11926616805983291</v>
      </c>
      <c r="DS64" s="736">
        <v>0.1</v>
      </c>
      <c r="DT64" s="399"/>
      <c r="DU64" s="471">
        <v>0.08</v>
      </c>
      <c r="DV64" s="471">
        <v>0.09</v>
      </c>
      <c r="DW64" s="471">
        <v>0.1</v>
      </c>
      <c r="DX64" s="471">
        <v>0.09</v>
      </c>
      <c r="DY64" s="736">
        <v>0.09</v>
      </c>
      <c r="EA64" s="471">
        <v>0.05</v>
      </c>
      <c r="EB64" s="471">
        <v>0.04</v>
      </c>
      <c r="EC64" s="471">
        <v>0.03</v>
      </c>
      <c r="ED64" s="471">
        <v>0.05</v>
      </c>
      <c r="EE64" s="736"/>
      <c r="EG64" s="471">
        <v>0.06</v>
      </c>
      <c r="EH64" s="471"/>
      <c r="EI64" s="471"/>
      <c r="EJ64" s="471"/>
      <c r="EK64" s="469"/>
      <c r="EL64" s="469"/>
      <c r="EM64" s="499"/>
      <c r="FA64" s="274">
        <f t="shared" ref="FA64:FM64" ca="1" si="356">FA51/FA$55</f>
        <v>0.17985024166687538</v>
      </c>
      <c r="FB64" s="274">
        <f t="shared" si="356"/>
        <v>9.5167578014518722E-2</v>
      </c>
      <c r="FC64" s="274">
        <f t="shared" si="356"/>
        <v>0.17739497781553853</v>
      </c>
      <c r="FD64" s="274">
        <f t="shared" si="356"/>
        <v>0.11545376712328767</v>
      </c>
      <c r="FE64" s="274">
        <f t="shared" si="356"/>
        <v>0.10736605111630604</v>
      </c>
      <c r="FF64" s="274">
        <f t="shared" si="356"/>
        <v>0.10555774842295168</v>
      </c>
      <c r="FG64" s="274">
        <f t="shared" si="356"/>
        <v>7.5919120507775592E-2</v>
      </c>
      <c r="FH64" s="274">
        <f t="shared" si="356"/>
        <v>0.10170513255464547</v>
      </c>
      <c r="FI64" s="274">
        <f t="shared" si="356"/>
        <v>9.5418561896181697E-2</v>
      </c>
      <c r="FJ64" s="274">
        <f t="shared" si="356"/>
        <v>0.10911855245847456</v>
      </c>
      <c r="FK64" s="274">
        <f t="shared" si="356"/>
        <v>9.9999721952163861E-2</v>
      </c>
      <c r="FL64" s="274">
        <f t="shared" si="356"/>
        <v>9.0900421247019816E-2</v>
      </c>
      <c r="FM64" s="274">
        <f t="shared" si="356"/>
        <v>0</v>
      </c>
      <c r="FN64" s="274">
        <f t="shared" ref="FN64:FO64" si="357">FN51/FN$55</f>
        <v>0</v>
      </c>
      <c r="FO64" s="274">
        <f t="shared" si="357"/>
        <v>0</v>
      </c>
      <c r="FP64" s="843"/>
      <c r="FQ64" s="274">
        <f t="shared" ca="1" si="353"/>
        <v>4.9334284355682358E-2</v>
      </c>
      <c r="FR64" s="274">
        <f t="shared" ca="1" si="353"/>
        <v>4.2405551272166539E-2</v>
      </c>
    </row>
    <row r="65" spans="2:177" ht="12" x14ac:dyDescent="0.25">
      <c r="B65" s="663" t="s">
        <v>251</v>
      </c>
      <c r="C65" s="382"/>
      <c r="D65" s="664"/>
      <c r="E65" s="665"/>
      <c r="F65" s="665"/>
      <c r="G65" s="382"/>
      <c r="H65" s="504"/>
      <c r="I65" s="382"/>
      <c r="J65" s="664"/>
      <c r="K65" s="780">
        <v>7.0000000000000007E-2</v>
      </c>
      <c r="L65" s="780">
        <v>0.02</v>
      </c>
      <c r="M65" s="780">
        <v>0.05</v>
      </c>
      <c r="N65" s="780">
        <v>7.0000000000000007E-2</v>
      </c>
      <c r="O65" s="383">
        <f>O52/O$55</f>
        <v>5.0604674463724117E-2</v>
      </c>
      <c r="P65" s="664"/>
      <c r="Q65" s="780">
        <v>0.04</v>
      </c>
      <c r="R65" s="780">
        <v>0.06</v>
      </c>
      <c r="S65" s="780">
        <v>7.0000000000000007E-2</v>
      </c>
      <c r="T65" s="780">
        <v>0.08</v>
      </c>
      <c r="U65" s="383">
        <f>U52/U$55</f>
        <v>6.5288019906691239E-2</v>
      </c>
      <c r="V65" s="509"/>
      <c r="W65" s="860">
        <v>0.08</v>
      </c>
      <c r="X65" s="860">
        <v>0.08</v>
      </c>
      <c r="Y65" s="780">
        <v>0.09</v>
      </c>
      <c r="Z65" s="780">
        <v>0.06</v>
      </c>
      <c r="AA65" s="383">
        <f>AA52/AA$55</f>
        <v>8.7415695773304783E-2</v>
      </c>
      <c r="AB65" s="509"/>
      <c r="AC65" s="780">
        <v>0.03</v>
      </c>
      <c r="AD65" s="780">
        <v>0.04</v>
      </c>
      <c r="AE65" s="780">
        <v>0.05</v>
      </c>
      <c r="AF65" s="780">
        <v>0.02</v>
      </c>
      <c r="AG65" s="383">
        <f>AG52/AG$55</f>
        <v>3.6065597806068987E-2</v>
      </c>
      <c r="AH65" s="382"/>
      <c r="AI65" s="780">
        <v>0.08</v>
      </c>
      <c r="AJ65" s="780">
        <v>0.02</v>
      </c>
      <c r="AK65" s="780">
        <v>0.02</v>
      </c>
      <c r="AL65" s="780">
        <v>0</v>
      </c>
      <c r="AM65" s="383">
        <f>AM52/AM$55</f>
        <v>1.7812365409266485E-2</v>
      </c>
      <c r="AN65" s="382"/>
      <c r="AO65" s="780">
        <v>0.01</v>
      </c>
      <c r="AP65" s="780">
        <v>0.01</v>
      </c>
      <c r="AQ65" s="780">
        <v>0.01</v>
      </c>
      <c r="AR65" s="780">
        <v>0.02</v>
      </c>
      <c r="AS65" s="383">
        <f>AS52/AS$55</f>
        <v>1.3371504865586569E-2</v>
      </c>
      <c r="AT65" s="382"/>
      <c r="AU65" s="780">
        <v>0.01</v>
      </c>
      <c r="AV65" s="780">
        <v>0.01</v>
      </c>
      <c r="AW65" s="780">
        <v>0.02</v>
      </c>
      <c r="AX65" s="780">
        <v>0.01</v>
      </c>
      <c r="AY65" s="383">
        <f>AY52/AY$55</f>
        <v>1.2606932983885832E-2</v>
      </c>
      <c r="AZ65" s="382"/>
      <c r="BA65" s="780">
        <v>0.01</v>
      </c>
      <c r="BB65" s="780">
        <v>0.01</v>
      </c>
      <c r="BC65" s="780">
        <v>0.02</v>
      </c>
      <c r="BD65" s="780">
        <v>0.02</v>
      </c>
      <c r="BE65" s="383">
        <f>BE52/BE$55</f>
        <v>1.4647516835016835E-2</v>
      </c>
      <c r="BF65" s="382"/>
      <c r="BG65" s="777">
        <v>0.03</v>
      </c>
      <c r="BH65" s="777">
        <v>0.02</v>
      </c>
      <c r="BI65" s="777">
        <v>0.01</v>
      </c>
      <c r="BJ65" s="383">
        <v>0</v>
      </c>
      <c r="BK65" s="383">
        <f ca="1">BK52/BK$55</f>
        <v>1.2073827352182515E-2</v>
      </c>
      <c r="BL65" s="382"/>
      <c r="BM65" s="777">
        <v>0.01</v>
      </c>
      <c r="BN65" s="777">
        <v>0.01</v>
      </c>
      <c r="BO65" s="777">
        <v>0.02</v>
      </c>
      <c r="BP65" s="777">
        <v>0.01</v>
      </c>
      <c r="BQ65" s="383">
        <f>BQ52/BQ$55</f>
        <v>1.2084708211558406E-2</v>
      </c>
      <c r="BR65" s="382"/>
      <c r="BS65" s="778">
        <v>0.02</v>
      </c>
      <c r="BT65" s="778">
        <v>0.02</v>
      </c>
      <c r="BU65" s="778">
        <v>0.02</v>
      </c>
      <c r="BV65" s="778">
        <v>0.02</v>
      </c>
      <c r="BW65" s="383">
        <f>BW52/BW$55</f>
        <v>0.02</v>
      </c>
      <c r="BX65" s="382"/>
      <c r="BY65" s="778">
        <v>0.02</v>
      </c>
      <c r="BZ65" s="778">
        <v>0.02</v>
      </c>
      <c r="CA65" s="778">
        <v>0.02</v>
      </c>
      <c r="CB65" s="778">
        <v>0.01</v>
      </c>
      <c r="CC65" s="383">
        <f>CC52/CC$55</f>
        <v>1.7240796232876714E-2</v>
      </c>
      <c r="CD65" s="382"/>
      <c r="CE65" s="778">
        <v>0.01</v>
      </c>
      <c r="CF65" s="778">
        <v>0.02</v>
      </c>
      <c r="CG65" s="778">
        <v>0.01</v>
      </c>
      <c r="CH65" s="778">
        <v>0.01</v>
      </c>
      <c r="CI65" s="383">
        <f>CI52/CI$55</f>
        <v>1.2171580086919683E-2</v>
      </c>
      <c r="CJ65" s="382"/>
      <c r="CK65" s="778">
        <v>0.01</v>
      </c>
      <c r="CL65" s="778">
        <v>0.01</v>
      </c>
      <c r="CM65" s="778">
        <v>0.01</v>
      </c>
      <c r="CN65" s="778">
        <v>0.01</v>
      </c>
      <c r="CO65" s="383">
        <f>CO52/CO$55</f>
        <v>1.0000000000000002E-2</v>
      </c>
      <c r="CP65" s="382"/>
      <c r="CQ65" s="778">
        <v>0.02</v>
      </c>
      <c r="CR65" s="778">
        <v>0.01</v>
      </c>
      <c r="CS65" s="778">
        <v>0.01</v>
      </c>
      <c r="CT65" s="778">
        <v>0.02</v>
      </c>
      <c r="CU65" s="778">
        <v>0</v>
      </c>
      <c r="CV65" s="382"/>
      <c r="CW65" s="778">
        <v>0.03</v>
      </c>
      <c r="CX65" s="778">
        <v>0.01</v>
      </c>
      <c r="CY65" s="778">
        <v>0.01</v>
      </c>
      <c r="CZ65" s="778">
        <v>0.01</v>
      </c>
      <c r="DA65" s="779">
        <v>0</v>
      </c>
      <c r="DC65" s="778">
        <v>0.01</v>
      </c>
      <c r="DD65" s="778">
        <v>0.01</v>
      </c>
      <c r="DE65" s="778">
        <v>0.01</v>
      </c>
      <c r="DF65" s="778">
        <v>0.01</v>
      </c>
      <c r="DG65" s="778">
        <v>0</v>
      </c>
      <c r="DI65" s="778">
        <v>0.02</v>
      </c>
      <c r="DJ65" s="778">
        <v>0.01</v>
      </c>
      <c r="DK65" s="778">
        <v>0.01</v>
      </c>
      <c r="DL65" s="778">
        <v>0.01</v>
      </c>
      <c r="DM65" s="803">
        <v>0</v>
      </c>
      <c r="DO65" s="778">
        <v>0.01</v>
      </c>
      <c r="DP65" s="778">
        <v>0.01</v>
      </c>
      <c r="DQ65" s="778">
        <v>0.01</v>
      </c>
      <c r="DR65" s="778">
        <v>9.9999999999999985E-3</v>
      </c>
      <c r="DS65" s="803">
        <v>0.01</v>
      </c>
      <c r="DT65" s="399"/>
      <c r="DU65" s="778">
        <v>0.01</v>
      </c>
      <c r="DV65" s="778">
        <v>0.02</v>
      </c>
      <c r="DW65" s="778">
        <v>0.02</v>
      </c>
      <c r="DX65" s="778">
        <v>0.02</v>
      </c>
      <c r="DY65" s="803">
        <v>0.02</v>
      </c>
      <c r="EA65" s="778">
        <v>0.01</v>
      </c>
      <c r="EB65" s="778">
        <v>0.01</v>
      </c>
      <c r="EC65" s="778">
        <v>0.01</v>
      </c>
      <c r="ED65" s="778">
        <v>0.01</v>
      </c>
      <c r="EE65" s="803"/>
      <c r="EG65" s="778">
        <v>0.01</v>
      </c>
      <c r="EH65" s="778"/>
      <c r="EI65" s="778"/>
      <c r="EJ65" s="778"/>
      <c r="EK65" s="779"/>
      <c r="EL65" s="779"/>
      <c r="EM65" s="499"/>
      <c r="FA65" s="274">
        <f t="shared" ref="FA65:FM65" ca="1" si="358">FA52/FA$55</f>
        <v>1.2073827352182515E-2</v>
      </c>
      <c r="FB65" s="274">
        <f t="shared" si="358"/>
        <v>1.2084708211558406E-2</v>
      </c>
      <c r="FC65" s="274">
        <f t="shared" si="358"/>
        <v>0.02</v>
      </c>
      <c r="FD65" s="274">
        <f t="shared" si="358"/>
        <v>1.7240796232876714E-2</v>
      </c>
      <c r="FE65" s="274">
        <f t="shared" si="358"/>
        <v>1.2171580086919683E-2</v>
      </c>
      <c r="FF65" s="274">
        <f t="shared" si="358"/>
        <v>1.0000000000000002E-2</v>
      </c>
      <c r="FG65" s="274">
        <f t="shared" si="358"/>
        <v>1.5357543824546193E-2</v>
      </c>
      <c r="FH65" s="274">
        <f t="shared" si="358"/>
        <v>1.3070808898366693E-2</v>
      </c>
      <c r="FI65" s="274">
        <f t="shared" si="358"/>
        <v>0.01</v>
      </c>
      <c r="FJ65" s="274">
        <f t="shared" si="358"/>
        <v>1.1482278374367317E-2</v>
      </c>
      <c r="FK65" s="274">
        <f t="shared" si="358"/>
        <v>9.9999676370551328E-3</v>
      </c>
      <c r="FL65" s="274">
        <f t="shared" si="358"/>
        <v>1.8178164061243899E-2</v>
      </c>
      <c r="FM65" s="274">
        <f t="shared" si="358"/>
        <v>0</v>
      </c>
      <c r="FN65" s="274">
        <f t="shared" ref="FN65:FO65" si="359">FN52/FN$55</f>
        <v>0</v>
      </c>
      <c r="FO65" s="274">
        <f t="shared" si="359"/>
        <v>0</v>
      </c>
      <c r="FP65" s="843"/>
      <c r="FQ65" s="274">
        <f t="shared" ca="1" si="353"/>
        <v>0</v>
      </c>
      <c r="FR65" s="274">
        <f t="shared" ca="1" si="353"/>
        <v>0</v>
      </c>
    </row>
    <row r="66" spans="2:177" ht="12" x14ac:dyDescent="0.25">
      <c r="B66" s="666" t="s">
        <v>682</v>
      </c>
      <c r="D66" s="445"/>
      <c r="E66" s="480"/>
      <c r="F66" s="480"/>
      <c r="H66" s="481"/>
      <c r="J66" s="445"/>
      <c r="K66" s="515"/>
      <c r="L66" s="515"/>
      <c r="M66" s="515"/>
      <c r="N66" s="515"/>
      <c r="O66" s="274"/>
      <c r="P66" s="445"/>
      <c r="Q66" s="515"/>
      <c r="R66" s="515"/>
      <c r="S66" s="515"/>
      <c r="T66" s="515"/>
      <c r="U66" s="274"/>
      <c r="V66" s="458"/>
      <c r="W66" s="274"/>
      <c r="X66" s="274"/>
      <c r="Y66" s="515"/>
      <c r="Z66" s="515"/>
      <c r="AA66" s="274"/>
      <c r="AB66" s="458"/>
      <c r="AC66" s="515"/>
      <c r="AD66" s="515"/>
      <c r="AE66" s="515"/>
      <c r="AF66" s="515"/>
      <c r="AG66" s="274"/>
      <c r="AI66" s="515"/>
      <c r="AJ66" s="515"/>
      <c r="AK66" s="515"/>
      <c r="AL66" s="515"/>
      <c r="AM66" s="274"/>
      <c r="AO66" s="515"/>
      <c r="AP66" s="515"/>
      <c r="AQ66" s="515"/>
      <c r="AR66" s="515"/>
      <c r="AS66" s="274"/>
      <c r="AU66" s="515"/>
      <c r="AV66" s="515"/>
      <c r="AW66" s="515"/>
      <c r="AX66" s="515"/>
      <c r="AY66" s="274"/>
      <c r="BA66" s="515"/>
      <c r="BB66" s="515"/>
      <c r="BC66" s="515"/>
      <c r="BD66" s="515"/>
      <c r="BE66" s="274"/>
      <c r="BG66" s="513"/>
      <c r="BH66" s="513"/>
      <c r="BI66" s="513"/>
      <c r="BJ66" s="274"/>
      <c r="BK66" s="274"/>
      <c r="BM66" s="513"/>
      <c r="BN66" s="513"/>
      <c r="BO66" s="513"/>
      <c r="BP66" s="513"/>
      <c r="BQ66" s="274"/>
      <c r="BS66" s="471"/>
      <c r="BT66" s="471"/>
      <c r="BU66" s="471"/>
      <c r="BV66" s="471"/>
      <c r="BW66" s="274"/>
      <c r="BY66" s="471"/>
      <c r="BZ66" s="471"/>
      <c r="CA66" s="471"/>
      <c r="CB66" s="471"/>
      <c r="CC66" s="274"/>
      <c r="CE66" s="471"/>
      <c r="CF66" s="471"/>
      <c r="CG66" s="471"/>
      <c r="CH66" s="471"/>
      <c r="CI66" s="274"/>
      <c r="CK66" s="471"/>
      <c r="CL66" s="471"/>
      <c r="CM66" s="471"/>
      <c r="CN66" s="471"/>
      <c r="CO66" s="274"/>
      <c r="CQ66" s="453">
        <f>CQ53/CQ55</f>
        <v>0.75</v>
      </c>
      <c r="CR66" s="453">
        <f t="shared" ref="CR66" si="360">CR53/CR55</f>
        <v>0.54999999999999993</v>
      </c>
      <c r="CS66" s="453">
        <f>CS53/CS55</f>
        <v>0.65</v>
      </c>
      <c r="CT66" s="453">
        <f>CT53/CT55</f>
        <v>0.68000000000000016</v>
      </c>
      <c r="CU66" s="453">
        <f>CU53/CU55</f>
        <v>0.65864163359678096</v>
      </c>
      <c r="CW66" s="453">
        <f>CW53/CW55</f>
        <v>0.75</v>
      </c>
      <c r="CX66" s="453">
        <f t="shared" ref="CX66" si="361">CX53/CX55</f>
        <v>0.56999999999999995</v>
      </c>
      <c r="CY66" s="453">
        <f>CY53/CY55</f>
        <v>0.31</v>
      </c>
      <c r="CZ66" s="453">
        <f>CZ53/CZ55</f>
        <v>0.61</v>
      </c>
      <c r="DA66" s="472">
        <f>DA53/DA55</f>
        <v>0.53202161585809149</v>
      </c>
      <c r="DC66" s="453">
        <f>DC53/DC55</f>
        <v>0.61</v>
      </c>
      <c r="DD66" s="453">
        <f t="shared" ref="DD66" si="362">DD53/DD55</f>
        <v>0.51000000000000012</v>
      </c>
      <c r="DE66" s="453">
        <f>DE53/DE55</f>
        <v>0.43000000000000005</v>
      </c>
      <c r="DF66" s="453">
        <f>DF53/DF55</f>
        <v>0.49</v>
      </c>
      <c r="DG66" s="453">
        <f>DG53/DG55</f>
        <v>0.50375420246544633</v>
      </c>
      <c r="DI66" s="453">
        <f>DI53/DI55</f>
        <v>0.66999999999999993</v>
      </c>
      <c r="DJ66" s="453">
        <f t="shared" ref="DJ66" si="363">DJ53/DJ55</f>
        <v>0.48000000000000004</v>
      </c>
      <c r="DK66" s="453">
        <f>DK53/DK55</f>
        <v>0.45</v>
      </c>
      <c r="DL66" s="453">
        <f>DL53/DL55</f>
        <v>0.48</v>
      </c>
      <c r="DM66" s="737">
        <f>DM53/DM55</f>
        <v>0.49989118811688688</v>
      </c>
      <c r="DO66" s="453">
        <f>DO53/DO55</f>
        <v>0.43</v>
      </c>
      <c r="DP66" s="453">
        <f t="shared" ref="DP66" si="364">DP53/DP55</f>
        <v>0.61</v>
      </c>
      <c r="DQ66" s="453">
        <f>DQ53/DQ55</f>
        <v>0.61</v>
      </c>
      <c r="DR66" s="453">
        <f>DR53/DR55</f>
        <v>0.57459461504619458</v>
      </c>
      <c r="DS66" s="737">
        <f>DS53/DS55</f>
        <v>0.55700139936003212</v>
      </c>
      <c r="DT66" s="399"/>
      <c r="DU66" s="453">
        <f>DU53/DU55</f>
        <v>0.51</v>
      </c>
      <c r="DV66" s="453">
        <f t="shared" ref="DV66" si="365">DV53/DV55</f>
        <v>0.67999999999999994</v>
      </c>
      <c r="DW66" s="453">
        <f>DW53/DW55</f>
        <v>0.63</v>
      </c>
      <c r="DX66" s="453">
        <f>DX53/DX55</f>
        <v>0.53999999999999992</v>
      </c>
      <c r="DY66" s="737">
        <f>DY53/DY55</f>
        <v>0.58965335550584097</v>
      </c>
      <c r="EA66" s="453">
        <f>EA53/EA55</f>
        <v>0.41</v>
      </c>
      <c r="EB66" s="453">
        <f t="shared" ref="EB66:EC66" si="366">EB53/EB55</f>
        <v>0.5</v>
      </c>
      <c r="EC66" s="453">
        <f t="shared" si="366"/>
        <v>0.57999999999999996</v>
      </c>
      <c r="ED66" s="453">
        <f t="shared" ref="ED66" si="367">ED53/ED55</f>
        <v>0.48000000000000009</v>
      </c>
      <c r="EE66" s="737">
        <f t="shared" ref="EE66" si="368">EE53/EE55</f>
        <v>0.49084552758362454</v>
      </c>
      <c r="EG66" s="453">
        <f>EG53/EG55</f>
        <v>0.32</v>
      </c>
      <c r="EH66" s="453">
        <f t="shared" ref="EH66" si="369">EH53/EH55</f>
        <v>0.42589437819420783</v>
      </c>
      <c r="EI66" s="453">
        <f t="shared" ref="EI66:EL66" si="370">EI53/EI55</f>
        <v>0.39407313997477933</v>
      </c>
      <c r="EJ66" s="453">
        <f t="shared" si="370"/>
        <v>0.39021414209095068</v>
      </c>
      <c r="EK66" s="472">
        <f t="shared" si="370"/>
        <v>0.38313693891830336</v>
      </c>
      <c r="EL66" s="472">
        <f t="shared" si="370"/>
        <v>0.39185460333849315</v>
      </c>
      <c r="EM66" s="499"/>
      <c r="FA66" s="274"/>
      <c r="FB66" s="274"/>
      <c r="FC66" s="274"/>
      <c r="FD66" s="274"/>
      <c r="FE66" s="274"/>
      <c r="FF66" s="274"/>
      <c r="FG66" s="274"/>
      <c r="FH66" s="274"/>
      <c r="FI66" s="274"/>
      <c r="FJ66" s="274"/>
      <c r="FK66" s="274"/>
      <c r="FL66" s="274"/>
      <c r="FM66" s="274"/>
      <c r="FN66" s="274"/>
      <c r="FO66" s="274"/>
      <c r="FP66" s="844">
        <f t="shared" ref="FP66" si="371">FP53/FP55</f>
        <v>0.4035696763095562</v>
      </c>
      <c r="FQ66" s="274"/>
      <c r="FR66" s="274"/>
    </row>
    <row r="67" spans="2:177" ht="12" x14ac:dyDescent="0.25">
      <c r="B67" s="316" t="s">
        <v>56</v>
      </c>
      <c r="D67" s="445"/>
      <c r="E67" s="480"/>
      <c r="F67" s="480"/>
      <c r="H67" s="481"/>
      <c r="J67" s="445"/>
      <c r="K67" s="481"/>
      <c r="L67" s="481"/>
      <c r="M67" s="481"/>
      <c r="N67" s="481"/>
      <c r="P67" s="445"/>
      <c r="Q67" s="481"/>
      <c r="R67" s="481"/>
      <c r="S67" s="481"/>
      <c r="T67" s="481"/>
      <c r="V67" s="458"/>
      <c r="W67" s="481"/>
      <c r="X67" s="481"/>
      <c r="Y67" s="481"/>
      <c r="Z67" s="481"/>
      <c r="AB67" s="458"/>
      <c r="AC67" s="514"/>
      <c r="AD67" s="514"/>
      <c r="AE67" s="514"/>
      <c r="AF67" s="514"/>
      <c r="AI67" s="514"/>
      <c r="AJ67" s="514"/>
      <c r="AK67" s="514"/>
      <c r="AL67" s="514"/>
      <c r="AO67" s="514"/>
      <c r="AP67" s="514"/>
      <c r="AQ67" s="514"/>
      <c r="AR67" s="514"/>
      <c r="AS67" s="274"/>
      <c r="AU67" s="514"/>
      <c r="AV67" s="514"/>
      <c r="AW67" s="514"/>
      <c r="AX67" s="514"/>
      <c r="AY67" s="274"/>
      <c r="BA67" s="514"/>
      <c r="BB67" s="514"/>
      <c r="BC67" s="514"/>
      <c r="BD67" s="514"/>
      <c r="BE67" s="274"/>
      <c r="BG67" s="513"/>
      <c r="BH67" s="513"/>
      <c r="BI67" s="513"/>
      <c r="BJ67" s="274"/>
      <c r="BK67" s="274"/>
      <c r="BM67" s="513"/>
      <c r="BN67" s="513"/>
      <c r="BO67" s="513"/>
      <c r="BP67" s="513"/>
      <c r="BQ67" s="274"/>
      <c r="BS67" s="513"/>
      <c r="BT67" s="513"/>
      <c r="BU67" s="513"/>
      <c r="BV67" s="513"/>
      <c r="BW67" s="274"/>
      <c r="BY67" s="471"/>
      <c r="BZ67" s="471"/>
      <c r="CA67" s="471"/>
      <c r="CB67" s="471">
        <v>0.05</v>
      </c>
      <c r="CC67" s="274">
        <f>CC55/CC$55</f>
        <v>1</v>
      </c>
      <c r="CE67" s="471">
        <v>0.05</v>
      </c>
      <c r="CF67" s="471">
        <v>0.06</v>
      </c>
      <c r="CG67" s="471">
        <v>0.03</v>
      </c>
      <c r="CH67" s="471">
        <v>0.04</v>
      </c>
      <c r="CI67" s="274">
        <f>CI54/CI$55</f>
        <v>4.3396928001004115E-2</v>
      </c>
      <c r="CK67" s="471">
        <v>0.02</v>
      </c>
      <c r="CL67" s="471">
        <v>0.04</v>
      </c>
      <c r="CM67" s="471">
        <v>0.04</v>
      </c>
      <c r="CN67" s="471">
        <v>0.05</v>
      </c>
      <c r="CO67" s="274">
        <f>CO54/CO$55</f>
        <v>3.8896853168020738E-2</v>
      </c>
      <c r="CQ67" s="471">
        <v>0.03</v>
      </c>
      <c r="CR67" s="471">
        <v>0.04</v>
      </c>
      <c r="CS67" s="471">
        <v>0.03</v>
      </c>
      <c r="CT67" s="471">
        <v>0.03</v>
      </c>
      <c r="CU67" s="471">
        <f>CU54/CU55</f>
        <v>3.2057335956692343E-2</v>
      </c>
      <c r="CW67" s="471">
        <v>0.03</v>
      </c>
      <c r="CX67" s="471">
        <v>0.04</v>
      </c>
      <c r="CY67" s="471">
        <v>0.03</v>
      </c>
      <c r="CZ67" s="471">
        <v>0.03</v>
      </c>
      <c r="DA67" s="469">
        <f>DA54/DA55</f>
        <v>3.2363786167789461E-2</v>
      </c>
      <c r="DC67" s="471">
        <v>0.03</v>
      </c>
      <c r="DD67" s="471">
        <v>0.04</v>
      </c>
      <c r="DE67" s="471">
        <v>0.03</v>
      </c>
      <c r="DF67" s="471">
        <v>0.05</v>
      </c>
      <c r="DG67" s="471">
        <f>DG54/DG55</f>
        <v>3.7233733986683948E-2</v>
      </c>
      <c r="DI67" s="471">
        <v>7.0000000000000007E-2</v>
      </c>
      <c r="DJ67" s="471">
        <v>0.04</v>
      </c>
      <c r="DK67" s="471">
        <v>0.04</v>
      </c>
      <c r="DL67" s="471">
        <v>0.03</v>
      </c>
      <c r="DM67" s="736">
        <f>DM54/DM55</f>
        <v>4.1369837268231992E-2</v>
      </c>
      <c r="DO67" s="471">
        <v>0.03</v>
      </c>
      <c r="DP67" s="471">
        <v>0.02</v>
      </c>
      <c r="DQ67" s="471">
        <v>0.04</v>
      </c>
      <c r="DR67" s="471">
        <v>3.4988297404311549E-3</v>
      </c>
      <c r="DS67" s="736">
        <f>DS54/DS55</f>
        <v>2.2999922511007992E-2</v>
      </c>
      <c r="DT67" s="399"/>
      <c r="DU67" s="471">
        <v>0.03</v>
      </c>
      <c r="DV67" s="471">
        <v>0.01</v>
      </c>
      <c r="DW67" s="471">
        <v>0.02</v>
      </c>
      <c r="DX67" s="471">
        <v>0.04</v>
      </c>
      <c r="DY67" s="736">
        <f>DY54/DY55</f>
        <v>2.617253212180792E-2</v>
      </c>
      <c r="EA67" s="471">
        <v>0.03</v>
      </c>
      <c r="EB67" s="471">
        <v>0.02</v>
      </c>
      <c r="EC67" s="471">
        <v>0.04</v>
      </c>
      <c r="ED67" s="471">
        <v>0.04</v>
      </c>
      <c r="EE67" s="736">
        <f t="shared" ref="EE67" si="372">EE54/EE55</f>
        <v>3.3081374577231308E-2</v>
      </c>
      <c r="EG67" s="471">
        <v>0.02</v>
      </c>
      <c r="EH67" s="471">
        <f t="shared" ref="EH67" si="373">EH54/EH55</f>
        <v>2.5553662691652469E-2</v>
      </c>
      <c r="EI67" s="471">
        <f t="shared" ref="EI67:EL67" si="374">EI54/EI55</f>
        <v>2.2068095838587643E-2</v>
      </c>
      <c r="EJ67" s="471">
        <f t="shared" si="374"/>
        <v>2.4102207822492068E-2</v>
      </c>
      <c r="EK67" s="469">
        <f t="shared" si="374"/>
        <v>2.2926317603396695E-2</v>
      </c>
      <c r="EL67" s="469">
        <f t="shared" si="374"/>
        <v>2.2691992412742792E-2</v>
      </c>
      <c r="EM67" s="499"/>
      <c r="FA67" s="274"/>
      <c r="FB67" s="274"/>
      <c r="FC67" s="274"/>
      <c r="FD67" s="274">
        <f t="shared" ref="FD67:FM67" si="375">FD54/FD$55</f>
        <v>1.3796018835616437E-2</v>
      </c>
      <c r="FE67" s="274">
        <f t="shared" si="375"/>
        <v>4.3396928001004115E-2</v>
      </c>
      <c r="FF67" s="274">
        <f t="shared" si="375"/>
        <v>3.8896853168020738E-2</v>
      </c>
      <c r="FG67" s="274">
        <f t="shared" si="375"/>
        <v>3.2057335956692343E-2</v>
      </c>
      <c r="FH67" s="274">
        <f t="shared" si="375"/>
        <v>3.2363786167789461E-2</v>
      </c>
      <c r="FI67" s="274">
        <f t="shared" si="375"/>
        <v>3.7233733986683948E-2</v>
      </c>
      <c r="FJ67" s="274">
        <f t="shared" si="375"/>
        <v>4.1369837268231992E-2</v>
      </c>
      <c r="FK67" s="274">
        <f t="shared" si="375"/>
        <v>2.2999848076485578E-2</v>
      </c>
      <c r="FL67" s="274">
        <f t="shared" si="375"/>
        <v>2.617253212180792E-2</v>
      </c>
      <c r="FM67" s="274">
        <f t="shared" si="375"/>
        <v>3.3081374577231308E-2</v>
      </c>
      <c r="FN67" s="274">
        <f t="shared" ref="FN67:FO67" si="376">FN54/FN$55</f>
        <v>2.2926317603396695E-2</v>
      </c>
      <c r="FO67" s="274">
        <f t="shared" si="376"/>
        <v>2.2691992412742792E-2</v>
      </c>
      <c r="FP67" s="843">
        <f t="shared" ref="FP67" si="377">FP54/FP55</f>
        <v>2.9005730027498788E-2</v>
      </c>
      <c r="FQ67" s="274">
        <f>FQ54/FQ$55</f>
        <v>4.7551117451260106E-3</v>
      </c>
      <c r="FR67" s="274">
        <f>FR54/FR$55</f>
        <v>4.2405551272166539E-2</v>
      </c>
    </row>
    <row r="68" spans="2:177" ht="12" x14ac:dyDescent="0.25">
      <c r="B68" s="782" t="s">
        <v>249</v>
      </c>
      <c r="C68" s="604"/>
      <c r="D68" s="782"/>
      <c r="E68" s="783"/>
      <c r="F68" s="783"/>
      <c r="G68" s="604"/>
      <c r="H68" s="784"/>
      <c r="I68" s="604"/>
      <c r="J68" s="782"/>
      <c r="K68" s="784"/>
      <c r="L68" s="784"/>
      <c r="M68" s="784"/>
      <c r="N68" s="784"/>
      <c r="O68" s="604"/>
      <c r="P68" s="782"/>
      <c r="Q68" s="784"/>
      <c r="R68" s="784"/>
      <c r="S68" s="784"/>
      <c r="T68" s="784"/>
      <c r="U68" s="604"/>
      <c r="V68" s="785"/>
      <c r="W68" s="784"/>
      <c r="X68" s="784"/>
      <c r="Y68" s="784"/>
      <c r="Z68" s="784"/>
      <c r="AA68" s="604"/>
      <c r="AB68" s="785"/>
      <c r="AC68" s="786"/>
      <c r="AD68" s="786"/>
      <c r="AE68" s="786"/>
      <c r="AF68" s="786"/>
      <c r="AG68" s="604"/>
      <c r="AH68" s="604"/>
      <c r="AI68" s="786"/>
      <c r="AJ68" s="786"/>
      <c r="AK68" s="786"/>
      <c r="AL68" s="786"/>
      <c r="AM68" s="604"/>
      <c r="AN68" s="604"/>
      <c r="AO68" s="786"/>
      <c r="AP68" s="786"/>
      <c r="AQ68" s="786"/>
      <c r="AR68" s="786"/>
      <c r="AS68" s="787"/>
      <c r="AT68" s="604"/>
      <c r="AU68" s="786"/>
      <c r="AV68" s="786"/>
      <c r="AW68" s="786"/>
      <c r="AX68" s="786"/>
      <c r="AY68" s="787"/>
      <c r="AZ68" s="604"/>
      <c r="BA68" s="786"/>
      <c r="BB68" s="786"/>
      <c r="BC68" s="786"/>
      <c r="BD68" s="786"/>
      <c r="BE68" s="787"/>
      <c r="BF68" s="604"/>
      <c r="BG68" s="788"/>
      <c r="BH68" s="788"/>
      <c r="BI68" s="788"/>
      <c r="BJ68" s="787"/>
      <c r="BK68" s="787"/>
      <c r="BL68" s="604"/>
      <c r="BM68" s="788"/>
      <c r="BN68" s="788"/>
      <c r="BO68" s="788"/>
      <c r="BP68" s="788"/>
      <c r="BQ68" s="787"/>
      <c r="BR68" s="604"/>
      <c r="BS68" s="788"/>
      <c r="BT68" s="788"/>
      <c r="BU68" s="788"/>
      <c r="BV68" s="788"/>
      <c r="BW68" s="787"/>
      <c r="BX68" s="604"/>
      <c r="BY68" s="789"/>
      <c r="BZ68" s="789"/>
      <c r="CA68" s="789"/>
      <c r="CB68" s="789"/>
      <c r="CC68" s="787"/>
      <c r="CD68" s="604"/>
      <c r="CE68" s="789"/>
      <c r="CF68" s="789"/>
      <c r="CG68" s="789"/>
      <c r="CH68" s="789"/>
      <c r="CI68" s="787"/>
      <c r="CJ68" s="604"/>
      <c r="CK68" s="789"/>
      <c r="CL68" s="789"/>
      <c r="CM68" s="789"/>
      <c r="CN68" s="789"/>
      <c r="CO68" s="787"/>
      <c r="CP68" s="604"/>
      <c r="CQ68" s="790">
        <f>SUM(CQ61,CQ66:CQ67)</f>
        <v>1</v>
      </c>
      <c r="CR68" s="790">
        <f t="shared" ref="CR68" si="378">SUM(CR61,CR66:CR67)</f>
        <v>1</v>
      </c>
      <c r="CS68" s="790">
        <f>SUM(CS61,CS66:CS67)</f>
        <v>1</v>
      </c>
      <c r="CT68" s="790">
        <f>SUM(CT61,CT66:CT67)</f>
        <v>1.0000000000000002</v>
      </c>
      <c r="CU68" s="790">
        <f>SUM(CU61,CU66:CU67)</f>
        <v>1</v>
      </c>
      <c r="CV68" s="604"/>
      <c r="CW68" s="790">
        <f>SUM(CW61,CW66:CW67)</f>
        <v>1</v>
      </c>
      <c r="CX68" s="790">
        <f t="shared" ref="CX68" si="379">SUM(CX61,CX66:CX67)</f>
        <v>1</v>
      </c>
      <c r="CY68" s="790">
        <f>SUM(CY61,CY66:CY67)</f>
        <v>1</v>
      </c>
      <c r="CZ68" s="790">
        <f>SUM(CZ61,CZ66:CZ67)</f>
        <v>1</v>
      </c>
      <c r="DA68" s="791">
        <f>SUM(DA61,DA66:DA67)</f>
        <v>1</v>
      </c>
      <c r="DC68" s="790">
        <f>SUM(DC61,DC66:DC67)</f>
        <v>1</v>
      </c>
      <c r="DD68" s="790">
        <f t="shared" ref="DD68" si="380">SUM(DD61,DD66:DD67)</f>
        <v>1.0000000000000002</v>
      </c>
      <c r="DE68" s="790">
        <f>SUM(DE61,DE66:DE67)</f>
        <v>1</v>
      </c>
      <c r="DF68" s="790">
        <f>SUM(DF61,DF66:DF67)</f>
        <v>1</v>
      </c>
      <c r="DG68" s="790">
        <f>SUM(DG61,DG66:DG67)</f>
        <v>1</v>
      </c>
      <c r="DI68" s="790">
        <f>SUM(DI61,DI66:DI67)</f>
        <v>1</v>
      </c>
      <c r="DJ68" s="790">
        <f t="shared" ref="DJ68" si="381">SUM(DJ61,DJ66:DJ67)</f>
        <v>1</v>
      </c>
      <c r="DK68" s="790">
        <f>SUM(DK61,DK66:DK67)</f>
        <v>1</v>
      </c>
      <c r="DL68" s="790">
        <f>SUM(DL61,DL66:DL67)</f>
        <v>1</v>
      </c>
      <c r="DM68" s="804">
        <f>SUM(DM61,DM66:DM67)</f>
        <v>0.99999999999999989</v>
      </c>
      <c r="DO68" s="790">
        <f>SUM(DO61,DO66:DO67)</f>
        <v>1.0000202179040774</v>
      </c>
      <c r="DP68" s="790">
        <f t="shared" ref="DP68" si="382">SUM(DP61,DP66:DP67)</f>
        <v>0.99999340004637793</v>
      </c>
      <c r="DQ68" s="790">
        <f>SUM(DQ61,DQ66:DQ67)</f>
        <v>1</v>
      </c>
      <c r="DR68" s="790">
        <f>SUM(DR61,DR66:DR67)</f>
        <v>1.0000000000000004</v>
      </c>
      <c r="DS68" s="804">
        <f>SUM(DS61,DS66:DS67)</f>
        <v>1.0000032363049602</v>
      </c>
      <c r="DT68" s="399"/>
      <c r="DU68" s="790">
        <f>SUM(DU61,DU66:DU67)</f>
        <v>1</v>
      </c>
      <c r="DV68" s="790">
        <f t="shared" ref="DV68" si="383">SUM(DV61,DV66:DV67)</f>
        <v>1</v>
      </c>
      <c r="DW68" s="790">
        <f>SUM(DW61,DW66:DW67)</f>
        <v>1</v>
      </c>
      <c r="DX68" s="790">
        <f>SUM(DX61,DX66:DX67)</f>
        <v>1</v>
      </c>
      <c r="DY68" s="804">
        <f>SUM(DY61,DY66:DY67)</f>
        <v>1</v>
      </c>
      <c r="EA68" s="790">
        <f>SUM(EA61,EA66:EA67)</f>
        <v>1</v>
      </c>
      <c r="EB68" s="790">
        <f t="shared" ref="EB68:EC68" si="384">SUM(EB61,EB66:EB67)</f>
        <v>1</v>
      </c>
      <c r="EC68" s="790">
        <f t="shared" si="384"/>
        <v>1.0000136843242464</v>
      </c>
      <c r="ED68" s="790">
        <f t="shared" ref="ED68" si="385">SUM(ED61,ED66:ED67)</f>
        <v>1</v>
      </c>
      <c r="EE68" s="804">
        <f t="shared" ref="EE68:EH68" si="386">SUM(EE61,EE66:EE67)</f>
        <v>0.99999999999999989</v>
      </c>
      <c r="EG68" s="790">
        <f t="shared" si="386"/>
        <v>1</v>
      </c>
      <c r="EH68" s="790">
        <f t="shared" si="386"/>
        <v>1</v>
      </c>
      <c r="EI68" s="790">
        <f t="shared" ref="EI68" si="387">SUM(EI61,EI66:EI67)</f>
        <v>1</v>
      </c>
      <c r="EJ68" s="790">
        <f t="shared" ref="EJ68" si="388">SUM(EJ61,EJ66:EJ67)</f>
        <v>0.99999999999999989</v>
      </c>
      <c r="EK68" s="791">
        <f t="shared" ref="EK68" si="389">SUM(EK61,EK66:EK67)</f>
        <v>1</v>
      </c>
      <c r="EL68" s="791">
        <f t="shared" ref="EL68" si="390">SUM(EL61,EL66:EL67)</f>
        <v>0.99999999999999989</v>
      </c>
      <c r="EM68" s="499"/>
      <c r="FA68" s="274"/>
      <c r="FB68" s="274"/>
      <c r="FC68" s="274"/>
      <c r="FD68" s="274"/>
      <c r="FE68" s="274"/>
      <c r="FF68" s="274"/>
      <c r="FG68" s="274"/>
      <c r="FH68" s="274"/>
      <c r="FI68" s="274"/>
      <c r="FJ68" s="274"/>
      <c r="FK68" s="274"/>
      <c r="FL68" s="274"/>
      <c r="FM68" s="274"/>
      <c r="FN68" s="274"/>
      <c r="FO68" s="274"/>
      <c r="FP68" s="844">
        <f t="shared" ref="FP68" si="391">SUM(FP61,FP66:FP67)</f>
        <v>1</v>
      </c>
      <c r="FQ68" s="274"/>
      <c r="FR68" s="274"/>
    </row>
    <row r="69" spans="2:177" ht="12" x14ac:dyDescent="0.25">
      <c r="B69" s="669"/>
      <c r="D69" s="516"/>
      <c r="E69" s="517"/>
      <c r="F69" s="517"/>
      <c r="H69" s="518"/>
      <c r="J69" s="516"/>
      <c r="K69" s="519"/>
      <c r="L69" s="519"/>
      <c r="M69" s="519"/>
      <c r="N69" s="519"/>
      <c r="O69" s="519"/>
      <c r="P69" s="516"/>
      <c r="Q69" s="519"/>
      <c r="R69" s="519"/>
      <c r="S69" s="519"/>
      <c r="T69" s="519"/>
      <c r="U69" s="519"/>
      <c r="V69" s="520"/>
      <c r="W69" s="519"/>
      <c r="X69" s="519"/>
      <c r="Y69" s="519"/>
      <c r="Z69" s="519"/>
      <c r="AA69" s="519"/>
      <c r="AB69" s="520"/>
      <c r="AC69" s="519"/>
      <c r="AD69" s="519"/>
      <c r="AE69" s="519"/>
      <c r="AF69" s="519"/>
      <c r="AG69" s="519"/>
      <c r="AI69" s="519"/>
      <c r="AJ69" s="519"/>
      <c r="AK69" s="519"/>
      <c r="AL69" s="519"/>
      <c r="AM69" s="519"/>
      <c r="AO69" s="519"/>
      <c r="AP69" s="519"/>
      <c r="AQ69" s="519"/>
      <c r="AR69" s="519"/>
      <c r="AS69" s="519"/>
      <c r="AU69" s="519"/>
      <c r="AV69" s="519"/>
      <c r="AW69" s="519"/>
      <c r="AX69" s="519"/>
      <c r="AY69" s="519"/>
      <c r="BA69" s="519"/>
      <c r="BB69" s="519"/>
      <c r="BC69" s="519"/>
      <c r="BD69" s="519"/>
      <c r="BE69" s="519"/>
      <c r="BG69" s="521"/>
      <c r="BH69" s="521"/>
      <c r="BI69" s="521"/>
      <c r="BJ69" s="521"/>
      <c r="BK69" s="521"/>
      <c r="BM69" s="521"/>
      <c r="BN69" s="521"/>
      <c r="BO69" s="521"/>
      <c r="BP69" s="521"/>
      <c r="BQ69" s="521"/>
      <c r="BS69" s="521"/>
      <c r="BT69" s="521"/>
      <c r="BU69" s="521"/>
      <c r="BV69" s="521"/>
      <c r="BY69" s="521"/>
      <c r="BZ69" s="521"/>
      <c r="CA69" s="521"/>
      <c r="CB69" s="521"/>
      <c r="CE69" s="521"/>
      <c r="CF69" s="521"/>
      <c r="CG69" s="521"/>
      <c r="CH69" s="521"/>
      <c r="CI69" s="521"/>
      <c r="CK69" s="521"/>
      <c r="CL69" s="521"/>
      <c r="CM69" s="521"/>
      <c r="CN69" s="521"/>
      <c r="CO69" s="521"/>
      <c r="CQ69" s="521"/>
      <c r="CR69" s="521"/>
      <c r="CS69" s="521"/>
      <c r="CT69" s="521"/>
      <c r="CU69" s="521"/>
      <c r="CW69" s="521"/>
      <c r="CX69" s="521"/>
      <c r="CY69" s="521"/>
      <c r="CZ69" s="521"/>
      <c r="DA69" s="522"/>
      <c r="DC69" s="521"/>
      <c r="DD69" s="521"/>
      <c r="DE69" s="521"/>
      <c r="DF69" s="521"/>
      <c r="DG69" s="805"/>
      <c r="DI69" s="521"/>
      <c r="DJ69" s="521"/>
      <c r="DK69" s="521"/>
      <c r="DL69" s="521"/>
      <c r="DM69" s="805"/>
      <c r="DO69" s="521"/>
      <c r="DP69" s="521"/>
      <c r="DQ69" s="521"/>
      <c r="DR69" s="521"/>
      <c r="DS69" s="805"/>
      <c r="DT69" s="805"/>
      <c r="DU69" s="521"/>
      <c r="DV69" s="521"/>
      <c r="DW69" s="521"/>
      <c r="DX69" s="521"/>
      <c r="DY69" s="805"/>
      <c r="EA69" s="521"/>
      <c r="EB69" s="521"/>
      <c r="EC69" s="521"/>
      <c r="ED69" s="521"/>
      <c r="EE69" s="805"/>
      <c r="EG69" s="521"/>
      <c r="EH69" s="521"/>
      <c r="EI69" s="521"/>
      <c r="EJ69" s="521"/>
      <c r="EK69" s="522"/>
      <c r="EL69" s="523"/>
      <c r="EM69" s="524"/>
      <c r="FA69" s="525"/>
      <c r="FB69" s="525"/>
      <c r="FC69" s="525"/>
      <c r="FD69" s="525"/>
      <c r="FE69" s="525"/>
      <c r="FF69" s="525"/>
      <c r="FG69" s="525"/>
      <c r="FH69" s="525"/>
      <c r="FI69" s="525"/>
      <c r="FJ69" s="525"/>
      <c r="FK69" s="525"/>
      <c r="FL69" s="525"/>
      <c r="FM69" s="525"/>
      <c r="FN69" s="525"/>
      <c r="FO69" s="525"/>
      <c r="FP69" s="525"/>
      <c r="FQ69" s="525"/>
      <c r="FR69" s="525"/>
    </row>
    <row r="70" spans="2:177" ht="12" x14ac:dyDescent="0.25">
      <c r="B70" s="510"/>
      <c r="D70" s="516"/>
      <c r="E70" s="517"/>
      <c r="F70" s="517"/>
      <c r="H70" s="518"/>
      <c r="J70" s="516"/>
      <c r="K70" s="518"/>
      <c r="L70" s="518"/>
      <c r="M70" s="518"/>
      <c r="N70" s="518"/>
      <c r="P70" s="516"/>
      <c r="Q70" s="518"/>
      <c r="R70" s="518"/>
      <c r="S70" s="518"/>
      <c r="T70" s="518"/>
      <c r="U70" s="520"/>
      <c r="V70" s="520"/>
      <c r="W70" s="518"/>
      <c r="X70" s="518"/>
      <c r="Y70" s="518"/>
      <c r="Z70" s="520"/>
      <c r="AA70" s="520"/>
      <c r="AB70" s="520"/>
      <c r="AC70" s="518"/>
      <c r="AD70" s="518"/>
      <c r="AE70" s="518"/>
      <c r="AF70" s="520"/>
      <c r="AG70" s="520"/>
      <c r="AI70" s="520"/>
      <c r="AJ70" s="520"/>
      <c r="AK70" s="520"/>
      <c r="AL70" s="520"/>
      <c r="AO70" s="520"/>
      <c r="AP70" s="520"/>
      <c r="AS70" s="520"/>
      <c r="BM70" s="521"/>
      <c r="BN70" s="521"/>
      <c r="BO70" s="521"/>
      <c r="BP70" s="521"/>
      <c r="BQ70" s="521"/>
      <c r="BS70" s="521"/>
      <c r="EA70" s="478"/>
      <c r="EB70" s="478"/>
      <c r="EC70" s="478"/>
      <c r="ED70" s="478"/>
      <c r="FP70" s="311"/>
    </row>
    <row r="71" spans="2:177" ht="12" x14ac:dyDescent="0.25">
      <c r="B71" s="477" t="s">
        <v>664</v>
      </c>
      <c r="D71" s="445"/>
      <c r="E71" s="480"/>
      <c r="F71" s="480"/>
      <c r="H71" s="481"/>
      <c r="J71" s="445"/>
      <c r="K71" s="481"/>
      <c r="L71" s="481"/>
      <c r="M71" s="481"/>
      <c r="N71" s="481"/>
      <c r="P71" s="445"/>
      <c r="Q71" s="481"/>
      <c r="R71" s="481"/>
      <c r="S71" s="481"/>
      <c r="T71" s="481"/>
      <c r="U71" s="458"/>
      <c r="V71" s="458"/>
      <c r="W71" s="481"/>
      <c r="X71" s="481"/>
      <c r="Y71" s="481"/>
      <c r="Z71" s="458"/>
      <c r="AA71" s="458"/>
      <c r="AB71" s="458"/>
      <c r="AC71" s="481"/>
      <c r="AD71" s="481"/>
      <c r="AE71" s="481"/>
      <c r="AF71" s="458"/>
      <c r="AG71" s="458"/>
      <c r="AI71" s="458"/>
      <c r="AJ71" s="458"/>
      <c r="AK71" s="458"/>
      <c r="AL71" s="458"/>
      <c r="AS71" s="458"/>
      <c r="DO71" s="526"/>
      <c r="DP71" s="526"/>
      <c r="DQ71" s="526"/>
      <c r="DR71" s="526"/>
      <c r="DU71" s="526"/>
      <c r="DV71" s="526"/>
      <c r="DW71" s="526"/>
      <c r="DX71" s="526"/>
      <c r="EA71" s="526"/>
      <c r="EB71" s="526"/>
      <c r="EC71" s="526"/>
      <c r="ED71" s="526"/>
      <c r="EG71" s="704"/>
      <c r="EH71" s="704"/>
      <c r="EI71" s="704"/>
      <c r="EJ71" s="704"/>
      <c r="EK71" s="705"/>
      <c r="EL71" s="706"/>
      <c r="EM71" s="527"/>
      <c r="FF71" s="526">
        <f t="shared" ref="FF71:FL71" si="392">FF76/SUM(FF73:FF74)</f>
        <v>4.7777777777777777</v>
      </c>
      <c r="FG71" s="526">
        <f t="shared" si="392"/>
        <v>3.1538461538461537</v>
      </c>
      <c r="FH71" s="526">
        <f t="shared" si="392"/>
        <v>2.193548387096774</v>
      </c>
      <c r="FI71" s="526">
        <f t="shared" si="392"/>
        <v>1.9285714285714286</v>
      </c>
      <c r="FJ71" s="526">
        <f t="shared" si="392"/>
        <v>2.0249999999999999</v>
      </c>
      <c r="FK71" s="526">
        <f t="shared" si="392"/>
        <v>2.358490566037736</v>
      </c>
      <c r="FL71" s="526">
        <f t="shared" si="392"/>
        <v>2.9318181818181817</v>
      </c>
      <c r="FM71" s="526">
        <f t="shared" ref="FM71:FP71" si="393">FM76/SUM(FM73:FM74)</f>
        <v>2.7291666666666665</v>
      </c>
      <c r="FN71" s="526">
        <f>FN76/SUM(FN73:FN74)</f>
        <v>0</v>
      </c>
      <c r="FO71" s="526">
        <f t="shared" si="393"/>
        <v>0.19767441860465115</v>
      </c>
      <c r="FP71" s="845">
        <f t="shared" ca="1" si="393"/>
        <v>0</v>
      </c>
      <c r="FQ71" s="845">
        <f ca="1">FQ76/SUM(FQ73:FQ74)</f>
        <v>0</v>
      </c>
      <c r="FR71" s="845">
        <f ca="1">FR76/SUM(FR73:FR74)</f>
        <v>0</v>
      </c>
    </row>
    <row r="72" spans="2:177" ht="12" x14ac:dyDescent="0.25">
      <c r="B72" s="539" t="s">
        <v>586</v>
      </c>
      <c r="D72" s="445"/>
      <c r="E72" s="480"/>
      <c r="F72" s="480"/>
      <c r="H72" s="481"/>
      <c r="J72" s="445"/>
      <c r="K72" s="481"/>
      <c r="L72" s="481"/>
      <c r="M72" s="481"/>
      <c r="N72" s="481"/>
      <c r="P72" s="445"/>
      <c r="Q72" s="481"/>
      <c r="R72" s="481"/>
      <c r="S72" s="481"/>
      <c r="T72" s="481"/>
      <c r="U72" s="481"/>
      <c r="V72" s="458"/>
      <c r="W72" s="481"/>
      <c r="X72" s="481"/>
      <c r="Y72" s="481"/>
      <c r="Z72" s="481"/>
      <c r="AA72" s="481"/>
      <c r="AB72" s="458"/>
      <c r="AC72" s="481"/>
      <c r="AD72" s="481"/>
      <c r="AE72" s="481"/>
      <c r="AF72" s="481"/>
      <c r="AG72" s="458"/>
      <c r="AI72" s="481"/>
      <c r="AJ72" s="481"/>
      <c r="AK72" s="481"/>
      <c r="AL72" s="481"/>
      <c r="AR72" s="481"/>
      <c r="AS72" s="481"/>
      <c r="AU72" s="481"/>
      <c r="AV72" s="481"/>
      <c r="AW72" s="528"/>
      <c r="AX72" s="528"/>
      <c r="AY72" s="481"/>
      <c r="BA72" s="528"/>
      <c r="BB72" s="528"/>
      <c r="BC72" s="528"/>
      <c r="BD72" s="528"/>
      <c r="BE72" s="481"/>
      <c r="BG72" s="528"/>
      <c r="BH72" s="528"/>
      <c r="BI72" s="528"/>
      <c r="BJ72" s="528"/>
      <c r="BK72" s="481"/>
      <c r="BM72" s="529"/>
      <c r="BN72" s="529"/>
      <c r="BO72" s="529"/>
      <c r="BP72" s="529"/>
      <c r="BQ72" s="481"/>
      <c r="BS72" s="452"/>
      <c r="BT72" s="452"/>
      <c r="BU72" s="452"/>
      <c r="BV72" s="452"/>
      <c r="BW72" s="481"/>
      <c r="BY72" s="452"/>
      <c r="BZ72" s="452"/>
      <c r="CA72" s="452"/>
      <c r="CB72" s="452"/>
      <c r="CC72" s="481"/>
      <c r="CE72" s="452"/>
      <c r="CF72" s="452"/>
      <c r="CG72" s="452"/>
      <c r="CH72" s="452"/>
      <c r="CI72" s="481"/>
      <c r="CK72" s="452"/>
      <c r="CL72" s="452"/>
      <c r="CM72" s="452"/>
      <c r="CN72" s="452"/>
      <c r="CO72" s="481"/>
      <c r="CQ72" s="452"/>
      <c r="CR72" s="452"/>
      <c r="CS72" s="452"/>
      <c r="CT72" s="452"/>
      <c r="CU72" s="481"/>
      <c r="CW72" s="452"/>
      <c r="CX72" s="452"/>
      <c r="CY72" s="452"/>
      <c r="CZ72" s="452"/>
      <c r="DA72" s="502"/>
      <c r="DC72" s="452"/>
      <c r="DD72" s="452"/>
      <c r="DE72" s="452"/>
      <c r="DF72" s="452"/>
      <c r="DG72" s="750"/>
      <c r="DI72" s="452"/>
      <c r="DJ72" s="452"/>
      <c r="DK72" s="452"/>
      <c r="DL72" s="452"/>
      <c r="DM72" s="732"/>
      <c r="DY72" s="750"/>
      <c r="EE72" s="750"/>
      <c r="EG72" s="413"/>
      <c r="EH72" s="413"/>
      <c r="EI72" s="413"/>
      <c r="EJ72" s="413"/>
      <c r="EK72" s="707"/>
      <c r="EL72" s="708"/>
      <c r="EM72" s="531"/>
      <c r="EP72" s="529"/>
      <c r="EQ72" s="529"/>
      <c r="FA72" s="452"/>
      <c r="FB72" s="452"/>
      <c r="FC72" s="452"/>
      <c r="FD72" s="452"/>
      <c r="FE72" s="452"/>
      <c r="FF72" s="452"/>
      <c r="FG72" s="310"/>
      <c r="FH72" s="310"/>
      <c r="FI72" s="310"/>
      <c r="FJ72" s="310"/>
      <c r="FK72" s="310"/>
      <c r="FM72" s="310"/>
      <c r="FN72" s="310"/>
      <c r="FO72" s="310"/>
      <c r="FP72" s="532"/>
      <c r="FQ72" s="532"/>
      <c r="FR72" s="532">
        <v>3</v>
      </c>
      <c r="FU72" s="311" t="s">
        <v>642</v>
      </c>
    </row>
    <row r="73" spans="2:177" ht="12" x14ac:dyDescent="0.25">
      <c r="B73" s="661" t="s">
        <v>250</v>
      </c>
      <c r="D73" s="445"/>
      <c r="E73" s="480"/>
      <c r="F73" s="480"/>
      <c r="H73" s="481"/>
      <c r="J73" s="445"/>
      <c r="K73" s="481"/>
      <c r="L73" s="481"/>
      <c r="M73" s="481"/>
      <c r="N73" s="481"/>
      <c r="P73" s="445"/>
      <c r="Q73" s="481"/>
      <c r="R73" s="481"/>
      <c r="S73" s="481"/>
      <c r="T73" s="481"/>
      <c r="U73" s="458"/>
      <c r="V73" s="458"/>
      <c r="W73" s="481"/>
      <c r="X73" s="481"/>
      <c r="Y73" s="481"/>
      <c r="Z73" s="458"/>
      <c r="AA73" s="458"/>
      <c r="AB73" s="458"/>
      <c r="AC73" s="481"/>
      <c r="AD73" s="481"/>
      <c r="AE73" s="481"/>
      <c r="AF73" s="458"/>
      <c r="AG73" s="458"/>
      <c r="AI73" s="458"/>
      <c r="AJ73" s="458"/>
      <c r="AK73" s="458"/>
      <c r="AL73" s="458"/>
      <c r="AS73" s="458"/>
      <c r="CL73" s="533"/>
      <c r="CM73" s="533"/>
      <c r="CN73" s="533"/>
      <c r="CO73" s="533"/>
      <c r="CP73" s="533"/>
      <c r="CQ73" s="533"/>
      <c r="CR73" s="533"/>
      <c r="CS73" s="533"/>
      <c r="CT73" s="533"/>
      <c r="CU73" s="533"/>
      <c r="CV73" s="533"/>
      <c r="CW73" s="533"/>
      <c r="CX73" s="533"/>
      <c r="CY73" s="533"/>
      <c r="CZ73" s="533"/>
      <c r="DA73" s="534"/>
      <c r="DB73" s="834"/>
      <c r="DC73" s="533"/>
      <c r="DD73" s="533"/>
      <c r="DE73" s="533"/>
      <c r="DF73" s="533"/>
      <c r="DG73" s="834"/>
      <c r="DH73" s="834"/>
      <c r="DI73" s="533"/>
      <c r="DJ73" s="356"/>
      <c r="DK73" s="356"/>
      <c r="DL73" s="356"/>
      <c r="DM73" s="823"/>
      <c r="DO73" s="465"/>
      <c r="DP73" s="465"/>
      <c r="DQ73" s="465"/>
      <c r="DR73" s="465"/>
      <c r="DS73" s="746"/>
      <c r="DT73" s="746"/>
      <c r="DU73" s="465"/>
      <c r="DV73" s="465"/>
      <c r="DW73" s="465"/>
      <c r="DX73" s="374">
        <f>DX227+DX280</f>
        <v>2</v>
      </c>
      <c r="DY73" s="750">
        <f>DU73+DV73+DW73+DX73</f>
        <v>2</v>
      </c>
      <c r="EA73" s="485">
        <f>EA205</f>
        <v>0</v>
      </c>
      <c r="EB73" s="485">
        <f>EB205</f>
        <v>1</v>
      </c>
      <c r="EC73" s="485">
        <f>EC205</f>
        <v>1</v>
      </c>
      <c r="ED73" s="485">
        <f>ED205</f>
        <v>2</v>
      </c>
      <c r="EE73" s="750">
        <f>SUM(EA73:ED73)</f>
        <v>4</v>
      </c>
      <c r="EG73" s="898">
        <f>EG205</f>
        <v>2</v>
      </c>
      <c r="EH73" s="485">
        <f>EH205</f>
        <v>0</v>
      </c>
      <c r="EI73" s="485">
        <f>EI205</f>
        <v>2</v>
      </c>
      <c r="EJ73" s="485">
        <f>EJ205</f>
        <v>2</v>
      </c>
      <c r="EK73" s="709">
        <f>EG73+EH73+EI73+EJ73</f>
        <v>6</v>
      </c>
      <c r="EL73" s="713">
        <f>EL205</f>
        <v>6</v>
      </c>
      <c r="EM73" s="485"/>
      <c r="FF73" s="452">
        <f>CO73</f>
        <v>0</v>
      </c>
      <c r="FG73" s="310">
        <f>CU73</f>
        <v>0</v>
      </c>
      <c r="FH73" s="310">
        <f>DA73</f>
        <v>0</v>
      </c>
      <c r="FI73" s="310">
        <f>DG73</f>
        <v>0</v>
      </c>
      <c r="FJ73" s="310">
        <f>DM73</f>
        <v>0</v>
      </c>
      <c r="FK73" s="310">
        <f>DS73</f>
        <v>0</v>
      </c>
      <c r="FL73" s="310">
        <f>DY73</f>
        <v>2</v>
      </c>
      <c r="FM73" s="310">
        <f>EE73</f>
        <v>4</v>
      </c>
      <c r="FN73" s="310">
        <f>EE73</f>
        <v>4</v>
      </c>
      <c r="FO73" s="310">
        <f t="shared" ref="FO73" si="394">EG73</f>
        <v>2</v>
      </c>
      <c r="FP73" s="374">
        <f>FP205</f>
        <v>8</v>
      </c>
      <c r="FQ73" s="374">
        <f>FQ280</f>
        <v>20</v>
      </c>
      <c r="FR73" s="374">
        <f>FR280</f>
        <v>24</v>
      </c>
      <c r="FU73" s="488" t="s">
        <v>641</v>
      </c>
    </row>
    <row r="74" spans="2:177" ht="12" x14ac:dyDescent="0.25">
      <c r="B74" s="663" t="s">
        <v>543</v>
      </c>
      <c r="C74" s="382"/>
      <c r="D74" s="664"/>
      <c r="E74" s="665"/>
      <c r="F74" s="665"/>
      <c r="G74" s="382"/>
      <c r="H74" s="504"/>
      <c r="I74" s="382"/>
      <c r="J74" s="664"/>
      <c r="K74" s="504"/>
      <c r="L74" s="504"/>
      <c r="M74" s="504"/>
      <c r="N74" s="504"/>
      <c r="O74" s="382"/>
      <c r="P74" s="664"/>
      <c r="Q74" s="504"/>
      <c r="R74" s="504"/>
      <c r="S74" s="504"/>
      <c r="T74" s="504"/>
      <c r="U74" s="504"/>
      <c r="V74" s="509"/>
      <c r="W74" s="504"/>
      <c r="X74" s="504"/>
      <c r="Y74" s="504"/>
      <c r="Z74" s="504"/>
      <c r="AA74" s="504"/>
      <c r="AB74" s="509"/>
      <c r="AC74" s="504"/>
      <c r="AD74" s="504"/>
      <c r="AE74" s="504"/>
      <c r="AF74" s="504"/>
      <c r="AG74" s="509"/>
      <c r="AH74" s="382"/>
      <c r="AI74" s="504"/>
      <c r="AJ74" s="504"/>
      <c r="AK74" s="504"/>
      <c r="AL74" s="504"/>
      <c r="AM74" s="382"/>
      <c r="AN74" s="382"/>
      <c r="AO74" s="382"/>
      <c r="AP74" s="382"/>
      <c r="AQ74" s="382"/>
      <c r="AR74" s="382"/>
      <c r="AS74" s="504"/>
      <c r="AT74" s="382"/>
      <c r="AU74" s="382"/>
      <c r="AV74" s="382"/>
      <c r="AW74" s="382"/>
      <c r="AX74" s="382"/>
      <c r="AY74" s="382"/>
      <c r="AZ74" s="382"/>
      <c r="BA74" s="382"/>
      <c r="BB74" s="382"/>
      <c r="BC74" s="699"/>
      <c r="BD74" s="699"/>
      <c r="BE74" s="504">
        <f>BA74+BB74+BC74+BD74</f>
        <v>0</v>
      </c>
      <c r="BF74" s="382"/>
      <c r="BG74" s="700"/>
      <c r="BH74" s="700">
        <v>0</v>
      </c>
      <c r="BI74" s="700">
        <v>0</v>
      </c>
      <c r="BJ74" s="700">
        <v>1</v>
      </c>
      <c r="BK74" s="504">
        <f>BG74+BH74+BI74+BJ74</f>
        <v>1</v>
      </c>
      <c r="BL74" s="382"/>
      <c r="BM74" s="701">
        <v>1</v>
      </c>
      <c r="BN74" s="701">
        <v>1</v>
      </c>
      <c r="BO74" s="701">
        <v>2</v>
      </c>
      <c r="BP74" s="701">
        <v>1</v>
      </c>
      <c r="BQ74" s="504">
        <f>BM74+BN74+BO74+BP74</f>
        <v>5</v>
      </c>
      <c r="BR74" s="382"/>
      <c r="BS74" s="486">
        <v>0</v>
      </c>
      <c r="BT74" s="486">
        <v>1</v>
      </c>
      <c r="BU74" s="486">
        <v>0</v>
      </c>
      <c r="BV74" s="486">
        <v>0</v>
      </c>
      <c r="BW74" s="504">
        <f>BS74+BT74+BU74+BV74</f>
        <v>1</v>
      </c>
      <c r="BX74" s="382"/>
      <c r="BY74" s="486">
        <v>0</v>
      </c>
      <c r="BZ74" s="486">
        <v>2</v>
      </c>
      <c r="CA74" s="486">
        <v>1</v>
      </c>
      <c r="CB74" s="486">
        <v>1</v>
      </c>
      <c r="CC74" s="486">
        <f>BY74+BZ74+CA74+CB74</f>
        <v>4</v>
      </c>
      <c r="CD74" s="382"/>
      <c r="CE74" s="486">
        <v>0</v>
      </c>
      <c r="CF74" s="486">
        <v>2</v>
      </c>
      <c r="CG74" s="486">
        <v>4</v>
      </c>
      <c r="CH74" s="486">
        <v>5</v>
      </c>
      <c r="CI74" s="486">
        <f>CE74+CF74+CG74+CH74</f>
        <v>11</v>
      </c>
      <c r="CJ74" s="382"/>
      <c r="CK74" s="486">
        <v>1</v>
      </c>
      <c r="CL74" s="486">
        <v>7</v>
      </c>
      <c r="CM74" s="486">
        <v>5</v>
      </c>
      <c r="CN74" s="486">
        <v>5</v>
      </c>
      <c r="CO74" s="486">
        <f>CK74+CL74+CM74+CN74</f>
        <v>18</v>
      </c>
      <c r="CP74" s="382"/>
      <c r="CQ74" s="486">
        <v>4</v>
      </c>
      <c r="CR74" s="486">
        <v>7</v>
      </c>
      <c r="CS74" s="486">
        <v>7</v>
      </c>
      <c r="CT74" s="486">
        <v>8</v>
      </c>
      <c r="CU74" s="486">
        <f>CQ74+CR74+CS74+CT74</f>
        <v>26</v>
      </c>
      <c r="CV74" s="382"/>
      <c r="CW74" s="486">
        <v>2</v>
      </c>
      <c r="CX74" s="486">
        <v>7</v>
      </c>
      <c r="CY74" s="486">
        <v>14</v>
      </c>
      <c r="CZ74" s="486">
        <v>8</v>
      </c>
      <c r="DA74" s="506">
        <f>CW74+CX74+CY74+CZ74</f>
        <v>31</v>
      </c>
      <c r="DC74" s="486">
        <v>7</v>
      </c>
      <c r="DD74" s="486">
        <v>9</v>
      </c>
      <c r="DE74" s="486">
        <v>15</v>
      </c>
      <c r="DF74" s="486">
        <v>11</v>
      </c>
      <c r="DG74" s="733">
        <f>DC74+DD74+DE74+DF74</f>
        <v>42</v>
      </c>
      <c r="DI74" s="486">
        <v>3</v>
      </c>
      <c r="DJ74" s="486">
        <v>12</v>
      </c>
      <c r="DK74" s="486">
        <v>12</v>
      </c>
      <c r="DL74" s="486">
        <v>13</v>
      </c>
      <c r="DM74" s="733">
        <f>DI74+DJ74+DK74+DL74</f>
        <v>40</v>
      </c>
      <c r="DO74" s="486">
        <v>17</v>
      </c>
      <c r="DP74" s="486">
        <v>12</v>
      </c>
      <c r="DQ74" s="486">
        <v>11</v>
      </c>
      <c r="DR74" s="486">
        <v>13</v>
      </c>
      <c r="DS74" s="733">
        <f>DO74+DP74+DQ74+DR74</f>
        <v>53</v>
      </c>
      <c r="DT74" s="732"/>
      <c r="DU74" s="486">
        <v>11</v>
      </c>
      <c r="DV74" s="486">
        <v>8</v>
      </c>
      <c r="DW74" s="486">
        <v>11</v>
      </c>
      <c r="DX74" s="486">
        <v>12</v>
      </c>
      <c r="DY74" s="733">
        <f>DU74+DV74+DW74+DX74</f>
        <v>42</v>
      </c>
      <c r="EA74" s="486">
        <f>EA168</f>
        <v>14</v>
      </c>
      <c r="EB74" s="486">
        <f t="shared" ref="EB74" si="395">EB168</f>
        <v>10</v>
      </c>
      <c r="EC74" s="486">
        <f t="shared" ref="EC74:ED74" si="396">EC168</f>
        <v>8</v>
      </c>
      <c r="ED74" s="486">
        <f t="shared" si="396"/>
        <v>12</v>
      </c>
      <c r="EE74" s="751">
        <f t="shared" ref="EE74:EE80" si="397">SUM(EA74:ED74)</f>
        <v>44</v>
      </c>
      <c r="EG74" s="710">
        <f>EG75-EG73</f>
        <v>14</v>
      </c>
      <c r="EH74" s="710">
        <f>EH168</f>
        <v>14</v>
      </c>
      <c r="EI74" s="710">
        <f>EI168</f>
        <v>17</v>
      </c>
      <c r="EJ74" s="710">
        <f>EJ168</f>
        <v>18</v>
      </c>
      <c r="EK74" s="711">
        <f>EG74+EH74+EI74+EJ74</f>
        <v>63</v>
      </c>
      <c r="EL74" s="712">
        <f>EL168</f>
        <v>84</v>
      </c>
      <c r="EM74" s="485"/>
      <c r="EP74" s="529"/>
      <c r="EQ74" s="529"/>
      <c r="FA74" s="452">
        <f>BK74</f>
        <v>1</v>
      </c>
      <c r="FB74" s="452">
        <f>BQ74</f>
        <v>5</v>
      </c>
      <c r="FC74" s="452">
        <f>BW74</f>
        <v>1</v>
      </c>
      <c r="FD74" s="452">
        <f>CC74</f>
        <v>4</v>
      </c>
      <c r="FE74" s="452">
        <f>CI74</f>
        <v>11</v>
      </c>
      <c r="FF74" s="452">
        <f>CO74</f>
        <v>18</v>
      </c>
      <c r="FG74" s="310">
        <f>CU74</f>
        <v>26</v>
      </c>
      <c r="FH74" s="310">
        <f>DA74</f>
        <v>31</v>
      </c>
      <c r="FI74" s="310">
        <f>DG74</f>
        <v>42</v>
      </c>
      <c r="FJ74" s="310">
        <f>DM74</f>
        <v>40</v>
      </c>
      <c r="FK74" s="310">
        <f>DS74</f>
        <v>53</v>
      </c>
      <c r="FL74" s="310">
        <f>DY74</f>
        <v>42</v>
      </c>
      <c r="FM74" s="310">
        <f>EE74</f>
        <v>44</v>
      </c>
      <c r="FN74" s="310">
        <f>EK74</f>
        <v>63</v>
      </c>
      <c r="FO74" s="310">
        <f>EL74</f>
        <v>84</v>
      </c>
      <c r="FP74" s="374">
        <f>FP168</f>
        <v>61</v>
      </c>
      <c r="FQ74" s="374">
        <f>FQ168</f>
        <v>63</v>
      </c>
      <c r="FR74" s="374">
        <f>FR168</f>
        <v>64</v>
      </c>
      <c r="FU74" s="488" t="s">
        <v>640</v>
      </c>
    </row>
    <row r="75" spans="2:177" ht="12" x14ac:dyDescent="0.25">
      <c r="B75" s="316" t="s">
        <v>616</v>
      </c>
      <c r="D75" s="445"/>
      <c r="E75" s="480"/>
      <c r="F75" s="480"/>
      <c r="H75" s="481"/>
      <c r="J75" s="445"/>
      <c r="K75" s="481"/>
      <c r="L75" s="481"/>
      <c r="M75" s="481"/>
      <c r="N75" s="481"/>
      <c r="P75" s="445"/>
      <c r="Q75" s="481"/>
      <c r="R75" s="481"/>
      <c r="S75" s="481"/>
      <c r="T75" s="481"/>
      <c r="U75" s="481"/>
      <c r="V75" s="458"/>
      <c r="W75" s="481"/>
      <c r="X75" s="481"/>
      <c r="Y75" s="481"/>
      <c r="Z75" s="481"/>
      <c r="AA75" s="481"/>
      <c r="AB75" s="458"/>
      <c r="AC75" s="481"/>
      <c r="AD75" s="481"/>
      <c r="AE75" s="481"/>
      <c r="AF75" s="481"/>
      <c r="AG75" s="458"/>
      <c r="AI75" s="481"/>
      <c r="AJ75" s="481"/>
      <c r="AK75" s="481"/>
      <c r="AL75" s="481"/>
      <c r="AS75" s="481"/>
      <c r="BC75" s="538"/>
      <c r="BD75" s="538"/>
      <c r="BE75" s="481"/>
      <c r="BG75" s="528"/>
      <c r="BH75" s="528"/>
      <c r="BI75" s="528"/>
      <c r="BJ75" s="528"/>
      <c r="BK75" s="481"/>
      <c r="BM75" s="529"/>
      <c r="BN75" s="529"/>
      <c r="BO75" s="529"/>
      <c r="BP75" s="529"/>
      <c r="BQ75" s="481"/>
      <c r="BS75" s="452"/>
      <c r="BT75" s="452"/>
      <c r="BU75" s="452"/>
      <c r="BV75" s="452"/>
      <c r="BW75" s="481"/>
      <c r="BY75" s="452"/>
      <c r="BZ75" s="452"/>
      <c r="CA75" s="452"/>
      <c r="CB75" s="452"/>
      <c r="CC75" s="452"/>
      <c r="CE75" s="452"/>
      <c r="CF75" s="452"/>
      <c r="CG75" s="452"/>
      <c r="CH75" s="452"/>
      <c r="CI75" s="452"/>
      <c r="CK75" s="452"/>
      <c r="CL75" s="452"/>
      <c r="CM75" s="452"/>
      <c r="CN75" s="452"/>
      <c r="CO75" s="452"/>
      <c r="CQ75" s="452"/>
      <c r="CR75" s="452"/>
      <c r="CS75" s="452"/>
      <c r="CT75" s="452"/>
      <c r="CU75" s="452"/>
      <c r="CW75" s="452"/>
      <c r="CX75" s="452"/>
      <c r="CY75" s="452"/>
      <c r="CZ75" s="452"/>
      <c r="DA75" s="501"/>
      <c r="DC75" s="452"/>
      <c r="DD75" s="452"/>
      <c r="DE75" s="452"/>
      <c r="DF75" s="452"/>
      <c r="DG75" s="732"/>
      <c r="DI75" s="452"/>
      <c r="DJ75" s="452"/>
      <c r="DK75" s="452"/>
      <c r="DL75" s="452"/>
      <c r="DM75" s="732"/>
      <c r="DO75" s="452"/>
      <c r="DP75" s="452"/>
      <c r="DQ75" s="452"/>
      <c r="DR75" s="452"/>
      <c r="DS75" s="732"/>
      <c r="DT75" s="732"/>
      <c r="DU75" s="452"/>
      <c r="DV75" s="452"/>
      <c r="DW75" s="452"/>
      <c r="DX75" s="452"/>
      <c r="DY75" s="732"/>
      <c r="EA75" s="457">
        <f>SUM(EA72:EA74)</f>
        <v>14</v>
      </c>
      <c r="EB75" s="457">
        <f>SUM(EB72:EB74)</f>
        <v>11</v>
      </c>
      <c r="EC75" s="457">
        <f>SUM(EC72:EC74)</f>
        <v>9</v>
      </c>
      <c r="ED75" s="457">
        <f>SUM(ED72:ED74)</f>
        <v>14</v>
      </c>
      <c r="EE75" s="750">
        <f t="shared" si="397"/>
        <v>48</v>
      </c>
      <c r="EG75" s="457">
        <v>16</v>
      </c>
      <c r="EH75" s="457">
        <f t="shared" ref="EH75:EL75" si="398">SUM(EH72:EH74)</f>
        <v>14</v>
      </c>
      <c r="EI75" s="457">
        <f t="shared" si="398"/>
        <v>19</v>
      </c>
      <c r="EJ75" s="848">
        <f t="shared" si="398"/>
        <v>20</v>
      </c>
      <c r="EK75" s="848">
        <f t="shared" si="398"/>
        <v>69</v>
      </c>
      <c r="EL75" s="849">
        <f t="shared" si="398"/>
        <v>90</v>
      </c>
      <c r="EM75" s="485"/>
      <c r="EP75" s="529"/>
      <c r="EQ75" s="529"/>
      <c r="FA75" s="452"/>
      <c r="FB75" s="452"/>
      <c r="FC75" s="452"/>
      <c r="FD75" s="452"/>
      <c r="FE75" s="452"/>
      <c r="FF75" s="452"/>
      <c r="FG75" s="310"/>
      <c r="FH75" s="310"/>
      <c r="FI75" s="310"/>
      <c r="FJ75" s="310"/>
      <c r="FK75" s="310"/>
      <c r="FL75" s="310"/>
      <c r="FM75" s="310"/>
      <c r="FN75" s="310"/>
      <c r="FO75" s="310"/>
      <c r="FP75" s="374"/>
      <c r="FQ75" s="374"/>
      <c r="FR75" s="374"/>
      <c r="FU75" s="488"/>
    </row>
    <row r="76" spans="2:177" ht="12" x14ac:dyDescent="0.25">
      <c r="B76" s="539" t="s">
        <v>252</v>
      </c>
      <c r="D76" s="445"/>
      <c r="E76" s="480"/>
      <c r="F76" s="480"/>
      <c r="H76" s="481"/>
      <c r="J76" s="445"/>
      <c r="K76" s="507"/>
      <c r="L76" s="507"/>
      <c r="M76" s="507"/>
      <c r="N76" s="507"/>
      <c r="P76" s="445"/>
      <c r="Q76" s="481"/>
      <c r="R76" s="481"/>
      <c r="S76" s="481"/>
      <c r="T76" s="481"/>
      <c r="U76" s="481"/>
      <c r="V76" s="458"/>
      <c r="W76" s="507">
        <v>3</v>
      </c>
      <c r="X76" s="507">
        <v>3</v>
      </c>
      <c r="Y76" s="481">
        <v>12</v>
      </c>
      <c r="Z76" s="481">
        <v>13</v>
      </c>
      <c r="AA76" s="481">
        <f>W76+X76+Y76+Z76</f>
        <v>31</v>
      </c>
      <c r="AB76" s="458"/>
      <c r="AC76" s="528">
        <v>14</v>
      </c>
      <c r="AD76" s="528">
        <v>16</v>
      </c>
      <c r="AE76" s="528">
        <v>16</v>
      </c>
      <c r="AF76" s="528">
        <v>11</v>
      </c>
      <c r="AG76" s="540">
        <f>AC76+AD76+AE76+AF76</f>
        <v>57</v>
      </c>
      <c r="AI76" s="528">
        <v>1</v>
      </c>
      <c r="AJ76" s="528">
        <v>6</v>
      </c>
      <c r="AK76" s="528">
        <v>13</v>
      </c>
      <c r="AL76" s="528"/>
      <c r="AM76" s="540">
        <f>AI76+AJ76+AK76+AL76</f>
        <v>20</v>
      </c>
      <c r="AO76" s="528">
        <v>17</v>
      </c>
      <c r="AP76" s="528">
        <v>25</v>
      </c>
      <c r="AQ76" s="528">
        <v>23</v>
      </c>
      <c r="AR76" s="528">
        <v>29</v>
      </c>
      <c r="AS76" s="481">
        <f>AO76+AP76+AQ76+AR76</f>
        <v>94</v>
      </c>
      <c r="AU76" s="528">
        <v>27</v>
      </c>
      <c r="AV76" s="528">
        <v>26</v>
      </c>
      <c r="AW76" s="528">
        <v>25</v>
      </c>
      <c r="AX76" s="528">
        <v>23</v>
      </c>
      <c r="AY76" s="481">
        <f>AU76+AV76+AW76+AX76</f>
        <v>101</v>
      </c>
      <c r="BA76" s="528">
        <v>16</v>
      </c>
      <c r="BB76" s="528">
        <v>18</v>
      </c>
      <c r="BC76" s="528">
        <v>22</v>
      </c>
      <c r="BD76" s="528">
        <v>16</v>
      </c>
      <c r="BE76" s="481">
        <f>BA76+BB76+BC76+BD76</f>
        <v>72</v>
      </c>
      <c r="BG76" s="528">
        <v>12</v>
      </c>
      <c r="BH76" s="528">
        <v>18</v>
      </c>
      <c r="BI76" s="528">
        <v>20</v>
      </c>
      <c r="BJ76" s="528">
        <v>27</v>
      </c>
      <c r="BK76" s="481">
        <f>BG76+BH76+BI76+BJ76</f>
        <v>77</v>
      </c>
      <c r="BM76" s="529">
        <v>19</v>
      </c>
      <c r="BN76" s="529">
        <v>24</v>
      </c>
      <c r="BO76" s="529">
        <v>13</v>
      </c>
      <c r="BP76" s="529">
        <v>20</v>
      </c>
      <c r="BQ76" s="481">
        <f>BM76+BN76+BO76+BP76</f>
        <v>76</v>
      </c>
      <c r="BS76" s="452">
        <v>23</v>
      </c>
      <c r="BT76" s="452">
        <v>19</v>
      </c>
      <c r="BU76" s="452">
        <v>14</v>
      </c>
      <c r="BV76" s="452">
        <v>11</v>
      </c>
      <c r="BW76" s="481">
        <f>BS76+BT76+BU76+BV76</f>
        <v>67</v>
      </c>
      <c r="BY76" s="452">
        <v>15</v>
      </c>
      <c r="BZ76" s="452">
        <v>19</v>
      </c>
      <c r="CA76" s="452">
        <v>19</v>
      </c>
      <c r="CB76" s="452">
        <v>17</v>
      </c>
      <c r="CC76" s="481">
        <f>BY76+BZ76+CA76+CB76</f>
        <v>70</v>
      </c>
      <c r="CE76" s="452">
        <v>18</v>
      </c>
      <c r="CF76" s="452">
        <v>16</v>
      </c>
      <c r="CG76" s="452">
        <v>22</v>
      </c>
      <c r="CH76" s="452">
        <v>20</v>
      </c>
      <c r="CI76" s="481">
        <f>CE76+CF76+CG76+CH76</f>
        <v>76</v>
      </c>
      <c r="CK76" s="452">
        <v>21</v>
      </c>
      <c r="CL76" s="452">
        <v>19</v>
      </c>
      <c r="CM76" s="452">
        <v>22</v>
      </c>
      <c r="CN76" s="452">
        <v>24</v>
      </c>
      <c r="CO76" s="481">
        <f>CK76+CL76+CM76+CN76</f>
        <v>86</v>
      </c>
      <c r="CQ76" s="452">
        <v>17</v>
      </c>
      <c r="CR76" s="452">
        <v>13</v>
      </c>
      <c r="CS76" s="452">
        <v>21</v>
      </c>
      <c r="CT76" s="452">
        <v>31</v>
      </c>
      <c r="CU76" s="481">
        <f>CQ76+CR76+CS76+CT76</f>
        <v>82</v>
      </c>
      <c r="CW76" s="452">
        <v>16</v>
      </c>
      <c r="CX76" s="452">
        <v>17</v>
      </c>
      <c r="CY76" s="452">
        <v>11</v>
      </c>
      <c r="CZ76" s="452">
        <v>24</v>
      </c>
      <c r="DA76" s="502">
        <f>CW76+CX76+CY76+CZ76</f>
        <v>68</v>
      </c>
      <c r="DC76" s="452">
        <v>24</v>
      </c>
      <c r="DD76" s="452">
        <v>16</v>
      </c>
      <c r="DE76" s="452">
        <v>21</v>
      </c>
      <c r="DF76" s="452">
        <v>20</v>
      </c>
      <c r="DG76" s="750">
        <f>DC76+DD76+DE76+DF76</f>
        <v>81</v>
      </c>
      <c r="DI76" s="452">
        <v>18</v>
      </c>
      <c r="DJ76" s="452">
        <v>21</v>
      </c>
      <c r="DK76" s="452">
        <v>20</v>
      </c>
      <c r="DL76" s="452">
        <v>22</v>
      </c>
      <c r="DM76" s="750">
        <f>DI76+DJ76+DK76+DL76</f>
        <v>81</v>
      </c>
      <c r="DO76" s="452">
        <v>25</v>
      </c>
      <c r="DP76" s="452">
        <v>39</v>
      </c>
      <c r="DQ76" s="452">
        <v>32</v>
      </c>
      <c r="DR76" s="452">
        <v>29</v>
      </c>
      <c r="DS76" s="750">
        <f>DO76+DP76+DQ76+DR76</f>
        <v>125</v>
      </c>
      <c r="DT76" s="840">
        <f>DS76/DT79</f>
        <v>0.31565656565656564</v>
      </c>
      <c r="DU76" s="452">
        <v>20</v>
      </c>
      <c r="DV76" s="452">
        <v>32</v>
      </c>
      <c r="DW76" s="452">
        <v>38</v>
      </c>
      <c r="DX76" s="452">
        <v>39</v>
      </c>
      <c r="DY76" s="750">
        <f>DU76+DV76+DW76+DX76</f>
        <v>129</v>
      </c>
      <c r="EA76" s="452">
        <v>25</v>
      </c>
      <c r="EB76" s="452">
        <v>31</v>
      </c>
      <c r="EC76" s="452">
        <v>38</v>
      </c>
      <c r="ED76" s="452">
        <v>37</v>
      </c>
      <c r="EE76" s="750">
        <f>EA76+EB76+EC76+ED76</f>
        <v>131</v>
      </c>
      <c r="EG76" s="452">
        <v>17</v>
      </c>
      <c r="EH76" s="531">
        <f>EH80*0.4</f>
        <v>26.5</v>
      </c>
      <c r="EI76" s="531">
        <f t="shared" ref="EI76:EL76" si="399">EI80*0.4</f>
        <v>33</v>
      </c>
      <c r="EJ76" s="531">
        <v>45</v>
      </c>
      <c r="EK76" s="502">
        <f>EG76+EH76+EI76+EJ76</f>
        <v>121.5</v>
      </c>
      <c r="EL76" s="531">
        <f t="shared" si="399"/>
        <v>155.2814755</v>
      </c>
      <c r="EM76" s="776"/>
      <c r="EP76" s="529"/>
      <c r="EQ76" s="529"/>
      <c r="FA76" s="452">
        <f>BK76</f>
        <v>77</v>
      </c>
      <c r="FB76" s="452">
        <f>BQ76</f>
        <v>76</v>
      </c>
      <c r="FC76" s="452">
        <f>BW76</f>
        <v>67</v>
      </c>
      <c r="FD76" s="452">
        <f>CC76</f>
        <v>70</v>
      </c>
      <c r="FE76" s="452">
        <f>CI76</f>
        <v>76</v>
      </c>
      <c r="FF76" s="452">
        <f>CO76</f>
        <v>86</v>
      </c>
      <c r="FG76" s="310">
        <f>CU76</f>
        <v>82</v>
      </c>
      <c r="FH76" s="310">
        <f>DA76</f>
        <v>68</v>
      </c>
      <c r="FI76" s="310">
        <f>DG76</f>
        <v>81</v>
      </c>
      <c r="FJ76" s="310">
        <f>DM76</f>
        <v>81</v>
      </c>
      <c r="FK76" s="310">
        <f>DS76</f>
        <v>125</v>
      </c>
      <c r="FL76" s="310">
        <f>DY76</f>
        <v>129</v>
      </c>
      <c r="FM76" s="310">
        <f>EE76</f>
        <v>131</v>
      </c>
      <c r="FN76" s="310">
        <f t="shared" ref="FN76:FO80" si="400">EF76</f>
        <v>0</v>
      </c>
      <c r="FO76" s="310">
        <f t="shared" si="400"/>
        <v>17</v>
      </c>
      <c r="FP76" s="372">
        <f ca="1">ROUNDUP(FP71*SUM(FP73:FP74),0)</f>
        <v>0</v>
      </c>
      <c r="FQ76" s="372">
        <f ca="1">ROUNDUP(FQ71*SUM(FQ73:FQ74),0)</f>
        <v>0</v>
      </c>
      <c r="FR76" s="372">
        <f ca="1">ROUNDUP(FR71*SUM(FR73:FR74),0)</f>
        <v>0</v>
      </c>
      <c r="FU76" s="488" t="s">
        <v>643</v>
      </c>
    </row>
    <row r="77" spans="2:177" ht="12" x14ac:dyDescent="0.25">
      <c r="B77" s="539" t="s">
        <v>54</v>
      </c>
      <c r="D77" s="445"/>
      <c r="E77" s="480"/>
      <c r="F77" s="480"/>
      <c r="H77" s="481"/>
      <c r="J77" s="445"/>
      <c r="K77" s="481">
        <v>14</v>
      </c>
      <c r="L77" s="481">
        <v>23</v>
      </c>
      <c r="M77" s="481">
        <v>17</v>
      </c>
      <c r="N77" s="481">
        <v>11</v>
      </c>
      <c r="P77" s="445"/>
      <c r="Q77" s="481">
        <v>14</v>
      </c>
      <c r="R77" s="481">
        <v>25</v>
      </c>
      <c r="S77" s="481">
        <v>26</v>
      </c>
      <c r="T77" s="481">
        <v>33</v>
      </c>
      <c r="U77" s="481"/>
      <c r="V77" s="458"/>
      <c r="W77" s="481">
        <v>24</v>
      </c>
      <c r="X77" s="481">
        <v>24</v>
      </c>
      <c r="Y77" s="481">
        <f>27-Y76</f>
        <v>15</v>
      </c>
      <c r="Z77" s="481">
        <v>16</v>
      </c>
      <c r="AA77" s="481">
        <f>W77+X77+Y77+Z77</f>
        <v>79</v>
      </c>
      <c r="AB77" s="458"/>
      <c r="AC77" s="528">
        <v>14</v>
      </c>
      <c r="AD77" s="528">
        <v>9</v>
      </c>
      <c r="AE77" s="528">
        <v>4</v>
      </c>
      <c r="AF77" s="528">
        <v>5</v>
      </c>
      <c r="AG77" s="540">
        <f>AC77+AD77+AE77+AF77</f>
        <v>32</v>
      </c>
      <c r="AI77" s="528">
        <v>4</v>
      </c>
      <c r="AJ77" s="528">
        <v>1</v>
      </c>
      <c r="AK77" s="528">
        <v>1</v>
      </c>
      <c r="AL77" s="528">
        <v>4</v>
      </c>
      <c r="AM77" s="540">
        <f>AI77+AJ77+AK77+AL77</f>
        <v>10</v>
      </c>
      <c r="AO77" s="528">
        <v>2</v>
      </c>
      <c r="AP77" s="528">
        <v>2</v>
      </c>
      <c r="AQ77" s="528">
        <v>2</v>
      </c>
      <c r="AR77" s="528">
        <v>6</v>
      </c>
      <c r="AS77" s="481">
        <f>AO77+AP77+AQ77+AR77</f>
        <v>12</v>
      </c>
      <c r="AU77" s="528">
        <v>4</v>
      </c>
      <c r="AV77" s="528">
        <v>4</v>
      </c>
      <c r="AW77" s="528">
        <v>3</v>
      </c>
      <c r="AX77" s="528">
        <v>0</v>
      </c>
      <c r="AY77" s="481">
        <f>AU77+AV77+AW77+AX77</f>
        <v>11</v>
      </c>
      <c r="BA77" s="528">
        <v>3</v>
      </c>
      <c r="BB77" s="528">
        <v>0</v>
      </c>
      <c r="BC77" s="528">
        <v>0</v>
      </c>
      <c r="BD77" s="528">
        <v>1</v>
      </c>
      <c r="BE77" s="481">
        <f>BA77+BB77+BC77+BD77</f>
        <v>4</v>
      </c>
      <c r="BG77" s="528">
        <v>0</v>
      </c>
      <c r="BH77" s="528">
        <v>0</v>
      </c>
      <c r="BI77" s="528">
        <v>0</v>
      </c>
      <c r="BJ77" s="528">
        <v>2</v>
      </c>
      <c r="BK77" s="481">
        <f>BG77+BH77+BI77+BJ77</f>
        <v>2</v>
      </c>
      <c r="BM77" s="529">
        <v>0</v>
      </c>
      <c r="BN77" s="529">
        <v>2</v>
      </c>
      <c r="BO77" s="529">
        <v>0</v>
      </c>
      <c r="BP77" s="529">
        <v>1</v>
      </c>
      <c r="BQ77" s="481">
        <f>BM77+BN77+BO77+BP77</f>
        <v>3</v>
      </c>
      <c r="BS77" s="452">
        <v>2</v>
      </c>
      <c r="BT77" s="452">
        <v>2</v>
      </c>
      <c r="BU77" s="452">
        <v>2</v>
      </c>
      <c r="BV77" s="452">
        <v>3</v>
      </c>
      <c r="BW77" s="481">
        <f>BS77+BT77+BU77+BV77</f>
        <v>9</v>
      </c>
      <c r="BY77" s="452">
        <v>2</v>
      </c>
      <c r="BZ77" s="452">
        <v>2</v>
      </c>
      <c r="CA77" s="452">
        <v>1</v>
      </c>
      <c r="CB77" s="452">
        <v>1</v>
      </c>
      <c r="CC77" s="481">
        <f>BY77+BZ77+CA77+CB77</f>
        <v>6</v>
      </c>
      <c r="CE77" s="452">
        <v>4</v>
      </c>
      <c r="CF77" s="452">
        <v>3</v>
      </c>
      <c r="CG77" s="452">
        <v>2</v>
      </c>
      <c r="CH77" s="452">
        <v>5</v>
      </c>
      <c r="CI77" s="481">
        <f>CE77+CF77+CG77+CH77</f>
        <v>14</v>
      </c>
      <c r="CK77" s="452">
        <v>3</v>
      </c>
      <c r="CL77" s="452">
        <v>5</v>
      </c>
      <c r="CM77" s="452">
        <v>3</v>
      </c>
      <c r="CN77" s="452">
        <v>5</v>
      </c>
      <c r="CO77" s="481">
        <f>CK77+CL77+CM77+CN77</f>
        <v>16</v>
      </c>
      <c r="CQ77" s="452">
        <v>4</v>
      </c>
      <c r="CR77" s="452">
        <v>3</v>
      </c>
      <c r="CS77" s="452">
        <v>9</v>
      </c>
      <c r="CT77" s="452">
        <v>6</v>
      </c>
      <c r="CU77" s="481">
        <f>CQ77+CR77+CS77+CT77</f>
        <v>22</v>
      </c>
      <c r="CW77" s="452">
        <v>6</v>
      </c>
      <c r="CX77" s="452">
        <v>7</v>
      </c>
      <c r="CY77" s="452">
        <v>2</v>
      </c>
      <c r="CZ77" s="452">
        <v>7</v>
      </c>
      <c r="DA77" s="502">
        <f>CW77+CX77+CY77+CZ77</f>
        <v>22</v>
      </c>
      <c r="DC77" s="452">
        <v>4</v>
      </c>
      <c r="DD77" s="452">
        <v>7</v>
      </c>
      <c r="DE77" s="452">
        <v>6</v>
      </c>
      <c r="DF77" s="452">
        <v>5</v>
      </c>
      <c r="DG77" s="750">
        <f>DC77+DD77+DE77+DF77</f>
        <v>22</v>
      </c>
      <c r="DI77" s="452">
        <v>6</v>
      </c>
      <c r="DJ77" s="452">
        <v>8</v>
      </c>
      <c r="DK77" s="452">
        <v>6</v>
      </c>
      <c r="DL77" s="452">
        <v>8</v>
      </c>
      <c r="DM77" s="750">
        <f>DI77+DJ77+DK77+DL77</f>
        <v>28</v>
      </c>
      <c r="DO77" s="452">
        <v>7</v>
      </c>
      <c r="DP77" s="452">
        <v>6</v>
      </c>
      <c r="DQ77" s="452">
        <v>9</v>
      </c>
      <c r="DR77" s="452">
        <v>10</v>
      </c>
      <c r="DS77" s="750">
        <f>DO77+DP77+DQ77+DR77</f>
        <v>32</v>
      </c>
      <c r="DU77" s="452">
        <v>4</v>
      </c>
      <c r="DV77" s="452">
        <v>11</v>
      </c>
      <c r="DW77" s="452">
        <v>7</v>
      </c>
      <c r="DX77" s="452">
        <v>6</v>
      </c>
      <c r="DY77" s="750">
        <f>DU77+DV77+DW77+DX77</f>
        <v>28</v>
      </c>
      <c r="EA77" s="452">
        <v>3</v>
      </c>
      <c r="EB77" s="452">
        <v>4</v>
      </c>
      <c r="EC77" s="452">
        <v>4</v>
      </c>
      <c r="ED77" s="452">
        <v>5</v>
      </c>
      <c r="EE77" s="750"/>
      <c r="EG77" s="452">
        <v>5</v>
      </c>
      <c r="EH77" s="589"/>
      <c r="EI77" s="589"/>
      <c r="EJ77" s="589"/>
      <c r="EK77" s="709"/>
      <c r="EL77" s="714"/>
      <c r="EM77" s="541"/>
      <c r="EP77" s="529"/>
      <c r="EQ77" s="529"/>
      <c r="FA77" s="452">
        <f>BK77</f>
        <v>2</v>
      </c>
      <c r="FB77" s="452">
        <f>BQ77</f>
        <v>3</v>
      </c>
      <c r="FC77" s="452">
        <f>BW77</f>
        <v>9</v>
      </c>
      <c r="FD77" s="452">
        <f>CC77</f>
        <v>6</v>
      </c>
      <c r="FE77" s="452">
        <f>CI77</f>
        <v>14</v>
      </c>
      <c r="FF77" s="452">
        <f>CO77</f>
        <v>16</v>
      </c>
      <c r="FG77" s="310">
        <f>CU77</f>
        <v>22</v>
      </c>
      <c r="FH77" s="310">
        <f>DA77</f>
        <v>22</v>
      </c>
      <c r="FI77" s="310">
        <f>DG77</f>
        <v>22</v>
      </c>
      <c r="FJ77" s="310">
        <f>DM77</f>
        <v>28</v>
      </c>
      <c r="FK77" s="310">
        <f>DS77</f>
        <v>32</v>
      </c>
      <c r="FL77" s="310">
        <f>DY77</f>
        <v>28</v>
      </c>
      <c r="FM77" s="310">
        <f>EE77</f>
        <v>0</v>
      </c>
      <c r="FN77" s="310">
        <f t="shared" si="400"/>
        <v>0</v>
      </c>
      <c r="FO77" s="310">
        <f t="shared" si="400"/>
        <v>5</v>
      </c>
      <c r="FP77" s="372">
        <f ca="1">ROUND(FP76/3,0)</f>
        <v>0</v>
      </c>
      <c r="FQ77" s="372">
        <f ca="1">ROUND(FQ76/3,0)</f>
        <v>0</v>
      </c>
      <c r="FR77" s="372">
        <f ca="1">ROUND(FR76/3,0)</f>
        <v>0</v>
      </c>
      <c r="FU77" s="458"/>
    </row>
    <row r="78" spans="2:177" ht="12" x14ac:dyDescent="0.25">
      <c r="B78" s="539" t="s">
        <v>53</v>
      </c>
      <c r="D78" s="445"/>
      <c r="E78" s="480"/>
      <c r="F78" s="480"/>
      <c r="H78" s="481"/>
      <c r="J78" s="445"/>
      <c r="K78" s="481">
        <v>31</v>
      </c>
      <c r="L78" s="481">
        <v>22</v>
      </c>
      <c r="M78" s="481">
        <v>12</v>
      </c>
      <c r="N78" s="481">
        <v>24</v>
      </c>
      <c r="P78" s="445"/>
      <c r="Q78" s="481">
        <v>25</v>
      </c>
      <c r="R78" s="481">
        <v>31</v>
      </c>
      <c r="S78" s="481">
        <v>25</v>
      </c>
      <c r="T78" s="481">
        <v>19</v>
      </c>
      <c r="U78" s="481"/>
      <c r="V78" s="458"/>
      <c r="W78" s="481">
        <v>30</v>
      </c>
      <c r="X78" s="481">
        <v>25</v>
      </c>
      <c r="Y78" s="481">
        <v>14</v>
      </c>
      <c r="Z78" s="481">
        <v>13</v>
      </c>
      <c r="AA78" s="481">
        <f>W78+X78+Y78+Z78</f>
        <v>82</v>
      </c>
      <c r="AB78" s="458"/>
      <c r="AC78" s="528">
        <v>13</v>
      </c>
      <c r="AD78" s="528">
        <v>5</v>
      </c>
      <c r="AE78" s="528">
        <v>5</v>
      </c>
      <c r="AF78" s="528">
        <v>6</v>
      </c>
      <c r="AG78" s="540">
        <f>AC78+AD78+AE78+AF78</f>
        <v>29</v>
      </c>
      <c r="AI78" s="528">
        <v>2</v>
      </c>
      <c r="AJ78" s="528">
        <v>0</v>
      </c>
      <c r="AK78" s="528">
        <v>6</v>
      </c>
      <c r="AL78" s="528">
        <v>9</v>
      </c>
      <c r="AM78" s="540">
        <f>AI78+AJ78+AK78+AL78</f>
        <v>17</v>
      </c>
      <c r="AO78" s="528">
        <v>10</v>
      </c>
      <c r="AP78" s="528">
        <v>12</v>
      </c>
      <c r="AQ78" s="528">
        <v>21</v>
      </c>
      <c r="AR78" s="528">
        <v>25</v>
      </c>
      <c r="AS78" s="481">
        <f>AO78+AP78+AQ78+AR78</f>
        <v>68</v>
      </c>
      <c r="AU78" s="528">
        <v>28</v>
      </c>
      <c r="AV78" s="528">
        <v>27</v>
      </c>
      <c r="AW78" s="528">
        <v>18</v>
      </c>
      <c r="AX78" s="528">
        <v>14</v>
      </c>
      <c r="AY78" s="481">
        <f>AU78+AV78+AW78+AX78</f>
        <v>87</v>
      </c>
      <c r="BA78" s="528">
        <v>29</v>
      </c>
      <c r="BB78" s="528">
        <v>22</v>
      </c>
      <c r="BC78" s="528">
        <v>13</v>
      </c>
      <c r="BD78" s="528">
        <v>14</v>
      </c>
      <c r="BE78" s="481">
        <f>BA78+BB78+BC78+BD78</f>
        <v>78</v>
      </c>
      <c r="BG78" s="528">
        <v>13</v>
      </c>
      <c r="BH78" s="528">
        <v>15</v>
      </c>
      <c r="BI78" s="528">
        <v>10</v>
      </c>
      <c r="BJ78" s="528">
        <v>26</v>
      </c>
      <c r="BK78" s="481">
        <f>BG78+BH78+BI78+BJ78</f>
        <v>64</v>
      </c>
      <c r="BM78" s="529">
        <v>17</v>
      </c>
      <c r="BN78" s="529">
        <v>2</v>
      </c>
      <c r="BO78" s="529">
        <v>10</v>
      </c>
      <c r="BP78" s="529">
        <v>10</v>
      </c>
      <c r="BQ78" s="481">
        <f>BM78+BN78+BO78+BP78</f>
        <v>39</v>
      </c>
      <c r="BS78" s="452">
        <v>16</v>
      </c>
      <c r="BT78" s="452">
        <v>14</v>
      </c>
      <c r="BU78" s="452">
        <v>24</v>
      </c>
      <c r="BV78" s="452">
        <v>20</v>
      </c>
      <c r="BW78" s="481">
        <f>BS78+BT78+BU78+BV78</f>
        <v>74</v>
      </c>
      <c r="BY78" s="452">
        <v>12</v>
      </c>
      <c r="BZ78" s="452">
        <v>16</v>
      </c>
      <c r="CA78" s="452">
        <v>14</v>
      </c>
      <c r="CB78" s="452">
        <v>15</v>
      </c>
      <c r="CC78" s="481">
        <f>BY78+BZ78+CA78+CB78</f>
        <v>57</v>
      </c>
      <c r="CE78" s="452">
        <v>19</v>
      </c>
      <c r="CF78" s="452">
        <v>14</v>
      </c>
      <c r="CG78" s="452">
        <v>18</v>
      </c>
      <c r="CH78" s="452">
        <v>20</v>
      </c>
      <c r="CI78" s="481">
        <f>CE78+CF78+CG78+CH78</f>
        <v>71</v>
      </c>
      <c r="CK78" s="452">
        <v>19</v>
      </c>
      <c r="CL78" s="452">
        <v>19</v>
      </c>
      <c r="CM78" s="452">
        <v>18</v>
      </c>
      <c r="CN78" s="452">
        <v>22</v>
      </c>
      <c r="CO78" s="481">
        <f>CK78+CL78+CM78+CN78</f>
        <v>78</v>
      </c>
      <c r="CQ78" s="452">
        <v>14</v>
      </c>
      <c r="CR78" s="452">
        <v>19</v>
      </c>
      <c r="CS78" s="452">
        <v>14</v>
      </c>
      <c r="CT78" s="452">
        <v>18</v>
      </c>
      <c r="CU78" s="481">
        <f>CQ78+CR78+CS78+CT78</f>
        <v>65</v>
      </c>
      <c r="CW78" s="452">
        <v>22</v>
      </c>
      <c r="CX78" s="452">
        <v>23</v>
      </c>
      <c r="CY78" s="452">
        <v>23</v>
      </c>
      <c r="CZ78" s="452">
        <v>35</v>
      </c>
      <c r="DA78" s="502">
        <f>CW78+CX78+CY78+CZ78</f>
        <v>103</v>
      </c>
      <c r="DC78" s="452">
        <v>35</v>
      </c>
      <c r="DD78" s="452">
        <v>31</v>
      </c>
      <c r="DE78" s="452">
        <v>30</v>
      </c>
      <c r="DF78" s="452">
        <v>35</v>
      </c>
      <c r="DG78" s="750">
        <f>DC78+DD78+DE78+DF78</f>
        <v>131</v>
      </c>
      <c r="DI78" s="452">
        <v>26</v>
      </c>
      <c r="DJ78" s="452">
        <v>38</v>
      </c>
      <c r="DK78" s="452">
        <v>38</v>
      </c>
      <c r="DL78" s="452">
        <v>49</v>
      </c>
      <c r="DM78" s="750">
        <f>DI78+DJ78+DK78+DL78</f>
        <v>151</v>
      </c>
      <c r="DO78" s="452">
        <v>43</v>
      </c>
      <c r="DP78" s="452">
        <v>43</v>
      </c>
      <c r="DQ78" s="452">
        <v>44</v>
      </c>
      <c r="DR78" s="452">
        <v>54</v>
      </c>
      <c r="DS78" s="750">
        <f>DO78+DP78+DQ78+DR78</f>
        <v>184</v>
      </c>
      <c r="DU78" s="452">
        <v>25</v>
      </c>
      <c r="DV78" s="452">
        <v>33</v>
      </c>
      <c r="DW78" s="452">
        <v>42</v>
      </c>
      <c r="DX78" s="452">
        <v>52</v>
      </c>
      <c r="DY78" s="750">
        <f>DU78+DV78+DW78+DX78</f>
        <v>152</v>
      </c>
      <c r="EA78" s="452">
        <v>22</v>
      </c>
      <c r="EB78" s="452">
        <v>16</v>
      </c>
      <c r="EC78" s="452">
        <v>11</v>
      </c>
      <c r="ED78" s="452">
        <v>29</v>
      </c>
      <c r="EE78" s="750"/>
      <c r="EG78" s="452">
        <v>30</v>
      </c>
      <c r="EH78" s="531"/>
      <c r="EI78" s="531"/>
      <c r="EJ78" s="531"/>
      <c r="EK78" s="709"/>
      <c r="EL78" s="713"/>
      <c r="EM78" s="485"/>
      <c r="EP78" s="529"/>
      <c r="EQ78" s="529"/>
      <c r="FA78" s="452">
        <f>BK78</f>
        <v>64</v>
      </c>
      <c r="FB78" s="452">
        <f>BQ78</f>
        <v>39</v>
      </c>
      <c r="FC78" s="452">
        <f>BW78</f>
        <v>74</v>
      </c>
      <c r="FD78" s="452">
        <f>CC78</f>
        <v>57</v>
      </c>
      <c r="FE78" s="452">
        <f>CI78</f>
        <v>71</v>
      </c>
      <c r="FF78" s="452">
        <f>CO78</f>
        <v>78</v>
      </c>
      <c r="FG78" s="310">
        <f>CU78</f>
        <v>65</v>
      </c>
      <c r="FH78" s="310">
        <f>DA78</f>
        <v>103</v>
      </c>
      <c r="FI78" s="310">
        <f>DG78</f>
        <v>131</v>
      </c>
      <c r="FJ78" s="310">
        <f>DM78</f>
        <v>151</v>
      </c>
      <c r="FK78" s="310">
        <f>DS78</f>
        <v>184</v>
      </c>
      <c r="FL78" s="310">
        <f>DY78</f>
        <v>152</v>
      </c>
      <c r="FM78" s="310">
        <f>EE78</f>
        <v>0</v>
      </c>
      <c r="FN78" s="310">
        <f t="shared" si="400"/>
        <v>0</v>
      </c>
      <c r="FO78" s="310">
        <f t="shared" si="400"/>
        <v>30</v>
      </c>
      <c r="FP78" s="374">
        <f ca="1">ROUNDUP(1.1*(FP74+FP73+FP76),0)</f>
        <v>76</v>
      </c>
      <c r="FQ78" s="374">
        <f ca="1">ROUNDUP((FQ74+FQ73+FQ76),0)</f>
        <v>83</v>
      </c>
      <c r="FR78" s="374">
        <f ca="1">ROUNDUP((FR74+FR73+FR76),0)</f>
        <v>88</v>
      </c>
      <c r="FU78" s="488" t="s">
        <v>644</v>
      </c>
    </row>
    <row r="79" spans="2:177" ht="12" x14ac:dyDescent="0.25">
      <c r="B79" s="663" t="s">
        <v>251</v>
      </c>
      <c r="C79" s="382"/>
      <c r="D79" s="664"/>
      <c r="E79" s="665"/>
      <c r="F79" s="665"/>
      <c r="G79" s="382"/>
      <c r="H79" s="504"/>
      <c r="I79" s="382"/>
      <c r="J79" s="664"/>
      <c r="K79" s="486">
        <v>14</v>
      </c>
      <c r="L79" s="486">
        <v>6</v>
      </c>
      <c r="M79" s="486">
        <v>10</v>
      </c>
      <c r="N79" s="486">
        <v>12</v>
      </c>
      <c r="O79" s="382"/>
      <c r="P79" s="664"/>
      <c r="Q79" s="486">
        <v>12</v>
      </c>
      <c r="R79" s="486">
        <v>16</v>
      </c>
      <c r="S79" s="486">
        <v>20</v>
      </c>
      <c r="T79" s="486">
        <v>20</v>
      </c>
      <c r="U79" s="504"/>
      <c r="V79" s="509"/>
      <c r="W79" s="486">
        <v>23</v>
      </c>
      <c r="X79" s="486">
        <v>20</v>
      </c>
      <c r="Y79" s="486">
        <v>18</v>
      </c>
      <c r="Z79" s="486">
        <v>13</v>
      </c>
      <c r="AA79" s="486">
        <f>W79+X79+Y79+Z79</f>
        <v>74</v>
      </c>
      <c r="AB79" s="509"/>
      <c r="AC79" s="700">
        <v>9</v>
      </c>
      <c r="AD79" s="700">
        <v>9</v>
      </c>
      <c r="AE79" s="700">
        <v>12</v>
      </c>
      <c r="AF79" s="700">
        <v>3</v>
      </c>
      <c r="AG79" s="702">
        <f>AC79+AD79+AE79+AF79</f>
        <v>33</v>
      </c>
      <c r="AH79" s="382"/>
      <c r="AI79" s="700">
        <v>4</v>
      </c>
      <c r="AJ79" s="700">
        <v>3</v>
      </c>
      <c r="AK79" s="700">
        <v>4</v>
      </c>
      <c r="AL79" s="700">
        <v>1</v>
      </c>
      <c r="AM79" s="702">
        <f>AI79+AJ79+AK79+AL79</f>
        <v>12</v>
      </c>
      <c r="AN79" s="382"/>
      <c r="AO79" s="700">
        <v>5</v>
      </c>
      <c r="AP79" s="700">
        <v>4</v>
      </c>
      <c r="AQ79" s="700">
        <v>5</v>
      </c>
      <c r="AR79" s="700">
        <v>9</v>
      </c>
      <c r="AS79" s="486">
        <f>AO79+AP79+AQ79+AR79</f>
        <v>23</v>
      </c>
      <c r="AT79" s="382"/>
      <c r="AU79" s="700">
        <v>4</v>
      </c>
      <c r="AV79" s="700">
        <v>6</v>
      </c>
      <c r="AW79" s="700">
        <v>7</v>
      </c>
      <c r="AX79" s="700">
        <v>3</v>
      </c>
      <c r="AY79" s="486">
        <f>AU79+AV79+AW79+AX79</f>
        <v>20</v>
      </c>
      <c r="AZ79" s="382"/>
      <c r="BA79" s="700">
        <v>3</v>
      </c>
      <c r="BB79" s="700">
        <v>4</v>
      </c>
      <c r="BC79" s="700">
        <v>5</v>
      </c>
      <c r="BD79" s="700">
        <v>3</v>
      </c>
      <c r="BE79" s="486">
        <f>BA79+BB79+BC79+BD79</f>
        <v>15</v>
      </c>
      <c r="BF79" s="382"/>
      <c r="BG79" s="700">
        <v>4</v>
      </c>
      <c r="BH79" s="700">
        <v>5</v>
      </c>
      <c r="BI79" s="700">
        <v>4</v>
      </c>
      <c r="BJ79" s="700">
        <v>0</v>
      </c>
      <c r="BK79" s="486">
        <f>BG79+BH79+BI79+BJ79</f>
        <v>13</v>
      </c>
      <c r="BL79" s="382"/>
      <c r="BM79" s="701">
        <v>3</v>
      </c>
      <c r="BN79" s="701">
        <v>2</v>
      </c>
      <c r="BO79" s="701">
        <v>5</v>
      </c>
      <c r="BP79" s="701">
        <v>3</v>
      </c>
      <c r="BQ79" s="486">
        <f>BM79+BN79+BO79+BP79</f>
        <v>13</v>
      </c>
      <c r="BR79" s="382"/>
      <c r="BS79" s="486">
        <v>6</v>
      </c>
      <c r="BT79" s="486">
        <v>5</v>
      </c>
      <c r="BU79" s="486">
        <v>4</v>
      </c>
      <c r="BV79" s="486">
        <v>3</v>
      </c>
      <c r="BW79" s="486">
        <f>BS79+BT79+BU79+BV79</f>
        <v>18</v>
      </c>
      <c r="BX79" s="382"/>
      <c r="BY79" s="486">
        <v>4</v>
      </c>
      <c r="BZ79" s="486">
        <v>7</v>
      </c>
      <c r="CA79" s="486">
        <v>5</v>
      </c>
      <c r="CB79" s="486">
        <v>4</v>
      </c>
      <c r="CC79" s="486">
        <f>BY79+BZ79+CA79+CB79</f>
        <v>20</v>
      </c>
      <c r="CD79" s="382"/>
      <c r="CE79" s="486">
        <v>3</v>
      </c>
      <c r="CF79" s="486">
        <v>7</v>
      </c>
      <c r="CG79" s="486">
        <v>9</v>
      </c>
      <c r="CH79" s="486">
        <v>7</v>
      </c>
      <c r="CI79" s="486">
        <f>CE79+CF79+CG79+CH79</f>
        <v>26</v>
      </c>
      <c r="CJ79" s="382"/>
      <c r="CK79" s="486">
        <v>5</v>
      </c>
      <c r="CL79" s="486">
        <v>8</v>
      </c>
      <c r="CM79" s="486">
        <v>5</v>
      </c>
      <c r="CN79" s="486">
        <v>8</v>
      </c>
      <c r="CO79" s="486">
        <f>CK79+CL79+CM79+CN79</f>
        <v>26</v>
      </c>
      <c r="CP79" s="382"/>
      <c r="CQ79" s="486">
        <v>9</v>
      </c>
      <c r="CR79" s="486">
        <v>6</v>
      </c>
      <c r="CS79" s="486">
        <v>6</v>
      </c>
      <c r="CT79" s="486">
        <v>13</v>
      </c>
      <c r="CU79" s="486">
        <f>CQ79+CR79+CS79+CT79</f>
        <v>34</v>
      </c>
      <c r="CV79" s="382"/>
      <c r="CW79" s="486">
        <v>11</v>
      </c>
      <c r="CX79" s="486">
        <v>7</v>
      </c>
      <c r="CY79" s="486">
        <v>10</v>
      </c>
      <c r="CZ79" s="486">
        <v>6</v>
      </c>
      <c r="DA79" s="506">
        <f>CW79+CX79+CY79+CZ79</f>
        <v>34</v>
      </c>
      <c r="DC79" s="486">
        <v>6</v>
      </c>
      <c r="DD79" s="486">
        <v>9</v>
      </c>
      <c r="DE79" s="486">
        <v>7</v>
      </c>
      <c r="DF79" s="486">
        <v>11</v>
      </c>
      <c r="DG79" s="733">
        <f>DC79+DD79+DE79+DF79</f>
        <v>33</v>
      </c>
      <c r="DI79" s="486">
        <v>9</v>
      </c>
      <c r="DJ79" s="486">
        <v>12</v>
      </c>
      <c r="DK79" s="486">
        <v>10</v>
      </c>
      <c r="DL79" s="486">
        <v>14</v>
      </c>
      <c r="DM79" s="733">
        <f>DI79+DJ79+DK79+DL79</f>
        <v>45</v>
      </c>
      <c r="DO79" s="486">
        <v>8</v>
      </c>
      <c r="DP79" s="486">
        <v>13</v>
      </c>
      <c r="DQ79" s="486">
        <v>16</v>
      </c>
      <c r="DR79" s="486">
        <v>18</v>
      </c>
      <c r="DS79" s="733">
        <f>DO79+DP79+DQ79+DR79</f>
        <v>55</v>
      </c>
      <c r="DT79" s="841">
        <f>SUM(DS76:DS79)</f>
        <v>396</v>
      </c>
      <c r="DU79" s="486">
        <v>10</v>
      </c>
      <c r="DV79" s="486">
        <v>16</v>
      </c>
      <c r="DW79" s="486">
        <v>18</v>
      </c>
      <c r="DX79" s="486">
        <v>21</v>
      </c>
      <c r="DY79" s="733">
        <f>DU79+DV79+DW79+DX79</f>
        <v>65</v>
      </c>
      <c r="EA79" s="486">
        <v>13</v>
      </c>
      <c r="EB79" s="486">
        <v>14</v>
      </c>
      <c r="EC79" s="486">
        <v>10</v>
      </c>
      <c r="ED79" s="486">
        <v>17</v>
      </c>
      <c r="EE79" s="751"/>
      <c r="EG79" s="486">
        <v>11</v>
      </c>
      <c r="EH79" s="703"/>
      <c r="EI79" s="703"/>
      <c r="EJ79" s="703"/>
      <c r="EK79" s="711"/>
      <c r="EL79" s="712"/>
      <c r="EM79" s="485"/>
      <c r="EP79" s="529"/>
      <c r="EQ79" s="529"/>
      <c r="FA79" s="452">
        <f>BK79</f>
        <v>13</v>
      </c>
      <c r="FB79" s="452">
        <f>BQ79</f>
        <v>13</v>
      </c>
      <c r="FC79" s="452">
        <f>BW79</f>
        <v>18</v>
      </c>
      <c r="FD79" s="452">
        <f>CC79</f>
        <v>20</v>
      </c>
      <c r="FE79" s="452">
        <f>CI79</f>
        <v>26</v>
      </c>
      <c r="FF79" s="452">
        <f>CO79</f>
        <v>26</v>
      </c>
      <c r="FG79" s="373">
        <f>CU79</f>
        <v>34</v>
      </c>
      <c r="FH79" s="373">
        <f>DA79</f>
        <v>34</v>
      </c>
      <c r="FI79" s="373">
        <f>DG79</f>
        <v>33</v>
      </c>
      <c r="FJ79" s="373">
        <f>DM79</f>
        <v>45</v>
      </c>
      <c r="FK79" s="373">
        <f>DS79</f>
        <v>55</v>
      </c>
      <c r="FL79" s="310">
        <f>DY79</f>
        <v>65</v>
      </c>
      <c r="FM79" s="310">
        <f>EE79</f>
        <v>0</v>
      </c>
      <c r="FN79" s="310">
        <f t="shared" si="400"/>
        <v>0</v>
      </c>
      <c r="FO79" s="310">
        <f t="shared" si="400"/>
        <v>11</v>
      </c>
      <c r="FP79" s="374">
        <f ca="1">ROUNDUP((1.5*FP77),0)</f>
        <v>0</v>
      </c>
      <c r="FQ79" s="374">
        <f ca="1">ROUNDUP((1.5*FQ77),0)</f>
        <v>0</v>
      </c>
      <c r="FR79" s="374">
        <f ca="1">ROUNDUP((1.5*FR77),0)</f>
        <v>0</v>
      </c>
      <c r="FU79" s="458"/>
    </row>
    <row r="80" spans="2:177" ht="12" x14ac:dyDescent="0.25">
      <c r="B80" s="666" t="s">
        <v>682</v>
      </c>
      <c r="D80" s="445"/>
      <c r="E80" s="480"/>
      <c r="F80" s="480"/>
      <c r="H80" s="481"/>
      <c r="J80" s="445"/>
      <c r="K80" s="452"/>
      <c r="L80" s="452"/>
      <c r="M80" s="452"/>
      <c r="N80" s="452"/>
      <c r="P80" s="445"/>
      <c r="Q80" s="452"/>
      <c r="R80" s="452"/>
      <c r="S80" s="452"/>
      <c r="T80" s="452"/>
      <c r="U80" s="481"/>
      <c r="V80" s="458"/>
      <c r="W80" s="452"/>
      <c r="X80" s="452"/>
      <c r="Y80" s="452"/>
      <c r="Z80" s="452"/>
      <c r="AA80" s="452"/>
      <c r="AB80" s="458"/>
      <c r="AC80" s="528"/>
      <c r="AD80" s="528"/>
      <c r="AE80" s="528"/>
      <c r="AF80" s="528"/>
      <c r="AG80" s="540"/>
      <c r="AI80" s="528"/>
      <c r="AJ80" s="528"/>
      <c r="AK80" s="528"/>
      <c r="AL80" s="528"/>
      <c r="AM80" s="540"/>
      <c r="AO80" s="528"/>
      <c r="AP80" s="528"/>
      <c r="AQ80" s="528"/>
      <c r="AR80" s="528"/>
      <c r="AS80" s="452"/>
      <c r="AU80" s="528"/>
      <c r="AV80" s="528"/>
      <c r="AW80" s="528"/>
      <c r="AX80" s="528"/>
      <c r="AY80" s="452"/>
      <c r="BA80" s="528"/>
      <c r="BB80" s="528"/>
      <c r="BC80" s="528"/>
      <c r="BD80" s="528"/>
      <c r="BE80" s="452"/>
      <c r="BG80" s="528"/>
      <c r="BH80" s="528"/>
      <c r="BI80" s="528"/>
      <c r="BJ80" s="528"/>
      <c r="BK80" s="452"/>
      <c r="BM80" s="529"/>
      <c r="BN80" s="529"/>
      <c r="BO80" s="529"/>
      <c r="BP80" s="529"/>
      <c r="BQ80" s="452"/>
      <c r="BS80" s="452"/>
      <c r="BT80" s="452"/>
      <c r="BU80" s="452"/>
      <c r="BV80" s="452"/>
      <c r="BW80" s="452"/>
      <c r="BY80" s="452"/>
      <c r="BZ80" s="452"/>
      <c r="CA80" s="452"/>
      <c r="CB80" s="452"/>
      <c r="CC80" s="452"/>
      <c r="CE80" s="452"/>
      <c r="CF80" s="452"/>
      <c r="CG80" s="452"/>
      <c r="CH80" s="452"/>
      <c r="CI80" s="452"/>
      <c r="CK80" s="452"/>
      <c r="CL80" s="452"/>
      <c r="CM80" s="452"/>
      <c r="CN80" s="452"/>
      <c r="CO80" s="452"/>
      <c r="CQ80" s="452"/>
      <c r="CR80" s="452"/>
      <c r="CS80" s="452"/>
      <c r="CT80" s="452"/>
      <c r="CU80" s="452"/>
      <c r="CW80" s="452"/>
      <c r="CX80" s="452"/>
      <c r="CY80" s="452"/>
      <c r="CZ80" s="452"/>
      <c r="DA80" s="501"/>
      <c r="DC80" s="452"/>
      <c r="DD80" s="452"/>
      <c r="DE80" s="452"/>
      <c r="DF80" s="452"/>
      <c r="DG80" s="732"/>
      <c r="DI80" s="452"/>
      <c r="DJ80" s="452"/>
      <c r="DK80" s="452"/>
      <c r="DL80" s="452"/>
      <c r="DM80" s="732"/>
      <c r="DO80" s="452"/>
      <c r="DP80" s="452"/>
      <c r="DQ80" s="452"/>
      <c r="DR80" s="452"/>
      <c r="DS80" s="732"/>
      <c r="DT80" s="841"/>
      <c r="DU80" s="452"/>
      <c r="DV80" s="452"/>
      <c r="DW80" s="452"/>
      <c r="DX80" s="452"/>
      <c r="DY80" s="734">
        <f>SUM(DY76:DY79)</f>
        <v>374</v>
      </c>
      <c r="EA80" s="457">
        <f>SUM(EA76:EA79)</f>
        <v>63</v>
      </c>
      <c r="EB80" s="457">
        <f>SUM(EB76:EB79)</f>
        <v>65</v>
      </c>
      <c r="EC80" s="457">
        <f>SUM(EC76:EC79)</f>
        <v>63</v>
      </c>
      <c r="ED80" s="457">
        <f>SUM(ED76:ED79)</f>
        <v>88</v>
      </c>
      <c r="EE80" s="752">
        <f t="shared" si="397"/>
        <v>279</v>
      </c>
      <c r="EG80" s="461">
        <f>EG367</f>
        <v>63</v>
      </c>
      <c r="EH80" s="461">
        <f t="shared" ref="EH80:EL80" si="401">EH367</f>
        <v>66.25</v>
      </c>
      <c r="EI80" s="461">
        <f t="shared" si="401"/>
        <v>82.5</v>
      </c>
      <c r="EJ80" s="461">
        <f t="shared" si="401"/>
        <v>85.949874999999935</v>
      </c>
      <c r="EK80" s="709">
        <f t="shared" ref="EK80" si="402">SUM(EG80:EJ80)</f>
        <v>297.69987499999991</v>
      </c>
      <c r="EL80" s="772">
        <f t="shared" si="401"/>
        <v>388.20368874999997</v>
      </c>
      <c r="EM80" s="485"/>
      <c r="EP80" s="529"/>
      <c r="EQ80" s="529"/>
      <c r="FA80" s="452"/>
      <c r="FB80" s="452"/>
      <c r="FC80" s="452"/>
      <c r="FD80" s="452"/>
      <c r="FE80" s="457">
        <f>CI80</f>
        <v>0</v>
      </c>
      <c r="FF80" s="457">
        <f>CO80</f>
        <v>0</v>
      </c>
      <c r="FG80" s="462">
        <f>CU80</f>
        <v>0</v>
      </c>
      <c r="FH80" s="462">
        <f>DA80</f>
        <v>0</v>
      </c>
      <c r="FI80" s="462">
        <f>DG80</f>
        <v>0</v>
      </c>
      <c r="FJ80" s="462">
        <f>DM80</f>
        <v>0</v>
      </c>
      <c r="FK80" s="462">
        <f>DS80</f>
        <v>0</v>
      </c>
      <c r="FL80" s="571">
        <f>DY80</f>
        <v>374</v>
      </c>
      <c r="FM80" s="571">
        <f>EE80</f>
        <v>279</v>
      </c>
      <c r="FN80" s="571">
        <f t="shared" si="400"/>
        <v>0</v>
      </c>
      <c r="FO80" s="571">
        <f t="shared" si="400"/>
        <v>63</v>
      </c>
      <c r="FP80" s="846">
        <f>FP367</f>
        <v>328.09582556249995</v>
      </c>
      <c r="FQ80" s="846">
        <f t="shared" ref="FQ80:FR80" si="403">FQ367</f>
        <v>327.45832556249997</v>
      </c>
      <c r="FR80" s="846">
        <f t="shared" si="403"/>
        <v>326.13332556249998</v>
      </c>
      <c r="FU80" s="458"/>
    </row>
    <row r="81" spans="1:177" ht="12" x14ac:dyDescent="0.25">
      <c r="B81" s="316"/>
      <c r="D81" s="445"/>
      <c r="E81" s="480"/>
      <c r="F81" s="480"/>
      <c r="H81" s="481"/>
      <c r="J81" s="445"/>
      <c r="K81" s="452"/>
      <c r="L81" s="452"/>
      <c r="M81" s="452"/>
      <c r="N81" s="452"/>
      <c r="P81" s="445"/>
      <c r="Q81" s="452"/>
      <c r="R81" s="452"/>
      <c r="S81" s="452"/>
      <c r="T81" s="452"/>
      <c r="U81" s="481"/>
      <c r="V81" s="458"/>
      <c r="W81" s="452"/>
      <c r="X81" s="452"/>
      <c r="Y81" s="452"/>
      <c r="Z81" s="452"/>
      <c r="AA81" s="452"/>
      <c r="AB81" s="458"/>
      <c r="AC81" s="528"/>
      <c r="AD81" s="528"/>
      <c r="AE81" s="528"/>
      <c r="AF81" s="528"/>
      <c r="AG81" s="540"/>
      <c r="AI81" s="528"/>
      <c r="AJ81" s="528"/>
      <c r="AK81" s="528"/>
      <c r="AL81" s="528"/>
      <c r="AM81" s="540"/>
      <c r="AO81" s="528"/>
      <c r="AP81" s="528"/>
      <c r="AQ81" s="528"/>
      <c r="AR81" s="528"/>
      <c r="AS81" s="452"/>
      <c r="AU81" s="528"/>
      <c r="AV81" s="528"/>
      <c r="AW81" s="528"/>
      <c r="AX81" s="528"/>
      <c r="AY81" s="452"/>
      <c r="BA81" s="528"/>
      <c r="BB81" s="528"/>
      <c r="BC81" s="528"/>
      <c r="BD81" s="528"/>
      <c r="BE81" s="452"/>
      <c r="BG81" s="528"/>
      <c r="BH81" s="528"/>
      <c r="BI81" s="528"/>
      <c r="BJ81" s="528"/>
      <c r="BK81" s="452"/>
      <c r="BM81" s="529"/>
      <c r="BN81" s="529"/>
      <c r="BO81" s="529"/>
      <c r="BP81" s="529"/>
      <c r="BQ81" s="452"/>
      <c r="BS81" s="452"/>
      <c r="BT81" s="452"/>
      <c r="BU81" s="452"/>
      <c r="BV81" s="452"/>
      <c r="BW81" s="452"/>
      <c r="BY81" s="452"/>
      <c r="BZ81" s="452"/>
      <c r="CA81" s="452"/>
      <c r="CB81" s="452"/>
      <c r="CC81" s="452"/>
      <c r="CE81" s="452"/>
      <c r="CF81" s="452"/>
      <c r="CG81" s="452"/>
      <c r="CH81" s="452"/>
      <c r="CI81" s="452"/>
      <c r="CK81" s="452"/>
      <c r="CL81" s="452"/>
      <c r="CM81" s="452"/>
      <c r="CN81" s="452"/>
      <c r="CO81" s="452"/>
      <c r="CQ81" s="452"/>
      <c r="CR81" s="452"/>
      <c r="CS81" s="452"/>
      <c r="CT81" s="452"/>
      <c r="CU81" s="452"/>
      <c r="CW81" s="452"/>
      <c r="CX81" s="452"/>
      <c r="CY81" s="452"/>
      <c r="CZ81" s="452"/>
      <c r="DA81" s="501"/>
      <c r="DC81" s="452"/>
      <c r="DD81" s="452"/>
      <c r="DE81" s="452"/>
      <c r="DF81" s="452"/>
      <c r="DG81" s="732"/>
      <c r="DI81" s="452"/>
      <c r="DJ81" s="452"/>
      <c r="DK81" s="452"/>
      <c r="DL81" s="452"/>
      <c r="DM81" s="732"/>
      <c r="DO81" s="452"/>
      <c r="DP81" s="452"/>
      <c r="DQ81" s="452"/>
      <c r="DR81" s="452"/>
      <c r="DS81" s="732"/>
      <c r="DT81" s="841"/>
      <c r="DU81" s="452"/>
      <c r="DV81" s="452"/>
      <c r="DW81" s="452"/>
      <c r="DX81" s="452"/>
      <c r="DY81" s="732"/>
      <c r="EA81" s="453"/>
      <c r="EB81" s="453"/>
      <c r="EC81" s="531"/>
      <c r="ED81" s="531"/>
      <c r="EE81" s="750"/>
      <c r="EG81" s="531"/>
      <c r="EH81" s="531"/>
      <c r="EI81" s="531"/>
      <c r="EJ81" s="531"/>
      <c r="EK81" s="707"/>
      <c r="EL81" s="713"/>
      <c r="EM81" s="485"/>
      <c r="EP81" s="529"/>
      <c r="EQ81" s="529"/>
      <c r="FA81" s="452"/>
      <c r="FB81" s="452"/>
      <c r="FC81" s="452"/>
      <c r="FD81" s="452"/>
      <c r="FE81" s="452"/>
      <c r="FF81" s="452"/>
      <c r="FG81" s="373"/>
      <c r="FH81" s="373"/>
      <c r="FI81" s="373"/>
      <c r="FJ81" s="373"/>
      <c r="FK81" s="373"/>
      <c r="FL81" s="310"/>
      <c r="FM81" s="310"/>
      <c r="FN81" s="310"/>
      <c r="FO81" s="310"/>
      <c r="FP81" s="374"/>
      <c r="FQ81" s="374"/>
      <c r="FR81" s="374"/>
      <c r="FU81" s="458"/>
    </row>
    <row r="82" spans="1:177" ht="12" x14ac:dyDescent="0.25">
      <c r="A82" s="455"/>
      <c r="B82" s="445" t="s">
        <v>254</v>
      </c>
      <c r="C82" s="455"/>
      <c r="D82" s="445"/>
      <c r="E82" s="480"/>
      <c r="F82" s="480"/>
      <c r="G82" s="455"/>
      <c r="H82" s="457"/>
      <c r="I82" s="455"/>
      <c r="J82" s="445"/>
      <c r="K82" s="457">
        <f>K76+K77+K78+K79</f>
        <v>59</v>
      </c>
      <c r="L82" s="457">
        <f>L76+L77+L78+L79</f>
        <v>51</v>
      </c>
      <c r="M82" s="457">
        <f>M76+M77+M78+M79</f>
        <v>39</v>
      </c>
      <c r="N82" s="457">
        <f>N76+N77+N78+N79</f>
        <v>47</v>
      </c>
      <c r="O82" s="455"/>
      <c r="P82" s="445"/>
      <c r="Q82" s="457">
        <f>Q76+Q77+Q78+Q79</f>
        <v>51</v>
      </c>
      <c r="R82" s="457">
        <f>R76+R77+R78+R79</f>
        <v>72</v>
      </c>
      <c r="S82" s="457">
        <f>S76+S77+S78+S79</f>
        <v>71</v>
      </c>
      <c r="T82" s="457">
        <f>T76+T77+T78+T79</f>
        <v>72</v>
      </c>
      <c r="U82" s="457"/>
      <c r="V82" s="458"/>
      <c r="W82" s="457">
        <f>W76+W77+W78+W79</f>
        <v>80</v>
      </c>
      <c r="X82" s="457">
        <f>X76+X77+X78+X79</f>
        <v>72</v>
      </c>
      <c r="Y82" s="457">
        <f>Y76+Y77+Y78+Y79</f>
        <v>59</v>
      </c>
      <c r="Z82" s="457">
        <f>Z76+Z77+Z78+Z79</f>
        <v>55</v>
      </c>
      <c r="AA82" s="457">
        <f>AA76+AA77+AA78+AA79</f>
        <v>266</v>
      </c>
      <c r="AB82" s="457"/>
      <c r="AC82" s="457">
        <f t="shared" ref="AC82:AD82" si="404">AC76+AC77+AC78+AC79</f>
        <v>50</v>
      </c>
      <c r="AD82" s="457">
        <f t="shared" si="404"/>
        <v>39</v>
      </c>
      <c r="AE82" s="457">
        <f>SUM(AE76:AE79)</f>
        <v>37</v>
      </c>
      <c r="AF82" s="457">
        <f>SUM(AF76:AF79)</f>
        <v>25</v>
      </c>
      <c r="AG82" s="457">
        <f>SUM(AG76:AG79)</f>
        <v>151</v>
      </c>
      <c r="AH82" s="455"/>
      <c r="AI82" s="457">
        <f>SUM(AI76:AI79)</f>
        <v>11</v>
      </c>
      <c r="AJ82" s="457">
        <f>SUM(AJ76:AJ79)</f>
        <v>10</v>
      </c>
      <c r="AK82" s="457">
        <f>SUM(AK76:AK79)</f>
        <v>24</v>
      </c>
      <c r="AL82" s="457">
        <f>SUM(AL76:AL79)</f>
        <v>14</v>
      </c>
      <c r="AM82" s="457">
        <f>SUM(AM76:AM79)</f>
        <v>59</v>
      </c>
      <c r="AN82" s="455"/>
      <c r="AO82" s="457">
        <f>SUM(AO76:AO79)</f>
        <v>34</v>
      </c>
      <c r="AP82" s="457">
        <f>SUM(AP76:AP79)</f>
        <v>43</v>
      </c>
      <c r="AQ82" s="457">
        <f>SUM(AQ76:AQ79)</f>
        <v>51</v>
      </c>
      <c r="AR82" s="457">
        <f>SUM(AR76:AR79)</f>
        <v>69</v>
      </c>
      <c r="AS82" s="457">
        <f>SUM(AS72:AS79)</f>
        <v>197</v>
      </c>
      <c r="AT82" s="455"/>
      <c r="AU82" s="457">
        <f>SUM(AU76:AU79)</f>
        <v>63</v>
      </c>
      <c r="AV82" s="457">
        <f>SUM(AV76:AV79)</f>
        <v>63</v>
      </c>
      <c r="AW82" s="457">
        <f>SUM(AW72:AW79)</f>
        <v>53</v>
      </c>
      <c r="AX82" s="457">
        <f>SUM(AX72:AX79)</f>
        <v>40</v>
      </c>
      <c r="AY82" s="457">
        <f>SUM(AY72:AY79)</f>
        <v>219</v>
      </c>
      <c r="AZ82" s="455"/>
      <c r="BA82" s="457">
        <f>SUM(BA72:BA79)</f>
        <v>51</v>
      </c>
      <c r="BB82" s="457">
        <f>SUM(BB72:BB79)</f>
        <v>44</v>
      </c>
      <c r="BC82" s="457">
        <f>SUM(BC72:BC79)</f>
        <v>40</v>
      </c>
      <c r="BD82" s="457">
        <f>SUM(BD72:BD79)</f>
        <v>34</v>
      </c>
      <c r="BE82" s="457">
        <f>SUM(BE74:BE79)</f>
        <v>169</v>
      </c>
      <c r="BF82" s="455"/>
      <c r="BG82" s="457">
        <f>SUM(BG72:BG79)</f>
        <v>29</v>
      </c>
      <c r="BH82" s="457">
        <f>SUM(BH74:BH79)</f>
        <v>38</v>
      </c>
      <c r="BI82" s="457">
        <f>SUM(BI74:BI79)</f>
        <v>34</v>
      </c>
      <c r="BJ82" s="457">
        <f>SUM(BJ74:BJ79)</f>
        <v>56</v>
      </c>
      <c r="BK82" s="457">
        <f>SUM(BK74:BK79)</f>
        <v>157</v>
      </c>
      <c r="BL82" s="455"/>
      <c r="BM82" s="457">
        <f>SUM(BM74:BM79)</f>
        <v>40</v>
      </c>
      <c r="BN82" s="457">
        <f>SUM(BN74:BN79)</f>
        <v>31</v>
      </c>
      <c r="BO82" s="457">
        <f>SUM(BO74:BO79)</f>
        <v>30</v>
      </c>
      <c r="BP82" s="457">
        <f>SUM(BP74:BP79)</f>
        <v>35</v>
      </c>
      <c r="BQ82" s="457">
        <f>SUM(BQ74:BQ79)</f>
        <v>136</v>
      </c>
      <c r="BR82" s="455"/>
      <c r="BS82" s="457">
        <f>SUM(BS74:BS79)</f>
        <v>47</v>
      </c>
      <c r="BT82" s="457">
        <f>SUM(BT74:BT79)</f>
        <v>41</v>
      </c>
      <c r="BU82" s="457">
        <f>SUM(BU74:BU79)</f>
        <v>44</v>
      </c>
      <c r="BV82" s="457">
        <f>SUM(BV74:BV79)</f>
        <v>37</v>
      </c>
      <c r="BW82" s="457">
        <f>SUM(BW74:BW79)</f>
        <v>169</v>
      </c>
      <c r="BX82" s="455"/>
      <c r="BY82" s="457">
        <f>SUM(BY74:BY79)</f>
        <v>33</v>
      </c>
      <c r="BZ82" s="457">
        <f>SUM(BZ74:BZ79)</f>
        <v>46</v>
      </c>
      <c r="CA82" s="457">
        <f>SUM(CA74:CA79)</f>
        <v>40</v>
      </c>
      <c r="CB82" s="457">
        <f>SUM(CB74:CB79)</f>
        <v>38</v>
      </c>
      <c r="CC82" s="457">
        <f>SUM(CC74:CC79)</f>
        <v>157</v>
      </c>
      <c r="CD82" s="455"/>
      <c r="CE82" s="457">
        <f>SUM(CE74:CE79)</f>
        <v>44</v>
      </c>
      <c r="CF82" s="457">
        <f>SUM(CF74:CF79)</f>
        <v>42</v>
      </c>
      <c r="CG82" s="457">
        <f>SUM(CG74:CG79)</f>
        <v>55</v>
      </c>
      <c r="CH82" s="457">
        <f>SUM(CH74:CH79)</f>
        <v>57</v>
      </c>
      <c r="CI82" s="457">
        <f>SUM(CI74:CI79)</f>
        <v>198</v>
      </c>
      <c r="CJ82" s="455"/>
      <c r="CK82" s="457">
        <f>SUM(CK74:CK79)</f>
        <v>49</v>
      </c>
      <c r="CL82" s="457">
        <f>SUM(CL74:CL79)</f>
        <v>58</v>
      </c>
      <c r="CM82" s="457">
        <f>SUM(CM74:CM79)</f>
        <v>53</v>
      </c>
      <c r="CN82" s="457">
        <f>SUM(CN74:CN79)</f>
        <v>64</v>
      </c>
      <c r="CO82" s="457">
        <f>SUM(CO74:CO79)</f>
        <v>224</v>
      </c>
      <c r="CP82" s="455"/>
      <c r="CQ82" s="457">
        <f>SUM(CQ74:CQ79)</f>
        <v>48</v>
      </c>
      <c r="CR82" s="457">
        <f>SUM(CR74:CR79)</f>
        <v>48</v>
      </c>
      <c r="CS82" s="457">
        <f>SUM(CS74:CS79)</f>
        <v>57</v>
      </c>
      <c r="CT82" s="457">
        <f>SUM(CT74:CT79)</f>
        <v>76</v>
      </c>
      <c r="CU82" s="457">
        <f>SUM(CU74:CU79)</f>
        <v>229</v>
      </c>
      <c r="CV82" s="455"/>
      <c r="CW82" s="457">
        <f>SUM(CW74:CW79)</f>
        <v>57</v>
      </c>
      <c r="CX82" s="457">
        <f>SUM(CX74:CX79)</f>
        <v>61</v>
      </c>
      <c r="CY82" s="457">
        <f>SUM(CY74:CY79)</f>
        <v>60</v>
      </c>
      <c r="CZ82" s="457">
        <f>SUM(CZ74:CZ79)</f>
        <v>80</v>
      </c>
      <c r="DA82" s="459">
        <f>SUM(DA74:DA79)</f>
        <v>258</v>
      </c>
      <c r="DB82" s="835"/>
      <c r="DC82" s="457">
        <f>SUM(DC74:DC79)</f>
        <v>76</v>
      </c>
      <c r="DD82" s="457">
        <f>SUM(DD74:DD79)</f>
        <v>72</v>
      </c>
      <c r="DE82" s="457">
        <f>SUM(DE74:DE79)</f>
        <v>79</v>
      </c>
      <c r="DF82" s="457">
        <f>SUM(DF74:DF79)</f>
        <v>82</v>
      </c>
      <c r="DG82" s="734">
        <f>SUM(DG74:DG79)</f>
        <v>309</v>
      </c>
      <c r="DH82" s="835"/>
      <c r="DI82" s="457">
        <f>SUM(DI74:DI79)</f>
        <v>62</v>
      </c>
      <c r="DJ82" s="457">
        <f>SUM(DJ74:DJ79)</f>
        <v>91</v>
      </c>
      <c r="DK82" s="457">
        <f>SUM(DK74:DK79)</f>
        <v>86</v>
      </c>
      <c r="DL82" s="457">
        <f>SUM(DL74:DL79)</f>
        <v>106</v>
      </c>
      <c r="DM82" s="734">
        <f>SUM(DM74:DM79)</f>
        <v>345</v>
      </c>
      <c r="DO82" s="457">
        <f>SUM(DO74:DO79)</f>
        <v>100</v>
      </c>
      <c r="DP82" s="457">
        <f>SUM(DP74:DP79)</f>
        <v>113</v>
      </c>
      <c r="DQ82" s="457">
        <f>SUM(DQ74:DQ79)</f>
        <v>112</v>
      </c>
      <c r="DR82" s="457">
        <f>SUM(DR74:DR79)</f>
        <v>124</v>
      </c>
      <c r="DS82" s="734">
        <f>SUM(DS74:DS79)</f>
        <v>449</v>
      </c>
      <c r="DT82" s="734"/>
      <c r="DU82" s="457">
        <f>SUM(DU74:DU79)</f>
        <v>70</v>
      </c>
      <c r="DV82" s="457">
        <f>SUM(DV74:DV79)</f>
        <v>100</v>
      </c>
      <c r="DW82" s="457">
        <f>SUM(DW74:DW79)</f>
        <v>116</v>
      </c>
      <c r="DX82" s="457">
        <f>SUM(DX73:DX79)</f>
        <v>132</v>
      </c>
      <c r="DY82" s="734">
        <f>SUM(DY74:DY79)</f>
        <v>416</v>
      </c>
      <c r="EA82" s="457">
        <f>SUM(EA75,EA80)</f>
        <v>77</v>
      </c>
      <c r="EB82" s="457">
        <f>SUM(EB75,EB80)</f>
        <v>76</v>
      </c>
      <c r="EC82" s="457">
        <f>SUM(EC73:EC79)</f>
        <v>81</v>
      </c>
      <c r="ED82" s="457">
        <f>SUM(ED73:ED79)</f>
        <v>116</v>
      </c>
      <c r="EE82" s="734">
        <f>SUM(EE73:EE79)</f>
        <v>227</v>
      </c>
      <c r="EG82" s="498">
        <f>SUM(EG74:EG79)</f>
        <v>93</v>
      </c>
      <c r="EH82" s="498">
        <f>SUM(EH74:EH79)</f>
        <v>54.5</v>
      </c>
      <c r="EI82" s="498">
        <f>SUM(EI74:EI79)</f>
        <v>69</v>
      </c>
      <c r="EJ82" s="498">
        <f>SUM(EJ74:EJ79)</f>
        <v>83</v>
      </c>
      <c r="EK82" s="715">
        <f>SUM(EK74:EK79)</f>
        <v>253.5</v>
      </c>
      <c r="EL82" s="715">
        <f>SUM(EL73:EL79)</f>
        <v>335.2814755</v>
      </c>
      <c r="EM82" s="498"/>
      <c r="EP82" s="457"/>
      <c r="EQ82" s="457"/>
      <c r="ER82" s="455"/>
      <c r="ES82" s="455"/>
      <c r="ET82" s="455"/>
      <c r="EU82" s="455"/>
      <c r="EV82" s="455"/>
      <c r="EW82" s="455"/>
      <c r="EX82" s="455"/>
      <c r="EY82" s="455"/>
      <c r="EZ82" s="455"/>
      <c r="FA82" s="457">
        <f t="shared" ref="FA82:FL82" si="405">SUM(FA74:FA79)</f>
        <v>157</v>
      </c>
      <c r="FB82" s="457">
        <f t="shared" si="405"/>
        <v>136</v>
      </c>
      <c r="FC82" s="457">
        <f t="shared" si="405"/>
        <v>169</v>
      </c>
      <c r="FD82" s="457">
        <f t="shared" si="405"/>
        <v>157</v>
      </c>
      <c r="FE82" s="457">
        <f t="shared" si="405"/>
        <v>198</v>
      </c>
      <c r="FF82" s="457">
        <f t="shared" si="405"/>
        <v>224</v>
      </c>
      <c r="FG82" s="457">
        <f t="shared" si="405"/>
        <v>229</v>
      </c>
      <c r="FH82" s="457">
        <f t="shared" si="405"/>
        <v>258</v>
      </c>
      <c r="FI82" s="457">
        <f t="shared" si="405"/>
        <v>309</v>
      </c>
      <c r="FJ82" s="457">
        <f t="shared" si="405"/>
        <v>345</v>
      </c>
      <c r="FK82" s="457">
        <f t="shared" si="405"/>
        <v>449</v>
      </c>
      <c r="FL82" s="457">
        <f t="shared" si="405"/>
        <v>416</v>
      </c>
      <c r="FM82" s="457">
        <f>SUM(FM73:FM79)</f>
        <v>179</v>
      </c>
      <c r="FN82" s="457">
        <f t="shared" ref="FN82:FO82" si="406">SUM(FN73:FN79)</f>
        <v>67</v>
      </c>
      <c r="FO82" s="457">
        <f t="shared" si="406"/>
        <v>149</v>
      </c>
      <c r="FP82" s="847">
        <f ca="1">SUM(FP73:FP79)</f>
        <v>145</v>
      </c>
      <c r="FQ82" s="847">
        <f ca="1">SUM(FQ73:FQ79)</f>
        <v>166</v>
      </c>
      <c r="FR82" s="847">
        <f ca="1">SUM(FR73:FR79)</f>
        <v>176</v>
      </c>
      <c r="FU82" s="458"/>
    </row>
    <row r="83" spans="1:177" ht="12" x14ac:dyDescent="0.25">
      <c r="D83" s="445"/>
      <c r="E83" s="480"/>
      <c r="F83" s="480"/>
      <c r="H83" s="481"/>
      <c r="J83" s="445"/>
      <c r="K83" s="481"/>
      <c r="L83" s="481"/>
      <c r="M83" s="481"/>
      <c r="N83" s="481"/>
      <c r="P83" s="445"/>
      <c r="Q83" s="481"/>
      <c r="R83" s="481"/>
      <c r="S83" s="481"/>
      <c r="T83" s="481"/>
      <c r="U83" s="458"/>
      <c r="V83" s="458"/>
      <c r="W83" s="481"/>
      <c r="X83" s="481"/>
      <c r="Y83" s="481"/>
      <c r="Z83" s="458"/>
      <c r="AA83" s="458"/>
      <c r="AB83" s="458"/>
      <c r="AC83" s="481"/>
      <c r="AD83" s="481"/>
      <c r="AE83" s="481"/>
      <c r="AF83" s="458"/>
      <c r="AG83" s="458"/>
      <c r="AI83" s="458"/>
      <c r="AJ83" s="458"/>
      <c r="AK83" s="458"/>
      <c r="AL83" s="458"/>
      <c r="AO83" s="458"/>
      <c r="AP83" s="458"/>
      <c r="AS83" s="458"/>
      <c r="CW83" s="312"/>
      <c r="CX83" s="312"/>
      <c r="CY83" s="312"/>
      <c r="CZ83" s="312"/>
      <c r="DC83" s="312"/>
      <c r="DD83" s="312"/>
      <c r="DE83" s="312"/>
      <c r="DF83" s="312"/>
      <c r="DI83" s="312"/>
      <c r="DJ83" s="312"/>
      <c r="FP83" s="311"/>
    </row>
    <row r="84" spans="1:177" ht="12" x14ac:dyDescent="0.25">
      <c r="B84" s="477" t="s">
        <v>665</v>
      </c>
      <c r="D84" s="445"/>
      <c r="E84" s="480"/>
      <c r="F84" s="480"/>
      <c r="H84" s="481"/>
      <c r="J84" s="445"/>
      <c r="K84" s="481"/>
      <c r="L84" s="481"/>
      <c r="M84" s="481"/>
      <c r="N84" s="481"/>
      <c r="P84" s="445"/>
      <c r="Q84" s="481"/>
      <c r="R84" s="481"/>
      <c r="S84" s="481"/>
      <c r="T84" s="481"/>
      <c r="U84" s="458"/>
      <c r="V84" s="458"/>
      <c r="W84" s="481"/>
      <c r="X84" s="481"/>
      <c r="Y84" s="481"/>
      <c r="Z84" s="458"/>
      <c r="AA84" s="458"/>
      <c r="AB84" s="458"/>
      <c r="AC84" s="481"/>
      <c r="AD84" s="481"/>
      <c r="AE84" s="481"/>
      <c r="AF84" s="458"/>
      <c r="AG84" s="458"/>
      <c r="AI84" s="458"/>
      <c r="AJ84" s="458"/>
      <c r="AK84" s="458"/>
      <c r="AL84" s="458"/>
      <c r="AO84" s="458"/>
      <c r="AP84" s="458"/>
      <c r="AS84" s="458"/>
      <c r="FP84" s="311"/>
    </row>
    <row r="85" spans="1:177" ht="12" x14ac:dyDescent="0.25">
      <c r="B85" s="539" t="s">
        <v>586</v>
      </c>
      <c r="D85" s="445"/>
      <c r="E85" s="480"/>
      <c r="F85" s="480"/>
      <c r="H85" s="481"/>
      <c r="J85" s="445"/>
      <c r="K85" s="481"/>
      <c r="L85" s="481"/>
      <c r="M85" s="481"/>
      <c r="N85" s="481"/>
      <c r="P85" s="445"/>
      <c r="Q85" s="481"/>
      <c r="R85" s="481"/>
      <c r="S85" s="481"/>
      <c r="T85" s="481"/>
      <c r="U85" s="458"/>
      <c r="V85" s="458"/>
      <c r="W85" s="481"/>
      <c r="X85" s="481"/>
      <c r="Y85" s="481"/>
      <c r="Z85" s="458"/>
      <c r="AA85" s="458"/>
      <c r="AB85" s="458"/>
      <c r="AC85" s="481"/>
      <c r="AD85" s="481"/>
      <c r="AE85" s="481"/>
      <c r="AF85" s="458"/>
      <c r="AG85" s="458"/>
      <c r="AI85" s="458"/>
      <c r="AJ85" s="458"/>
      <c r="AK85" s="458"/>
      <c r="AL85" s="458"/>
      <c r="AO85" s="458"/>
      <c r="AP85" s="458"/>
      <c r="AS85" s="458"/>
      <c r="EL85" s="544"/>
      <c r="FD85" s="545"/>
      <c r="FE85" s="545"/>
      <c r="FF85" s="545"/>
      <c r="FG85" s="411"/>
      <c r="FH85" s="411"/>
      <c r="FI85" s="411"/>
      <c r="FJ85" s="411"/>
      <c r="FK85" s="411"/>
      <c r="FL85" s="411"/>
      <c r="FM85" s="411"/>
      <c r="FN85" s="411"/>
      <c r="FO85" s="411"/>
      <c r="FP85" s="615"/>
      <c r="FQ85" s="412">
        <v>585</v>
      </c>
      <c r="FR85" s="412">
        <v>600</v>
      </c>
    </row>
    <row r="86" spans="1:177" ht="12" x14ac:dyDescent="0.25">
      <c r="B86" s="661" t="s">
        <v>250</v>
      </c>
      <c r="D86" s="445"/>
      <c r="E86" s="480"/>
      <c r="F86" s="480"/>
      <c r="H86" s="481"/>
      <c r="J86" s="445"/>
      <c r="K86" s="481"/>
      <c r="L86" s="481"/>
      <c r="M86" s="481"/>
      <c r="N86" s="481"/>
      <c r="P86" s="445"/>
      <c r="Q86" s="481"/>
      <c r="R86" s="481"/>
      <c r="S86" s="481"/>
      <c r="T86" s="481"/>
      <c r="U86" s="458"/>
      <c r="V86" s="458"/>
      <c r="W86" s="481"/>
      <c r="X86" s="481"/>
      <c r="Y86" s="481"/>
      <c r="Z86" s="458"/>
      <c r="AA86" s="458"/>
      <c r="AB86" s="458"/>
      <c r="AC86" s="481"/>
      <c r="AD86" s="481"/>
      <c r="AE86" s="481"/>
      <c r="AF86" s="458"/>
      <c r="AG86" s="458"/>
      <c r="AI86" s="458"/>
      <c r="AJ86" s="458"/>
      <c r="AK86" s="458"/>
      <c r="AL86" s="458"/>
      <c r="AO86" s="458"/>
      <c r="AP86" s="458"/>
      <c r="AS86" s="458"/>
      <c r="BC86" s="546"/>
      <c r="BD86" s="546"/>
      <c r="BE86" s="546"/>
      <c r="BG86" s="546"/>
      <c r="BH86" s="546"/>
      <c r="BI86" s="546"/>
      <c r="BJ86" s="546"/>
      <c r="BK86" s="546"/>
      <c r="BM86" s="546"/>
      <c r="BN86" s="546"/>
      <c r="BO86" s="546"/>
      <c r="BP86" s="546"/>
      <c r="BQ86" s="546"/>
      <c r="BS86" s="546"/>
      <c r="BT86" s="546"/>
      <c r="BU86" s="546"/>
      <c r="BV86" s="546"/>
      <c r="BW86" s="546"/>
      <c r="BY86" s="546"/>
      <c r="BZ86" s="546"/>
      <c r="CA86" s="546"/>
      <c r="CB86" s="546"/>
      <c r="CC86" s="546"/>
      <c r="CE86" s="546"/>
      <c r="CF86" s="546"/>
      <c r="CG86" s="546"/>
      <c r="CH86" s="546"/>
      <c r="CI86" s="546"/>
      <c r="CJ86" s="495"/>
      <c r="CK86" s="546"/>
      <c r="CL86" s="546"/>
      <c r="CM86" s="546"/>
      <c r="CN86" s="546"/>
      <c r="CO86" s="546"/>
      <c r="CQ86" s="546"/>
      <c r="CR86" s="546"/>
      <c r="CS86" s="546"/>
      <c r="CT86" s="546"/>
      <c r="CU86" s="546"/>
      <c r="CW86" s="481"/>
      <c r="CX86" s="481"/>
      <c r="CY86" s="481"/>
      <c r="CZ86" s="481"/>
      <c r="DA86" s="502"/>
      <c r="DC86" s="481"/>
      <c r="DD86" s="481"/>
      <c r="DE86" s="481"/>
      <c r="DF86" s="481"/>
      <c r="DG86" s="750"/>
      <c r="DI86" s="481"/>
      <c r="DJ86" s="481"/>
      <c r="DK86" s="481"/>
      <c r="DL86" s="481"/>
      <c r="DM86" s="750"/>
      <c r="DU86" s="481">
        <f>DU207</f>
        <v>0</v>
      </c>
      <c r="DV86" s="481">
        <f>DV207</f>
        <v>0</v>
      </c>
      <c r="DW86" s="481">
        <f>DW207</f>
        <v>0</v>
      </c>
      <c r="DX86" s="481">
        <f>DX207</f>
        <v>250</v>
      </c>
      <c r="DY86" s="750">
        <f>IF(DY46=0,DS86,DY46/DY73)</f>
        <v>250</v>
      </c>
      <c r="EA86" s="481">
        <f>EA207</f>
        <v>0</v>
      </c>
      <c r="EB86" s="481">
        <f t="shared" ref="EB86:EC86" si="407">EB207</f>
        <v>250</v>
      </c>
      <c r="EC86" s="481">
        <f t="shared" si="407"/>
        <v>360</v>
      </c>
      <c r="ED86" s="481">
        <f t="shared" ref="ED86" si="408">ED207</f>
        <v>305</v>
      </c>
      <c r="EE86" s="750">
        <f>IF(EE46=0,DY86,EE46/EE73)</f>
        <v>305</v>
      </c>
      <c r="EG86" s="481">
        <f>EG314</f>
        <v>360</v>
      </c>
      <c r="EH86" s="481">
        <f t="shared" ref="EH86:EJ86" si="409">EH314</f>
        <v>360</v>
      </c>
      <c r="EI86" s="481">
        <f t="shared" si="409"/>
        <v>360</v>
      </c>
      <c r="EJ86" s="481">
        <f t="shared" si="409"/>
        <v>360</v>
      </c>
      <c r="EK86" s="502">
        <f>IF(EK46=0,EE86,EK46/EK73)</f>
        <v>360</v>
      </c>
      <c r="EL86" s="688">
        <v>360</v>
      </c>
      <c r="EM86" s="492"/>
      <c r="ER86" s="448"/>
      <c r="FA86" s="545"/>
      <c r="FB86" s="545"/>
      <c r="FC86" s="545"/>
      <c r="FD86" s="545"/>
      <c r="FE86" s="545"/>
      <c r="FF86" s="545"/>
      <c r="FG86" s="411"/>
      <c r="FH86" s="411"/>
      <c r="FI86" s="411"/>
      <c r="FJ86" s="411"/>
      <c r="FK86" s="411"/>
      <c r="FL86" s="411">
        <f>DY86</f>
        <v>250</v>
      </c>
      <c r="FM86" s="411">
        <f>EE86</f>
        <v>305</v>
      </c>
      <c r="FN86" s="411">
        <f t="shared" ref="FN86:FO87" si="410">EF86</f>
        <v>0</v>
      </c>
      <c r="FO86" s="411">
        <f t="shared" si="410"/>
        <v>360</v>
      </c>
      <c r="FP86" s="548">
        <f>(80%*FP73*360+20%*FP73*385)/FP73</f>
        <v>365</v>
      </c>
      <c r="FQ86" s="412">
        <v>385</v>
      </c>
      <c r="FR86" s="412">
        <v>400</v>
      </c>
    </row>
    <row r="87" spans="1:177" ht="12" x14ac:dyDescent="0.25">
      <c r="B87" s="539" t="s">
        <v>543</v>
      </c>
      <c r="D87" s="445"/>
      <c r="E87" s="480"/>
      <c r="F87" s="480"/>
      <c r="H87" s="481"/>
      <c r="J87" s="445"/>
      <c r="K87" s="481"/>
      <c r="L87" s="481"/>
      <c r="M87" s="481"/>
      <c r="N87" s="481"/>
      <c r="P87" s="445"/>
      <c r="Q87" s="481"/>
      <c r="R87" s="481"/>
      <c r="S87" s="481"/>
      <c r="T87" s="481"/>
      <c r="U87" s="458"/>
      <c r="V87" s="458"/>
      <c r="W87" s="481"/>
      <c r="X87" s="481"/>
      <c r="Y87" s="481"/>
      <c r="Z87" s="458"/>
      <c r="AA87" s="458"/>
      <c r="AB87" s="458"/>
      <c r="AC87" s="481"/>
      <c r="AD87" s="481"/>
      <c r="AE87" s="481"/>
      <c r="AF87" s="458"/>
      <c r="AG87" s="458"/>
      <c r="AI87" s="458"/>
      <c r="AJ87" s="458"/>
      <c r="AK87" s="458"/>
      <c r="AL87" s="458"/>
      <c r="AO87" s="458"/>
      <c r="AP87" s="458"/>
      <c r="AQ87" s="458"/>
      <c r="AR87" s="546"/>
      <c r="AS87" s="546"/>
      <c r="AU87" s="546"/>
      <c r="AV87" s="546"/>
      <c r="AW87" s="546"/>
      <c r="AX87" s="546"/>
      <c r="BA87" s="546"/>
      <c r="BB87" s="546"/>
      <c r="BC87" s="546"/>
      <c r="BD87" s="546"/>
      <c r="BE87" s="546"/>
      <c r="BG87" s="546"/>
      <c r="BH87" s="546"/>
      <c r="BI87" s="546"/>
      <c r="BJ87" s="546">
        <f>IF(BJ47=0,BI87,IF(BJ74=0,BJ47,BJ47/BJ74))</f>
        <v>57.648000000000003</v>
      </c>
      <c r="BK87" s="546">
        <f ca="1">IF(BK47=0,BJ87,IF(BK72=0,BK47,BK47/BK72))</f>
        <v>57.648000000000003</v>
      </c>
      <c r="BM87" s="546">
        <f>IF(BM47=0,BJ87,IF(BM74=0,BM47,BM47/BM74))</f>
        <v>61.8</v>
      </c>
      <c r="BN87" s="546">
        <f>IF(BN47=0,BM87,IF(BN74=0,BN47,BN47/BN74))</f>
        <v>62.150000000000006</v>
      </c>
      <c r="BO87" s="546">
        <f>IF(BO47=0,BN87,IF(BO74=0,BO47,BO47/BO74))</f>
        <v>61.915000000000006</v>
      </c>
      <c r="BP87" s="546">
        <f>IF(BP47=0,BO87,IF(BP74=0,BP47,BP47/BP74))</f>
        <v>65.117999999999995</v>
      </c>
      <c r="BQ87" s="546">
        <f>AVERAGE(BM87:BP87)</f>
        <v>62.745750000000001</v>
      </c>
      <c r="BS87" s="546">
        <f>IF(BS47=0,BP87,IF(BS74=0,BS47,BS47/BS74))</f>
        <v>65.117999999999995</v>
      </c>
      <c r="BT87" s="546">
        <f>IF(BT47=0,BS87,IF(BT74=0,BT47,BT47/BT74))</f>
        <v>68.069999999999993</v>
      </c>
      <c r="BU87" s="546">
        <f>IF(BU47=0,BT87,IF(BU74=0,BU47,BU47/BU74))</f>
        <v>68.069999999999993</v>
      </c>
      <c r="BV87" s="546">
        <f>IF(BV47=0,BU87,IF(BV74=0,BV47,BV47/BV74))</f>
        <v>68.069999999999993</v>
      </c>
      <c r="BW87" s="546">
        <f>AVERAGE(BS87:BV87)</f>
        <v>67.331999999999994</v>
      </c>
      <c r="BY87" s="546">
        <f>IF(BY47=0,BV87,IF(BY74=0,BY47,BY47/BY74))</f>
        <v>68.069999999999993</v>
      </c>
      <c r="BZ87" s="546">
        <f>IF(BZ47=0,BY87,IF(BZ74=0,BZ47,BZ47/BZ74))</f>
        <v>50.616000000000007</v>
      </c>
      <c r="CA87" s="546">
        <f>IF(CA47=0,BZ87,IF(CA74=0,CA47,CA47/CA74))</f>
        <v>88.039000000000016</v>
      </c>
      <c r="CB87" s="546">
        <f>IF(CB47=0,CA87,IF(CB74=0,CB47,CB47/CB74))</f>
        <v>141.80099999999999</v>
      </c>
      <c r="CC87" s="546">
        <f>AVERAGE(BY87:CB87)</f>
        <v>87.131500000000003</v>
      </c>
      <c r="CE87" s="546">
        <f>IF(CE47=0,CB87,IF(CE74=0,CE47,CE47/CE74))</f>
        <v>141.80099999999999</v>
      </c>
      <c r="CF87" s="546">
        <f>IF(CF47=0,CE87,IF(CF74=0,CF47,CF47/CF74))</f>
        <v>110.72799999999999</v>
      </c>
      <c r="CG87" s="546">
        <f>IF(CG47=0,CF87,IF(CG74=0,CG47,CG47/CG74))</f>
        <v>95.492249999999999</v>
      </c>
      <c r="CH87" s="546">
        <f>IF(CH47=0,CG87,IF(CH74=0,CH47,CH47/CH74))</f>
        <v>97.745000000000005</v>
      </c>
      <c r="CI87" s="546">
        <f>AVERAGE(CE87:CH87)</f>
        <v>111.4415625</v>
      </c>
      <c r="CJ87" s="495"/>
      <c r="CK87" s="546">
        <f>IF(CK47=0,CH87,IF(CK74=0,CK47,CK47/CK74))</f>
        <v>116.73900000000002</v>
      </c>
      <c r="CL87" s="546">
        <f>IF(CL47=0,CK87,IF(CL74=0,CL47,CL47/CL74))</f>
        <v>95.382857142857148</v>
      </c>
      <c r="CM87" s="546">
        <f>IF(CM47=0,CL87,IF(CM74=0,CM47,CM47/CM74))</f>
        <v>104.03</v>
      </c>
      <c r="CN87" s="546">
        <f>IF(CN47=0,CM87,IF(CN74=0,CN47,CN47/CN74))</f>
        <v>116.3664</v>
      </c>
      <c r="CO87" s="546">
        <f>AVERAGE(CK87:CN87)</f>
        <v>108.12956428571428</v>
      </c>
      <c r="CQ87" s="546">
        <f>IF(CQ47=0,CN87,IF(CQ74=0,CQ47,CQ47/CQ74))</f>
        <v>92.894999999999996</v>
      </c>
      <c r="CR87" s="546">
        <f>IF(CR47=0,CQ87,IF(CR74=0,CR47,CR47/CR74))</f>
        <v>108.404</v>
      </c>
      <c r="CS87" s="546">
        <f>IF(CS47=0,CR87,IF(CS74=0,CS47,CS47/CS74))</f>
        <v>106.31314285714286</v>
      </c>
      <c r="CT87" s="546">
        <f>IF(CT47=0,CS87,IF(CT74=0,CT47,CT47/CT74))</f>
        <v>113.48787499999999</v>
      </c>
      <c r="CU87" s="546">
        <f>AVERAGE(CQ87:CT87)</f>
        <v>105.2750044642857</v>
      </c>
      <c r="CW87" s="481">
        <f>IF(CW47=0,CT87,IF(CW74=0,CW47,CW47/CW74))</f>
        <v>174.24</v>
      </c>
      <c r="CX87" s="481">
        <f>IF(CX47=0,CW87,IF(CX74=0,CX47,CX47/CX74))</f>
        <v>135.86485714285715</v>
      </c>
      <c r="CY87" s="481">
        <f>IF(CY47=0,CX87,IF(CY74=0,CY47,CY47/CY74))</f>
        <v>145.93542857142856</v>
      </c>
      <c r="CZ87" s="481">
        <f>IF(CZ47=0,CY87,IF(CZ74=0,CZ47,CZ47/CZ74))</f>
        <v>143.92349999999999</v>
      </c>
      <c r="DA87" s="502">
        <f>AVERAGE(CW87:CZ87)</f>
        <v>149.99094642857142</v>
      </c>
      <c r="DC87" s="481">
        <f>IF(DC47=0,CZ87,IF(DC74=0,DC47,DC47/DC74))</f>
        <v>160.90971428571427</v>
      </c>
      <c r="DD87" s="481">
        <f>IF(DD47=0,DC87,IF(DD74=0,DD47,DD47/DD74))</f>
        <v>147.47999999999999</v>
      </c>
      <c r="DE87" s="481">
        <f>IF(DE47=0,DD87,IF(DE74=0,DE47,DE47/DE74))</f>
        <v>147.99960000000002</v>
      </c>
      <c r="DF87" s="481">
        <f>IF(DF47=0,DE87,IF(DF74=0,DF47,DF47/DF74))</f>
        <v>144.82472727272727</v>
      </c>
      <c r="DG87" s="750">
        <f>AVERAGE(DC87:DF87)</f>
        <v>150.30351038961038</v>
      </c>
      <c r="DI87" s="481">
        <f>IF(DI47=0,DF87,IF(DI74=0,DI47,DI47/DI74))</f>
        <v>198.22400000000002</v>
      </c>
      <c r="DJ87" s="481">
        <f>IF(DJ47=0,DI87,IF(DJ74=0,DJ47,DJ47/DJ74))</f>
        <v>165.61999999999998</v>
      </c>
      <c r="DK87" s="481">
        <f>IF(DK47=0,DJ87,IF(DK74=0,DK47,DK47/DK74))</f>
        <v>180.82474999999999</v>
      </c>
      <c r="DL87" s="481">
        <f>IF(DL47=0,DK87,IF(DL74=0,DL47,DL47/DL74))</f>
        <v>178.9593076923077</v>
      </c>
      <c r="DM87" s="750">
        <f>AVERAGE(DI87:DL87)</f>
        <v>180.90701442307693</v>
      </c>
      <c r="DO87" s="481">
        <f>IF(DO47=0,DM87,DO47/DO74)</f>
        <v>169.68705882352944</v>
      </c>
      <c r="DP87" s="481">
        <f>IF(DP47=0,DO87,DP47/DP74)</f>
        <v>172.85166666666666</v>
      </c>
      <c r="DQ87" s="481">
        <f>IF(DQ47=0,DP87,DQ47/DQ74)</f>
        <v>168.89727272727271</v>
      </c>
      <c r="DR87" s="481">
        <f>IF(DR47=0,DQ87,DR47/DR74)</f>
        <v>184.42184615384625</v>
      </c>
      <c r="DS87" s="750">
        <f>IF(DS47=0,DM86,DS47/DS74)</f>
        <v>173.85384905660379</v>
      </c>
      <c r="DT87" s="750"/>
      <c r="DU87" s="481">
        <f>IF(DU47=0,DS87,DU47/DU74)</f>
        <v>165.84672727272729</v>
      </c>
      <c r="DV87" s="481">
        <f>IF(DV47=0,DU87,DV47/DV74)</f>
        <v>184.48487499999999</v>
      </c>
      <c r="DW87" s="481">
        <f>IF(DW47=0,DV87,DW47/DW74)</f>
        <v>188.55454545454543</v>
      </c>
      <c r="DX87" s="547">
        <f>IF(DX47=0,DW87,DX47/DX74)</f>
        <v>207.38983333333331</v>
      </c>
      <c r="DY87" s="750">
        <f>IF(DY47=0,#REF!,DY47/DY74)</f>
        <v>187.21359523809522</v>
      </c>
      <c r="EA87" s="481">
        <f>EA199</f>
        <v>229.61600000000001</v>
      </c>
      <c r="EB87" s="481">
        <f>EB199</f>
        <v>243.61280000000002</v>
      </c>
      <c r="EC87" s="481">
        <f>EC199</f>
        <v>218.815</v>
      </c>
      <c r="ED87" s="481">
        <f>ED199</f>
        <v>252.52666666666664</v>
      </c>
      <c r="EE87" s="750">
        <f>IF(EE47=0,DY87,EE47/EE74)</f>
        <v>237.08163636363636</v>
      </c>
      <c r="EG87" s="481">
        <f>EG199</f>
        <v>230</v>
      </c>
      <c r="EH87" s="548">
        <v>225</v>
      </c>
      <c r="EI87" s="548">
        <v>225</v>
      </c>
      <c r="EJ87" s="548">
        <v>230</v>
      </c>
      <c r="EK87" s="502">
        <f>IF(EK47=0,EE87,EK47/EK74)</f>
        <v>233.24031746031744</v>
      </c>
      <c r="EL87" s="688">
        <v>240</v>
      </c>
      <c r="EM87" s="492"/>
      <c r="FA87" s="545">
        <f ca="1">BK87</f>
        <v>57.648000000000003</v>
      </c>
      <c r="FB87" s="545">
        <f>BQ87</f>
        <v>62.745750000000001</v>
      </c>
      <c r="FC87" s="545">
        <f>BW87</f>
        <v>67.331999999999994</v>
      </c>
      <c r="FD87" s="545">
        <f>CC87</f>
        <v>87.131500000000003</v>
      </c>
      <c r="FE87" s="545">
        <f>CI87</f>
        <v>111.4415625</v>
      </c>
      <c r="FF87" s="545">
        <f>CO87</f>
        <v>108.12956428571428</v>
      </c>
      <c r="FG87" s="411">
        <f>CU87</f>
        <v>105.2750044642857</v>
      </c>
      <c r="FH87" s="411">
        <f>DA87</f>
        <v>149.99094642857142</v>
      </c>
      <c r="FI87" s="411">
        <f>DG87</f>
        <v>150.30351038961038</v>
      </c>
      <c r="FJ87" s="411">
        <f>DM87</f>
        <v>180.90701442307693</v>
      </c>
      <c r="FK87" s="411">
        <f>DS87</f>
        <v>173.85384905660379</v>
      </c>
      <c r="FL87" s="411">
        <f>DY87</f>
        <v>187.21359523809522</v>
      </c>
      <c r="FM87" s="411">
        <f>EE87</f>
        <v>237.08163636363636</v>
      </c>
      <c r="FN87" s="411">
        <f t="shared" si="410"/>
        <v>0</v>
      </c>
      <c r="FO87" s="411">
        <f t="shared" si="410"/>
        <v>230</v>
      </c>
      <c r="FP87" s="548">
        <v>210</v>
      </c>
      <c r="FQ87" s="412">
        <v>210</v>
      </c>
      <c r="FR87" s="412">
        <v>210</v>
      </c>
    </row>
    <row r="88" spans="1:177" ht="12" x14ac:dyDescent="0.25">
      <c r="B88" s="316"/>
      <c r="D88" s="445"/>
      <c r="E88" s="480"/>
      <c r="F88" s="480"/>
      <c r="H88" s="481"/>
      <c r="J88" s="445"/>
      <c r="K88" s="481"/>
      <c r="L88" s="481"/>
      <c r="M88" s="481"/>
      <c r="N88" s="481"/>
      <c r="P88" s="445"/>
      <c r="Q88" s="481"/>
      <c r="R88" s="481"/>
      <c r="S88" s="481"/>
      <c r="T88" s="481"/>
      <c r="U88" s="458"/>
      <c r="V88" s="458"/>
      <c r="W88" s="481"/>
      <c r="X88" s="481"/>
      <c r="Y88" s="481"/>
      <c r="Z88" s="458"/>
      <c r="AA88" s="458"/>
      <c r="AB88" s="458"/>
      <c r="AC88" s="481"/>
      <c r="AD88" s="481"/>
      <c r="AE88" s="481"/>
      <c r="AF88" s="458"/>
      <c r="AG88" s="458"/>
      <c r="AI88" s="458"/>
      <c r="AJ88" s="458"/>
      <c r="AK88" s="458"/>
      <c r="AL88" s="458"/>
      <c r="AO88" s="458"/>
      <c r="AP88" s="458"/>
      <c r="AQ88" s="458"/>
      <c r="AR88" s="546"/>
      <c r="AS88" s="546"/>
      <c r="AU88" s="546"/>
      <c r="AV88" s="546"/>
      <c r="AW88" s="546"/>
      <c r="AX88" s="546"/>
      <c r="BA88" s="546"/>
      <c r="BB88" s="546"/>
      <c r="BC88" s="546"/>
      <c r="BD88" s="546"/>
      <c r="BE88" s="546"/>
      <c r="BG88" s="546"/>
      <c r="BH88" s="546"/>
      <c r="BI88" s="546"/>
      <c r="BJ88" s="546"/>
      <c r="BK88" s="546"/>
      <c r="BM88" s="546"/>
      <c r="BN88" s="546"/>
      <c r="BO88" s="546"/>
      <c r="BP88" s="546"/>
      <c r="BQ88" s="546"/>
      <c r="BS88" s="546"/>
      <c r="BT88" s="546"/>
      <c r="BU88" s="546"/>
      <c r="BV88" s="546"/>
      <c r="BW88" s="546"/>
      <c r="BY88" s="546"/>
      <c r="BZ88" s="546"/>
      <c r="CA88" s="546"/>
      <c r="CB88" s="546"/>
      <c r="CC88" s="546"/>
      <c r="CE88" s="546"/>
      <c r="CF88" s="546"/>
      <c r="CG88" s="546"/>
      <c r="CH88" s="546"/>
      <c r="CI88" s="546"/>
      <c r="CJ88" s="495"/>
      <c r="CK88" s="546"/>
      <c r="CL88" s="546"/>
      <c r="CM88" s="546"/>
      <c r="CN88" s="546"/>
      <c r="CO88" s="546"/>
      <c r="CQ88" s="546"/>
      <c r="CR88" s="546"/>
      <c r="CS88" s="546"/>
      <c r="CT88" s="546"/>
      <c r="CU88" s="546"/>
      <c r="CW88" s="481"/>
      <c r="CX88" s="481"/>
      <c r="CY88" s="481"/>
      <c r="CZ88" s="481"/>
      <c r="DA88" s="502"/>
      <c r="DC88" s="481"/>
      <c r="DD88" s="481"/>
      <c r="DE88" s="481"/>
      <c r="DF88" s="481"/>
      <c r="DG88" s="750"/>
      <c r="DI88" s="481"/>
      <c r="DJ88" s="481"/>
      <c r="DK88" s="481"/>
      <c r="DL88" s="481"/>
      <c r="DM88" s="750"/>
      <c r="DO88" s="481"/>
      <c r="DP88" s="481"/>
      <c r="DQ88" s="481"/>
      <c r="DR88" s="481"/>
      <c r="DS88" s="750"/>
      <c r="DT88" s="750"/>
      <c r="DU88" s="481"/>
      <c r="DV88" s="481"/>
      <c r="DW88" s="481"/>
      <c r="DX88" s="547"/>
      <c r="DY88" s="750"/>
      <c r="EA88" s="481"/>
      <c r="EB88" s="481"/>
      <c r="EC88" s="481"/>
      <c r="ED88" s="481"/>
      <c r="EE88" s="750"/>
      <c r="EG88" s="481"/>
      <c r="EH88" s="548"/>
      <c r="EI88" s="548"/>
      <c r="EJ88" s="548"/>
      <c r="EK88" s="502"/>
      <c r="EL88" s="688"/>
      <c r="EM88" s="492"/>
      <c r="FA88" s="545"/>
      <c r="FB88" s="545"/>
      <c r="FC88" s="545"/>
      <c r="FD88" s="545"/>
      <c r="FE88" s="545"/>
      <c r="FF88" s="545"/>
      <c r="FG88" s="411"/>
      <c r="FH88" s="411"/>
      <c r="FI88" s="411"/>
      <c r="FJ88" s="411"/>
      <c r="FK88" s="411"/>
      <c r="FL88" s="411"/>
      <c r="FM88" s="411"/>
      <c r="FN88" s="411"/>
      <c r="FO88" s="411"/>
      <c r="FP88" s="548"/>
      <c r="FQ88" s="412"/>
      <c r="FR88" s="412"/>
    </row>
    <row r="89" spans="1:177" ht="12" x14ac:dyDescent="0.25">
      <c r="B89" s="539" t="s">
        <v>252</v>
      </c>
      <c r="D89" s="445"/>
      <c r="E89" s="480"/>
      <c r="F89" s="480"/>
      <c r="H89" s="481"/>
      <c r="J89" s="445"/>
      <c r="K89" s="546"/>
      <c r="L89" s="481"/>
      <c r="M89" s="481"/>
      <c r="N89" s="481"/>
      <c r="P89" s="445"/>
      <c r="Q89" s="481"/>
      <c r="R89" s="481"/>
      <c r="S89" s="481"/>
      <c r="T89" s="481"/>
      <c r="U89" s="458"/>
      <c r="V89" s="458"/>
      <c r="W89" s="546"/>
      <c r="X89" s="546"/>
      <c r="Y89" s="546">
        <f t="shared" ref="Y89:AA92" si="411">Y49/Y76</f>
        <v>28.107733333333332</v>
      </c>
      <c r="Z89" s="546">
        <f t="shared" si="411"/>
        <v>30.176849230769228</v>
      </c>
      <c r="AA89" s="546">
        <f t="shared" si="411"/>
        <v>23.535220645161292</v>
      </c>
      <c r="AB89" s="458"/>
      <c r="AC89" s="546">
        <f t="shared" ref="AC89:AF92" si="412">AC49/AC76</f>
        <v>29.870918571428572</v>
      </c>
      <c r="AD89" s="546">
        <f t="shared" si="412"/>
        <v>29.47693125</v>
      </c>
      <c r="AE89" s="546">
        <f t="shared" si="412"/>
        <v>28.428544374999998</v>
      </c>
      <c r="AF89" s="546">
        <f t="shared" si="412"/>
        <v>25.249107272727272</v>
      </c>
      <c r="AG89" s="458"/>
      <c r="AI89" s="546">
        <f t="shared" ref="AI89:AL90" si="413">AI49/AI76</f>
        <v>29.318999999999996</v>
      </c>
      <c r="AJ89" s="546">
        <f t="shared" si="413"/>
        <v>27.183418333333332</v>
      </c>
      <c r="AK89" s="546">
        <f t="shared" si="413"/>
        <v>29.638495384615382</v>
      </c>
      <c r="AL89" s="546" t="str">
        <f>IFERROR(AL49/AL76,"0")</f>
        <v>0</v>
      </c>
      <c r="AO89" s="546">
        <f t="shared" ref="AO89:AS92" si="414">AO49/AO76</f>
        <v>30.836941176470585</v>
      </c>
      <c r="AP89" s="546">
        <f t="shared" si="414"/>
        <v>31.381999999999998</v>
      </c>
      <c r="AQ89" s="546">
        <f t="shared" si="414"/>
        <v>32.596086956521738</v>
      </c>
      <c r="AR89" s="546">
        <f t="shared" si="414"/>
        <v>31.695517241379306</v>
      </c>
      <c r="AS89" s="546">
        <f t="shared" si="414"/>
        <v>31.677212765957442</v>
      </c>
      <c r="AU89" s="546">
        <f>AU49/AU76</f>
        <v>33.77496296296296</v>
      </c>
      <c r="AV89" s="546">
        <f>AV49/AV76</f>
        <v>35.391692307692303</v>
      </c>
      <c r="AW89" s="546">
        <f>AW49/AW76</f>
        <v>36.057023999999998</v>
      </c>
      <c r="AX89" s="546">
        <f>AX49/AX76</f>
        <v>34.960304347826089</v>
      </c>
      <c r="AY89" s="546">
        <f>AY49/AY76</f>
        <v>35.025946534653464</v>
      </c>
      <c r="BA89" s="546">
        <f>BA49/BA76</f>
        <v>36.75</v>
      </c>
      <c r="BB89" s="546">
        <f>BB49/BB76</f>
        <v>39.391999999999996</v>
      </c>
      <c r="BC89" s="546">
        <f>BC49/BC76</f>
        <v>37.738590909090902</v>
      </c>
      <c r="BD89" s="546">
        <f>BD49/BD76</f>
        <v>36.408749999999998</v>
      </c>
      <c r="BE89" s="546">
        <f>IF(BE49=0,BD89,BE49/BE76)</f>
        <v>37.636736111111105</v>
      </c>
      <c r="BF89" s="549"/>
      <c r="BG89" s="546">
        <f>IF(BG49=0,BE89,BG49/BG76)</f>
        <v>41.742166666666662</v>
      </c>
      <c r="BH89" s="546">
        <f t="shared" ref="BH89:BK92" si="415">IF(BH49=0,BG89,BH49/BH76)</f>
        <v>39.671666666666667</v>
      </c>
      <c r="BI89" s="546">
        <f t="shared" si="415"/>
        <v>42.218000000000004</v>
      </c>
      <c r="BJ89" s="546">
        <f t="shared" si="415"/>
        <v>39.49955555555556</v>
      </c>
      <c r="BK89" s="546">
        <f t="shared" si="415"/>
        <v>40.595376623376623</v>
      </c>
      <c r="BL89" s="549"/>
      <c r="BM89" s="546">
        <f>IF(BM49=0,BK89,BM49/BM76)</f>
        <v>41.199999999999996</v>
      </c>
      <c r="BN89" s="546">
        <f t="shared" ref="BN89:BP92" si="416">IF(BN49=0,BM89,BN49/BN76)</f>
        <v>47.130416666666669</v>
      </c>
      <c r="BO89" s="546">
        <f t="shared" si="416"/>
        <v>48.987692307692313</v>
      </c>
      <c r="BP89" s="546">
        <f t="shared" si="416"/>
        <v>45.03994999999999</v>
      </c>
      <c r="BQ89" s="546">
        <f>IF(BQ49=0,BK89,BQ49/BQ76)</f>
        <v>45.415381578947368</v>
      </c>
      <c r="BS89" s="546">
        <f t="shared" ref="BS89:BV92" si="417">IF(BS49=0,BQ89,BS49/BS76)</f>
        <v>44.982391304347829</v>
      </c>
      <c r="BT89" s="546">
        <f t="shared" si="417"/>
        <v>47.171315789473681</v>
      </c>
      <c r="BU89" s="546">
        <f t="shared" si="417"/>
        <v>47.37171428571429</v>
      </c>
      <c r="BV89" s="546">
        <f t="shared" si="417"/>
        <v>57.658909090909084</v>
      </c>
      <c r="BW89" s="546">
        <f>IF(BW49=0,BQ89,BW49/BW76)</f>
        <v>48.183611940298512</v>
      </c>
      <c r="BY89" s="546">
        <f>IF(BY49=0,BW89,BY49/BY76)</f>
        <v>45.282799999999995</v>
      </c>
      <c r="BZ89" s="546">
        <f t="shared" ref="BZ89:CB92" si="418">IF(BZ49=0,BY89,BZ49/BZ76)</f>
        <v>50.616000000000007</v>
      </c>
      <c r="CA89" s="546">
        <f t="shared" si="418"/>
        <v>50.96994736842106</v>
      </c>
      <c r="CB89" s="546">
        <f t="shared" si="418"/>
        <v>53.83888235294117</v>
      </c>
      <c r="CC89" s="546">
        <f>IF(CC49=0,BW89,CC49/CC76)</f>
        <v>50.351942857142859</v>
      </c>
      <c r="CE89" s="481">
        <f>IF(CE49=0,CC89,CE49/CE76)</f>
        <v>49.982888888888887</v>
      </c>
      <c r="CF89" s="481">
        <f t="shared" ref="CF89:CH92" si="419">IF(CF49=0,CE89,CF49/CF76)</f>
        <v>55.363999999999997</v>
      </c>
      <c r="CG89" s="481">
        <f t="shared" si="419"/>
        <v>52.086681818181823</v>
      </c>
      <c r="CH89" s="481">
        <f t="shared" si="419"/>
        <v>54.737200000000009</v>
      </c>
      <c r="CI89" s="481">
        <f>IF(CI49=0,CC89,CI49/CI76)</f>
        <v>52.975881578947373</v>
      </c>
      <c r="CJ89" s="495"/>
      <c r="CK89" s="481">
        <f>IF(CK49=0,CI89,CK49/CK76)</f>
        <v>57.178285714285707</v>
      </c>
      <c r="CL89" s="481">
        <f t="shared" ref="CL89:CN92" si="420">IF(CL49=0,CK89,CL49/CL76)</f>
        <v>53.809736842105259</v>
      </c>
      <c r="CM89" s="481">
        <f t="shared" si="420"/>
        <v>54.852181818181812</v>
      </c>
      <c r="CN89" s="481">
        <f t="shared" si="420"/>
        <v>57.577124999999995</v>
      </c>
      <c r="CO89" s="481">
        <f>IF(CO49=0,CI89,CO49/CO76)</f>
        <v>55.95032558139534</v>
      </c>
      <c r="CQ89" s="481">
        <f>IF(CQ49=0,CO89,CQ49/CQ76)</f>
        <v>59.611764705882351</v>
      </c>
      <c r="CR89" s="481">
        <f t="shared" ref="CR89:CT92" si="421">IF(CR49=0,CQ89,CR49/CR76)</f>
        <v>58.371384615384613</v>
      </c>
      <c r="CS89" s="481">
        <f t="shared" si="421"/>
        <v>56.478857142857144</v>
      </c>
      <c r="CT89" s="481">
        <f t="shared" si="421"/>
        <v>56.554580645161288</v>
      </c>
      <c r="CU89" s="481">
        <f>IF(CU49=0,CO89,CU49/CU76)</f>
        <v>57.457024390243909</v>
      </c>
      <c r="CW89" s="481">
        <f>IF(CW49=0,CU89,CW49/CW76)</f>
        <v>51.480000000000004</v>
      </c>
      <c r="CX89" s="481">
        <f t="shared" ref="CX89:CZ92" si="422">IF(CX49=0,CW89,CX49/CX76)</f>
        <v>58.813294117647054</v>
      </c>
      <c r="CY89" s="481">
        <f t="shared" si="422"/>
        <v>59.097818181818177</v>
      </c>
      <c r="CZ89" s="481">
        <f t="shared" si="422"/>
        <v>59.968125000000008</v>
      </c>
      <c r="DA89" s="502">
        <f>IF(DA49=0,CU89,DA49/DA76)</f>
        <v>57.541426470588235</v>
      </c>
      <c r="DC89" s="481">
        <f>IF(DC49=0,DA89,DC49/DC76)</f>
        <v>61.272333333333336</v>
      </c>
      <c r="DD89" s="481">
        <f t="shared" ref="DD89:DF92" si="423">IF(DD49=0,DC89,DD49/DD76)</f>
        <v>62.679000000000002</v>
      </c>
      <c r="DE89" s="481">
        <f t="shared" si="423"/>
        <v>62.64533333333334</v>
      </c>
      <c r="DF89" s="481">
        <f t="shared" si="423"/>
        <v>60.605999999999995</v>
      </c>
      <c r="DG89" s="750">
        <f>IF(DG49=0,DA89,DG49/DG76)</f>
        <v>61.741629629629628</v>
      </c>
      <c r="DI89" s="481">
        <f t="shared" ref="DI89:DL92" si="424">IF(DI49=0,DG89,DI49/DI76)</f>
        <v>59.721333333333327</v>
      </c>
      <c r="DJ89" s="481">
        <f t="shared" si="424"/>
        <v>65.064999999999998</v>
      </c>
      <c r="DK89" s="481">
        <f t="shared" si="424"/>
        <v>65.947849999999988</v>
      </c>
      <c r="DL89" s="481">
        <f t="shared" si="424"/>
        <v>66.902227272727274</v>
      </c>
      <c r="DM89" s="750">
        <f>IF(DM49=0,DG89,DM49/DM76)</f>
        <v>64.594506172839502</v>
      </c>
      <c r="DO89" s="481">
        <f t="shared" ref="DO89:DR92" si="425">IF(DO49=0,DM89,DO49/DO76)</f>
        <v>64.101600000000005</v>
      </c>
      <c r="DP89" s="481">
        <f t="shared" si="425"/>
        <v>70.435615384615389</v>
      </c>
      <c r="DQ89" s="550">
        <f t="shared" si="425"/>
        <v>79.62299999999999</v>
      </c>
      <c r="DR89" s="481">
        <f t="shared" si="425"/>
        <v>72.323827586206917</v>
      </c>
      <c r="DS89" s="750">
        <f>IF(DS49=0,DM89,DS49/DS76)</f>
        <v>71.958848000000003</v>
      </c>
      <c r="DT89" s="750"/>
      <c r="DU89" s="481">
        <f t="shared" ref="DU89:DX92" si="426">IF(DU49=0,DS89,DU49/DU76)</f>
        <v>77.335049999999995</v>
      </c>
      <c r="DV89" s="481">
        <f t="shared" si="426"/>
        <v>74.389062499999994</v>
      </c>
      <c r="DW89" s="550">
        <f t="shared" si="426"/>
        <v>74.854736842105268</v>
      </c>
      <c r="DX89" s="550">
        <f t="shared" si="426"/>
        <v>74.808179487179487</v>
      </c>
      <c r="DY89" s="750">
        <f>IF(DY49=0,#REF!,DY49/DY76)</f>
        <v>75.109689922480612</v>
      </c>
      <c r="EA89" s="481">
        <f t="shared" ref="EA89:EB93" si="427">EA49/EA76</f>
        <v>75.77328</v>
      </c>
      <c r="EB89" s="481">
        <f t="shared" si="427"/>
        <v>77.623322580645166</v>
      </c>
      <c r="EC89" s="481">
        <f t="shared" ref="EC89:ED89" si="428">EC49/EC76</f>
        <v>75.999368421052637</v>
      </c>
      <c r="ED89" s="481">
        <f t="shared" si="428"/>
        <v>81.989189189189204</v>
      </c>
      <c r="EE89" s="750">
        <f>IF(EE49=0,DY89,EE49/EE76)</f>
        <v>75.109689922480612</v>
      </c>
      <c r="EG89" s="481">
        <f>EG49/EG76</f>
        <v>84.951176470588237</v>
      </c>
      <c r="EH89" s="532">
        <v>78</v>
      </c>
      <c r="EI89" s="532">
        <v>78</v>
      </c>
      <c r="EJ89" s="532">
        <v>78</v>
      </c>
      <c r="EK89" s="502">
        <f>IF(EK49=0,EE89,EK49/EK76)</f>
        <v>75.109689922480612</v>
      </c>
      <c r="EL89" s="688">
        <v>75</v>
      </c>
      <c r="EM89" s="551"/>
      <c r="ER89" s="552"/>
      <c r="FA89" s="545">
        <f>BK89</f>
        <v>40.595376623376623</v>
      </c>
      <c r="FB89" s="545">
        <f>BQ89</f>
        <v>45.415381578947368</v>
      </c>
      <c r="FC89" s="545">
        <f>BW89</f>
        <v>48.183611940298512</v>
      </c>
      <c r="FD89" s="545">
        <f>CC89</f>
        <v>50.351942857142859</v>
      </c>
      <c r="FE89" s="545">
        <f>CI89</f>
        <v>52.975881578947373</v>
      </c>
      <c r="FF89" s="545">
        <f>CO89</f>
        <v>55.95032558139534</v>
      </c>
      <c r="FG89" s="411">
        <f>CU89</f>
        <v>57.457024390243909</v>
      </c>
      <c r="FH89" s="411">
        <f>DA89</f>
        <v>57.541426470588235</v>
      </c>
      <c r="FI89" s="411">
        <f>DG89</f>
        <v>61.741629629629628</v>
      </c>
      <c r="FJ89" s="411">
        <f>DM89</f>
        <v>64.594506172839502</v>
      </c>
      <c r="FK89" s="411">
        <f>DS89</f>
        <v>71.958848000000003</v>
      </c>
      <c r="FL89" s="411">
        <f>DY89</f>
        <v>75.109689922480612</v>
      </c>
      <c r="FM89" s="411">
        <f>EE89</f>
        <v>75.109689922480612</v>
      </c>
      <c r="FN89" s="411">
        <f t="shared" ref="FN89:FO92" si="429">EF89</f>
        <v>0</v>
      </c>
      <c r="FO89" s="411">
        <f t="shared" si="429"/>
        <v>84.951176470588237</v>
      </c>
      <c r="FP89" s="548">
        <v>75</v>
      </c>
      <c r="FQ89" s="553">
        <v>78</v>
      </c>
      <c r="FR89" s="553">
        <v>80</v>
      </c>
      <c r="FU89" s="311" t="s">
        <v>372</v>
      </c>
    </row>
    <row r="90" spans="1:177" ht="12" x14ac:dyDescent="0.25">
      <c r="B90" s="539" t="s">
        <v>54</v>
      </c>
      <c r="D90" s="445"/>
      <c r="E90" s="480"/>
      <c r="F90" s="480"/>
      <c r="H90" s="481"/>
      <c r="J90" s="445"/>
      <c r="K90" s="546">
        <f t="shared" ref="K90:N92" si="430">K50/K77</f>
        <v>18.964049999999997</v>
      </c>
      <c r="L90" s="546">
        <f t="shared" si="430"/>
        <v>19.52836695652174</v>
      </c>
      <c r="M90" s="546">
        <f t="shared" si="430"/>
        <v>19.169665882352941</v>
      </c>
      <c r="N90" s="546">
        <f t="shared" si="430"/>
        <v>19.898923636363637</v>
      </c>
      <c r="P90" s="445"/>
      <c r="Q90" s="546">
        <f t="shared" ref="Q90:T92" si="431">Q50/Q77</f>
        <v>19.753607142857142</v>
      </c>
      <c r="R90" s="546">
        <f t="shared" si="431"/>
        <v>19.506954399999998</v>
      </c>
      <c r="S90" s="546">
        <f t="shared" si="431"/>
        <v>21.084455384615389</v>
      </c>
      <c r="T90" s="546">
        <f t="shared" si="431"/>
        <v>20.757990909090907</v>
      </c>
      <c r="U90" s="458"/>
      <c r="V90" s="458"/>
      <c r="W90" s="546">
        <f t="shared" ref="W90:X92" si="432">W50/W77</f>
        <v>20.042120000000001</v>
      </c>
      <c r="X90" s="546">
        <f t="shared" si="432"/>
        <v>20.301334583333333</v>
      </c>
      <c r="Y90" s="546">
        <f t="shared" si="411"/>
        <v>19.11325866666667</v>
      </c>
      <c r="Z90" s="546">
        <f t="shared" si="411"/>
        <v>17.589494999999999</v>
      </c>
      <c r="AA90" s="546">
        <f t="shared" si="411"/>
        <v>19.447768481012655</v>
      </c>
      <c r="AB90" s="458"/>
      <c r="AC90" s="546">
        <f t="shared" si="412"/>
        <v>18.742537142857142</v>
      </c>
      <c r="AD90" s="546">
        <f t="shared" si="412"/>
        <v>20.961373333333334</v>
      </c>
      <c r="AE90" s="546">
        <f t="shared" si="412"/>
        <v>14.768075</v>
      </c>
      <c r="AF90" s="546">
        <f t="shared" si="412"/>
        <v>14.457708</v>
      </c>
      <c r="AG90" s="458"/>
      <c r="AI90" s="546">
        <f t="shared" si="413"/>
        <v>15.164999999999999</v>
      </c>
      <c r="AJ90" s="546">
        <f t="shared" si="413"/>
        <v>16.493309999999997</v>
      </c>
      <c r="AK90" s="546">
        <f t="shared" si="413"/>
        <v>18.347639999999998</v>
      </c>
      <c r="AL90" s="546">
        <f t="shared" si="413"/>
        <v>9.715679999999999</v>
      </c>
      <c r="AO90" s="546">
        <f t="shared" si="414"/>
        <v>15.790000000000001</v>
      </c>
      <c r="AP90" s="546">
        <f t="shared" si="414"/>
        <v>13.844999999999999</v>
      </c>
      <c r="AQ90" s="546">
        <f t="shared" si="414"/>
        <v>5.1349999999999998</v>
      </c>
      <c r="AR90" s="546">
        <f t="shared" si="414"/>
        <v>19.696499999999997</v>
      </c>
      <c r="AS90" s="546">
        <f t="shared" si="414"/>
        <v>15.64325</v>
      </c>
      <c r="AU90" s="546">
        <f t="shared" ref="AU90:AW92" si="433">AU50/AU77</f>
        <v>16.055000000000003</v>
      </c>
      <c r="AV90" s="546">
        <f t="shared" si="433"/>
        <v>23.338000000000001</v>
      </c>
      <c r="AW90" s="546">
        <f t="shared" si="433"/>
        <v>21.220000000000002</v>
      </c>
      <c r="AX90" s="546" t="str">
        <f>IF(AX77=0,"n/a",AX50/AX77)</f>
        <v>n/a</v>
      </c>
      <c r="AY90" s="546">
        <f>AY50/AY77</f>
        <v>20.111999999999998</v>
      </c>
      <c r="BA90" s="546">
        <f>BA50/BA77</f>
        <v>21</v>
      </c>
      <c r="BB90" s="546">
        <f>IF(BB50=0,BA90,BB50/BB77)</f>
        <v>21</v>
      </c>
      <c r="BC90" s="546">
        <f>IF(BC50=0,BB90,BC50/BC77)</f>
        <v>21</v>
      </c>
      <c r="BD90" s="546">
        <f>IF(BD50=0,BC90,BD50/BD77)</f>
        <v>22.994999999999997</v>
      </c>
      <c r="BE90" s="546">
        <f>IF(BE50=0,BD90,BE50/BE77)</f>
        <v>21.498750000000001</v>
      </c>
      <c r="BF90" s="549"/>
      <c r="BG90" s="546">
        <f>IF(BG50=0,BE90,BG50/BG77)</f>
        <v>21.498750000000001</v>
      </c>
      <c r="BH90" s="546">
        <f t="shared" si="415"/>
        <v>21.498750000000001</v>
      </c>
      <c r="BI90" s="546">
        <f t="shared" ca="1" si="415"/>
        <v>21.498750000000001</v>
      </c>
      <c r="BJ90" s="546">
        <f t="shared" si="415"/>
        <v>21.617999999999999</v>
      </c>
      <c r="BK90" s="546">
        <f t="shared" ca="1" si="415"/>
        <v>21.617999999999999</v>
      </c>
      <c r="BL90" s="549"/>
      <c r="BM90" s="546">
        <f ca="1">IF(BM50=0,BK90,BM50/BM77)</f>
        <v>21.617999999999999</v>
      </c>
      <c r="BN90" s="546">
        <f t="shared" si="416"/>
        <v>6.2149999999999999</v>
      </c>
      <c r="BO90" s="546">
        <f t="shared" si="416"/>
        <v>6.2149999999999999</v>
      </c>
      <c r="BP90" s="546">
        <f t="shared" si="416"/>
        <v>10.853</v>
      </c>
      <c r="BQ90" s="546">
        <f>IF(BQ50=0,BK90,BQ50/BQ77)</f>
        <v>7.7610000000000001</v>
      </c>
      <c r="BS90" s="546">
        <f t="shared" si="417"/>
        <v>18.697499999999998</v>
      </c>
      <c r="BT90" s="546">
        <f t="shared" si="417"/>
        <v>5.6725000000000003</v>
      </c>
      <c r="BU90" s="546">
        <f t="shared" si="417"/>
        <v>14.629499999999998</v>
      </c>
      <c r="BV90" s="546">
        <f t="shared" si="417"/>
        <v>8.8089999999999993</v>
      </c>
      <c r="BW90" s="546">
        <f>IF(BW50=0,BQ90,BW50/BW77)</f>
        <v>11.602888888888888</v>
      </c>
      <c r="BY90" s="546">
        <f>IF(BY50=0,BW90,BY50/BY77)</f>
        <v>21.495000000000001</v>
      </c>
      <c r="BZ90" s="546">
        <f t="shared" si="418"/>
        <v>18.981000000000002</v>
      </c>
      <c r="CA90" s="546">
        <f t="shared" si="418"/>
        <v>25.154</v>
      </c>
      <c r="CB90" s="546">
        <f t="shared" si="418"/>
        <v>25.782</v>
      </c>
      <c r="CC90" s="546">
        <f>IF(CC50=0,BW90,CC50/CC77)</f>
        <v>21.981333333333335</v>
      </c>
      <c r="CE90" s="481">
        <f>IF(CE50=0,CC90,CE50/CE77)</f>
        <v>15.1975</v>
      </c>
      <c r="CF90" s="481">
        <f t="shared" si="419"/>
        <v>13.840999999999999</v>
      </c>
      <c r="CG90" s="481">
        <f t="shared" si="419"/>
        <v>18.189</v>
      </c>
      <c r="CH90" s="481">
        <f t="shared" si="419"/>
        <v>15.639200000000002</v>
      </c>
      <c r="CI90" s="481">
        <f>IF(CI50=0,CC90,CI50/CI77)</f>
        <v>15.491928571428572</v>
      </c>
      <c r="CJ90" s="495"/>
      <c r="CK90" s="481">
        <f>IF(CK50=0,CI90,CK50/CK77)</f>
        <v>22.236000000000001</v>
      </c>
      <c r="CL90" s="481">
        <f t="shared" si="420"/>
        <v>16.692</v>
      </c>
      <c r="CM90" s="481">
        <f t="shared" si="420"/>
        <v>20.805999999999997</v>
      </c>
      <c r="CN90" s="481">
        <f t="shared" si="420"/>
        <v>14.5458</v>
      </c>
      <c r="CO90" s="481">
        <f>IF(CO50=0,CI90,CO50/CO77)</f>
        <v>17.8321875</v>
      </c>
      <c r="CQ90" s="481">
        <f>IF(CQ50=0,CO90,CQ50/CQ77)</f>
        <v>16.89</v>
      </c>
      <c r="CR90" s="481">
        <f t="shared" si="421"/>
        <v>12.338666666666667</v>
      </c>
      <c r="CS90" s="481">
        <f t="shared" si="421"/>
        <v>18.088000000000001</v>
      </c>
      <c r="CT90" s="481">
        <f t="shared" si="421"/>
        <v>20.871333333333332</v>
      </c>
      <c r="CU90" s="481">
        <f>IF(CU50=0,CO90,CU50/CU77)</f>
        <v>17.845272727272729</v>
      </c>
      <c r="CW90" s="481">
        <f>IF(CW50=0,CU90,CW50/CW77)</f>
        <v>18.48</v>
      </c>
      <c r="CX90" s="481">
        <f t="shared" si="422"/>
        <v>17.418571428571429</v>
      </c>
      <c r="CY90" s="481">
        <f t="shared" si="422"/>
        <v>15.478</v>
      </c>
      <c r="CZ90" s="481">
        <f t="shared" si="422"/>
        <v>18.276000000000003</v>
      </c>
      <c r="DA90" s="502">
        <f>IF(DA50=0,CU90,DA50/DA77)</f>
        <v>17.804454545454547</v>
      </c>
      <c r="DC90" s="481">
        <f>IF(DC50=0,DA90,DC50/DC77)</f>
        <v>15.644000000000002</v>
      </c>
      <c r="DD90" s="481">
        <f t="shared" si="423"/>
        <v>21.068571428571428</v>
      </c>
      <c r="DE90" s="481">
        <f t="shared" si="423"/>
        <v>20.555500000000002</v>
      </c>
      <c r="DF90" s="481">
        <f t="shared" si="423"/>
        <v>20.779199999999996</v>
      </c>
      <c r="DG90" s="750">
        <f>IF(DG50=0,DA90,DG50/DG77)</f>
        <v>19.876590909090908</v>
      </c>
      <c r="DI90" s="481">
        <f t="shared" si="424"/>
        <v>22.871999999999996</v>
      </c>
      <c r="DJ90" s="481">
        <f t="shared" si="424"/>
        <v>20.702500000000001</v>
      </c>
      <c r="DK90" s="481">
        <f t="shared" si="424"/>
        <v>21.273499999999999</v>
      </c>
      <c r="DL90" s="481">
        <f t="shared" si="424"/>
        <v>23.7395</v>
      </c>
      <c r="DM90" s="750">
        <f>IF(DM50=0,DG90,DM50/DM77)</f>
        <v>22.15746428571428</v>
      </c>
      <c r="DO90" s="481">
        <f t="shared" si="425"/>
        <v>22.893428571428569</v>
      </c>
      <c r="DP90" s="481">
        <f t="shared" si="425"/>
        <v>18.687000000000001</v>
      </c>
      <c r="DQ90" s="481">
        <f t="shared" si="425"/>
        <v>11.795999999999999</v>
      </c>
      <c r="DR90" s="481">
        <f t="shared" si="425"/>
        <v>43.31879</v>
      </c>
      <c r="DS90" s="750">
        <f>IF(DS50=0,DM90,DS50/DS77)</f>
        <v>25.366496874999999</v>
      </c>
      <c r="DT90" s="750"/>
      <c r="DU90" s="481">
        <f t="shared" si="426"/>
        <v>29.744250000000001</v>
      </c>
      <c r="DV90" s="481">
        <f t="shared" si="426"/>
        <v>30.296636363636367</v>
      </c>
      <c r="DW90" s="481">
        <f t="shared" si="426"/>
        <v>25.397142857142857</v>
      </c>
      <c r="DX90" s="481">
        <f t="shared" si="426"/>
        <v>23.719666666666665</v>
      </c>
      <c r="DY90" s="750">
        <f>IF(DY50=0,#REF!,DY50/DY77)</f>
        <v>27.583499999999997</v>
      </c>
      <c r="EA90" s="481">
        <f t="shared" si="427"/>
        <v>38.269333333333329</v>
      </c>
      <c r="EB90" s="481">
        <f t="shared" si="427"/>
        <v>27.980500000000003</v>
      </c>
      <c r="EC90" s="481">
        <f t="shared" ref="EC90:ED90" si="434">EC50/EC77</f>
        <v>27.769000000000002</v>
      </c>
      <c r="ED90" s="481">
        <f t="shared" si="434"/>
        <v>30.336000000000002</v>
      </c>
      <c r="EE90" s="750">
        <f>IF(EE50=0,DY90,EE50/EE77)</f>
        <v>27.583499999999997</v>
      </c>
      <c r="EG90" s="481">
        <f>EG50/EG77</f>
        <v>25.116</v>
      </c>
      <c r="EH90" s="532">
        <v>28</v>
      </c>
      <c r="EI90" s="532">
        <v>28</v>
      </c>
      <c r="EJ90" s="532">
        <v>28</v>
      </c>
      <c r="EK90" s="502">
        <f>IF(EK50=0,EE90,EK50/EK77)</f>
        <v>27.583499999999997</v>
      </c>
      <c r="EL90" s="688">
        <v>30</v>
      </c>
      <c r="EM90" s="551"/>
      <c r="FA90" s="545">
        <f ca="1">BK90</f>
        <v>21.617999999999999</v>
      </c>
      <c r="FB90" s="545">
        <f>BQ90</f>
        <v>7.7610000000000001</v>
      </c>
      <c r="FC90" s="545">
        <f>BW90</f>
        <v>11.602888888888888</v>
      </c>
      <c r="FD90" s="545">
        <f>CC90</f>
        <v>21.981333333333335</v>
      </c>
      <c r="FE90" s="545">
        <f>CI90</f>
        <v>15.491928571428572</v>
      </c>
      <c r="FF90" s="545">
        <f>CO90</f>
        <v>17.8321875</v>
      </c>
      <c r="FG90" s="411">
        <f>CU90</f>
        <v>17.845272727272729</v>
      </c>
      <c r="FH90" s="411">
        <f>DA90</f>
        <v>17.804454545454547</v>
      </c>
      <c r="FI90" s="411">
        <f>DG90</f>
        <v>19.876590909090908</v>
      </c>
      <c r="FJ90" s="411">
        <f>DM90</f>
        <v>22.15746428571428</v>
      </c>
      <c r="FK90" s="411">
        <f>DS90</f>
        <v>25.366496874999999</v>
      </c>
      <c r="FL90" s="411">
        <f>DY90</f>
        <v>27.583499999999997</v>
      </c>
      <c r="FM90" s="411">
        <f>EE90</f>
        <v>27.583499999999997</v>
      </c>
      <c r="FN90" s="411">
        <f t="shared" si="429"/>
        <v>0</v>
      </c>
      <c r="FO90" s="411">
        <f t="shared" si="429"/>
        <v>25.116</v>
      </c>
      <c r="FP90" s="548">
        <v>30</v>
      </c>
      <c r="FQ90" s="553">
        <v>30</v>
      </c>
      <c r="FR90" s="553">
        <v>30</v>
      </c>
    </row>
    <row r="91" spans="1:177" ht="12" x14ac:dyDescent="0.25">
      <c r="B91" s="539" t="s">
        <v>53</v>
      </c>
      <c r="D91" s="445"/>
      <c r="E91" s="480"/>
      <c r="F91" s="480"/>
      <c r="H91" s="481"/>
      <c r="J91" s="445"/>
      <c r="K91" s="546">
        <f t="shared" si="430"/>
        <v>10.399640322580645</v>
      </c>
      <c r="L91" s="546">
        <f t="shared" si="430"/>
        <v>9.8986763636363637</v>
      </c>
      <c r="M91" s="546">
        <f t="shared" si="430"/>
        <v>9.1798400000000004</v>
      </c>
      <c r="N91" s="546">
        <f t="shared" si="430"/>
        <v>8.5503187500000006</v>
      </c>
      <c r="P91" s="445"/>
      <c r="Q91" s="546">
        <f t="shared" si="431"/>
        <v>10.1770584</v>
      </c>
      <c r="R91" s="546">
        <f t="shared" si="431"/>
        <v>9.764326451612904</v>
      </c>
      <c r="S91" s="546">
        <f t="shared" si="431"/>
        <v>9.9360496000000005</v>
      </c>
      <c r="T91" s="546">
        <f t="shared" si="431"/>
        <v>11.331053684210525</v>
      </c>
      <c r="U91" s="458"/>
      <c r="V91" s="458"/>
      <c r="W91" s="546">
        <f t="shared" si="432"/>
        <v>9.734744000000001</v>
      </c>
      <c r="X91" s="546">
        <f t="shared" si="432"/>
        <v>10.240130799999999</v>
      </c>
      <c r="Y91" s="546">
        <f t="shared" si="411"/>
        <v>10.239245714285715</v>
      </c>
      <c r="Z91" s="546">
        <f t="shared" si="411"/>
        <v>9.8402769230769227</v>
      </c>
      <c r="AA91" s="546">
        <f t="shared" si="411"/>
        <v>9.9916906097560965</v>
      </c>
      <c r="AB91" s="458"/>
      <c r="AC91" s="546">
        <f t="shared" si="412"/>
        <v>8.830618461538462</v>
      </c>
      <c r="AD91" s="546">
        <f t="shared" si="412"/>
        <v>7.2558600000000002</v>
      </c>
      <c r="AE91" s="546">
        <f t="shared" si="412"/>
        <v>9.4515679999999982</v>
      </c>
      <c r="AF91" s="546">
        <f t="shared" si="412"/>
        <v>3.8046600000000002</v>
      </c>
      <c r="AG91" s="458"/>
      <c r="AI91" s="546">
        <f>AI51/AI78</f>
        <v>1.5165</v>
      </c>
      <c r="AJ91" s="546">
        <v>0</v>
      </c>
      <c r="AK91" s="546">
        <f>AK51/AK78</f>
        <v>7.6448500000000008</v>
      </c>
      <c r="AL91" s="546">
        <f>AL51/AL78</f>
        <v>10.075519999999999</v>
      </c>
      <c r="AO91" s="546">
        <f t="shared" si="414"/>
        <v>6.9475999999999996</v>
      </c>
      <c r="AP91" s="546">
        <f t="shared" si="414"/>
        <v>8.4608333333333334</v>
      </c>
      <c r="AQ91" s="546">
        <f t="shared" si="414"/>
        <v>12.226190476190476</v>
      </c>
      <c r="AR91" s="546">
        <f t="shared" si="414"/>
        <v>9.9795599999999993</v>
      </c>
      <c r="AS91" s="546">
        <f t="shared" si="414"/>
        <v>9.9594852941176448</v>
      </c>
      <c r="AU91" s="546">
        <f t="shared" si="433"/>
        <v>10.550428571428572</v>
      </c>
      <c r="AV91" s="546">
        <f t="shared" si="433"/>
        <v>11.360296296296296</v>
      </c>
      <c r="AW91" s="546">
        <f t="shared" si="433"/>
        <v>11.317333333333334</v>
      </c>
      <c r="AX91" s="546">
        <f>AX51/AX78</f>
        <v>9.9270000000000014</v>
      </c>
      <c r="AY91" s="546">
        <f>AY51/AY78</f>
        <v>10.860114942528737</v>
      </c>
      <c r="BA91" s="546">
        <f>BA51/BA78</f>
        <v>11.948275862068966</v>
      </c>
      <c r="BB91" s="546">
        <f>BB51/BB78</f>
        <v>12.086181818181819</v>
      </c>
      <c r="BC91" s="546">
        <f>IF(BC51=0,BB91,BC51/BC78)</f>
        <v>11.541923076923077</v>
      </c>
      <c r="BD91" s="546">
        <f>IF(BD51=0,BC91,BD51/BD78)</f>
        <v>10.4025</v>
      </c>
      <c r="BE91" s="546">
        <f>IF(BE51=0,BD91,BE51/BE78)</f>
        <v>11.641999999999999</v>
      </c>
      <c r="BG91" s="546">
        <f>IF(BG51=0,BE91,BG51/BG78)</f>
        <v>11.975923076923078</v>
      </c>
      <c r="BH91" s="546">
        <f t="shared" si="415"/>
        <v>12.206666666666669</v>
      </c>
      <c r="BI91" s="546">
        <f t="shared" si="415"/>
        <v>10.554500000000001</v>
      </c>
      <c r="BJ91" s="546">
        <f t="shared" si="415"/>
        <v>10.531846153846155</v>
      </c>
      <c r="BK91" s="546">
        <f t="shared" si="415"/>
        <v>11.221250000000001</v>
      </c>
      <c r="BM91" s="546">
        <f>IF(BM51=0,BK91,BM51/BM78)</f>
        <v>10.3</v>
      </c>
      <c r="BN91" s="546">
        <f t="shared" si="416"/>
        <v>12.43</v>
      </c>
      <c r="BO91" s="546">
        <f t="shared" si="416"/>
        <v>10.614000000000001</v>
      </c>
      <c r="BP91" s="546">
        <f t="shared" si="416"/>
        <v>9.7676999999999996</v>
      </c>
      <c r="BQ91" s="546">
        <f>IF(BQ51=0,BK91,BQ51/BQ78)</f>
        <v>10.353256410256412</v>
      </c>
      <c r="BS91" s="546">
        <f t="shared" si="417"/>
        <v>9.348749999999999</v>
      </c>
      <c r="BT91" s="546">
        <f t="shared" si="417"/>
        <v>9.7242857142857133</v>
      </c>
      <c r="BU91" s="546">
        <f t="shared" si="417"/>
        <v>10.972125</v>
      </c>
      <c r="BV91" s="546">
        <f t="shared" si="417"/>
        <v>10.13035</v>
      </c>
      <c r="BW91" s="546">
        <f>IF(BW51=0,BQ91,BW51/BW78)</f>
        <v>10.157540540540539</v>
      </c>
      <c r="BY91" s="546">
        <f>IF(BY51=0,BW91,BY51/BY78)</f>
        <v>10.031000000000001</v>
      </c>
      <c r="BZ91" s="546">
        <f t="shared" si="418"/>
        <v>8.6996250000000011</v>
      </c>
      <c r="CA91" s="546">
        <f t="shared" si="418"/>
        <v>10.780285714285714</v>
      </c>
      <c r="CB91" s="546">
        <f t="shared" si="418"/>
        <v>8.5939999999999994</v>
      </c>
      <c r="CC91" s="546">
        <f>IF(CC51=0,BW91,CC51/CC78)</f>
        <v>9.4631578947368418</v>
      </c>
      <c r="CE91" s="481">
        <f>IF(CE51=0,CC91,CE51/CE78)</f>
        <v>9.5984210526315774</v>
      </c>
      <c r="CF91" s="481">
        <f t="shared" si="419"/>
        <v>8.897785714285714</v>
      </c>
      <c r="CG91" s="452">
        <f t="shared" si="419"/>
        <v>10.105</v>
      </c>
      <c r="CH91" s="452">
        <f t="shared" si="419"/>
        <v>9.7744999999999997</v>
      </c>
      <c r="CI91" s="481">
        <f>IF(CI51=0,CC91,CI51/CI78)</f>
        <v>9.6382957746478866</v>
      </c>
      <c r="CJ91" s="495"/>
      <c r="CK91" s="481">
        <f>IF(CK51=0,CI91,CK51/CK78)</f>
        <v>12.288315789473685</v>
      </c>
      <c r="CL91" s="481">
        <f t="shared" si="420"/>
        <v>10.981578947368421</v>
      </c>
      <c r="CM91" s="481">
        <f t="shared" si="420"/>
        <v>10.402999999999999</v>
      </c>
      <c r="CN91" s="481">
        <f t="shared" si="420"/>
        <v>11.019545454545456</v>
      </c>
      <c r="CO91" s="481">
        <f>IF(CO51=0,CI91,CO51/CO78)</f>
        <v>11.177076923076925</v>
      </c>
      <c r="CQ91" s="481">
        <f>IF(CQ51=0,CO91,CQ51/CQ78)</f>
        <v>10.857857142857142</v>
      </c>
      <c r="CR91" s="481">
        <f t="shared" si="421"/>
        <v>10.715157894736842</v>
      </c>
      <c r="CS91" s="481">
        <f t="shared" si="421"/>
        <v>9.9668571428571422</v>
      </c>
      <c r="CT91" s="481">
        <f t="shared" si="421"/>
        <v>10.435666666666666</v>
      </c>
      <c r="CU91" s="481">
        <f>IF(CU51=0,CO91,CU51/CU78)</f>
        <v>10.507323076923075</v>
      </c>
      <c r="CW91" s="481">
        <f>IF(CW51=0,CU91,CW51/CW78)</f>
        <v>9.3600000000000012</v>
      </c>
      <c r="CX91" s="481">
        <f t="shared" si="422"/>
        <v>10.602608695652174</v>
      </c>
      <c r="CY91" s="481">
        <f t="shared" si="422"/>
        <v>10.767304347826087</v>
      </c>
      <c r="CZ91" s="481">
        <f t="shared" si="422"/>
        <v>10.051800000000002</v>
      </c>
      <c r="DA91" s="502">
        <f>IF(DA51=0,CU91,DA51/DA78)</f>
        <v>10.186805825242718</v>
      </c>
      <c r="DC91" s="481">
        <f>IF(DC51=0,DA91,DC51/DC78)</f>
        <v>9.8333714285714287</v>
      </c>
      <c r="DD91" s="481">
        <f t="shared" si="423"/>
        <v>10.466322580645162</v>
      </c>
      <c r="DE91" s="481">
        <f t="shared" si="423"/>
        <v>9.5925666666666682</v>
      </c>
      <c r="DF91" s="481">
        <f t="shared" si="423"/>
        <v>9.894857142857143</v>
      </c>
      <c r="DG91" s="750">
        <f>IF(DG51=0,DA91,DG51/DG78)</f>
        <v>9.9444351145038166</v>
      </c>
      <c r="DI91" s="481">
        <f t="shared" si="424"/>
        <v>10.556307692307691</v>
      </c>
      <c r="DJ91" s="481">
        <f t="shared" si="424"/>
        <v>10.896052631578948</v>
      </c>
      <c r="DK91" s="481">
        <f t="shared" si="424"/>
        <v>11.196578947368423</v>
      </c>
      <c r="DL91" s="481">
        <f t="shared" si="424"/>
        <v>11.627510204081631</v>
      </c>
      <c r="DM91" s="750">
        <f>IF(DM51=0,DG91,DM51/DM78)</f>
        <v>11.150543046357615</v>
      </c>
      <c r="DO91" s="481">
        <f t="shared" si="425"/>
        <v>11.180511627906977</v>
      </c>
      <c r="DP91" s="481">
        <f t="shared" si="425"/>
        <v>11.733697674418606</v>
      </c>
      <c r="DQ91" s="481">
        <f t="shared" si="425"/>
        <v>12.064090909090909</v>
      </c>
      <c r="DR91" s="481">
        <f t="shared" si="425"/>
        <v>12.550555555555563</v>
      </c>
      <c r="DS91" s="750">
        <f>IF(DS51=0,DM91,DS51/DS78)</f>
        <v>11.923157608695657</v>
      </c>
      <c r="DT91" s="750"/>
      <c r="DU91" s="481">
        <f t="shared" si="426"/>
        <v>12.69088</v>
      </c>
      <c r="DV91" s="481">
        <f t="shared" si="426"/>
        <v>12.984272727272725</v>
      </c>
      <c r="DW91" s="481">
        <f t="shared" si="426"/>
        <v>14.109523809523811</v>
      </c>
      <c r="DX91" s="481">
        <f t="shared" si="426"/>
        <v>12.315980769230768</v>
      </c>
      <c r="DY91" s="750">
        <f>IF(DY51=0,#REF!,DY51/DY78)</f>
        <v>13.018315789473684</v>
      </c>
      <c r="EA91" s="481">
        <f t="shared" si="427"/>
        <v>13.046363636363635</v>
      </c>
      <c r="EB91" s="481">
        <f t="shared" si="427"/>
        <v>13.990250000000001</v>
      </c>
      <c r="EC91" s="481">
        <f t="shared" ref="EC91:ED91" si="435">EC51/EC78</f>
        <v>15.146727272727274</v>
      </c>
      <c r="ED91" s="481">
        <f t="shared" si="435"/>
        <v>13.075862068965519</v>
      </c>
      <c r="EE91" s="750">
        <f>IF(EE51=0,DY91,EE51/EE78)</f>
        <v>13.018315789473684</v>
      </c>
      <c r="EG91" s="481">
        <f>EG51/EG78</f>
        <v>12.558</v>
      </c>
      <c r="EH91" s="532">
        <v>14</v>
      </c>
      <c r="EI91" s="532">
        <v>14</v>
      </c>
      <c r="EJ91" s="532">
        <v>14</v>
      </c>
      <c r="EK91" s="502">
        <f>IF(EK51=0,EE91,EK51/EK78)</f>
        <v>13.018315789473684</v>
      </c>
      <c r="EL91" s="688">
        <v>12.5</v>
      </c>
      <c r="EM91" s="551"/>
      <c r="FA91" s="545">
        <f>BK91</f>
        <v>11.221250000000001</v>
      </c>
      <c r="FB91" s="545">
        <f>BQ91</f>
        <v>10.353256410256412</v>
      </c>
      <c r="FC91" s="545">
        <f>BW91</f>
        <v>10.157540540540539</v>
      </c>
      <c r="FD91" s="545">
        <f>CC91</f>
        <v>9.4631578947368418</v>
      </c>
      <c r="FE91" s="545">
        <f>CI91</f>
        <v>9.6382957746478866</v>
      </c>
      <c r="FF91" s="545">
        <f>CO91</f>
        <v>11.177076923076925</v>
      </c>
      <c r="FG91" s="411">
        <f>CU91</f>
        <v>10.507323076923075</v>
      </c>
      <c r="FH91" s="411">
        <f>DA91</f>
        <v>10.186805825242718</v>
      </c>
      <c r="FI91" s="411">
        <f>DG91</f>
        <v>9.9444351145038166</v>
      </c>
      <c r="FJ91" s="411">
        <f>DM91</f>
        <v>11.150543046357615</v>
      </c>
      <c r="FK91" s="411">
        <f>DS91</f>
        <v>11.923157608695657</v>
      </c>
      <c r="FL91" s="411">
        <f>DY91</f>
        <v>13.018315789473684</v>
      </c>
      <c r="FM91" s="411">
        <f>EE91</f>
        <v>13.018315789473684</v>
      </c>
      <c r="FN91" s="411">
        <f t="shared" si="429"/>
        <v>0</v>
      </c>
      <c r="FO91" s="411">
        <f t="shared" si="429"/>
        <v>12.558</v>
      </c>
      <c r="FP91" s="548">
        <v>12.5</v>
      </c>
      <c r="FQ91" s="553">
        <v>12.5</v>
      </c>
      <c r="FR91" s="553">
        <v>12.5</v>
      </c>
    </row>
    <row r="92" spans="1:177" ht="12" x14ac:dyDescent="0.25">
      <c r="B92" s="663" t="s">
        <v>251</v>
      </c>
      <c r="C92" s="382"/>
      <c r="D92" s="664"/>
      <c r="E92" s="665"/>
      <c r="F92" s="665"/>
      <c r="G92" s="382"/>
      <c r="H92" s="504"/>
      <c r="I92" s="382"/>
      <c r="J92" s="664"/>
      <c r="K92" s="687">
        <f t="shared" si="430"/>
        <v>3.1606750000000003</v>
      </c>
      <c r="L92" s="687">
        <f t="shared" si="430"/>
        <v>2.2684466666666667</v>
      </c>
      <c r="M92" s="687">
        <f t="shared" si="430"/>
        <v>2.2949600000000006</v>
      </c>
      <c r="N92" s="687">
        <f t="shared" si="430"/>
        <v>2.6600991666666673</v>
      </c>
      <c r="O92" s="382"/>
      <c r="P92" s="664"/>
      <c r="Q92" s="687">
        <f t="shared" si="431"/>
        <v>1.8436700000000001</v>
      </c>
      <c r="R92" s="687">
        <f t="shared" si="431"/>
        <v>3.1530637499999998</v>
      </c>
      <c r="S92" s="687">
        <f t="shared" si="431"/>
        <v>2.9979460000000002</v>
      </c>
      <c r="T92" s="687">
        <f t="shared" si="431"/>
        <v>3.914364</v>
      </c>
      <c r="U92" s="509"/>
      <c r="V92" s="509"/>
      <c r="W92" s="687">
        <f>W52/W79</f>
        <v>3.734556521739127</v>
      </c>
      <c r="X92" s="687">
        <f t="shared" si="432"/>
        <v>4.1290850000000061</v>
      </c>
      <c r="Y92" s="687">
        <f t="shared" si="411"/>
        <v>4.2161599999999995</v>
      </c>
      <c r="Z92" s="687">
        <f t="shared" si="411"/>
        <v>3.9361107692307686</v>
      </c>
      <c r="AA92" s="687">
        <f t="shared" si="411"/>
        <v>3.9937408108108112</v>
      </c>
      <c r="AB92" s="509"/>
      <c r="AC92" s="687">
        <f t="shared" si="412"/>
        <v>2.7332866666666664</v>
      </c>
      <c r="AD92" s="687">
        <f t="shared" si="412"/>
        <v>3.224826666666667</v>
      </c>
      <c r="AE92" s="687">
        <f t="shared" si="412"/>
        <v>2.4613458333333331</v>
      </c>
      <c r="AF92" s="687">
        <f t="shared" si="412"/>
        <v>2.5364400000000002</v>
      </c>
      <c r="AG92" s="509"/>
      <c r="AH92" s="382"/>
      <c r="AI92" s="687">
        <f>AI52/AI79</f>
        <v>2.0219999999999998</v>
      </c>
      <c r="AJ92" s="687">
        <f>AJ52/AJ79</f>
        <v>1.2217266666666666</v>
      </c>
      <c r="AK92" s="687">
        <f>AK52/AK79</f>
        <v>2.2934549999999998</v>
      </c>
      <c r="AL92" s="687">
        <f>AL52/AL79</f>
        <v>0</v>
      </c>
      <c r="AM92" s="382"/>
      <c r="AN92" s="382"/>
      <c r="AO92" s="687">
        <f t="shared" si="414"/>
        <v>1.2632000000000001</v>
      </c>
      <c r="AP92" s="687">
        <f t="shared" si="414"/>
        <v>2.3075000000000001</v>
      </c>
      <c r="AQ92" s="687">
        <f t="shared" si="414"/>
        <v>2.0539999999999998</v>
      </c>
      <c r="AR92" s="687">
        <f t="shared" si="414"/>
        <v>2.9180000000000001</v>
      </c>
      <c r="AS92" s="687">
        <f t="shared" si="414"/>
        <v>2.2642608695652173</v>
      </c>
      <c r="AT92" s="382"/>
      <c r="AU92" s="687">
        <f t="shared" si="433"/>
        <v>3.2110000000000003</v>
      </c>
      <c r="AV92" s="687">
        <f t="shared" si="433"/>
        <v>2.2226666666666666</v>
      </c>
      <c r="AW92" s="687">
        <f t="shared" si="433"/>
        <v>3.6377142857142859</v>
      </c>
      <c r="AX92" s="687">
        <f>AX52/AX79</f>
        <v>3.3090000000000006</v>
      </c>
      <c r="AY92" s="687">
        <f>AY52/AY79</f>
        <v>3.0785500000000003</v>
      </c>
      <c r="AZ92" s="382"/>
      <c r="BA92" s="687">
        <f>BA52/BA79</f>
        <v>3.5</v>
      </c>
      <c r="BB92" s="687">
        <f>BB52/BB79</f>
        <v>2.4619999999999997</v>
      </c>
      <c r="BC92" s="687">
        <f>IF(BC52=0,BB92,BC52/BC79)</f>
        <v>4.0011999999999999</v>
      </c>
      <c r="BD92" s="687">
        <f>IF(BD52=0,BC92,BD52/BD79)</f>
        <v>5.1100000000000003</v>
      </c>
      <c r="BE92" s="687">
        <f>IF(BE52=0,BD92,BE52/BE79)</f>
        <v>3.7122666666666664</v>
      </c>
      <c r="BF92" s="382"/>
      <c r="BG92" s="687">
        <f>IF(BG52=0,BE92,BG52/BG79)</f>
        <v>5.0767499999999997</v>
      </c>
      <c r="BH92" s="687">
        <f t="shared" si="415"/>
        <v>3.6619999999999999</v>
      </c>
      <c r="BI92" s="687">
        <f t="shared" si="415"/>
        <v>2.3987500000000002</v>
      </c>
      <c r="BJ92" s="687">
        <f t="shared" si="415"/>
        <v>2.3987500000000002</v>
      </c>
      <c r="BK92" s="687">
        <f t="shared" si="415"/>
        <v>3.7086153846153844</v>
      </c>
      <c r="BL92" s="382"/>
      <c r="BM92" s="687">
        <f>IF(BM52=0,BK92,BM52/BM79)</f>
        <v>3.4333333333333336</v>
      </c>
      <c r="BN92" s="687">
        <f t="shared" si="416"/>
        <v>6.2149999999999999</v>
      </c>
      <c r="BO92" s="687">
        <f t="shared" si="416"/>
        <v>3.5380000000000003</v>
      </c>
      <c r="BP92" s="687">
        <f t="shared" si="416"/>
        <v>3.6176666666666666</v>
      </c>
      <c r="BQ92" s="687">
        <f>IF(BQ52=0,BK92,BQ52/BQ79)</f>
        <v>3.9440769230769233</v>
      </c>
      <c r="BR92" s="382"/>
      <c r="BS92" s="687">
        <f t="shared" si="417"/>
        <v>4.1550000000000002</v>
      </c>
      <c r="BT92" s="687">
        <f t="shared" si="417"/>
        <v>4.5380000000000003</v>
      </c>
      <c r="BU92" s="687">
        <f t="shared" si="417"/>
        <v>4.8765000000000001</v>
      </c>
      <c r="BV92" s="687">
        <f t="shared" si="417"/>
        <v>5.8726666666666665</v>
      </c>
      <c r="BW92" s="687">
        <f>IF(BW52=0,BQ92,BW52/BW79)</f>
        <v>4.7080000000000002</v>
      </c>
      <c r="BX92" s="382"/>
      <c r="BY92" s="687">
        <f>IF(BY52=0,BW92,BY52/BY79)</f>
        <v>4.2989999999999995</v>
      </c>
      <c r="BZ92" s="687">
        <f t="shared" si="418"/>
        <v>3.6154285714285721</v>
      </c>
      <c r="CA92" s="687">
        <f t="shared" si="418"/>
        <v>5.0308000000000002</v>
      </c>
      <c r="CB92" s="687">
        <f t="shared" si="418"/>
        <v>3.22275</v>
      </c>
      <c r="CC92" s="687">
        <f>IF(CC52=0,BW92,CC52/CC79)</f>
        <v>4.02745</v>
      </c>
      <c r="CD92" s="382"/>
      <c r="CE92" s="508">
        <f>IF(CE52=0,CC92,CE52/CE79)</f>
        <v>4.0526666666666662</v>
      </c>
      <c r="CF92" s="508">
        <f t="shared" si="419"/>
        <v>3.9545714285714282</v>
      </c>
      <c r="CG92" s="508">
        <f t="shared" si="419"/>
        <v>2.0209999999999999</v>
      </c>
      <c r="CH92" s="508">
        <f t="shared" si="419"/>
        <v>2.7927142857142861</v>
      </c>
      <c r="CI92" s="508">
        <f>IF(CI52=0,CC92,CI52/CI79)</f>
        <v>2.983769230769231</v>
      </c>
      <c r="CJ92" s="667"/>
      <c r="CK92" s="508">
        <f>IF(CK52=0,CI92,CK52/CK79)</f>
        <v>3.3353999999999999</v>
      </c>
      <c r="CL92" s="508">
        <f t="shared" si="420"/>
        <v>2.6081250000000002</v>
      </c>
      <c r="CM92" s="508">
        <f t="shared" si="420"/>
        <v>4.1612</v>
      </c>
      <c r="CN92" s="508">
        <f t="shared" si="420"/>
        <v>3.0303750000000003</v>
      </c>
      <c r="CO92" s="508">
        <f>IF(CO52=0,CI92,CO52/CO79)</f>
        <v>3.1765769230769232</v>
      </c>
      <c r="CP92" s="382"/>
      <c r="CQ92" s="486">
        <f>IF(CQ52=0,CO92,CQ52/CQ79)</f>
        <v>3.7533333333333334</v>
      </c>
      <c r="CR92" s="486">
        <f t="shared" si="421"/>
        <v>3.0846666666666667</v>
      </c>
      <c r="CS92" s="486">
        <f t="shared" si="421"/>
        <v>3.8759999999999999</v>
      </c>
      <c r="CT92" s="486">
        <f t="shared" si="421"/>
        <v>4.8164615384615379</v>
      </c>
      <c r="CU92" s="486">
        <f>IF(CU52=0,CO92,CU52/CU79)</f>
        <v>4.0634705882352939</v>
      </c>
      <c r="CV92" s="382"/>
      <c r="CW92" s="486">
        <f>IF(CW52=0,CU92,CW52/CW79)</f>
        <v>4.3199999999999994</v>
      </c>
      <c r="CX92" s="486">
        <f t="shared" si="422"/>
        <v>3.4837142857142855</v>
      </c>
      <c r="CY92" s="486">
        <f t="shared" si="422"/>
        <v>3.0956000000000001</v>
      </c>
      <c r="CZ92" s="486">
        <f t="shared" si="422"/>
        <v>5.3305000000000007</v>
      </c>
      <c r="DA92" s="506">
        <f>IF(DA52=0,CU92,DA52/DA79)</f>
        <v>3.9660294117647057</v>
      </c>
      <c r="DC92" s="486">
        <f>IF(DC52=0,DA92,DC52/DC79)</f>
        <v>5.214666666666667</v>
      </c>
      <c r="DD92" s="486">
        <f t="shared" si="423"/>
        <v>3.277333333333333</v>
      </c>
      <c r="DE92" s="486">
        <f t="shared" si="423"/>
        <v>5.8730000000000002</v>
      </c>
      <c r="DF92" s="486">
        <f t="shared" si="423"/>
        <v>3.1483636363636363</v>
      </c>
      <c r="DG92" s="733">
        <f>IF(DG52=0,DA92,DG52/DG79)</f>
        <v>4.1371818181818183</v>
      </c>
      <c r="DI92" s="486">
        <f t="shared" si="424"/>
        <v>5.0826666666666664</v>
      </c>
      <c r="DJ92" s="486">
        <f t="shared" si="424"/>
        <v>3.4504166666666669</v>
      </c>
      <c r="DK92" s="486">
        <f t="shared" si="424"/>
        <v>4.2546999999999997</v>
      </c>
      <c r="DL92" s="486">
        <f t="shared" si="424"/>
        <v>3.3913571428571427</v>
      </c>
      <c r="DM92" s="733">
        <f>IF(DM52=0,DG92,DM52/DM79)</f>
        <v>3.9372222222222226</v>
      </c>
      <c r="DO92" s="486">
        <f t="shared" si="425"/>
        <v>6.6772500000000008</v>
      </c>
      <c r="DP92" s="486">
        <f t="shared" si="425"/>
        <v>4.3123846153846159</v>
      </c>
      <c r="DQ92" s="486">
        <f t="shared" si="425"/>
        <v>3.317625</v>
      </c>
      <c r="DR92" s="486">
        <f t="shared" si="425"/>
        <v>3.1569444444444437</v>
      </c>
      <c r="DS92" s="733">
        <f>IF(DS52=0,DM92,DS52/DS79)</f>
        <v>3.9888363636363637</v>
      </c>
      <c r="DT92" s="732"/>
      <c r="DU92" s="486">
        <f t="shared" si="426"/>
        <v>3.9659</v>
      </c>
      <c r="DV92" s="486">
        <f t="shared" si="426"/>
        <v>5.9511249999999993</v>
      </c>
      <c r="DW92" s="486">
        <f t="shared" si="426"/>
        <v>6.5844444444444443</v>
      </c>
      <c r="DX92" s="486">
        <f t="shared" si="426"/>
        <v>6.7770476190476181</v>
      </c>
      <c r="DY92" s="733">
        <f>IF(DY52=0,#REF!,DY52/DY79)</f>
        <v>6.0879230769230768</v>
      </c>
      <c r="EA92" s="504">
        <f t="shared" si="427"/>
        <v>4.4156923076923071</v>
      </c>
      <c r="EB92" s="504">
        <f t="shared" si="427"/>
        <v>3.9972142857142861</v>
      </c>
      <c r="EC92" s="504">
        <f>EC52/EC79</f>
        <v>5.5538000000000007</v>
      </c>
      <c r="ED92" s="504">
        <f t="shared" ref="ED92" si="436">ED52/ED79</f>
        <v>4.4611764705882351</v>
      </c>
      <c r="EE92" s="733">
        <f>IF(EE52=0,DY92,EE52/EE79)</f>
        <v>6.0879230769230768</v>
      </c>
      <c r="EG92" s="504">
        <f>EG52/EG79</f>
        <v>5.708181818181818</v>
      </c>
      <c r="EH92" s="602">
        <v>4</v>
      </c>
      <c r="EI92" s="602">
        <v>4</v>
      </c>
      <c r="EJ92" s="602">
        <v>4</v>
      </c>
      <c r="EK92" s="506">
        <f>IF(EK52=0,EE92,EK52/EK79)</f>
        <v>6.0879230769230768</v>
      </c>
      <c r="EL92" s="689">
        <v>5</v>
      </c>
      <c r="EM92" s="557"/>
      <c r="FA92" s="554">
        <f>BK92</f>
        <v>3.7086153846153844</v>
      </c>
      <c r="FB92" s="554">
        <f>BQ92</f>
        <v>3.9440769230769233</v>
      </c>
      <c r="FC92" s="554">
        <f>BW92</f>
        <v>4.7080000000000002</v>
      </c>
      <c r="FD92" s="554">
        <f>CC92</f>
        <v>4.02745</v>
      </c>
      <c r="FE92" s="554">
        <f>CI92</f>
        <v>2.983769230769231</v>
      </c>
      <c r="FF92" s="554">
        <f>CO92</f>
        <v>3.1765769230769232</v>
      </c>
      <c r="FG92" s="558">
        <f>CU92</f>
        <v>4.0634705882352939</v>
      </c>
      <c r="FH92" s="558">
        <f>DA92</f>
        <v>3.9660294117647057</v>
      </c>
      <c r="FI92" s="558">
        <f>DG92</f>
        <v>4.1371818181818183</v>
      </c>
      <c r="FJ92" s="558">
        <f>DM92</f>
        <v>3.9372222222222226</v>
      </c>
      <c r="FK92" s="558">
        <f>DS92</f>
        <v>3.9888363636363637</v>
      </c>
      <c r="FL92" s="559">
        <f>DY92</f>
        <v>6.0879230769230768</v>
      </c>
      <c r="FM92" s="559">
        <f>EE92</f>
        <v>6.0879230769230768</v>
      </c>
      <c r="FN92" s="559">
        <f t="shared" si="429"/>
        <v>0</v>
      </c>
      <c r="FO92" s="559">
        <f t="shared" si="429"/>
        <v>5.708181818181818</v>
      </c>
      <c r="FP92" s="548">
        <v>5</v>
      </c>
      <c r="FQ92" s="560">
        <v>5</v>
      </c>
      <c r="FR92" s="560">
        <v>5</v>
      </c>
    </row>
    <row r="93" spans="1:177" ht="12" x14ac:dyDescent="0.25">
      <c r="B93" s="666" t="s">
        <v>682</v>
      </c>
      <c r="D93" s="445"/>
      <c r="E93" s="480"/>
      <c r="F93" s="480"/>
      <c r="H93" s="481"/>
      <c r="J93" s="445"/>
      <c r="K93" s="554"/>
      <c r="L93" s="554"/>
      <c r="M93" s="554"/>
      <c r="N93" s="554"/>
      <c r="P93" s="445"/>
      <c r="Q93" s="554"/>
      <c r="R93" s="554"/>
      <c r="S93" s="554"/>
      <c r="T93" s="554"/>
      <c r="U93" s="458"/>
      <c r="V93" s="458"/>
      <c r="W93" s="554"/>
      <c r="X93" s="554"/>
      <c r="Y93" s="554"/>
      <c r="Z93" s="554"/>
      <c r="AA93" s="554"/>
      <c r="AB93" s="458"/>
      <c r="AC93" s="554"/>
      <c r="AD93" s="554"/>
      <c r="AE93" s="554"/>
      <c r="AF93" s="554"/>
      <c r="AG93" s="458"/>
      <c r="AI93" s="554"/>
      <c r="AJ93" s="554"/>
      <c r="AK93" s="554"/>
      <c r="AL93" s="554"/>
      <c r="AO93" s="554"/>
      <c r="AP93" s="554"/>
      <c r="AQ93" s="554"/>
      <c r="AR93" s="554"/>
      <c r="AS93" s="554"/>
      <c r="AU93" s="554"/>
      <c r="AV93" s="554"/>
      <c r="AW93" s="554"/>
      <c r="AX93" s="554"/>
      <c r="AY93" s="554"/>
      <c r="BA93" s="554"/>
      <c r="BB93" s="554"/>
      <c r="BC93" s="554"/>
      <c r="BD93" s="554"/>
      <c r="BE93" s="554"/>
      <c r="BG93" s="554"/>
      <c r="BH93" s="554"/>
      <c r="BI93" s="554"/>
      <c r="BJ93" s="554"/>
      <c r="BK93" s="554"/>
      <c r="BM93" s="554"/>
      <c r="BN93" s="554"/>
      <c r="BO93" s="554"/>
      <c r="BP93" s="554"/>
      <c r="BQ93" s="554"/>
      <c r="BS93" s="554"/>
      <c r="BT93" s="554"/>
      <c r="BU93" s="554"/>
      <c r="BV93" s="554"/>
      <c r="BW93" s="554"/>
      <c r="BY93" s="554"/>
      <c r="BZ93" s="554"/>
      <c r="CA93" s="554"/>
      <c r="CB93" s="554"/>
      <c r="CC93" s="554"/>
      <c r="CE93" s="479"/>
      <c r="CF93" s="479"/>
      <c r="CG93" s="479"/>
      <c r="CH93" s="479"/>
      <c r="CI93" s="479"/>
      <c r="CJ93" s="495"/>
      <c r="CK93" s="479"/>
      <c r="CL93" s="479"/>
      <c r="CM93" s="479"/>
      <c r="CN93" s="479"/>
      <c r="CO93" s="479"/>
      <c r="CQ93" s="479"/>
      <c r="CR93" s="479"/>
      <c r="CS93" s="479"/>
      <c r="CT93" s="479"/>
      <c r="CU93" s="479"/>
      <c r="CW93" s="479"/>
      <c r="CX93" s="479"/>
      <c r="CY93" s="479"/>
      <c r="CZ93" s="479"/>
      <c r="DA93" s="543"/>
      <c r="DC93" s="479"/>
      <c r="DD93" s="479"/>
      <c r="DE93" s="479"/>
      <c r="DF93" s="479"/>
      <c r="DG93" s="806"/>
      <c r="DI93" s="479"/>
      <c r="DJ93" s="479"/>
      <c r="DK93" s="479"/>
      <c r="DL93" s="479"/>
      <c r="DM93" s="806"/>
      <c r="DO93" s="479"/>
      <c r="DP93" s="479"/>
      <c r="DQ93" s="479"/>
      <c r="DR93" s="479"/>
      <c r="DS93" s="806"/>
      <c r="DT93" s="806"/>
      <c r="DU93" s="479"/>
      <c r="DV93" s="479"/>
      <c r="DW93" s="479"/>
      <c r="DX93" s="479"/>
      <c r="DY93" s="806"/>
      <c r="EA93" s="657">
        <f t="shared" si="427"/>
        <v>37.358158730158728</v>
      </c>
      <c r="EB93" s="657">
        <f t="shared" si="427"/>
        <v>43.046923076923079</v>
      </c>
      <c r="EC93" s="657">
        <f t="shared" ref="EC93:ED93" si="437">EC53/EC80</f>
        <v>51.130222222222223</v>
      </c>
      <c r="ED93" s="657">
        <f t="shared" si="437"/>
        <v>41.367272727272734</v>
      </c>
      <c r="EE93" s="806"/>
      <c r="EG93" s="657">
        <f t="shared" ref="EG93" si="438">EG53/EG80</f>
        <v>31.893333333333334</v>
      </c>
      <c r="EH93" s="555"/>
      <c r="EI93" s="555"/>
      <c r="EJ93" s="555"/>
      <c r="EK93" s="543"/>
      <c r="EL93" s="556"/>
      <c r="EM93" s="557"/>
      <c r="FA93" s="554"/>
      <c r="FB93" s="554"/>
      <c r="FC93" s="554"/>
      <c r="FD93" s="554"/>
      <c r="FE93" s="554"/>
      <c r="FF93" s="554"/>
      <c r="FG93" s="558"/>
      <c r="FH93" s="558"/>
      <c r="FI93" s="558"/>
      <c r="FJ93" s="558"/>
      <c r="FK93" s="558"/>
      <c r="FL93" s="559"/>
      <c r="FM93" s="559"/>
      <c r="FN93" s="558"/>
      <c r="FO93" s="558"/>
      <c r="FP93" s="558"/>
      <c r="FQ93" s="558"/>
      <c r="FR93" s="558"/>
    </row>
    <row r="94" spans="1:177" ht="12" x14ac:dyDescent="0.25">
      <c r="B94" s="666"/>
      <c r="D94" s="445"/>
      <c r="E94" s="480"/>
      <c r="F94" s="480"/>
      <c r="H94" s="481"/>
      <c r="J94" s="445"/>
      <c r="K94" s="554"/>
      <c r="L94" s="554"/>
      <c r="M94" s="554"/>
      <c r="N94" s="554"/>
      <c r="P94" s="445"/>
      <c r="Q94" s="554"/>
      <c r="R94" s="554"/>
      <c r="S94" s="554"/>
      <c r="T94" s="554"/>
      <c r="U94" s="458"/>
      <c r="V94" s="458"/>
      <c r="W94" s="554"/>
      <c r="X94" s="554"/>
      <c r="Y94" s="554"/>
      <c r="Z94" s="554"/>
      <c r="AA94" s="554"/>
      <c r="AB94" s="458"/>
      <c r="AC94" s="554"/>
      <c r="AD94" s="554"/>
      <c r="AE94" s="554"/>
      <c r="AF94" s="554"/>
      <c r="AG94" s="458"/>
      <c r="AI94" s="554"/>
      <c r="AJ94" s="554"/>
      <c r="AK94" s="554"/>
      <c r="AL94" s="554"/>
      <c r="AO94" s="554"/>
      <c r="AP94" s="554"/>
      <c r="AQ94" s="554"/>
      <c r="AR94" s="554"/>
      <c r="AS94" s="554"/>
      <c r="AU94" s="554"/>
      <c r="AV94" s="554"/>
      <c r="AW94" s="554"/>
      <c r="AX94" s="554"/>
      <c r="AY94" s="554"/>
      <c r="BA94" s="554"/>
      <c r="BB94" s="554"/>
      <c r="BC94" s="554"/>
      <c r="BD94" s="554"/>
      <c r="BE94" s="554"/>
      <c r="BG94" s="554"/>
      <c r="BH94" s="554"/>
      <c r="BI94" s="554"/>
      <c r="BJ94" s="554"/>
      <c r="BK94" s="554"/>
      <c r="BM94" s="554"/>
      <c r="BN94" s="554"/>
      <c r="BO94" s="554"/>
      <c r="BP94" s="554"/>
      <c r="BQ94" s="554"/>
      <c r="BS94" s="554"/>
      <c r="BT94" s="554"/>
      <c r="BU94" s="554"/>
      <c r="BV94" s="554"/>
      <c r="BW94" s="554"/>
      <c r="BY94" s="554"/>
      <c r="BZ94" s="554"/>
      <c r="CA94" s="554"/>
      <c r="CB94" s="554"/>
      <c r="CC94" s="554"/>
      <c r="CE94" s="479"/>
      <c r="CF94" s="479"/>
      <c r="CG94" s="479"/>
      <c r="CH94" s="479"/>
      <c r="CI94" s="479"/>
      <c r="CJ94" s="495"/>
      <c r="CK94" s="479"/>
      <c r="CL94" s="479"/>
      <c r="CM94" s="479"/>
      <c r="CN94" s="479"/>
      <c r="CO94" s="479"/>
      <c r="CQ94" s="479"/>
      <c r="CR94" s="479"/>
      <c r="CS94" s="479"/>
      <c r="CT94" s="479"/>
      <c r="CU94" s="479"/>
      <c r="CW94" s="479"/>
      <c r="CX94" s="479"/>
      <c r="CY94" s="479"/>
      <c r="CZ94" s="479"/>
      <c r="DA94" s="543"/>
      <c r="DC94" s="479"/>
      <c r="DD94" s="479"/>
      <c r="DE94" s="479"/>
      <c r="DF94" s="479"/>
      <c r="DG94" s="806"/>
      <c r="DI94" s="479"/>
      <c r="DJ94" s="479"/>
      <c r="DK94" s="479"/>
      <c r="DL94" s="479"/>
      <c r="DM94" s="806"/>
      <c r="DO94" s="479"/>
      <c r="DP94" s="479"/>
      <c r="DQ94" s="479"/>
      <c r="DR94" s="479"/>
      <c r="DS94" s="806"/>
      <c r="DT94" s="806"/>
      <c r="DU94" s="479"/>
      <c r="DV94" s="479"/>
      <c r="DW94" s="479"/>
      <c r="DX94" s="479"/>
      <c r="DY94" s="806"/>
      <c r="EA94" s="479"/>
      <c r="EB94" s="479"/>
      <c r="EC94" s="479"/>
      <c r="ED94" s="479"/>
      <c r="EE94" s="806"/>
      <c r="EG94" s="716"/>
      <c r="EH94" s="555"/>
      <c r="EI94" s="555"/>
      <c r="EJ94" s="555"/>
      <c r="EK94" s="543"/>
      <c r="EL94" s="556"/>
      <c r="EM94" s="557"/>
      <c r="FA94" s="554"/>
      <c r="FB94" s="554"/>
      <c r="FC94" s="554"/>
      <c r="FD94" s="554"/>
      <c r="FE94" s="554"/>
      <c r="FF94" s="554"/>
      <c r="FG94" s="558"/>
      <c r="FH94" s="558"/>
      <c r="FI94" s="558"/>
      <c r="FJ94" s="558"/>
      <c r="FK94" s="558"/>
      <c r="FL94" s="559"/>
      <c r="FM94" s="559"/>
      <c r="FN94" s="558"/>
      <c r="FO94" s="558"/>
      <c r="FP94" s="558"/>
      <c r="FQ94" s="558"/>
      <c r="FR94" s="558"/>
    </row>
    <row r="95" spans="1:177" ht="12" x14ac:dyDescent="0.25">
      <c r="B95" s="448" t="s">
        <v>739</v>
      </c>
      <c r="D95" s="445"/>
      <c r="E95" s="480"/>
      <c r="F95" s="480"/>
      <c r="H95" s="481"/>
      <c r="J95" s="445"/>
      <c r="K95" s="481"/>
      <c r="L95" s="481"/>
      <c r="M95" s="481"/>
      <c r="N95" s="481"/>
      <c r="P95" s="445"/>
      <c r="Q95" s="481"/>
      <c r="R95" s="481"/>
      <c r="S95" s="481"/>
      <c r="T95" s="481"/>
      <c r="U95" s="458"/>
      <c r="V95" s="458"/>
      <c r="W95" s="545"/>
      <c r="X95" s="545"/>
      <c r="Y95" s="545"/>
      <c r="Z95" s="545"/>
      <c r="AA95" s="545"/>
      <c r="AB95" s="458"/>
      <c r="AC95" s="545"/>
      <c r="AD95" s="545"/>
      <c r="AE95" s="545"/>
      <c r="AF95" s="545"/>
      <c r="AG95" s="545"/>
      <c r="AI95" s="545"/>
      <c r="AJ95" s="545"/>
      <c r="AK95" s="545"/>
      <c r="AL95" s="545"/>
      <c r="AM95" s="545"/>
      <c r="AO95" s="545"/>
      <c r="AP95" s="545"/>
      <c r="AQ95" s="545"/>
      <c r="AR95" s="545"/>
      <c r="AS95" s="545"/>
      <c r="AU95" s="545"/>
      <c r="AV95" s="545"/>
      <c r="AW95" s="545"/>
      <c r="AX95" s="545"/>
      <c r="AY95" s="545"/>
      <c r="BA95" s="545"/>
      <c r="BB95" s="545"/>
      <c r="BC95" s="545"/>
      <c r="BD95" s="545"/>
      <c r="BE95" s="545"/>
      <c r="BG95" s="545">
        <v>3.5</v>
      </c>
      <c r="BH95" s="545">
        <v>3.5</v>
      </c>
      <c r="BI95" s="545">
        <v>3.5</v>
      </c>
      <c r="BJ95" s="545"/>
      <c r="BK95" s="545"/>
      <c r="BM95" s="545"/>
      <c r="BN95" s="545"/>
      <c r="BO95" s="545"/>
      <c r="BP95" s="545"/>
      <c r="BQ95" s="545"/>
      <c r="BR95" s="22"/>
      <c r="BS95" s="545"/>
      <c r="BT95" s="545"/>
      <c r="BU95" s="545"/>
      <c r="BV95" s="545"/>
      <c r="BW95" s="545">
        <v>3.5</v>
      </c>
      <c r="BY95" s="545"/>
      <c r="BZ95" s="545"/>
      <c r="CA95" s="545"/>
      <c r="CB95" s="545"/>
      <c r="CC95" s="545"/>
      <c r="CE95" s="545"/>
      <c r="CF95" s="545"/>
      <c r="CG95" s="545"/>
      <c r="CH95" s="545"/>
      <c r="CI95" s="545"/>
      <c r="CK95" s="716">
        <v>5</v>
      </c>
      <c r="CL95" s="716">
        <v>5</v>
      </c>
      <c r="CM95" s="716">
        <v>5</v>
      </c>
      <c r="CN95" s="716">
        <v>5</v>
      </c>
      <c r="CO95" s="545"/>
      <c r="CQ95" s="716">
        <v>5</v>
      </c>
      <c r="CR95" s="716">
        <v>5</v>
      </c>
      <c r="CS95" s="716">
        <v>5</v>
      </c>
      <c r="CT95" s="716">
        <v>5</v>
      </c>
      <c r="CU95" s="545"/>
      <c r="CW95" s="716">
        <v>5</v>
      </c>
      <c r="CX95" s="716">
        <v>5</v>
      </c>
      <c r="CY95" s="716">
        <v>5</v>
      </c>
      <c r="CZ95" s="716">
        <v>5</v>
      </c>
      <c r="DA95" s="717"/>
      <c r="DC95" s="716">
        <v>5</v>
      </c>
      <c r="DD95" s="716">
        <v>5</v>
      </c>
      <c r="DE95" s="716">
        <v>5</v>
      </c>
      <c r="DF95" s="716">
        <v>5</v>
      </c>
      <c r="DG95" s="807"/>
      <c r="DI95" s="716">
        <v>5</v>
      </c>
      <c r="DJ95" s="716">
        <v>5</v>
      </c>
      <c r="DK95" s="716">
        <v>5</v>
      </c>
      <c r="DL95" s="716">
        <v>5</v>
      </c>
      <c r="DM95" s="807">
        <f>DG95</f>
        <v>0</v>
      </c>
      <c r="DO95" s="716">
        <v>5</v>
      </c>
      <c r="DP95" s="716">
        <v>5</v>
      </c>
      <c r="DQ95" s="716">
        <v>5</v>
      </c>
      <c r="DR95" s="716">
        <v>5</v>
      </c>
      <c r="DS95" s="807">
        <f>DM95</f>
        <v>0</v>
      </c>
      <c r="DT95" s="807"/>
      <c r="DU95" s="716">
        <v>5</v>
      </c>
      <c r="DV95" s="716">
        <v>5</v>
      </c>
      <c r="DW95" s="716">
        <v>5</v>
      </c>
      <c r="DX95" s="716">
        <v>5</v>
      </c>
      <c r="DY95" s="807">
        <f>AVERAGE(DU95:DX95)</f>
        <v>5</v>
      </c>
      <c r="EA95" s="716">
        <v>5</v>
      </c>
      <c r="EB95" s="716">
        <v>5</v>
      </c>
      <c r="EC95" s="716">
        <v>5</v>
      </c>
      <c r="ED95" s="716">
        <v>6</v>
      </c>
      <c r="EE95" s="807"/>
      <c r="EG95" s="716"/>
      <c r="EH95" s="716"/>
      <c r="FA95" s="545">
        <f>BK95</f>
        <v>0</v>
      </c>
      <c r="FB95" s="545">
        <f>BQ95</f>
        <v>0</v>
      </c>
      <c r="FC95" s="545">
        <f>BW95</f>
        <v>3.5</v>
      </c>
      <c r="FD95" s="545">
        <f>CC95</f>
        <v>0</v>
      </c>
      <c r="FE95" s="545">
        <f>CI95</f>
        <v>0</v>
      </c>
      <c r="FF95" s="545">
        <f>CO95</f>
        <v>0</v>
      </c>
      <c r="FG95" s="554">
        <f>CE95</f>
        <v>0</v>
      </c>
      <c r="FH95" s="554">
        <f>CF95</f>
        <v>0</v>
      </c>
      <c r="FP95" s="311"/>
      <c r="FU95" s="448" t="s">
        <v>248</v>
      </c>
    </row>
    <row r="96" spans="1:177" ht="12" x14ac:dyDescent="0.25">
      <c r="D96" s="445"/>
      <c r="E96" s="480"/>
      <c r="F96" s="480"/>
      <c r="H96" s="481"/>
      <c r="J96" s="445"/>
      <c r="K96" s="481"/>
      <c r="L96" s="481"/>
      <c r="M96" s="481"/>
      <c r="N96" s="481"/>
      <c r="P96" s="445"/>
      <c r="Q96" s="481"/>
      <c r="R96" s="481"/>
      <c r="S96" s="481"/>
      <c r="T96" s="481"/>
      <c r="U96" s="458"/>
      <c r="V96" s="458"/>
      <c r="W96" s="481"/>
      <c r="X96" s="481"/>
      <c r="Y96" s="481"/>
      <c r="Z96" s="458"/>
      <c r="AA96" s="458"/>
      <c r="AB96" s="458"/>
      <c r="AC96" s="481"/>
      <c r="AD96" s="481"/>
      <c r="AE96" s="481"/>
      <c r="AF96" s="458"/>
      <c r="AG96" s="458"/>
      <c r="AI96" s="458"/>
      <c r="AJ96" s="458"/>
      <c r="AK96" s="458"/>
      <c r="AL96" s="458"/>
      <c r="AO96" s="458"/>
      <c r="AP96" s="458"/>
      <c r="AS96" s="458"/>
      <c r="FP96" s="311"/>
    </row>
    <row r="97" spans="1:174" ht="12" hidden="1" outlineLevel="1" x14ac:dyDescent="0.25">
      <c r="B97" s="561" t="s">
        <v>697</v>
      </c>
      <c r="C97" s="561"/>
      <c r="D97" s="561"/>
      <c r="E97" s="561"/>
      <c r="F97" s="561"/>
      <c r="G97" s="561"/>
      <c r="H97" s="561"/>
      <c r="I97" s="561"/>
      <c r="J97" s="561"/>
      <c r="K97" s="561"/>
      <c r="L97" s="561"/>
      <c r="M97" s="561"/>
      <c r="N97" s="561"/>
      <c r="O97" s="561"/>
      <c r="P97" s="561"/>
      <c r="Q97" s="561"/>
      <c r="R97" s="561"/>
      <c r="S97" s="561"/>
      <c r="T97" s="561"/>
      <c r="U97" s="561"/>
      <c r="V97" s="561"/>
      <c r="W97" s="561"/>
      <c r="X97" s="561"/>
      <c r="Y97" s="561"/>
      <c r="Z97" s="561"/>
      <c r="AA97" s="561"/>
      <c r="AB97" s="561"/>
      <c r="AC97" s="561"/>
      <c r="AD97" s="561"/>
      <c r="AE97" s="561"/>
      <c r="AF97" s="561"/>
      <c r="AG97" s="561"/>
      <c r="AH97" s="561"/>
      <c r="AI97" s="561"/>
      <c r="AJ97" s="561"/>
      <c r="AK97" s="561"/>
      <c r="AL97" s="561"/>
      <c r="AM97" s="561"/>
      <c r="AN97" s="561"/>
      <c r="AO97" s="561"/>
      <c r="AP97" s="561"/>
      <c r="AQ97" s="561"/>
      <c r="AR97" s="561"/>
      <c r="AS97" s="561"/>
      <c r="AT97" s="561"/>
      <c r="AU97" s="561"/>
      <c r="AV97" s="561"/>
      <c r="AW97" s="561"/>
      <c r="AX97" s="561"/>
      <c r="AY97" s="561"/>
      <c r="AZ97" s="561"/>
      <c r="BA97" s="561"/>
      <c r="BB97" s="561"/>
      <c r="BC97" s="561"/>
      <c r="BD97" s="561"/>
      <c r="BE97" s="561"/>
      <c r="BF97" s="561"/>
      <c r="BG97" s="561"/>
      <c r="BH97" s="561"/>
      <c r="BI97" s="561"/>
      <c r="BJ97" s="561"/>
      <c r="BK97" s="561"/>
      <c r="BL97" s="561"/>
      <c r="BM97" s="561"/>
      <c r="BN97" s="561"/>
      <c r="BO97" s="561"/>
      <c r="BP97" s="561"/>
      <c r="BQ97" s="561"/>
      <c r="BR97" s="561"/>
      <c r="BS97" s="561"/>
      <c r="BT97" s="561"/>
      <c r="BU97" s="561"/>
      <c r="BV97" s="561"/>
      <c r="BW97" s="561"/>
      <c r="BX97" s="561"/>
      <c r="BY97" s="561"/>
      <c r="BZ97" s="561"/>
      <c r="CA97" s="561"/>
      <c r="CB97" s="561"/>
      <c r="CC97" s="561"/>
      <c r="CD97" s="561"/>
      <c r="CE97" s="561"/>
      <c r="CF97" s="561"/>
      <c r="CG97" s="561"/>
      <c r="CH97" s="561"/>
      <c r="CI97" s="561"/>
      <c r="CJ97" s="561"/>
      <c r="CK97" s="561"/>
      <c r="CL97" s="561"/>
      <c r="CM97" s="561"/>
      <c r="CN97" s="561"/>
      <c r="CO97" s="561"/>
      <c r="CP97" s="561"/>
      <c r="CQ97" s="561"/>
      <c r="CR97" s="561"/>
      <c r="CS97" s="561"/>
      <c r="CT97" s="561"/>
      <c r="CU97" s="561"/>
      <c r="CV97" s="561"/>
      <c r="CW97" s="561"/>
      <c r="CX97" s="561"/>
      <c r="CY97" s="561"/>
      <c r="CZ97" s="561"/>
      <c r="DA97" s="757"/>
      <c r="DB97" s="738"/>
      <c r="DC97" s="561"/>
      <c r="DD97" s="561"/>
      <c r="DE97" s="561"/>
      <c r="DF97" s="561"/>
      <c r="DG97" s="561"/>
      <c r="DH97" s="738"/>
      <c r="DI97" s="561"/>
      <c r="DJ97" s="561"/>
      <c r="DK97" s="561"/>
      <c r="DL97" s="561"/>
      <c r="DM97" s="738"/>
      <c r="DN97" s="738"/>
      <c r="DO97" s="561"/>
      <c r="DP97" s="561"/>
      <c r="DQ97" s="561"/>
      <c r="DR97" s="561"/>
      <c r="DS97" s="738"/>
      <c r="DT97" s="738"/>
      <c r="DU97" s="561"/>
      <c r="DV97" s="561"/>
      <c r="DW97" s="561"/>
      <c r="DX97" s="561"/>
      <c r="DY97" s="738"/>
      <c r="DZ97" s="738"/>
      <c r="EA97" s="561"/>
      <c r="EB97" s="561"/>
      <c r="EC97" s="561"/>
      <c r="ED97" s="561"/>
      <c r="EE97" s="738"/>
      <c r="EF97" s="738"/>
      <c r="EG97" s="561"/>
      <c r="EH97" s="561"/>
      <c r="EI97" s="561"/>
      <c r="EJ97" s="561"/>
      <c r="EK97" s="757"/>
      <c r="EL97" s="757"/>
      <c r="FP97" s="311"/>
    </row>
    <row r="98" spans="1:174" ht="12" hidden="1" outlineLevel="1" x14ac:dyDescent="0.25">
      <c r="D98" s="445"/>
      <c r="E98" s="480"/>
      <c r="F98" s="480"/>
      <c r="H98" s="481"/>
      <c r="J98" s="445"/>
      <c r="K98" s="481"/>
      <c r="L98" s="481"/>
      <c r="M98" s="481"/>
      <c r="N98" s="481"/>
      <c r="P98" s="445"/>
      <c r="Q98" s="481"/>
      <c r="R98" s="481"/>
      <c r="S98" s="481"/>
      <c r="T98" s="481"/>
      <c r="U98" s="458"/>
      <c r="V98" s="458"/>
      <c r="W98" s="481"/>
      <c r="X98" s="481"/>
      <c r="Y98" s="481"/>
      <c r="Z98" s="458"/>
      <c r="AA98" s="458"/>
      <c r="AB98" s="458"/>
      <c r="AC98" s="481"/>
      <c r="AD98" s="481"/>
      <c r="AE98" s="481"/>
      <c r="AF98" s="458"/>
      <c r="AG98" s="458"/>
      <c r="AI98" s="458"/>
      <c r="AJ98" s="458"/>
      <c r="AK98" s="458"/>
      <c r="AL98" s="458"/>
      <c r="AS98" s="458"/>
      <c r="FP98" s="311"/>
    </row>
    <row r="99" spans="1:174" hidden="1" outlineLevel="1" x14ac:dyDescent="0.2">
      <c r="B99" s="562" t="s">
        <v>592</v>
      </c>
      <c r="FP99" s="311"/>
    </row>
    <row r="100" spans="1:174" hidden="1" outlineLevel="1" x14ac:dyDescent="0.2">
      <c r="B100" s="311" t="s">
        <v>593</v>
      </c>
      <c r="DC100" s="529">
        <v>7</v>
      </c>
      <c r="DD100" s="529">
        <v>9</v>
      </c>
      <c r="DE100" s="529"/>
      <c r="DF100" s="529"/>
      <c r="DG100" s="750"/>
      <c r="DI100" s="529">
        <v>9</v>
      </c>
      <c r="DJ100" s="529">
        <v>14</v>
      </c>
      <c r="DK100" s="356">
        <v>7</v>
      </c>
      <c r="DL100" s="356">
        <v>12</v>
      </c>
      <c r="DM100" s="694">
        <f>SUM(DI100:DL100)</f>
        <v>42</v>
      </c>
      <c r="DO100" s="563">
        <v>9</v>
      </c>
      <c r="DP100" s="563">
        <v>12</v>
      </c>
      <c r="DQ100" s="563">
        <v>10</v>
      </c>
      <c r="DR100" s="564">
        <v>10</v>
      </c>
      <c r="DS100" s="839">
        <v>42</v>
      </c>
      <c r="DT100" s="694"/>
      <c r="DU100" s="356">
        <v>9</v>
      </c>
      <c r="DV100" s="356">
        <v>9</v>
      </c>
      <c r="DW100" s="356">
        <v>11</v>
      </c>
      <c r="DX100" s="356">
        <v>14</v>
      </c>
      <c r="DY100" s="694">
        <f>SUM(DU100:DX100)</f>
        <v>43</v>
      </c>
      <c r="EA100" s="565">
        <f>EA168</f>
        <v>14</v>
      </c>
      <c r="EB100" s="565">
        <f>EB168</f>
        <v>10</v>
      </c>
      <c r="EC100" s="485"/>
      <c r="ED100" s="485"/>
      <c r="EE100" s="808"/>
      <c r="EF100" s="828"/>
      <c r="EG100" s="485"/>
      <c r="EH100" s="485"/>
      <c r="EI100" s="485"/>
      <c r="EJ100" s="485"/>
      <c r="EK100" s="566"/>
      <c r="EN100" s="311" t="s">
        <v>608</v>
      </c>
      <c r="FP100" s="311"/>
    </row>
    <row r="101" spans="1:174" s="444" customFormat="1" ht="12" hidden="1" outlineLevel="1" x14ac:dyDescent="0.25">
      <c r="B101" s="444" t="s">
        <v>589</v>
      </c>
      <c r="DA101" s="567"/>
      <c r="DB101" s="744"/>
      <c r="DG101" s="744"/>
      <c r="DH101" s="744"/>
      <c r="DL101" s="568">
        <v>3000</v>
      </c>
      <c r="DM101" s="743">
        <f>DL101</f>
        <v>3000</v>
      </c>
      <c r="DN101" s="744"/>
      <c r="DO101" s="568">
        <v>1500</v>
      </c>
      <c r="DP101" s="568">
        <v>1400</v>
      </c>
      <c r="DQ101" s="570">
        <f>DP101-DQ102+DQ103</f>
        <v>1225</v>
      </c>
      <c r="DR101" s="568">
        <v>700</v>
      </c>
      <c r="DS101" s="743">
        <f>DR101</f>
        <v>700</v>
      </c>
      <c r="DT101" s="743"/>
      <c r="DU101" s="570">
        <f>DS101-DU102+DU103</f>
        <v>350</v>
      </c>
      <c r="DV101" s="570">
        <f>DU101-DV102+DV103</f>
        <v>525</v>
      </c>
      <c r="DW101" s="570">
        <f>DV101-DW102+DW103</f>
        <v>525</v>
      </c>
      <c r="DX101" s="570">
        <f>DW101-DX102+DX103</f>
        <v>875</v>
      </c>
      <c r="DY101" s="743">
        <f>DX101-DY102+DY103</f>
        <v>875</v>
      </c>
      <c r="DZ101" s="744"/>
      <c r="EA101" s="570">
        <f>DY101-EA102+EA103</f>
        <v>875</v>
      </c>
      <c r="EB101" s="570">
        <f>EA101-EB102+EB103</f>
        <v>875</v>
      </c>
      <c r="EC101" s="571"/>
      <c r="ED101" s="571"/>
      <c r="EE101" s="743"/>
      <c r="EF101" s="744"/>
      <c r="EG101" s="571"/>
      <c r="EH101" s="571"/>
      <c r="EK101" s="567"/>
      <c r="EL101" s="567"/>
      <c r="EM101" s="572"/>
    </row>
    <row r="102" spans="1:174" hidden="1" outlineLevel="1" x14ac:dyDescent="0.2">
      <c r="B102" s="325" t="s">
        <v>590</v>
      </c>
      <c r="DO102" s="310">
        <f>DL101-DO101</f>
        <v>1500</v>
      </c>
      <c r="DP102" s="310">
        <f>DO101-DP101</f>
        <v>100</v>
      </c>
      <c r="DQ102" s="373">
        <f>IF(DQ74&gt;DQ100,175*(DQ74-DQ100),0)</f>
        <v>175</v>
      </c>
      <c r="DR102" s="310">
        <f>DQ101-DR101</f>
        <v>525</v>
      </c>
      <c r="DU102" s="373">
        <f>IF(DU74&gt;DU100,175*(DU74-DU100),0)</f>
        <v>350</v>
      </c>
      <c r="DV102" s="373">
        <f>IF(DV74&gt;DV100,175*(DV74-DV100),0)</f>
        <v>0</v>
      </c>
      <c r="DW102" s="373">
        <f>IF(DW74&gt;DW100,175*(DW74-DW100),0)</f>
        <v>0</v>
      </c>
      <c r="DX102" s="373">
        <f>IF(DX74&gt;DX100,175*(DX74-DX100),0)</f>
        <v>0</v>
      </c>
      <c r="EA102" s="373">
        <f>IF(EA74&gt;EA100,175*(EA74-EA100),0)</f>
        <v>0</v>
      </c>
      <c r="EB102" s="373">
        <f>IF(EB74&gt;EB100,175*(EB74-EB100),0)</f>
        <v>0</v>
      </c>
      <c r="EC102" s="373"/>
      <c r="ED102" s="373"/>
      <c r="EG102" s="373"/>
      <c r="EH102" s="373"/>
      <c r="FP102" s="311"/>
    </row>
    <row r="103" spans="1:174" hidden="1" outlineLevel="1" x14ac:dyDescent="0.2">
      <c r="B103" s="325" t="s">
        <v>591</v>
      </c>
      <c r="DO103" s="465">
        <v>0</v>
      </c>
      <c r="DP103" s="373">
        <f>IF(DP74&gt;DP100,0,(DP100-DP74)*175)</f>
        <v>0</v>
      </c>
      <c r="DQ103" s="373">
        <f>IF(DQ74&gt;DQ100,0,(DQ100-DQ74)*175)</f>
        <v>0</v>
      </c>
      <c r="DR103" s="373">
        <f>IF(DR74&gt;DR100,0,(DR100-DR74)*175)</f>
        <v>0</v>
      </c>
      <c r="DU103" s="373">
        <f>IF(DU74&gt;DU100,0,(DU100-DU74)*175)</f>
        <v>0</v>
      </c>
      <c r="DV103" s="373">
        <f>IF(DV74&gt;DV100,0,(DV100-DV74)*175)</f>
        <v>175</v>
      </c>
      <c r="DW103" s="373">
        <f>IF(DW74&gt;DW100,0,(DW100-DW74)*175)</f>
        <v>0</v>
      </c>
      <c r="DX103" s="373">
        <f>IF(DX74&gt;DX100,0,(DX100-DX74)*175)</f>
        <v>350</v>
      </c>
      <c r="EA103" s="373">
        <f>IF(EA74&gt;EA100,0,(EA100-EA74)*175)</f>
        <v>0</v>
      </c>
      <c r="EB103" s="373">
        <f>IF(EB74&gt;EB100,0,(EB100-EB74)*175)</f>
        <v>0</v>
      </c>
      <c r="EC103" s="373"/>
      <c r="ED103" s="373"/>
      <c r="EG103" s="373"/>
      <c r="EH103" s="373"/>
      <c r="FP103" s="311"/>
    </row>
    <row r="104" spans="1:174" ht="12" hidden="1" outlineLevel="1" x14ac:dyDescent="0.25">
      <c r="D104" s="445"/>
      <c r="E104" s="480"/>
      <c r="F104" s="480"/>
      <c r="H104" s="481"/>
      <c r="J104" s="445"/>
      <c r="K104" s="481"/>
      <c r="L104" s="481"/>
      <c r="M104" s="481"/>
      <c r="N104" s="481"/>
      <c r="P104" s="445"/>
      <c r="Q104" s="481"/>
      <c r="R104" s="481"/>
      <c r="S104" s="481"/>
      <c r="T104" s="481"/>
      <c r="U104" s="458"/>
      <c r="V104" s="458"/>
      <c r="W104" s="481"/>
      <c r="X104" s="481"/>
      <c r="Y104" s="481"/>
      <c r="Z104" s="458"/>
      <c r="AA104" s="458"/>
      <c r="AB104" s="458"/>
      <c r="AC104" s="274"/>
      <c r="AD104" s="481"/>
      <c r="AE104" s="481"/>
      <c r="AF104" s="458"/>
      <c r="AG104" s="458"/>
      <c r="AI104" s="458"/>
      <c r="AJ104" s="458"/>
      <c r="AK104" s="458"/>
      <c r="AL104" s="458"/>
      <c r="AS104" s="458"/>
      <c r="FP104" s="311"/>
    </row>
    <row r="105" spans="1:174" ht="12" collapsed="1" x14ac:dyDescent="0.25">
      <c r="D105" s="445"/>
      <c r="E105" s="480"/>
      <c r="F105" s="480"/>
      <c r="H105" s="481"/>
      <c r="J105" s="445"/>
      <c r="K105" s="481"/>
      <c r="L105" s="481"/>
      <c r="M105" s="481"/>
      <c r="N105" s="481"/>
      <c r="P105" s="445"/>
      <c r="Q105" s="481"/>
      <c r="R105" s="481"/>
      <c r="S105" s="481"/>
      <c r="T105" s="481"/>
      <c r="U105" s="458"/>
      <c r="V105" s="458"/>
      <c r="W105" s="481"/>
      <c r="X105" s="481"/>
      <c r="Y105" s="481"/>
      <c r="Z105" s="458"/>
      <c r="AA105" s="458"/>
      <c r="AB105" s="458"/>
      <c r="AC105" s="274"/>
      <c r="AD105" s="481"/>
      <c r="AE105" s="481"/>
      <c r="AF105" s="458"/>
      <c r="AG105" s="458"/>
      <c r="AI105" s="458"/>
      <c r="AJ105" s="458"/>
      <c r="AK105" s="458"/>
      <c r="AL105" s="458"/>
      <c r="AS105" s="458"/>
      <c r="FP105" s="311"/>
    </row>
    <row r="106" spans="1:174" ht="14.25" customHeight="1" x14ac:dyDescent="0.25">
      <c r="A106" s="415" t="s">
        <v>699</v>
      </c>
      <c r="B106" s="415"/>
      <c r="C106" s="415"/>
      <c r="D106" s="415"/>
      <c r="E106" s="415"/>
      <c r="F106" s="415"/>
      <c r="G106" s="415"/>
      <c r="H106" s="415"/>
      <c r="I106" s="415"/>
      <c r="J106" s="415"/>
      <c r="K106" s="415"/>
      <c r="L106" s="415"/>
      <c r="M106" s="415"/>
      <c r="N106" s="415"/>
      <c r="O106" s="415"/>
      <c r="P106" s="415"/>
      <c r="Q106" s="415"/>
      <c r="R106" s="415"/>
      <c r="S106" s="415"/>
      <c r="T106" s="415"/>
      <c r="U106" s="415"/>
      <c r="V106" s="415"/>
      <c r="W106" s="415"/>
      <c r="X106" s="415"/>
      <c r="Y106" s="415"/>
      <c r="Z106" s="415"/>
      <c r="AA106" s="415"/>
      <c r="AB106" s="415"/>
      <c r="AC106" s="415"/>
      <c r="AD106" s="415"/>
      <c r="AE106" s="415"/>
      <c r="AF106" s="415"/>
      <c r="AG106" s="415"/>
      <c r="AH106" s="415"/>
      <c r="AI106" s="415"/>
      <c r="AJ106" s="415"/>
      <c r="AK106" s="415"/>
      <c r="AL106" s="415"/>
      <c r="AM106" s="415"/>
      <c r="AN106" s="415"/>
      <c r="AO106" s="415"/>
      <c r="AP106" s="415"/>
      <c r="AQ106" s="415"/>
      <c r="AR106" s="415"/>
      <c r="AS106" s="415"/>
      <c r="AT106" s="415"/>
      <c r="AU106" s="415"/>
      <c r="AV106" s="415"/>
      <c r="AW106" s="415"/>
      <c r="AX106" s="415"/>
      <c r="AY106" s="415"/>
      <c r="AZ106" s="415"/>
      <c r="BA106" s="415"/>
      <c r="BB106" s="415"/>
      <c r="BC106" s="415"/>
      <c r="BD106" s="415"/>
      <c r="BE106" s="415"/>
      <c r="BF106" s="415"/>
      <c r="BG106" s="415"/>
      <c r="BH106" s="415"/>
      <c r="BI106" s="415"/>
      <c r="BJ106" s="415"/>
      <c r="BK106" s="415"/>
      <c r="BL106" s="415"/>
      <c r="BM106" s="415"/>
      <c r="BN106" s="415"/>
      <c r="BO106" s="415"/>
      <c r="BP106" s="415"/>
      <c r="BQ106" s="415"/>
      <c r="BR106" s="415"/>
      <c r="BS106" s="415"/>
      <c r="BT106" s="415"/>
      <c r="BU106" s="415"/>
      <c r="BV106" s="415"/>
      <c r="BW106" s="415"/>
      <c r="BX106" s="415"/>
      <c r="BY106" s="415"/>
      <c r="BZ106" s="415"/>
      <c r="CA106" s="415"/>
      <c r="CB106" s="415"/>
      <c r="CC106" s="415"/>
      <c r="CD106" s="415"/>
      <c r="CE106" s="415"/>
      <c r="CF106" s="415"/>
      <c r="CG106" s="415"/>
      <c r="CH106" s="415"/>
      <c r="CI106" s="415"/>
      <c r="CJ106" s="415"/>
      <c r="CK106" s="415"/>
      <c r="CL106" s="415"/>
      <c r="CM106" s="415"/>
      <c r="CN106" s="415"/>
      <c r="CO106" s="415"/>
      <c r="CP106" s="415"/>
      <c r="CQ106" s="415"/>
      <c r="CR106" s="415"/>
      <c r="CS106" s="415"/>
      <c r="CT106" s="415"/>
      <c r="CU106" s="415"/>
      <c r="CV106" s="415"/>
      <c r="CW106" s="415"/>
      <c r="CX106" s="415"/>
      <c r="CY106" s="415"/>
      <c r="CZ106" s="415"/>
      <c r="DA106" s="755"/>
      <c r="DB106" s="728"/>
      <c r="DC106" s="415"/>
      <c r="DD106" s="415"/>
      <c r="DE106" s="415"/>
      <c r="DF106" s="415"/>
      <c r="DG106" s="415"/>
      <c r="DH106" s="728"/>
      <c r="DI106" s="415"/>
      <c r="DJ106" s="415"/>
      <c r="DK106" s="415"/>
      <c r="DL106" s="415"/>
      <c r="DM106" s="728"/>
      <c r="DN106" s="728"/>
      <c r="DO106" s="415"/>
      <c r="DP106" s="415"/>
      <c r="DQ106" s="415"/>
      <c r="DR106" s="415"/>
      <c r="DS106" s="728"/>
      <c r="DT106" s="728"/>
      <c r="DU106" s="415"/>
      <c r="DV106" s="415"/>
      <c r="DW106" s="415"/>
      <c r="DX106" s="415"/>
      <c r="DY106" s="728"/>
      <c r="DZ106" s="728"/>
      <c r="EA106" s="415"/>
      <c r="EB106" s="415"/>
      <c r="EC106" s="415"/>
      <c r="ED106" s="415"/>
      <c r="EE106" s="728"/>
      <c r="EF106" s="728"/>
      <c r="EG106" s="415"/>
      <c r="EH106" s="415"/>
      <c r="EI106" s="415"/>
      <c r="EJ106" s="415"/>
      <c r="EK106" s="755"/>
      <c r="EL106" s="755"/>
      <c r="EM106" s="574"/>
      <c r="ER106" s="575"/>
      <c r="ES106" s="575"/>
      <c r="ET106" s="575"/>
      <c r="EU106" s="575"/>
      <c r="EV106" s="575"/>
      <c r="EW106" s="575"/>
      <c r="EX106" s="575"/>
      <c r="EY106" s="575"/>
      <c r="EZ106" s="575"/>
      <c r="FA106" s="573">
        <f t="shared" ref="FA106:FR106" si="439">FA$3</f>
        <v>2013</v>
      </c>
      <c r="FB106" s="573">
        <f t="shared" si="439"/>
        <v>2014</v>
      </c>
      <c r="FC106" s="573">
        <f t="shared" si="439"/>
        <v>2015</v>
      </c>
      <c r="FD106" s="573">
        <f t="shared" si="439"/>
        <v>2016</v>
      </c>
      <c r="FE106" s="573">
        <f t="shared" si="439"/>
        <v>2017</v>
      </c>
      <c r="FF106" s="573">
        <f t="shared" si="439"/>
        <v>2018</v>
      </c>
      <c r="FG106" s="573">
        <f t="shared" si="439"/>
        <v>2019</v>
      </c>
      <c r="FH106" s="573">
        <f t="shared" si="439"/>
        <v>2020</v>
      </c>
      <c r="FI106" s="573">
        <f t="shared" si="439"/>
        <v>2021</v>
      </c>
      <c r="FJ106" s="573">
        <f t="shared" si="439"/>
        <v>2022</v>
      </c>
      <c r="FK106" s="573">
        <f t="shared" si="439"/>
        <v>2023</v>
      </c>
      <c r="FL106" s="573">
        <f t="shared" si="439"/>
        <v>2024</v>
      </c>
      <c r="FM106" s="573" t="str">
        <f t="shared" si="439"/>
        <v>2025e</v>
      </c>
      <c r="FN106" s="573" t="str">
        <f t="shared" si="439"/>
        <v>2026e</v>
      </c>
      <c r="FO106" s="573" t="str">
        <f t="shared" si="439"/>
        <v>2027e</v>
      </c>
      <c r="FP106" s="573" t="str">
        <f t="shared" si="439"/>
        <v>2028e</v>
      </c>
      <c r="FQ106" s="573" t="str">
        <f t="shared" si="439"/>
        <v>2029e</v>
      </c>
      <c r="FR106" s="573" t="str">
        <f t="shared" si="439"/>
        <v>2030e</v>
      </c>
    </row>
    <row r="107" spans="1:174" ht="12" x14ac:dyDescent="0.25">
      <c r="D107" s="445"/>
      <c r="E107" s="480"/>
      <c r="F107" s="480"/>
      <c r="H107" s="481"/>
      <c r="J107" s="445"/>
      <c r="K107" s="481"/>
      <c r="L107" s="481"/>
      <c r="M107" s="481"/>
      <c r="N107" s="481"/>
      <c r="P107" s="445"/>
      <c r="Q107" s="481"/>
      <c r="R107" s="481"/>
      <c r="S107" s="481"/>
      <c r="T107" s="481"/>
      <c r="U107" s="458"/>
      <c r="V107" s="458"/>
      <c r="W107" s="481"/>
      <c r="X107" s="481"/>
      <c r="Y107" s="481"/>
      <c r="Z107" s="458"/>
      <c r="AA107" s="458"/>
      <c r="AB107" s="458"/>
      <c r="AC107" s="274"/>
      <c r="AD107" s="481"/>
      <c r="AE107" s="481"/>
      <c r="AF107" s="458"/>
      <c r="AG107" s="458"/>
      <c r="AI107" s="458"/>
      <c r="AJ107" s="458"/>
      <c r="AK107" s="458"/>
      <c r="AL107" s="458"/>
      <c r="AS107" s="458"/>
      <c r="FP107" s="311"/>
    </row>
    <row r="108" spans="1:174" ht="12" x14ac:dyDescent="0.25">
      <c r="A108" s="444" t="s">
        <v>652</v>
      </c>
      <c r="EA108" s="312"/>
      <c r="EB108" s="312"/>
      <c r="EC108" s="312"/>
      <c r="ED108" s="312"/>
      <c r="EE108" s="774"/>
      <c r="EG108" s="312"/>
      <c r="EH108" s="312"/>
      <c r="EI108" s="312"/>
      <c r="EJ108" s="312"/>
      <c r="EK108" s="410"/>
      <c r="FP108" s="311"/>
    </row>
    <row r="109" spans="1:174" x14ac:dyDescent="0.2">
      <c r="B109" s="325" t="s">
        <v>543</v>
      </c>
      <c r="DC109" s="356">
        <f>ROUND((DC116-DC110*260)/175,0)</f>
        <v>14</v>
      </c>
      <c r="DD109" s="356">
        <f>ROUND((DD116-DD110*260)/175,0)</f>
        <v>25</v>
      </c>
      <c r="DE109" s="356">
        <f>ROUND((DE116-DE110*260)/175,0)</f>
        <v>17</v>
      </c>
      <c r="DF109" s="356">
        <f>ROUND((DF116-DF110*260)/175,0)</f>
        <v>15</v>
      </c>
      <c r="DG109" s="823">
        <f>SUM(DC109:DF109)</f>
        <v>71</v>
      </c>
      <c r="DI109" s="356">
        <f>ROUND((DI116-DI110*350)/175,0)</f>
        <v>8</v>
      </c>
      <c r="DJ109" s="356">
        <f>ROUND((DJ116-DJ110*350)/175,0)</f>
        <v>25</v>
      </c>
      <c r="DK109" s="356">
        <f>ROUND((DK116-DK110*350)/180,0)</f>
        <v>19</v>
      </c>
      <c r="DL109" s="356">
        <f>ROUND((DL116-DL110*350)/180,0)</f>
        <v>19</v>
      </c>
      <c r="DM109" s="823">
        <f>SUM(DI109:DL109)</f>
        <v>71</v>
      </c>
      <c r="DN109" s="831"/>
      <c r="DO109" s="465">
        <f>DO157</f>
        <v>7</v>
      </c>
      <c r="DP109" s="465">
        <f>DP157</f>
        <v>5</v>
      </c>
      <c r="DQ109" s="465">
        <f>DQ157</f>
        <v>1</v>
      </c>
      <c r="DR109" s="465">
        <f>DR157</f>
        <v>25</v>
      </c>
      <c r="DS109" s="823">
        <f>SUM(DO109:DR109)</f>
        <v>38</v>
      </c>
      <c r="DT109" s="842"/>
      <c r="DU109" s="465">
        <f>DU157</f>
        <v>3</v>
      </c>
      <c r="DV109" s="465">
        <f>DV157</f>
        <v>13</v>
      </c>
      <c r="DW109" s="465">
        <f>DW157</f>
        <v>7</v>
      </c>
      <c r="DX109" s="465">
        <f>DX157</f>
        <v>15</v>
      </c>
      <c r="DY109" s="823">
        <f>SUM(DU109:DX109)</f>
        <v>38</v>
      </c>
      <c r="DZ109" s="831"/>
      <c r="EA109" s="465">
        <f>EA157</f>
        <v>6</v>
      </c>
      <c r="EB109" s="465">
        <f>EB157</f>
        <v>8</v>
      </c>
      <c r="EC109" s="465">
        <v>16</v>
      </c>
      <c r="ED109" s="465">
        <v>33</v>
      </c>
      <c r="EE109" s="776">
        <f>SUM(EA109:ED109)</f>
        <v>63</v>
      </c>
      <c r="EF109" s="828"/>
      <c r="EG109" s="485">
        <f>EG157</f>
        <v>22</v>
      </c>
      <c r="EH109" s="485">
        <f>EH157</f>
        <v>24</v>
      </c>
      <c r="EI109" s="485">
        <f>EI157</f>
        <v>13</v>
      </c>
      <c r="EJ109" s="485">
        <f>EJ157</f>
        <v>7</v>
      </c>
      <c r="EK109" s="714"/>
      <c r="EL109" s="713">
        <f>EL157</f>
        <v>52</v>
      </c>
      <c r="FP109" s="311"/>
    </row>
    <row r="110" spans="1:174" x14ac:dyDescent="0.2">
      <c r="B110" s="325" t="s">
        <v>250</v>
      </c>
      <c r="DC110" s="356">
        <v>0</v>
      </c>
      <c r="DD110" s="356">
        <v>2</v>
      </c>
      <c r="DE110" s="356">
        <v>0</v>
      </c>
      <c r="DF110" s="356">
        <v>0</v>
      </c>
      <c r="DG110" s="400">
        <f>SUM(DC110:DF110)</f>
        <v>2</v>
      </c>
      <c r="DI110" s="356">
        <v>3</v>
      </c>
      <c r="DJ110" s="356">
        <v>3</v>
      </c>
      <c r="DK110" s="356">
        <v>1</v>
      </c>
      <c r="DL110" s="356">
        <v>0</v>
      </c>
      <c r="DM110" s="823">
        <f>SUM(DI110:DL110)</f>
        <v>7</v>
      </c>
      <c r="DN110" s="831"/>
      <c r="DO110" s="465">
        <f>DO268</f>
        <v>1</v>
      </c>
      <c r="DP110" s="465">
        <f>DP268</f>
        <v>2</v>
      </c>
      <c r="DQ110" s="465">
        <f>DQ268</f>
        <v>1</v>
      </c>
      <c r="DR110" s="465">
        <f>DR268</f>
        <v>3</v>
      </c>
      <c r="DS110" s="823">
        <f>SUM(DO110:DR110)</f>
        <v>7</v>
      </c>
      <c r="DT110" s="842"/>
      <c r="DU110" s="465">
        <f>DU268</f>
        <v>0</v>
      </c>
      <c r="DV110" s="465">
        <f>DV268</f>
        <v>1</v>
      </c>
      <c r="DX110" s="465">
        <f>DX268</f>
        <v>0</v>
      </c>
      <c r="DY110" s="823">
        <f>SUM(DU110:DX110)</f>
        <v>1</v>
      </c>
      <c r="DZ110" s="831"/>
      <c r="EA110" s="465">
        <f>EA268</f>
        <v>0</v>
      </c>
      <c r="EB110" s="465">
        <f>EB268</f>
        <v>1</v>
      </c>
      <c r="EC110" s="465">
        <f>EC268</f>
        <v>0</v>
      </c>
      <c r="ED110" s="465">
        <f>ED268</f>
        <v>0</v>
      </c>
      <c r="EE110" s="776">
        <f>SUM(EA110:ED110)</f>
        <v>1</v>
      </c>
      <c r="EF110" s="828"/>
      <c r="EG110" s="485">
        <f>EG268</f>
        <v>1</v>
      </c>
      <c r="EH110" s="485">
        <f>EH268</f>
        <v>0</v>
      </c>
      <c r="EI110" s="485">
        <f>EI268</f>
        <v>2</v>
      </c>
      <c r="EJ110" s="485">
        <f>EJ268</f>
        <v>5</v>
      </c>
      <c r="EK110" s="714"/>
      <c r="EL110" s="713">
        <f>EL268</f>
        <v>13</v>
      </c>
      <c r="FP110" s="311"/>
    </row>
    <row r="111" spans="1:174" x14ac:dyDescent="0.2">
      <c r="B111" s="325" t="s">
        <v>587</v>
      </c>
      <c r="DC111" s="370">
        <f>DC112-(DC109+DC110)</f>
        <v>106</v>
      </c>
      <c r="DD111" s="370">
        <f>DD112-(DD109+DD110)</f>
        <v>140</v>
      </c>
      <c r="DE111" s="370">
        <f>DE112-(DE109+DE110)</f>
        <v>161</v>
      </c>
      <c r="DF111" s="370">
        <f>DF112-(DF109+DF110)</f>
        <v>176</v>
      </c>
      <c r="DG111" s="401">
        <f>SUM(DC111:DF111)</f>
        <v>583</v>
      </c>
      <c r="DI111" s="370">
        <f>DI112-(DI109+DI110)</f>
        <v>151</v>
      </c>
      <c r="DJ111" s="370">
        <f>DJ112-(DJ109+DJ110)</f>
        <v>111</v>
      </c>
      <c r="DK111" s="370">
        <f>DK112-(DK109+DK110)</f>
        <v>130</v>
      </c>
      <c r="DL111" s="370">
        <f>DL112-(DL109+DL110)</f>
        <v>82</v>
      </c>
      <c r="DM111" s="401">
        <f>SUM(DI111:DL111)</f>
        <v>474</v>
      </c>
      <c r="DO111" s="371"/>
      <c r="DP111" s="371"/>
      <c r="DQ111" s="371"/>
      <c r="DR111" s="371"/>
      <c r="DS111" s="401"/>
      <c r="DT111" s="729"/>
      <c r="DU111" s="371"/>
      <c r="DV111" s="371"/>
      <c r="DW111" s="371"/>
      <c r="DX111" s="650"/>
      <c r="DY111" s="401"/>
      <c r="EA111" s="371"/>
      <c r="EB111" s="371"/>
      <c r="EC111" s="718"/>
      <c r="ED111" s="718"/>
      <c r="EE111" s="809"/>
      <c r="EF111" s="828"/>
      <c r="EG111" s="718"/>
      <c r="EH111" s="718"/>
      <c r="EI111" s="718"/>
      <c r="EJ111" s="718"/>
      <c r="EK111" s="719"/>
      <c r="EL111" s="850"/>
      <c r="FP111" s="311"/>
    </row>
    <row r="112" spans="1:174" s="444" customFormat="1" ht="12" x14ac:dyDescent="0.25">
      <c r="B112" s="444" t="s">
        <v>100</v>
      </c>
      <c r="AC112" s="571">
        <v>13</v>
      </c>
      <c r="AD112" s="571">
        <v>13</v>
      </c>
      <c r="AE112" s="571">
        <v>31</v>
      </c>
      <c r="AF112" s="571">
        <v>13</v>
      </c>
      <c r="AG112" s="571">
        <v>0</v>
      </c>
      <c r="AI112" s="571">
        <v>8</v>
      </c>
      <c r="AJ112" s="571">
        <v>15</v>
      </c>
      <c r="AK112" s="571">
        <v>35</v>
      </c>
      <c r="AL112" s="571">
        <v>40</v>
      </c>
      <c r="AM112" s="571">
        <v>98</v>
      </c>
      <c r="AO112" s="571">
        <v>50</v>
      </c>
      <c r="AP112" s="571">
        <v>59</v>
      </c>
      <c r="AQ112" s="571">
        <v>60</v>
      </c>
      <c r="AR112" s="571">
        <v>117</v>
      </c>
      <c r="AS112" s="571">
        <v>286</v>
      </c>
      <c r="AU112" s="571">
        <v>40</v>
      </c>
      <c r="AV112" s="571">
        <v>34</v>
      </c>
      <c r="AW112" s="571">
        <v>23</v>
      </c>
      <c r="AX112" s="571">
        <v>37</v>
      </c>
      <c r="AY112" s="571">
        <v>134</v>
      </c>
      <c r="BA112" s="571">
        <v>36</v>
      </c>
      <c r="BB112" s="571">
        <v>43</v>
      </c>
      <c r="BC112" s="571">
        <v>33</v>
      </c>
      <c r="BD112" s="571">
        <v>32</v>
      </c>
      <c r="BE112" s="571">
        <v>144</v>
      </c>
      <c r="BG112" s="571">
        <v>25</v>
      </c>
      <c r="BH112" s="571">
        <v>38</v>
      </c>
      <c r="BI112" s="571">
        <v>51</v>
      </c>
      <c r="BJ112" s="571">
        <v>52</v>
      </c>
      <c r="BK112" s="571">
        <v>166</v>
      </c>
      <c r="BM112" s="571">
        <v>30</v>
      </c>
      <c r="BN112" s="571">
        <v>29</v>
      </c>
      <c r="BO112" s="571">
        <v>47</v>
      </c>
      <c r="BP112" s="571">
        <v>51</v>
      </c>
      <c r="BQ112" s="571">
        <v>157</v>
      </c>
      <c r="BS112" s="571">
        <v>40</v>
      </c>
      <c r="BT112" s="571">
        <v>46</v>
      </c>
      <c r="BU112" s="571">
        <v>35</v>
      </c>
      <c r="BV112" s="571">
        <v>44</v>
      </c>
      <c r="BW112" s="571">
        <v>165</v>
      </c>
      <c r="BY112" s="571">
        <v>30</v>
      </c>
      <c r="BZ112" s="571">
        <v>43</v>
      </c>
      <c r="CA112" s="571">
        <v>43</v>
      </c>
      <c r="CB112" s="571">
        <v>44</v>
      </c>
      <c r="CC112" s="571">
        <v>160</v>
      </c>
      <c r="CE112" s="571">
        <v>55</v>
      </c>
      <c r="CF112" s="571">
        <v>55</v>
      </c>
      <c r="CG112" s="571">
        <v>70</v>
      </c>
      <c r="CH112" s="571">
        <v>75</v>
      </c>
      <c r="CI112" s="571">
        <v>255</v>
      </c>
      <c r="CK112" s="571">
        <v>62</v>
      </c>
      <c r="CL112" s="571">
        <v>59</v>
      </c>
      <c r="CM112" s="571">
        <v>67</v>
      </c>
      <c r="CN112" s="571">
        <v>53</v>
      </c>
      <c r="CO112" s="571">
        <v>241</v>
      </c>
      <c r="CQ112" s="571">
        <v>34</v>
      </c>
      <c r="CR112" s="571">
        <v>61</v>
      </c>
      <c r="CS112" s="571">
        <v>81</v>
      </c>
      <c r="CT112" s="571">
        <v>60</v>
      </c>
      <c r="CU112" s="571">
        <v>236</v>
      </c>
      <c r="CW112" s="571">
        <v>73</v>
      </c>
      <c r="CX112" s="571">
        <v>34</v>
      </c>
      <c r="CY112" s="571">
        <v>73</v>
      </c>
      <c r="CZ112" s="571">
        <v>123</v>
      </c>
      <c r="DA112" s="569">
        <v>303</v>
      </c>
      <c r="DB112" s="744"/>
      <c r="DC112" s="571">
        <v>120</v>
      </c>
      <c r="DD112" s="571">
        <v>167</v>
      </c>
      <c r="DE112" s="571">
        <v>178</v>
      </c>
      <c r="DF112" s="571">
        <v>191</v>
      </c>
      <c r="DG112" s="743">
        <v>656</v>
      </c>
      <c r="DH112" s="744"/>
      <c r="DI112" s="571">
        <v>162</v>
      </c>
      <c r="DJ112" s="571">
        <v>139</v>
      </c>
      <c r="DK112" s="571">
        <v>150</v>
      </c>
      <c r="DL112" s="571">
        <v>101</v>
      </c>
      <c r="DM112" s="743">
        <v>552</v>
      </c>
      <c r="DN112" s="744"/>
      <c r="DO112" s="571"/>
      <c r="DP112" s="571"/>
      <c r="DQ112" s="571"/>
      <c r="DR112" s="571"/>
      <c r="DS112" s="743"/>
      <c r="DT112" s="743"/>
      <c r="DU112" s="571"/>
      <c r="DV112" s="571"/>
      <c r="DW112" s="571"/>
      <c r="DX112" s="571"/>
      <c r="DY112" s="810"/>
      <c r="DZ112" s="744"/>
      <c r="EA112" s="571"/>
      <c r="EB112" s="571"/>
      <c r="EC112" s="571"/>
      <c r="ED112" s="571"/>
      <c r="EE112" s="810"/>
      <c r="EF112" s="744"/>
      <c r="EG112" s="571"/>
      <c r="EH112" s="571"/>
      <c r="EI112" s="571"/>
      <c r="EJ112" s="571"/>
      <c r="EK112" s="460"/>
      <c r="EL112" s="567"/>
      <c r="EM112" s="572"/>
    </row>
    <row r="113" spans="1:172" x14ac:dyDescent="0.2">
      <c r="FP113" s="311"/>
    </row>
    <row r="114" spans="1:172" x14ac:dyDescent="0.2">
      <c r="EC114" s="356">
        <v>225</v>
      </c>
      <c r="ED114" s="356">
        <v>225</v>
      </c>
      <c r="EG114" s="356">
        <v>230</v>
      </c>
      <c r="EH114" s="356">
        <v>230</v>
      </c>
      <c r="EI114" s="356">
        <v>230</v>
      </c>
      <c r="EJ114" s="356">
        <v>230</v>
      </c>
      <c r="FP114" s="311"/>
    </row>
    <row r="115" spans="1:172" ht="12" x14ac:dyDescent="0.25">
      <c r="A115" s="444" t="s">
        <v>654</v>
      </c>
      <c r="EE115" s="399"/>
      <c r="EK115" s="404"/>
      <c r="FP115" s="311"/>
    </row>
    <row r="116" spans="1:172" ht="12" x14ac:dyDescent="0.25">
      <c r="A116" s="444"/>
      <c r="B116" s="325" t="s">
        <v>681</v>
      </c>
      <c r="DC116" s="465">
        <f>50%*DC119</f>
        <v>2370</v>
      </c>
      <c r="DD116" s="564">
        <v>4900</v>
      </c>
      <c r="DE116" s="564">
        <v>2900</v>
      </c>
      <c r="DF116" s="564">
        <v>2600</v>
      </c>
      <c r="DG116" s="694">
        <f>SUM(DC116:DF116)</f>
        <v>12770</v>
      </c>
      <c r="DI116" s="564">
        <v>2500</v>
      </c>
      <c r="DJ116" s="564">
        <v>5400</v>
      </c>
      <c r="DK116" s="564">
        <v>3800</v>
      </c>
      <c r="DL116" s="564">
        <v>3400</v>
      </c>
      <c r="DM116" s="694">
        <f>SUM(DI116:DL116)</f>
        <v>15100</v>
      </c>
      <c r="DO116" s="564">
        <v>1600</v>
      </c>
      <c r="DP116" s="310">
        <f>5*180+2*360</f>
        <v>1620</v>
      </c>
      <c r="DQ116" s="564">
        <v>500</v>
      </c>
      <c r="DR116" s="576">
        <f>DR109*DR199</f>
        <v>4610.5461538461559</v>
      </c>
      <c r="DV116" s="576">
        <f>DV109*DV199</f>
        <v>2398.303375</v>
      </c>
      <c r="DW116" s="465">
        <f>DW268</f>
        <v>0</v>
      </c>
      <c r="DX116" s="564">
        <v>3000</v>
      </c>
      <c r="EA116" s="310">
        <f>EA109*EA199</f>
        <v>1377.6960000000001</v>
      </c>
      <c r="EB116" s="310">
        <f>EB109*EB199</f>
        <v>1948.9024000000002</v>
      </c>
      <c r="EC116" s="310">
        <f>EC109*EC114</f>
        <v>3600</v>
      </c>
      <c r="ED116" s="310">
        <f>ED109*ED114</f>
        <v>7425</v>
      </c>
      <c r="EE116" s="399"/>
      <c r="EG116" s="576">
        <f>EG109*EG114</f>
        <v>5060</v>
      </c>
      <c r="EH116" s="576">
        <f t="shared" ref="EH116:EJ116" si="440">EH109*EH114</f>
        <v>5520</v>
      </c>
      <c r="EI116" s="576">
        <f t="shared" si="440"/>
        <v>2990</v>
      </c>
      <c r="EJ116" s="576">
        <f t="shared" si="440"/>
        <v>1610</v>
      </c>
      <c r="EK116" s="404"/>
      <c r="FP116" s="311"/>
    </row>
    <row r="117" spans="1:172" x14ac:dyDescent="0.2">
      <c r="B117" s="325" t="s">
        <v>680</v>
      </c>
      <c r="AC117" s="411"/>
      <c r="AD117" s="411"/>
      <c r="AE117" s="411"/>
      <c r="AF117" s="411"/>
      <c r="AG117" s="411"/>
      <c r="AI117" s="411"/>
      <c r="AJ117" s="411"/>
      <c r="AK117" s="411"/>
      <c r="AL117" s="411"/>
      <c r="AM117" s="411"/>
      <c r="AO117" s="411"/>
      <c r="AP117" s="411"/>
      <c r="AQ117" s="411"/>
      <c r="AR117" s="411"/>
      <c r="AS117" s="411"/>
      <c r="AU117" s="411"/>
      <c r="AV117" s="411"/>
      <c r="AW117" s="411"/>
      <c r="AX117" s="411"/>
      <c r="AY117" s="411"/>
      <c r="BA117" s="411"/>
      <c r="BB117" s="411"/>
      <c r="BC117" s="411"/>
      <c r="BD117" s="411"/>
      <c r="BE117" s="411"/>
      <c r="BG117" s="411"/>
      <c r="BH117" s="411"/>
      <c r="BI117" s="411"/>
      <c r="BJ117" s="411"/>
      <c r="BK117" s="411"/>
      <c r="BM117" s="411"/>
      <c r="BN117" s="411"/>
      <c r="BO117" s="411"/>
      <c r="BP117" s="411"/>
      <c r="BQ117" s="411"/>
      <c r="BS117" s="411"/>
      <c r="BT117" s="411"/>
      <c r="BU117" s="411"/>
      <c r="BV117" s="411"/>
      <c r="BW117" s="411"/>
      <c r="BY117" s="411"/>
      <c r="BZ117" s="411"/>
      <c r="CA117" s="411"/>
      <c r="CB117" s="411"/>
      <c r="CC117" s="411"/>
      <c r="CE117" s="411"/>
      <c r="CF117" s="411"/>
      <c r="CG117" s="411"/>
      <c r="CH117" s="411"/>
      <c r="CI117" s="411"/>
      <c r="CK117" s="411"/>
      <c r="CL117" s="411"/>
      <c r="CM117" s="411"/>
      <c r="CN117" s="411"/>
      <c r="CO117" s="411"/>
      <c r="CQ117" s="411"/>
      <c r="CR117" s="411"/>
      <c r="CS117" s="411"/>
      <c r="CT117" s="411"/>
      <c r="CU117" s="411"/>
      <c r="CW117" s="411"/>
      <c r="CX117" s="411"/>
      <c r="CY117" s="411"/>
      <c r="CZ117" s="411"/>
      <c r="DA117" s="577"/>
      <c r="DR117" s="576">
        <f>DR110*DR314</f>
        <v>1080</v>
      </c>
      <c r="DS117" s="694">
        <f>SUM(DO117:DR117)</f>
        <v>1080</v>
      </c>
      <c r="DT117" s="694"/>
      <c r="DU117" s="564">
        <v>656</v>
      </c>
      <c r="DV117" s="576">
        <f>DV110*DV314</f>
        <v>360</v>
      </c>
      <c r="DW117" s="564">
        <v>1400</v>
      </c>
      <c r="DY117" s="694">
        <f>SUM(DU117:DX117)</f>
        <v>2416</v>
      </c>
      <c r="EA117" s="564">
        <v>0</v>
      </c>
      <c r="EB117" s="310">
        <f>EB110*EB314</f>
        <v>360</v>
      </c>
      <c r="EC117" s="564">
        <v>0</v>
      </c>
      <c r="ED117" s="564">
        <v>0</v>
      </c>
      <c r="EE117" s="694">
        <f>SUM(EA117:ED117)</f>
        <v>360</v>
      </c>
      <c r="EG117" s="576">
        <f>EG110*EG314</f>
        <v>360</v>
      </c>
      <c r="EH117" s="576">
        <f>EH110*EH314</f>
        <v>0</v>
      </c>
      <c r="EI117" s="576">
        <f>EI110*EI314</f>
        <v>720</v>
      </c>
      <c r="EJ117" s="576">
        <f>EJ110*EJ314</f>
        <v>1800</v>
      </c>
      <c r="EK117" s="450"/>
      <c r="FP117" s="311"/>
    </row>
    <row r="118" spans="1:172" x14ac:dyDescent="0.2">
      <c r="B118" s="381" t="s">
        <v>653</v>
      </c>
      <c r="C118" s="382"/>
      <c r="D118" s="382"/>
      <c r="E118" s="382"/>
      <c r="F118" s="382"/>
      <c r="G118" s="382"/>
      <c r="H118" s="382"/>
      <c r="I118" s="382"/>
      <c r="J118" s="382"/>
      <c r="K118" s="382"/>
      <c r="L118" s="382"/>
      <c r="M118" s="382"/>
      <c r="N118" s="382"/>
      <c r="O118" s="382"/>
      <c r="P118" s="382"/>
      <c r="Q118" s="382"/>
      <c r="R118" s="382"/>
      <c r="S118" s="382"/>
      <c r="T118" s="382"/>
      <c r="U118" s="382"/>
      <c r="V118" s="382"/>
      <c r="W118" s="382"/>
      <c r="X118" s="382"/>
      <c r="Y118" s="382"/>
      <c r="Z118" s="382"/>
      <c r="AA118" s="382"/>
      <c r="AB118" s="382"/>
      <c r="AC118" s="382"/>
      <c r="AD118" s="382"/>
      <c r="AE118" s="382"/>
      <c r="AF118" s="382"/>
      <c r="AG118" s="382"/>
      <c r="AH118" s="382"/>
      <c r="AI118" s="382"/>
      <c r="AJ118" s="382"/>
      <c r="AK118" s="382"/>
      <c r="AL118" s="382"/>
      <c r="AM118" s="382"/>
      <c r="AN118" s="382"/>
      <c r="AO118" s="382"/>
      <c r="AP118" s="382"/>
      <c r="AQ118" s="382"/>
      <c r="AR118" s="382"/>
      <c r="AS118" s="382"/>
      <c r="AT118" s="382"/>
      <c r="AU118" s="382"/>
      <c r="AV118" s="382"/>
      <c r="AW118" s="382"/>
      <c r="AX118" s="382"/>
      <c r="AY118" s="382"/>
      <c r="AZ118" s="382"/>
      <c r="BA118" s="382"/>
      <c r="BB118" s="382"/>
      <c r="BC118" s="382"/>
      <c r="BD118" s="382"/>
      <c r="BE118" s="382"/>
      <c r="BF118" s="382"/>
      <c r="BG118" s="382"/>
      <c r="BH118" s="382"/>
      <c r="BI118" s="382"/>
      <c r="BJ118" s="382"/>
      <c r="BK118" s="382"/>
      <c r="BL118" s="382"/>
      <c r="BM118" s="382"/>
      <c r="BN118" s="382"/>
      <c r="BO118" s="382"/>
      <c r="BP118" s="382"/>
      <c r="BQ118" s="382"/>
      <c r="BR118" s="382"/>
      <c r="BS118" s="382"/>
      <c r="BT118" s="382"/>
      <c r="BU118" s="382"/>
      <c r="BV118" s="382"/>
      <c r="BW118" s="382"/>
      <c r="BX118" s="382"/>
      <c r="BY118" s="382"/>
      <c r="BZ118" s="382"/>
      <c r="CA118" s="382"/>
      <c r="CB118" s="382"/>
      <c r="CC118" s="382"/>
      <c r="CD118" s="382"/>
      <c r="CE118" s="382"/>
      <c r="CF118" s="382"/>
      <c r="CG118" s="382"/>
      <c r="CH118" s="382"/>
      <c r="CI118" s="382"/>
      <c r="CJ118" s="382"/>
      <c r="CK118" s="382"/>
      <c r="CL118" s="382"/>
      <c r="CM118" s="382"/>
      <c r="CN118" s="382"/>
      <c r="CO118" s="382"/>
      <c r="CP118" s="382"/>
      <c r="CQ118" s="382"/>
      <c r="CR118" s="382"/>
      <c r="CS118" s="382"/>
      <c r="CT118" s="382"/>
      <c r="CU118" s="382"/>
      <c r="CV118" s="382"/>
      <c r="CW118" s="382"/>
      <c r="CX118" s="382"/>
      <c r="CY118" s="382"/>
      <c r="CZ118" s="382"/>
      <c r="DA118" s="690"/>
      <c r="DC118" s="482">
        <f>DC119-DC116</f>
        <v>2370</v>
      </c>
      <c r="DD118" s="482">
        <f>DD119-DD116</f>
        <v>3371</v>
      </c>
      <c r="DE118" s="482">
        <f>DE119-DE116</f>
        <v>3279</v>
      </c>
      <c r="DF118" s="482">
        <f>DF119-DF116</f>
        <v>4450</v>
      </c>
      <c r="DG118" s="745">
        <f>SUM(DC118:DF118)</f>
        <v>13470</v>
      </c>
      <c r="DI118" s="482">
        <f>DI119-DI116</f>
        <v>4477</v>
      </c>
      <c r="DJ118" s="482">
        <f>DJ119-DJ116</f>
        <v>3061</v>
      </c>
      <c r="DK118" s="482">
        <f>DK119-DK116</f>
        <v>5120</v>
      </c>
      <c r="DL118" s="482">
        <f>DL119-DL116</f>
        <v>2916</v>
      </c>
      <c r="DM118" s="745">
        <f>SUM(DI118:DL118)</f>
        <v>15574</v>
      </c>
      <c r="DO118" s="482">
        <f>DO119-DO116</f>
        <v>2152</v>
      </c>
      <c r="DP118" s="482">
        <f>DP119-DP116</f>
        <v>2880</v>
      </c>
      <c r="DQ118" s="482">
        <f>DQ119-DQ116</f>
        <v>2102</v>
      </c>
      <c r="DR118" s="482">
        <f>DR119-DR117</f>
        <v>8106</v>
      </c>
      <c r="DS118" s="745">
        <f>SUM(DO118:DR118)</f>
        <v>15240</v>
      </c>
      <c r="DU118" s="482">
        <f>DU119-DU117</f>
        <v>2955</v>
      </c>
      <c r="DV118" s="482">
        <f>DV119-DV117</f>
        <v>5207</v>
      </c>
      <c r="DW118" s="482">
        <f>DW119-DW117</f>
        <v>1233</v>
      </c>
      <c r="DX118" s="482">
        <f>DX119-DX116</f>
        <v>4088</v>
      </c>
      <c r="DY118" s="745">
        <f>SUM(DU118:DX118)</f>
        <v>13483</v>
      </c>
      <c r="EA118" s="482">
        <f>EA119-EA116</f>
        <v>2558.3040000000001</v>
      </c>
      <c r="EB118" s="482">
        <f>EB119-SUM(EB116:EB117)</f>
        <v>3232.0976000000001</v>
      </c>
      <c r="EC118" s="482">
        <f>EC119-SUM(EC116:EC117)</f>
        <v>1799</v>
      </c>
      <c r="ED118" s="482">
        <f>ED119-SUM(ED116:ED117)</f>
        <v>5733</v>
      </c>
      <c r="EE118" s="745">
        <f>SUM(EA118:ED118)</f>
        <v>13322.401600000001</v>
      </c>
      <c r="EG118" s="726">
        <f>EI143+EI144</f>
        <v>3300</v>
      </c>
      <c r="EH118" s="726">
        <f>EJ143+EJ144</f>
        <v>3437.9949999999972</v>
      </c>
      <c r="EI118" s="882">
        <f>22%*(EL143+EL144)</f>
        <v>3416.1924610000001</v>
      </c>
      <c r="EJ118" s="882">
        <f>25%*(EL143+EL144)</f>
        <v>3882.0368874999999</v>
      </c>
      <c r="EK118" s="483"/>
      <c r="EL118" s="690"/>
      <c r="FP118" s="311"/>
    </row>
    <row r="119" spans="1:172" ht="12" x14ac:dyDescent="0.25">
      <c r="B119" s="444" t="s">
        <v>55</v>
      </c>
      <c r="C119" s="444"/>
      <c r="D119" s="444"/>
      <c r="E119" s="444"/>
      <c r="F119" s="444"/>
      <c r="G119" s="444"/>
      <c r="H119" s="444"/>
      <c r="I119" s="444"/>
      <c r="J119" s="444"/>
      <c r="K119" s="444"/>
      <c r="L119" s="444"/>
      <c r="M119" s="444"/>
      <c r="N119" s="444"/>
      <c r="O119" s="444"/>
      <c r="P119" s="444"/>
      <c r="Q119" s="444"/>
      <c r="R119" s="444"/>
      <c r="S119" s="444"/>
      <c r="T119" s="444"/>
      <c r="U119" s="444"/>
      <c r="V119" s="444"/>
      <c r="W119" s="444"/>
      <c r="X119" s="444"/>
      <c r="Y119" s="444"/>
      <c r="Z119" s="444"/>
      <c r="AA119" s="444"/>
      <c r="AB119" s="444"/>
      <c r="AC119" s="571">
        <v>0</v>
      </c>
      <c r="AD119" s="571">
        <v>0</v>
      </c>
      <c r="AE119" s="571">
        <v>498</v>
      </c>
      <c r="AF119" s="571">
        <v>127</v>
      </c>
      <c r="AG119" s="571">
        <v>0</v>
      </c>
      <c r="AH119" s="444"/>
      <c r="AI119" s="571">
        <v>224</v>
      </c>
      <c r="AJ119" s="571">
        <v>394</v>
      </c>
      <c r="AK119" s="571">
        <v>777</v>
      </c>
      <c r="AL119" s="571">
        <v>956</v>
      </c>
      <c r="AM119" s="571">
        <v>2351</v>
      </c>
      <c r="AN119" s="444"/>
      <c r="AO119" s="571">
        <v>1165</v>
      </c>
      <c r="AP119" s="571">
        <v>1342</v>
      </c>
      <c r="AQ119" s="571">
        <v>1391</v>
      </c>
      <c r="AR119" s="571">
        <v>2315</v>
      </c>
      <c r="AS119" s="571">
        <v>6213</v>
      </c>
      <c r="AT119" s="444"/>
      <c r="AU119" s="571">
        <v>845</v>
      </c>
      <c r="AV119" s="571">
        <v>840</v>
      </c>
      <c r="AW119" s="571">
        <v>514</v>
      </c>
      <c r="AX119" s="571">
        <v>710</v>
      </c>
      <c r="AY119" s="571">
        <v>2909</v>
      </c>
      <c r="AZ119" s="444"/>
      <c r="BA119" s="571">
        <v>865</v>
      </c>
      <c r="BB119" s="571">
        <v>949</v>
      </c>
      <c r="BC119" s="571">
        <v>831</v>
      </c>
      <c r="BD119" s="571">
        <v>667</v>
      </c>
      <c r="BE119" s="571">
        <v>3312</v>
      </c>
      <c r="BF119" s="444"/>
      <c r="BG119" s="571">
        <v>715</v>
      </c>
      <c r="BH119" s="571">
        <v>1065</v>
      </c>
      <c r="BI119" s="571">
        <v>1415</v>
      </c>
      <c r="BJ119" s="571">
        <v>1449</v>
      </c>
      <c r="BK119" s="571">
        <v>4644</v>
      </c>
      <c r="BL119" s="444"/>
      <c r="BM119" s="571">
        <v>1070</v>
      </c>
      <c r="BN119" s="571">
        <v>1048</v>
      </c>
      <c r="BO119" s="571">
        <v>1397</v>
      </c>
      <c r="BP119" s="571">
        <v>1387</v>
      </c>
      <c r="BQ119" s="571">
        <v>4902</v>
      </c>
      <c r="BR119" s="444"/>
      <c r="BS119" s="571">
        <v>1028</v>
      </c>
      <c r="BT119" s="571">
        <v>1523</v>
      </c>
      <c r="BU119" s="571">
        <v>904</v>
      </c>
      <c r="BV119" s="571">
        <v>1184</v>
      </c>
      <c r="BW119" s="571">
        <v>4639</v>
      </c>
      <c r="BX119" s="444"/>
      <c r="BY119" s="571">
        <v>835</v>
      </c>
      <c r="BZ119" s="571">
        <v>1566</v>
      </c>
      <c r="CA119" s="571">
        <v>1415</v>
      </c>
      <c r="CB119" s="571">
        <v>1580</v>
      </c>
      <c r="CC119" s="571">
        <v>5396</v>
      </c>
      <c r="CD119" s="444"/>
      <c r="CE119" s="571">
        <v>1894</v>
      </c>
      <c r="CF119" s="571">
        <v>2375</v>
      </c>
      <c r="CG119" s="571">
        <v>2154</v>
      </c>
      <c r="CH119" s="571">
        <v>2935</v>
      </c>
      <c r="CI119" s="571">
        <v>9358</v>
      </c>
      <c r="CJ119" s="444"/>
      <c r="CK119" s="571">
        <v>2442</v>
      </c>
      <c r="CL119" s="571">
        <v>1952</v>
      </c>
      <c r="CM119" s="571">
        <v>2200</v>
      </c>
      <c r="CN119" s="571">
        <v>1587</v>
      </c>
      <c r="CO119" s="571">
        <v>8181</v>
      </c>
      <c r="CP119" s="444"/>
      <c r="CQ119" s="571">
        <v>1399</v>
      </c>
      <c r="CR119" s="571">
        <v>2828</v>
      </c>
      <c r="CS119" s="571">
        <v>5111</v>
      </c>
      <c r="CT119" s="571">
        <v>2402</v>
      </c>
      <c r="CU119" s="571">
        <v>11740</v>
      </c>
      <c r="CV119" s="444"/>
      <c r="CW119" s="571">
        <v>3085</v>
      </c>
      <c r="CX119" s="571">
        <v>1101</v>
      </c>
      <c r="CY119" s="571">
        <v>2868</v>
      </c>
      <c r="CZ119" s="571">
        <v>4238</v>
      </c>
      <c r="DA119" s="569">
        <v>11292</v>
      </c>
      <c r="DB119" s="744"/>
      <c r="DC119" s="571">
        <v>4740</v>
      </c>
      <c r="DD119" s="571">
        <v>8271</v>
      </c>
      <c r="DE119" s="571">
        <v>6179</v>
      </c>
      <c r="DF119" s="571">
        <v>7050</v>
      </c>
      <c r="DG119" s="743">
        <v>26240</v>
      </c>
      <c r="DH119" s="744"/>
      <c r="DI119" s="571">
        <v>6977</v>
      </c>
      <c r="DJ119" s="571">
        <v>8461</v>
      </c>
      <c r="DK119" s="571">
        <v>8920</v>
      </c>
      <c r="DL119" s="571">
        <v>6316</v>
      </c>
      <c r="DM119" s="743">
        <v>30674</v>
      </c>
      <c r="DN119" s="744"/>
      <c r="DO119" s="571">
        <v>3752</v>
      </c>
      <c r="DP119" s="571">
        <v>4500</v>
      </c>
      <c r="DQ119" s="571">
        <v>2602</v>
      </c>
      <c r="DR119" s="571">
        <v>9186</v>
      </c>
      <c r="DS119" s="743">
        <v>20040</v>
      </c>
      <c r="DT119" s="743"/>
      <c r="DU119" s="571">
        <v>3611</v>
      </c>
      <c r="DV119" s="571">
        <v>5567</v>
      </c>
      <c r="DW119" s="571">
        <v>2633</v>
      </c>
      <c r="DX119" s="571">
        <v>7088</v>
      </c>
      <c r="DY119" s="810">
        <f>SUM(DU119:DX119)</f>
        <v>18899</v>
      </c>
      <c r="DZ119" s="744"/>
      <c r="EA119" s="571">
        <v>3936</v>
      </c>
      <c r="EB119" s="571">
        <v>5541</v>
      </c>
      <c r="EC119" s="571">
        <v>5399</v>
      </c>
      <c r="ED119" s="571">
        <v>13158</v>
      </c>
      <c r="EE119" s="810">
        <f>SUM(EA119:ED119)</f>
        <v>28034</v>
      </c>
      <c r="EF119" s="744"/>
      <c r="EG119" s="462">
        <f>SUM(EG116:EG118)</f>
        <v>8720</v>
      </c>
      <c r="EH119" s="462">
        <f>SUM(EH116:EH118)</f>
        <v>8957.9949999999972</v>
      </c>
      <c r="EI119" s="462">
        <f>SUM(EI116:EI118)</f>
        <v>7126.1924610000005</v>
      </c>
      <c r="EJ119" s="462">
        <f>SUM(EJ116:EJ118)</f>
        <v>7292.0368875000004</v>
      </c>
      <c r="EK119" s="810">
        <f>SUM(EG119:EJ119)</f>
        <v>32096.224348499993</v>
      </c>
      <c r="FP119" s="311"/>
    </row>
    <row r="120" spans="1:172" x14ac:dyDescent="0.2">
      <c r="B120" s="325" t="s">
        <v>613</v>
      </c>
      <c r="AI120" s="376">
        <f>AI119/AI8</f>
        <v>2.2156280909990111</v>
      </c>
      <c r="AJ120" s="376">
        <f>AJ119/AJ8</f>
        <v>2.1499626212082354</v>
      </c>
      <c r="AK120" s="376">
        <f>AK119/AK8</f>
        <v>1.6939508296434855</v>
      </c>
      <c r="AL120" s="376">
        <f>AL119/AL8</f>
        <v>2.2139469393804654</v>
      </c>
      <c r="AM120" s="376">
        <f>AM119/AM8</f>
        <v>2.0010928980353371</v>
      </c>
      <c r="AO120" s="376">
        <f>AO119/AO8</f>
        <v>1.8445218492716908</v>
      </c>
      <c r="AP120" s="376">
        <f>AP119/AP8</f>
        <v>1.4539544962080173</v>
      </c>
      <c r="AQ120" s="376">
        <f>AQ119/AQ8</f>
        <v>1.3544303797468353</v>
      </c>
      <c r="AR120" s="376">
        <f>AR119/AR8</f>
        <v>1.7630035793161223</v>
      </c>
      <c r="AS120" s="376">
        <f>AS119/AS8</f>
        <v>1.5952448198834315</v>
      </c>
      <c r="AU120" s="376">
        <f>AU119/AU8</f>
        <v>0.6578947368421052</v>
      </c>
      <c r="AV120" s="376">
        <f>AV119/AV8</f>
        <v>0.62987402519496105</v>
      </c>
      <c r="AW120" s="376">
        <f>AW119/AW8</f>
        <v>0.4037071944706252</v>
      </c>
      <c r="AX120" s="376">
        <f>AX119/AX8</f>
        <v>0.71522111413317213</v>
      </c>
      <c r="AY120" s="376">
        <f>AY119/AY8</f>
        <v>0.59563054116587155</v>
      </c>
      <c r="BA120" s="376">
        <f>BA119/BA8</f>
        <v>0.82380952380952377</v>
      </c>
      <c r="BB120" s="376">
        <f>BB119/BB8</f>
        <v>0.96364744110479295</v>
      </c>
      <c r="BC120" s="376">
        <f>BC119/BC8</f>
        <v>0.83075077476756976</v>
      </c>
      <c r="BD120" s="376">
        <f>BD119/BD8</f>
        <v>0.87018917155903452</v>
      </c>
      <c r="BE120" s="376">
        <f>BE119/BE8</f>
        <v>0.87121212121212122</v>
      </c>
      <c r="BG120" s="376">
        <f>BG119/BG8</f>
        <v>1.0562860097503324</v>
      </c>
      <c r="BH120" s="376">
        <f>BH119/BH8</f>
        <v>1.1632987438558164</v>
      </c>
      <c r="BI120" s="376">
        <f>BI119/BI8</f>
        <v>1.4747264200104222</v>
      </c>
      <c r="BJ120" s="376">
        <f>BJ119/BJ8</f>
        <v>1.0054121565362197</v>
      </c>
      <c r="BK120" s="376">
        <f>BK119/BK8</f>
        <v>1.1630061856702811</v>
      </c>
      <c r="BM120" s="376">
        <f>BM119/BM8</f>
        <v>1.0388349514563107</v>
      </c>
      <c r="BN120" s="376">
        <f>BN119/BN8</f>
        <v>0.84312148028962186</v>
      </c>
      <c r="BO120" s="376">
        <f>BO119/BO8</f>
        <v>1.579423403052572</v>
      </c>
      <c r="BP120" s="376">
        <f>BP119/BP8</f>
        <v>1.2779876531834515</v>
      </c>
      <c r="BQ120" s="376">
        <f>BQ119/BQ8</f>
        <v>1.1553690958800791</v>
      </c>
      <c r="BS120" s="376">
        <f>BS119/BS8</f>
        <v>0.82470918572001606</v>
      </c>
      <c r="BT120" s="376">
        <f>BT119/BT8</f>
        <v>1.3424416042309388</v>
      </c>
      <c r="BU120" s="376">
        <f>BU119/BU8</f>
        <v>0.92689428893673742</v>
      </c>
      <c r="BV120" s="376">
        <f>BV119/BV8</f>
        <v>1.3440799182654104</v>
      </c>
      <c r="BW120" s="376">
        <f>BW119/BW8</f>
        <v>1.0948267723968659</v>
      </c>
      <c r="BY120" s="376">
        <f>BY119/BY8</f>
        <v>0.9711560828099558</v>
      </c>
      <c r="BZ120" s="376">
        <f>BZ119/BZ8</f>
        <v>1.2375533428165006</v>
      </c>
      <c r="CA120" s="376">
        <f>CA119/CA8</f>
        <v>1.1250695714399299</v>
      </c>
      <c r="CB120" s="376">
        <f>CB119/CB8</f>
        <v>1.2256613140951051</v>
      </c>
      <c r="CC120" s="376">
        <f>CC119/CC8</f>
        <v>1.1549657534246576</v>
      </c>
      <c r="CE120" s="376">
        <f>CE119/CE8</f>
        <v>1.5578220101990459</v>
      </c>
      <c r="CF120" s="376">
        <f>CF119/CF8</f>
        <v>1.7159164800231199</v>
      </c>
      <c r="CG120" s="376">
        <f>CG119/CG8</f>
        <v>1.1842322282698334</v>
      </c>
      <c r="CH120" s="376">
        <f>CH119/CH8</f>
        <v>1.5013555680597472</v>
      </c>
      <c r="CI120" s="376">
        <f>CI119/CI8</f>
        <v>1.4682209705508578</v>
      </c>
      <c r="CK120" s="376">
        <f>CK119/CK8</f>
        <v>1.4642921388738981</v>
      </c>
      <c r="CL120" s="376">
        <f>CL119/CL8</f>
        <v>0.93553798226695428</v>
      </c>
      <c r="CM120" s="376">
        <f>CM119/CM8</f>
        <v>1.0573872921272711</v>
      </c>
      <c r="CN120" s="376">
        <f>CN119/CN8</f>
        <v>0.65462195272862267</v>
      </c>
      <c r="CO120" s="376">
        <f>CO119/CO8</f>
        <v>0.9905437638483614</v>
      </c>
      <c r="CQ120" s="376">
        <f>CQ119/CQ8</f>
        <v>0.82830076968620481</v>
      </c>
      <c r="CR120" s="376">
        <f>CR119/CR8</f>
        <v>1.5279878971255674</v>
      </c>
      <c r="CS120" s="376">
        <f>CS119/CS8</f>
        <v>2.1977124183006538</v>
      </c>
      <c r="CT120" s="376">
        <f>CT119/CT8</f>
        <v>0.7672405532309069</v>
      </c>
      <c r="CU120" s="376">
        <f>CU119/CU8</f>
        <v>1.305009948755572</v>
      </c>
      <c r="CW120" s="376">
        <f>CW119/CW8</f>
        <v>1.9476010101010102</v>
      </c>
      <c r="CX120" s="376">
        <f>CX119/CX8</f>
        <v>0.45148855900926765</v>
      </c>
      <c r="CY120" s="376">
        <f>CY119/CY8</f>
        <v>0.92647628892621792</v>
      </c>
      <c r="CZ120" s="376">
        <f>CZ119/CZ8</f>
        <v>1.3250789481912266</v>
      </c>
      <c r="DA120" s="406">
        <f>DA119/DA8</f>
        <v>1.0945572626375224</v>
      </c>
      <c r="DC120" s="376">
        <f>DC119/DC8</f>
        <v>1.5149578113014572</v>
      </c>
      <c r="DD120" s="376">
        <f>DD119/DD8</f>
        <v>2.8041090317331165</v>
      </c>
      <c r="DE120" s="376">
        <f>DE119/DE8</f>
        <v>1.5030040621731409</v>
      </c>
      <c r="DF120" s="376">
        <f>DF119/DF8</f>
        <v>2.0356895356895359</v>
      </c>
      <c r="DG120" s="402">
        <f>DG119/DG8</f>
        <v>1.9219641536106411</v>
      </c>
      <c r="DI120" s="376">
        <f>DI119/DI8</f>
        <v>3.0504547044421129</v>
      </c>
      <c r="DJ120" s="376">
        <f>DJ119/DJ8</f>
        <v>2.0434730105059775</v>
      </c>
      <c r="DK120" s="376">
        <f>DK119/DK8</f>
        <v>2.0965050414835358</v>
      </c>
      <c r="DL120" s="376">
        <f>DL119/DL8</f>
        <v>1.3302723309252513</v>
      </c>
      <c r="DM120" s="402">
        <f>DM119/DM8</f>
        <v>1.9879069104294798</v>
      </c>
      <c r="DO120" s="376">
        <f>DO119/DO8</f>
        <v>0.7023849638698566</v>
      </c>
      <c r="DP120" s="376">
        <f>DP119/DP8</f>
        <v>0.80269706212875258</v>
      </c>
      <c r="DQ120" s="376">
        <f>DQ119/DQ8</f>
        <v>0.49018499679740779</v>
      </c>
      <c r="DR120" s="376">
        <f>DR119/DR8</f>
        <v>1.616542014958205</v>
      </c>
      <c r="DS120" s="402">
        <f>DS119/DS8</f>
        <v>0.91345847045846129</v>
      </c>
      <c r="DT120" s="402"/>
      <c r="DU120" s="376">
        <f>DU119/DU8</f>
        <v>0.91051211578708491</v>
      </c>
      <c r="DV120" s="376">
        <f>DV119/DV8</f>
        <v>1.1693167258291501</v>
      </c>
      <c r="DW120" s="376">
        <f>DW119/DW8</f>
        <v>0.44431319608504893</v>
      </c>
      <c r="DX120" s="376">
        <f>DX119/DX8</f>
        <v>0.9960792029117892</v>
      </c>
      <c r="DY120" s="402">
        <f>DY119/DY8</f>
        <v>0.868173110934507</v>
      </c>
      <c r="EA120" s="376">
        <f>EA119/EA8</f>
        <v>0.68566650407637098</v>
      </c>
      <c r="EB120" s="376">
        <f>EB119/EB8</f>
        <v>0.99015385715051552</v>
      </c>
      <c r="EC120" s="376">
        <f>EC119/EC8</f>
        <v>0.97212719219273291</v>
      </c>
      <c r="ED120" s="376">
        <f>ED119/ED8</f>
        <v>1.7349683544303798</v>
      </c>
      <c r="EE120" s="402">
        <f>EE119/EE8</f>
        <v>1.1454464479065796</v>
      </c>
      <c r="EG120" s="376">
        <f>EG119/EG8</f>
        <v>1.3887561713648671</v>
      </c>
      <c r="EH120" s="376">
        <f>EH119/EH8</f>
        <v>1.5260638841567287</v>
      </c>
      <c r="EI120" s="376">
        <f>EI119/EI8</f>
        <v>0.89863713253467847</v>
      </c>
      <c r="EJ120" s="376">
        <f>EJ119/EJ8</f>
        <v>0.87877094255901611</v>
      </c>
      <c r="EK120" s="406"/>
      <c r="FP120" s="311"/>
    </row>
    <row r="121" spans="1:172" x14ac:dyDescent="0.2">
      <c r="FP121" s="311"/>
    </row>
    <row r="122" spans="1:172" x14ac:dyDescent="0.2">
      <c r="B122" s="311" t="s">
        <v>99</v>
      </c>
      <c r="AC122" s="411">
        <v>0</v>
      </c>
      <c r="AD122" s="411">
        <v>0</v>
      </c>
      <c r="AE122" s="411">
        <v>0</v>
      </c>
      <c r="AF122" s="411">
        <v>20.399999999999999</v>
      </c>
      <c r="AG122" s="411">
        <v>0</v>
      </c>
      <c r="AI122" s="411">
        <v>13.8</v>
      </c>
      <c r="AJ122" s="411">
        <v>31.1</v>
      </c>
      <c r="AK122" s="411">
        <v>23.4</v>
      </c>
      <c r="AL122" s="411">
        <v>19.7</v>
      </c>
      <c r="AM122" s="411">
        <v>23.989795918367346</v>
      </c>
      <c r="AO122" s="411">
        <v>23.3</v>
      </c>
      <c r="AP122" s="411">
        <v>22.745762711864408</v>
      </c>
      <c r="AQ122" s="411">
        <v>23.183333333333334</v>
      </c>
      <c r="AR122" s="411">
        <v>19.786324786324787</v>
      </c>
      <c r="AS122" s="411">
        <v>21.723776223776223</v>
      </c>
      <c r="AU122" s="411">
        <v>21.125</v>
      </c>
      <c r="AV122" s="411">
        <v>24.705882352941178</v>
      </c>
      <c r="AW122" s="411">
        <v>22.347826086956523</v>
      </c>
      <c r="AX122" s="411">
        <v>19.189189189189189</v>
      </c>
      <c r="AY122" s="411">
        <v>21.708955223880597</v>
      </c>
      <c r="BA122" s="411">
        <v>24.027777777777779</v>
      </c>
      <c r="BB122" s="411">
        <v>22.069767441860463</v>
      </c>
      <c r="BC122" s="411">
        <v>25.181818181818183</v>
      </c>
      <c r="BD122" s="411">
        <v>20.84375</v>
      </c>
      <c r="BE122" s="411">
        <v>23</v>
      </c>
      <c r="BG122" s="411">
        <v>28.6</v>
      </c>
      <c r="BH122" s="411">
        <v>28.026315789473685</v>
      </c>
      <c r="BI122" s="411">
        <v>27.745098039215687</v>
      </c>
      <c r="BJ122" s="411">
        <v>27.865384615384617</v>
      </c>
      <c r="BK122" s="411">
        <v>27.975903614457831</v>
      </c>
      <c r="BM122" s="411">
        <v>35.666666666666664</v>
      </c>
      <c r="BN122" s="411">
        <v>36.137931034482762</v>
      </c>
      <c r="BO122" s="411">
        <v>29.723404255319149</v>
      </c>
      <c r="BP122" s="411">
        <v>27.196078431372548</v>
      </c>
      <c r="BQ122" s="411">
        <v>31.222929936305732</v>
      </c>
      <c r="BS122" s="411">
        <v>25.7</v>
      </c>
      <c r="BT122" s="411">
        <v>33.108695652173914</v>
      </c>
      <c r="BU122" s="411">
        <v>25.828571428571429</v>
      </c>
      <c r="BV122" s="411">
        <v>26.90909090909091</v>
      </c>
      <c r="BW122" s="411">
        <v>28.115151515151513</v>
      </c>
      <c r="BY122" s="411">
        <v>27.833333333333332</v>
      </c>
      <c r="BZ122" s="411">
        <v>36.418604651162788</v>
      </c>
      <c r="CA122" s="411">
        <v>32.9</v>
      </c>
      <c r="CB122" s="411">
        <v>35.9</v>
      </c>
      <c r="CC122" s="411">
        <v>33.725000000000001</v>
      </c>
      <c r="CE122" s="411">
        <v>34.436363636363637</v>
      </c>
      <c r="CF122" s="411">
        <v>43.18181818181818</v>
      </c>
      <c r="CG122" s="411">
        <v>30.771428571428572</v>
      </c>
      <c r="CH122" s="411">
        <v>39.133333333333333</v>
      </c>
      <c r="CI122" s="411">
        <v>36.698039215686272</v>
      </c>
      <c r="CK122" s="411">
        <v>39.387096774193552</v>
      </c>
      <c r="CL122" s="411">
        <v>33.084745762711862</v>
      </c>
      <c r="CM122" s="411">
        <v>32.835820895522389</v>
      </c>
      <c r="CN122" s="411">
        <v>29.943396226415093</v>
      </c>
      <c r="CO122" s="411">
        <v>33.946058091286304</v>
      </c>
      <c r="CQ122" s="411">
        <v>41.147058823529413</v>
      </c>
      <c r="CR122" s="411">
        <v>46.360655737704917</v>
      </c>
      <c r="CS122" s="411">
        <v>63.098765432098766</v>
      </c>
      <c r="CT122" s="411">
        <v>40.033333333333331</v>
      </c>
      <c r="CU122" s="411">
        <v>49.745762711864408</v>
      </c>
      <c r="CW122" s="411">
        <v>42.260273972602739</v>
      </c>
      <c r="CX122" s="411">
        <v>32.382352941176471</v>
      </c>
      <c r="CY122" s="411">
        <v>39.287671232876711</v>
      </c>
      <c r="CZ122" s="411">
        <v>34.455284552845526</v>
      </c>
      <c r="DA122" s="577">
        <v>37.267326732673268</v>
      </c>
      <c r="DC122" s="411">
        <v>39.5</v>
      </c>
      <c r="DD122" s="411">
        <v>49.526946107784433</v>
      </c>
      <c r="DE122" s="411">
        <v>34.713483146067418</v>
      </c>
      <c r="DF122" s="411">
        <v>36.910994764397905</v>
      </c>
      <c r="DG122" s="729">
        <v>40</v>
      </c>
      <c r="DI122" s="411">
        <v>43.067901234567898</v>
      </c>
      <c r="DJ122" s="411">
        <v>60.870503597122301</v>
      </c>
      <c r="DK122" s="411">
        <v>59.466666666666669</v>
      </c>
      <c r="DL122" s="411">
        <v>62.534653465346537</v>
      </c>
      <c r="DM122" s="729">
        <v>55.568840579710148</v>
      </c>
      <c r="DO122" s="411"/>
      <c r="DP122" s="411"/>
      <c r="DQ122" s="411"/>
      <c r="DR122" s="411"/>
      <c r="DS122" s="729"/>
      <c r="DT122" s="729"/>
      <c r="DU122" s="411"/>
      <c r="DV122" s="411"/>
      <c r="DW122" s="411"/>
      <c r="DX122" s="411"/>
      <c r="DY122" s="729"/>
      <c r="EA122" s="411"/>
      <c r="EB122" s="411"/>
      <c r="EC122" s="411"/>
      <c r="ED122" s="411"/>
      <c r="EE122" s="729"/>
      <c r="EG122" s="411"/>
      <c r="EH122" s="411"/>
      <c r="EI122" s="411"/>
      <c r="EJ122" s="411"/>
      <c r="EK122" s="577"/>
      <c r="FP122" s="311"/>
    </row>
    <row r="123" spans="1:172" x14ac:dyDescent="0.2">
      <c r="FP123" s="311"/>
    </row>
    <row r="124" spans="1:172" ht="12" x14ac:dyDescent="0.25">
      <c r="A124" s="444" t="s">
        <v>655</v>
      </c>
      <c r="FP124" s="311"/>
    </row>
    <row r="125" spans="1:172" x14ac:dyDescent="0.2">
      <c r="B125" s="325" t="s">
        <v>596</v>
      </c>
      <c r="DD125" s="356">
        <f>60-DD126</f>
        <v>58</v>
      </c>
      <c r="DE125" s="310">
        <f>DD125+DE109-DE126</f>
        <v>73</v>
      </c>
      <c r="DF125" s="310">
        <f>DE125+DF109-DF126</f>
        <v>86</v>
      </c>
      <c r="DG125" s="694">
        <f>DF125</f>
        <v>86</v>
      </c>
      <c r="DI125" s="310">
        <f>DG125+DI109-DI126</f>
        <v>89</v>
      </c>
      <c r="DJ125" s="310">
        <f t="shared" ref="DJ125:DL125" si="441">DH125+DJ109-DJ126</f>
        <v>17</v>
      </c>
      <c r="DK125" s="310">
        <f t="shared" si="441"/>
        <v>99</v>
      </c>
      <c r="DL125" s="310">
        <f t="shared" si="441"/>
        <v>27</v>
      </c>
      <c r="DM125" s="694">
        <f>DL125</f>
        <v>27</v>
      </c>
      <c r="DO125" s="310">
        <f>DM125+DO109-DO126</f>
        <v>24</v>
      </c>
      <c r="DP125" s="310">
        <f t="shared" ref="DP125:DQ125" si="442">DN125+DP109-DP126</f>
        <v>-7</v>
      </c>
      <c r="DQ125" s="310">
        <f t="shared" si="442"/>
        <v>12</v>
      </c>
      <c r="DR125" s="310">
        <f>DR188</f>
        <v>70</v>
      </c>
      <c r="DS125" s="694">
        <f>DR125</f>
        <v>70</v>
      </c>
      <c r="DT125" s="694"/>
      <c r="DU125" s="310">
        <f>DU188</f>
        <v>62</v>
      </c>
      <c r="DV125" s="310">
        <f>DV188</f>
        <v>67</v>
      </c>
      <c r="DW125" s="310">
        <f>DW188</f>
        <v>63</v>
      </c>
      <c r="DX125" s="310">
        <f>DX188</f>
        <v>66</v>
      </c>
      <c r="DY125" s="694">
        <f>DX125</f>
        <v>66</v>
      </c>
      <c r="EA125" s="310">
        <f>EA188</f>
        <v>58</v>
      </c>
      <c r="EB125" s="310">
        <f>EB188</f>
        <v>56</v>
      </c>
      <c r="EC125" s="310">
        <f>EC188</f>
        <v>64</v>
      </c>
      <c r="ED125" s="310">
        <f>ED188</f>
        <v>85</v>
      </c>
      <c r="EE125" s="694">
        <f>ED125</f>
        <v>85</v>
      </c>
      <c r="EG125" s="576">
        <f>EG188</f>
        <v>93</v>
      </c>
      <c r="EH125" s="576">
        <f>EH188</f>
        <v>103</v>
      </c>
      <c r="EI125" s="576">
        <f>EI188</f>
        <v>99</v>
      </c>
      <c r="EJ125" s="576">
        <f>EJ188</f>
        <v>88</v>
      </c>
      <c r="EK125" s="450"/>
      <c r="FP125" s="311"/>
    </row>
    <row r="126" spans="1:172" x14ac:dyDescent="0.2">
      <c r="B126" s="381" t="s">
        <v>597</v>
      </c>
      <c r="C126" s="382"/>
      <c r="D126" s="382"/>
      <c r="E126" s="382"/>
      <c r="F126" s="382"/>
      <c r="G126" s="382"/>
      <c r="H126" s="382"/>
      <c r="I126" s="382"/>
      <c r="J126" s="382"/>
      <c r="K126" s="382"/>
      <c r="L126" s="382"/>
      <c r="M126" s="382"/>
      <c r="N126" s="382"/>
      <c r="O126" s="382"/>
      <c r="P126" s="382"/>
      <c r="Q126" s="382"/>
      <c r="R126" s="382"/>
      <c r="S126" s="382"/>
      <c r="T126" s="382"/>
      <c r="U126" s="382"/>
      <c r="V126" s="382"/>
      <c r="W126" s="382"/>
      <c r="X126" s="382"/>
      <c r="Y126" s="382"/>
      <c r="Z126" s="382"/>
      <c r="AA126" s="382"/>
      <c r="AB126" s="382"/>
      <c r="AC126" s="382"/>
      <c r="AD126" s="382"/>
      <c r="AE126" s="382"/>
      <c r="AF126" s="382"/>
      <c r="AG126" s="382"/>
      <c r="AH126" s="382"/>
      <c r="AI126" s="382"/>
      <c r="AJ126" s="382"/>
      <c r="AK126" s="382"/>
      <c r="AL126" s="382"/>
      <c r="AM126" s="382"/>
      <c r="AN126" s="382"/>
      <c r="AO126" s="382"/>
      <c r="AP126" s="382"/>
      <c r="AQ126" s="382"/>
      <c r="AR126" s="382"/>
      <c r="AS126" s="382"/>
      <c r="AT126" s="382"/>
      <c r="AU126" s="382"/>
      <c r="AV126" s="382"/>
      <c r="AW126" s="382"/>
      <c r="AX126" s="382"/>
      <c r="AY126" s="382"/>
      <c r="AZ126" s="382"/>
      <c r="BA126" s="382"/>
      <c r="BB126" s="382"/>
      <c r="BC126" s="382"/>
      <c r="BD126" s="382"/>
      <c r="BE126" s="382"/>
      <c r="BF126" s="382"/>
      <c r="BG126" s="382"/>
      <c r="BH126" s="382"/>
      <c r="BI126" s="382"/>
      <c r="BJ126" s="382"/>
      <c r="BK126" s="382"/>
      <c r="BL126" s="382"/>
      <c r="BM126" s="382"/>
      <c r="BN126" s="382"/>
      <c r="BO126" s="382"/>
      <c r="BP126" s="382"/>
      <c r="BQ126" s="382"/>
      <c r="BR126" s="382"/>
      <c r="BS126" s="382"/>
      <c r="BT126" s="382"/>
      <c r="BU126" s="382"/>
      <c r="BV126" s="382"/>
      <c r="BW126" s="382"/>
      <c r="BX126" s="382"/>
      <c r="BY126" s="382"/>
      <c r="BZ126" s="382"/>
      <c r="CA126" s="382"/>
      <c r="CB126" s="382"/>
      <c r="CC126" s="382"/>
      <c r="CD126" s="382"/>
      <c r="CE126" s="382"/>
      <c r="CF126" s="382"/>
      <c r="CG126" s="382"/>
      <c r="CH126" s="382"/>
      <c r="CI126" s="382"/>
      <c r="CJ126" s="382"/>
      <c r="CK126" s="382"/>
      <c r="CL126" s="382"/>
      <c r="CM126" s="382"/>
      <c r="CN126" s="382"/>
      <c r="CO126" s="382"/>
      <c r="CP126" s="382"/>
      <c r="CQ126" s="382"/>
      <c r="CR126" s="382"/>
      <c r="CS126" s="382"/>
      <c r="CT126" s="382"/>
      <c r="CU126" s="382"/>
      <c r="CV126" s="382"/>
      <c r="CW126" s="382"/>
      <c r="CX126" s="382"/>
      <c r="CY126" s="382"/>
      <c r="CZ126" s="382"/>
      <c r="DA126" s="690"/>
      <c r="DC126" s="382"/>
      <c r="DD126" s="720">
        <v>2</v>
      </c>
      <c r="DE126" s="579">
        <f>DD126+DE110</f>
        <v>2</v>
      </c>
      <c r="DF126" s="579">
        <f>DE126+DF110</f>
        <v>2</v>
      </c>
      <c r="DG126" s="745">
        <f>DF126</f>
        <v>2</v>
      </c>
      <c r="DI126" s="482">
        <f>DG126+DI110</f>
        <v>5</v>
      </c>
      <c r="DJ126" s="579">
        <f>DI126+DJ110</f>
        <v>8</v>
      </c>
      <c r="DK126" s="579">
        <f>DJ126+DK110</f>
        <v>9</v>
      </c>
      <c r="DL126" s="579">
        <f>DK126+DL110</f>
        <v>9</v>
      </c>
      <c r="DM126" s="745">
        <f>DL126</f>
        <v>9</v>
      </c>
      <c r="DO126" s="482">
        <f>DM126+DO110</f>
        <v>10</v>
      </c>
      <c r="DP126" s="579">
        <f>DO126+DP110</f>
        <v>12</v>
      </c>
      <c r="DQ126" s="579">
        <f>DP126+DQ110</f>
        <v>13</v>
      </c>
      <c r="DR126" s="482">
        <f>DR443</f>
        <v>17</v>
      </c>
      <c r="DS126" s="745">
        <f>DR126</f>
        <v>17</v>
      </c>
      <c r="DT126" s="694"/>
      <c r="DU126" s="482">
        <f>DU443</f>
        <v>17</v>
      </c>
      <c r="DV126" s="482">
        <f t="shared" ref="DV126:DX126" si="443">DV443</f>
        <v>18</v>
      </c>
      <c r="DW126" s="482">
        <f t="shared" si="443"/>
        <v>18</v>
      </c>
      <c r="DX126" s="482">
        <f t="shared" si="443"/>
        <v>16</v>
      </c>
      <c r="DY126" s="745">
        <f>DX126</f>
        <v>16</v>
      </c>
      <c r="EA126" s="482">
        <f>DX443</f>
        <v>16</v>
      </c>
      <c r="EB126" s="482">
        <f>DY443</f>
        <v>16</v>
      </c>
      <c r="EC126" s="482">
        <f>EC443</f>
        <v>15</v>
      </c>
      <c r="ED126" s="482">
        <f>ED443</f>
        <v>10</v>
      </c>
      <c r="EE126" s="745">
        <f>ED126</f>
        <v>10</v>
      </c>
      <c r="EG126" s="726">
        <f>EG443</f>
        <v>9</v>
      </c>
      <c r="EH126" s="726">
        <f>EH443</f>
        <v>9</v>
      </c>
      <c r="EI126" s="726">
        <f>EI443</f>
        <v>9</v>
      </c>
      <c r="EJ126" s="726">
        <f>EJ443</f>
        <v>12</v>
      </c>
      <c r="EK126" s="483"/>
      <c r="EL126" s="690"/>
      <c r="FP126" s="311"/>
    </row>
    <row r="127" spans="1:172" ht="12" x14ac:dyDescent="0.25">
      <c r="B127" s="727" t="s">
        <v>606</v>
      </c>
      <c r="C127" s="444"/>
      <c r="D127" s="444"/>
      <c r="E127" s="444"/>
      <c r="F127" s="444"/>
      <c r="G127" s="444"/>
      <c r="H127" s="444"/>
      <c r="I127" s="444"/>
      <c r="J127" s="444"/>
      <c r="K127" s="444"/>
      <c r="L127" s="444"/>
      <c r="M127" s="444"/>
      <c r="N127" s="444"/>
      <c r="O127" s="444"/>
      <c r="P127" s="444"/>
      <c r="Q127" s="444"/>
      <c r="R127" s="444"/>
      <c r="S127" s="444"/>
      <c r="T127" s="444"/>
      <c r="U127" s="444"/>
      <c r="V127" s="444"/>
      <c r="W127" s="444"/>
      <c r="X127" s="444"/>
      <c r="Y127" s="444"/>
      <c r="Z127" s="444"/>
      <c r="AA127" s="444"/>
      <c r="AB127" s="444"/>
      <c r="AC127" s="444"/>
      <c r="AD127" s="444"/>
      <c r="AE127" s="444"/>
      <c r="AF127" s="444"/>
      <c r="AG127" s="444"/>
      <c r="AH127" s="444"/>
      <c r="AI127" s="444"/>
      <c r="AJ127" s="444"/>
      <c r="AK127" s="444"/>
      <c r="AL127" s="444"/>
      <c r="AM127" s="444"/>
      <c r="AN127" s="444"/>
      <c r="AO127" s="444"/>
      <c r="AP127" s="444"/>
      <c r="AQ127" s="444"/>
      <c r="AR127" s="444"/>
      <c r="AS127" s="444"/>
      <c r="AT127" s="444"/>
      <c r="AU127" s="444"/>
      <c r="AV127" s="444"/>
      <c r="AW127" s="444"/>
      <c r="AX127" s="444"/>
      <c r="AY127" s="444"/>
      <c r="AZ127" s="444"/>
      <c r="BA127" s="444"/>
      <c r="BB127" s="444"/>
      <c r="BC127" s="444"/>
      <c r="BD127" s="444"/>
      <c r="BE127" s="444"/>
      <c r="BF127" s="444"/>
      <c r="BG127" s="444"/>
      <c r="BH127" s="444"/>
      <c r="BI127" s="444"/>
      <c r="BJ127" s="444"/>
      <c r="BK127" s="444"/>
      <c r="BL127" s="444"/>
      <c r="BM127" s="444"/>
      <c r="BN127" s="444"/>
      <c r="BO127" s="444"/>
      <c r="BP127" s="444"/>
      <c r="BQ127" s="444"/>
      <c r="BR127" s="444"/>
      <c r="BS127" s="444"/>
      <c r="BT127" s="444"/>
      <c r="BU127" s="444"/>
      <c r="BV127" s="444"/>
      <c r="BW127" s="444"/>
      <c r="BX127" s="444"/>
      <c r="BY127" s="444"/>
      <c r="BZ127" s="444"/>
      <c r="CA127" s="444"/>
      <c r="CB127" s="444"/>
      <c r="CC127" s="444"/>
      <c r="CD127" s="444"/>
      <c r="CE127" s="444"/>
      <c r="CF127" s="444"/>
      <c r="CG127" s="444"/>
      <c r="CH127" s="444"/>
      <c r="CI127" s="444"/>
      <c r="CJ127" s="444"/>
      <c r="CK127" s="444"/>
      <c r="CL127" s="444"/>
      <c r="CM127" s="444"/>
      <c r="CN127" s="444"/>
      <c r="CO127" s="444"/>
      <c r="CP127" s="444"/>
      <c r="CQ127" s="444"/>
      <c r="CR127" s="444"/>
      <c r="CS127" s="444"/>
      <c r="CT127" s="444"/>
      <c r="CU127" s="444"/>
      <c r="CV127" s="444"/>
      <c r="CW127" s="444"/>
      <c r="CX127" s="444"/>
      <c r="CY127" s="444"/>
      <c r="CZ127" s="444"/>
      <c r="DA127" s="567"/>
      <c r="DB127" s="744"/>
      <c r="DC127" s="444"/>
      <c r="DD127" s="359">
        <f>DD126+DD125</f>
        <v>60</v>
      </c>
      <c r="DE127" s="359">
        <f>DE126+DE125</f>
        <v>75</v>
      </c>
      <c r="DF127" s="359">
        <f>DF126+DF125</f>
        <v>88</v>
      </c>
      <c r="DG127" s="811">
        <f>DG126+DG125</f>
        <v>88</v>
      </c>
      <c r="DH127" s="744"/>
      <c r="DI127" s="359">
        <f>DI126+DI125</f>
        <v>94</v>
      </c>
      <c r="DJ127" s="359">
        <f>DJ126+DJ125</f>
        <v>25</v>
      </c>
      <c r="DK127" s="359">
        <f>DK126+DK125</f>
        <v>108</v>
      </c>
      <c r="DL127" s="359">
        <f>DL126+DL125</f>
        <v>36</v>
      </c>
      <c r="DM127" s="811">
        <f>DM126+DM125</f>
        <v>36</v>
      </c>
      <c r="DN127" s="744"/>
      <c r="DO127" s="359">
        <f>DO126+DO125</f>
        <v>34</v>
      </c>
      <c r="DP127" s="359">
        <f>DP126+DP125</f>
        <v>5</v>
      </c>
      <c r="DQ127" s="359">
        <f>DQ126+DQ125</f>
        <v>25</v>
      </c>
      <c r="DR127" s="359">
        <f>DR126+DR125</f>
        <v>87</v>
      </c>
      <c r="DS127" s="811">
        <f>DS126+DS125</f>
        <v>87</v>
      </c>
      <c r="DT127" s="811"/>
      <c r="DU127" s="359">
        <f>DU126+DU125</f>
        <v>79</v>
      </c>
      <c r="DV127" s="359">
        <f>DV126+DV125</f>
        <v>85</v>
      </c>
      <c r="DW127" s="359">
        <f>DW126+DW125</f>
        <v>81</v>
      </c>
      <c r="DX127" s="359">
        <f>DX126+DX125</f>
        <v>82</v>
      </c>
      <c r="DY127" s="811">
        <f>DY126+DY125</f>
        <v>82</v>
      </c>
      <c r="DZ127" s="744"/>
      <c r="EA127" s="359">
        <f>EA126+EA125</f>
        <v>74</v>
      </c>
      <c r="EB127" s="359">
        <f>EB126+EB125</f>
        <v>72</v>
      </c>
      <c r="EC127" s="359">
        <f>EC126+EC125</f>
        <v>79</v>
      </c>
      <c r="ED127" s="359">
        <f>ED126+ED125</f>
        <v>95</v>
      </c>
      <c r="EE127" s="811">
        <f>EE126+EE125</f>
        <v>95</v>
      </c>
      <c r="EF127" s="744"/>
      <c r="EG127" s="359">
        <f>EG126+EG125</f>
        <v>102</v>
      </c>
      <c r="EH127" s="359">
        <f>EH126+EH125</f>
        <v>112</v>
      </c>
      <c r="EI127" s="359">
        <f>EI126+EI125</f>
        <v>108</v>
      </c>
      <c r="EJ127" s="359">
        <f>EJ126+EJ125</f>
        <v>100</v>
      </c>
      <c r="EK127" s="578"/>
      <c r="FP127" s="311"/>
    </row>
    <row r="128" spans="1:172" x14ac:dyDescent="0.2">
      <c r="DD128" s="478"/>
      <c r="DE128" s="478"/>
      <c r="DF128" s="478"/>
      <c r="DG128" s="694"/>
      <c r="DI128" s="310"/>
      <c r="DJ128" s="310"/>
      <c r="DK128" s="310"/>
      <c r="DL128" s="310"/>
      <c r="DM128" s="694"/>
      <c r="DO128" s="310"/>
      <c r="DP128" s="310"/>
      <c r="DQ128" s="478"/>
      <c r="DR128" s="478"/>
      <c r="DS128" s="694"/>
      <c r="DT128" s="694"/>
      <c r="FP128" s="311"/>
    </row>
    <row r="129" spans="1:174" x14ac:dyDescent="0.2">
      <c r="B129" s="325" t="s">
        <v>595</v>
      </c>
      <c r="DD129" s="579">
        <f>ROUND((DD132-(DD125*150)-(3*350+250))/30,0)</f>
        <v>250</v>
      </c>
      <c r="DE129" s="482">
        <f>DD129+DE111-DE127</f>
        <v>336</v>
      </c>
      <c r="DF129" s="482">
        <f>DE129+DF111-DF127</f>
        <v>424</v>
      </c>
      <c r="DG129" s="745">
        <f>DF129</f>
        <v>424</v>
      </c>
      <c r="DI129" s="482">
        <f>DG129+DI111-DI127</f>
        <v>481</v>
      </c>
      <c r="DJ129" s="482">
        <f t="shared" ref="DJ129:DL129" si="444">DH129+DJ111-DJ127</f>
        <v>86</v>
      </c>
      <c r="DK129" s="482">
        <f t="shared" si="444"/>
        <v>503</v>
      </c>
      <c r="DL129" s="482">
        <f t="shared" si="444"/>
        <v>132</v>
      </c>
      <c r="DM129" s="745">
        <f>DL129</f>
        <v>132</v>
      </c>
      <c r="DO129" s="482"/>
      <c r="DP129" s="482"/>
      <c r="DQ129" s="482"/>
      <c r="DR129" s="482"/>
      <c r="DS129" s="745"/>
      <c r="DT129" s="694"/>
      <c r="DU129" s="482"/>
      <c r="DV129" s="482"/>
      <c r="DW129" s="482"/>
      <c r="DX129" s="482"/>
      <c r="DY129" s="745"/>
      <c r="EA129" s="482"/>
      <c r="EB129" s="482"/>
      <c r="EC129" s="482"/>
      <c r="ED129" s="482"/>
      <c r="EE129" s="745"/>
      <c r="EG129" s="482"/>
      <c r="EH129" s="482"/>
      <c r="EI129" s="482"/>
      <c r="EJ129" s="482"/>
      <c r="EK129" s="483"/>
      <c r="FP129" s="311"/>
    </row>
    <row r="130" spans="1:174" x14ac:dyDescent="0.2">
      <c r="B130" s="311" t="s">
        <v>607</v>
      </c>
      <c r="DD130" s="478">
        <f>DD129+DD127</f>
        <v>310</v>
      </c>
      <c r="DE130" s="478">
        <f>DE129+DE127</f>
        <v>411</v>
      </c>
      <c r="DF130" s="478">
        <f>DF129+DF127</f>
        <v>512</v>
      </c>
      <c r="DG130" s="741">
        <f>DG129+DG127</f>
        <v>512</v>
      </c>
      <c r="DI130" s="478">
        <f>DI129+DI127</f>
        <v>575</v>
      </c>
      <c r="DJ130" s="478">
        <f>DJ129+DJ127</f>
        <v>111</v>
      </c>
      <c r="DK130" s="478">
        <f>DK129+DK127</f>
        <v>611</v>
      </c>
      <c r="DL130" s="478">
        <f>DL129+DL127</f>
        <v>168</v>
      </c>
      <c r="DM130" s="741">
        <f>DM129+DM127</f>
        <v>168</v>
      </c>
      <c r="DO130" s="478"/>
      <c r="DP130" s="478"/>
      <c r="DQ130" s="478"/>
      <c r="DR130" s="478"/>
      <c r="DS130" s="741"/>
      <c r="DT130" s="694"/>
      <c r="DU130" s="478"/>
      <c r="DV130" s="478"/>
      <c r="DW130" s="478"/>
      <c r="DX130" s="478"/>
      <c r="DY130" s="741"/>
      <c r="EA130" s="478"/>
      <c r="EB130" s="478"/>
      <c r="EC130" s="478"/>
      <c r="ED130" s="478"/>
      <c r="EE130" s="741"/>
      <c r="EG130" s="478"/>
      <c r="EH130" s="478"/>
      <c r="EI130" s="478"/>
      <c r="EJ130" s="478"/>
      <c r="EK130" s="578"/>
      <c r="FP130" s="311"/>
    </row>
    <row r="131" spans="1:174" ht="12" x14ac:dyDescent="0.25">
      <c r="CE131" s="571"/>
      <c r="CF131" s="571"/>
      <c r="CG131" s="571"/>
      <c r="CH131" s="571"/>
      <c r="FP131" s="311"/>
    </row>
    <row r="132" spans="1:174" ht="12" x14ac:dyDescent="0.25">
      <c r="B132" s="444" t="s">
        <v>656</v>
      </c>
      <c r="BY132" s="571">
        <v>3018</v>
      </c>
      <c r="BZ132" s="571">
        <v>3371</v>
      </c>
      <c r="CA132" s="571">
        <v>3462</v>
      </c>
      <c r="CB132" s="571">
        <v>3961</v>
      </c>
      <c r="CC132" s="571">
        <f>CB132</f>
        <v>3961</v>
      </c>
      <c r="CE132" s="571">
        <v>4509</v>
      </c>
      <c r="CF132" s="571">
        <v>5351</v>
      </c>
      <c r="CG132" s="571">
        <v>5693</v>
      </c>
      <c r="CH132" s="571">
        <v>6685</v>
      </c>
      <c r="CI132" s="571">
        <f>CH132</f>
        <v>6685</v>
      </c>
      <c r="CJ132" s="571"/>
      <c r="CK132" s="571">
        <v>7474.4338225274041</v>
      </c>
      <c r="CL132" s="571">
        <v>7349.0587942380071</v>
      </c>
      <c r="CM132" s="571">
        <v>7486.9068056880242</v>
      </c>
      <c r="CN132" s="571">
        <v>6678.8032298277867</v>
      </c>
      <c r="CO132" s="571">
        <f>CN132</f>
        <v>6678.8032298277867</v>
      </c>
      <c r="CP132" s="571"/>
      <c r="CQ132" s="571">
        <v>6399.755595752963</v>
      </c>
      <c r="CR132" s="571">
        <v>7401.3119921991629</v>
      </c>
      <c r="CS132" s="571">
        <v>10187.175007599086</v>
      </c>
      <c r="CT132" s="571">
        <v>9472.5135469696961</v>
      </c>
      <c r="CU132" s="571">
        <f>CT132</f>
        <v>9472.5135469696961</v>
      </c>
      <c r="CV132" s="571"/>
      <c r="CW132" s="571">
        <v>11173.159351771175</v>
      </c>
      <c r="CX132" s="571">
        <v>9725.3262759030167</v>
      </c>
      <c r="CY132" s="571">
        <v>9685.6417879338842</v>
      </c>
      <c r="CZ132" s="571">
        <v>10864.4495730869</v>
      </c>
      <c r="DA132" s="569">
        <f>CZ132</f>
        <v>10864.4495730869</v>
      </c>
      <c r="DC132" s="571">
        <v>12541.341252424912</v>
      </c>
      <c r="DD132" s="580">
        <v>17500</v>
      </c>
      <c r="DE132" s="580">
        <f>DD132+DE133-DE134</f>
        <v>19567.900000000001</v>
      </c>
      <c r="DF132" s="580">
        <f>DE132+DF133-DF134</f>
        <v>23154.7</v>
      </c>
      <c r="DG132" s="745">
        <f>DF132</f>
        <v>23154.7</v>
      </c>
      <c r="DI132" s="580">
        <v>29000</v>
      </c>
      <c r="DJ132" s="580">
        <v>33250</v>
      </c>
      <c r="DK132" s="580">
        <v>38000</v>
      </c>
      <c r="DL132" s="580">
        <v>40400</v>
      </c>
      <c r="DM132" s="745">
        <f>DL132</f>
        <v>40400</v>
      </c>
      <c r="DO132" s="580">
        <v>38900</v>
      </c>
      <c r="DP132" s="580">
        <v>38000</v>
      </c>
      <c r="DQ132" s="580">
        <v>35000</v>
      </c>
      <c r="DR132" s="580">
        <v>39000</v>
      </c>
      <c r="DS132" s="745">
        <f>DR132</f>
        <v>39000</v>
      </c>
      <c r="DT132" s="694"/>
      <c r="DU132" s="580">
        <v>38000</v>
      </c>
      <c r="DV132" s="580">
        <v>39000</v>
      </c>
      <c r="DW132" s="580">
        <v>36000</v>
      </c>
      <c r="DX132" s="580">
        <v>36000</v>
      </c>
      <c r="DY132" s="745">
        <f>DX132</f>
        <v>36000</v>
      </c>
      <c r="EA132" s="580">
        <v>34200</v>
      </c>
      <c r="EB132" s="580">
        <v>33000</v>
      </c>
      <c r="EC132" s="580">
        <v>35938</v>
      </c>
      <c r="ED132" s="580">
        <v>38797</v>
      </c>
      <c r="EE132" s="745">
        <f>ED132</f>
        <v>38797</v>
      </c>
      <c r="EG132" s="482">
        <f>ED132+EG133-EG134</f>
        <v>41238</v>
      </c>
      <c r="EH132" s="482">
        <f>EG132+EH133-EH134</f>
        <v>44325.994999999995</v>
      </c>
      <c r="EI132" s="482">
        <f>EH132+EI133-EI134</f>
        <v>43522.187460999994</v>
      </c>
      <c r="EJ132" s="482">
        <f>EI132+EJ133-EJ134</f>
        <v>42516.229348499997</v>
      </c>
      <c r="EK132" s="483"/>
      <c r="FP132" s="311"/>
    </row>
    <row r="133" spans="1:174" x14ac:dyDescent="0.2">
      <c r="B133" s="325" t="s">
        <v>657</v>
      </c>
      <c r="BY133" s="310">
        <f>BY119</f>
        <v>835</v>
      </c>
      <c r="BZ133" s="310">
        <f>BZ119</f>
        <v>1566</v>
      </c>
      <c r="CA133" s="310">
        <f>CA119</f>
        <v>1415</v>
      </c>
      <c r="CB133" s="310">
        <f>CB119</f>
        <v>1580</v>
      </c>
      <c r="CC133" s="310">
        <f>CC119</f>
        <v>5396</v>
      </c>
      <c r="CD133" s="310"/>
      <c r="CE133" s="310">
        <f>CE119</f>
        <v>1894</v>
      </c>
      <c r="CF133" s="310">
        <f>CF119</f>
        <v>2375</v>
      </c>
      <c r="CG133" s="310">
        <f>CG119</f>
        <v>2154</v>
      </c>
      <c r="CH133" s="310">
        <f>CH119</f>
        <v>2935</v>
      </c>
      <c r="CI133" s="310">
        <f>CI119</f>
        <v>9358</v>
      </c>
      <c r="CJ133" s="310"/>
      <c r="CK133" s="310">
        <f>CK119</f>
        <v>2442</v>
      </c>
      <c r="CL133" s="310">
        <f>CL119</f>
        <v>1952</v>
      </c>
      <c r="CM133" s="310">
        <f>CM119</f>
        <v>2200</v>
      </c>
      <c r="CN133" s="310">
        <f>CN119</f>
        <v>1587</v>
      </c>
      <c r="CO133" s="310">
        <f>CO119</f>
        <v>8181</v>
      </c>
      <c r="CP133" s="310"/>
      <c r="CQ133" s="310">
        <f>CQ119</f>
        <v>1399</v>
      </c>
      <c r="CR133" s="310">
        <f>CR119</f>
        <v>2828</v>
      </c>
      <c r="CS133" s="310">
        <f>CS119</f>
        <v>5111</v>
      </c>
      <c r="CT133" s="310">
        <f>CT119</f>
        <v>2402</v>
      </c>
      <c r="CU133" s="310">
        <f>CU119</f>
        <v>11740</v>
      </c>
      <c r="CV133" s="310"/>
      <c r="CW133" s="310">
        <f>CW119</f>
        <v>3085</v>
      </c>
      <c r="CX133" s="310">
        <f>CX119</f>
        <v>1101</v>
      </c>
      <c r="CY133" s="310">
        <f>CY119</f>
        <v>2868</v>
      </c>
      <c r="CZ133" s="310">
        <f>CZ119</f>
        <v>4238</v>
      </c>
      <c r="DA133" s="450">
        <f>DA119</f>
        <v>11292</v>
      </c>
      <c r="DC133" s="310">
        <f>DC119</f>
        <v>4740</v>
      </c>
      <c r="DD133" s="310">
        <f>DD119</f>
        <v>8271</v>
      </c>
      <c r="DE133" s="310">
        <f>DE119</f>
        <v>6179</v>
      </c>
      <c r="DF133" s="310">
        <f>DF119</f>
        <v>7050</v>
      </c>
      <c r="DG133" s="694">
        <f>SUM(DC133:DF133)</f>
        <v>26240</v>
      </c>
      <c r="DI133" s="310">
        <f>DI119</f>
        <v>6977</v>
      </c>
      <c r="DJ133" s="310">
        <f>DJ119</f>
        <v>8461</v>
      </c>
      <c r="DK133" s="310">
        <f>DK119</f>
        <v>8920</v>
      </c>
      <c r="DL133" s="310">
        <f>DL119</f>
        <v>6316</v>
      </c>
      <c r="DM133" s="694">
        <f>SUM(DI133:DL133)</f>
        <v>30674</v>
      </c>
      <c r="DO133" s="310">
        <f>DO119</f>
        <v>3752</v>
      </c>
      <c r="DP133" s="310">
        <f>DP119</f>
        <v>4500</v>
      </c>
      <c r="DQ133" s="310">
        <f>DQ119</f>
        <v>2602</v>
      </c>
      <c r="DR133" s="310">
        <f>DR119</f>
        <v>9186</v>
      </c>
      <c r="DS133" s="694">
        <f>SUM(DO133:DR133)</f>
        <v>20040</v>
      </c>
      <c r="DU133" s="310">
        <f>DU119</f>
        <v>3611</v>
      </c>
      <c r="DV133" s="310">
        <f>DV119</f>
        <v>5567</v>
      </c>
      <c r="DW133" s="310">
        <f>DW119</f>
        <v>2633</v>
      </c>
      <c r="DX133" s="310">
        <f>DX119</f>
        <v>7088</v>
      </c>
      <c r="DY133" s="694">
        <f>SUM(DU133:DX133)</f>
        <v>18899</v>
      </c>
      <c r="EA133" s="310">
        <f>EA119</f>
        <v>3936</v>
      </c>
      <c r="EB133" s="310">
        <f>EB119</f>
        <v>5541</v>
      </c>
      <c r="EC133" s="310">
        <f>EC119</f>
        <v>5399</v>
      </c>
      <c r="ED133" s="310">
        <f>ED119</f>
        <v>13158</v>
      </c>
      <c r="EE133" s="694">
        <f>SUM(EA133:ED133)</f>
        <v>28034</v>
      </c>
      <c r="EG133" s="310">
        <f>EG119</f>
        <v>8720</v>
      </c>
      <c r="EH133" s="310">
        <f>EH119</f>
        <v>8957.9949999999972</v>
      </c>
      <c r="EI133" s="310">
        <f>EI119</f>
        <v>7126.1924610000005</v>
      </c>
      <c r="EJ133" s="310">
        <f>EJ119</f>
        <v>7292.0368875000004</v>
      </c>
      <c r="EK133" s="450"/>
      <c r="FP133" s="311"/>
    </row>
    <row r="134" spans="1:174" x14ac:dyDescent="0.2">
      <c r="B134" s="325" t="s">
        <v>658</v>
      </c>
      <c r="BY134" s="310">
        <f>BY8</f>
        <v>859.8</v>
      </c>
      <c r="BZ134" s="310">
        <f>BZ8</f>
        <v>1265.4000000000001</v>
      </c>
      <c r="CA134" s="310">
        <f>CA8</f>
        <v>1257.7</v>
      </c>
      <c r="CB134" s="310">
        <f>CB8</f>
        <v>1289.0999999999999</v>
      </c>
      <c r="CC134" s="310">
        <f>CC8</f>
        <v>4672</v>
      </c>
      <c r="CD134" s="310"/>
      <c r="CE134" s="310">
        <f>CE8</f>
        <v>1215.8</v>
      </c>
      <c r="CF134" s="310">
        <f>CF8</f>
        <v>1384.1</v>
      </c>
      <c r="CG134" s="310">
        <f>CG8</f>
        <v>1818.9</v>
      </c>
      <c r="CH134" s="310">
        <f>CH8</f>
        <v>1954.9</v>
      </c>
      <c r="CI134" s="310">
        <f>CI8</f>
        <v>6373.6999999999989</v>
      </c>
      <c r="CJ134" s="310"/>
      <c r="CK134" s="310">
        <f>CK8</f>
        <v>1667.7</v>
      </c>
      <c r="CL134" s="310">
        <f>CL8</f>
        <v>2086.5</v>
      </c>
      <c r="CM134" s="310">
        <f>CM8</f>
        <v>2080.6</v>
      </c>
      <c r="CN134" s="310">
        <f>CN8</f>
        <v>2424.3000000000002</v>
      </c>
      <c r="CO134" s="310">
        <f>CO8</f>
        <v>8259.0999999999985</v>
      </c>
      <c r="CP134" s="310"/>
      <c r="CQ134" s="310">
        <f>CQ8</f>
        <v>1689</v>
      </c>
      <c r="CR134" s="310">
        <f>CR8</f>
        <v>1850.8</v>
      </c>
      <c r="CS134" s="310">
        <f>CS8</f>
        <v>2325.6</v>
      </c>
      <c r="CT134" s="310">
        <f>CT8</f>
        <v>3130.7</v>
      </c>
      <c r="CU134" s="310">
        <f>CU8</f>
        <v>8996.0999999999985</v>
      </c>
      <c r="CV134" s="310"/>
      <c r="CW134" s="310">
        <f>CW8</f>
        <v>1584</v>
      </c>
      <c r="CX134" s="310">
        <f>CX8</f>
        <v>2438.6</v>
      </c>
      <c r="CY134" s="310">
        <f>CY8</f>
        <v>3095.6</v>
      </c>
      <c r="CZ134" s="310">
        <f>CZ8</f>
        <v>3198.3</v>
      </c>
      <c r="DA134" s="450">
        <f>DA8</f>
        <v>10316.5</v>
      </c>
      <c r="DC134" s="310">
        <f>DC8</f>
        <v>3128.8</v>
      </c>
      <c r="DD134" s="310">
        <f>DD8</f>
        <v>2949.6</v>
      </c>
      <c r="DE134" s="310">
        <f>DE8</f>
        <v>4111.1000000000004</v>
      </c>
      <c r="DF134" s="310">
        <f>DF8</f>
        <v>3463.2</v>
      </c>
      <c r="DG134" s="694">
        <f>SUM(DC134:DF134)</f>
        <v>13652.7</v>
      </c>
      <c r="DI134" s="310">
        <f>DI8</f>
        <v>2287.1999999999998</v>
      </c>
      <c r="DJ134" s="310">
        <f>DJ8</f>
        <v>4140.5</v>
      </c>
      <c r="DK134" s="310">
        <f>DK8</f>
        <v>4254.7</v>
      </c>
      <c r="DL134" s="310">
        <f>DL8</f>
        <v>4747.8999999999996</v>
      </c>
      <c r="DM134" s="694">
        <f>SUM(DI134:DL134)</f>
        <v>15430.3</v>
      </c>
      <c r="DO134" s="310">
        <f>DO8</f>
        <v>5341.8</v>
      </c>
      <c r="DP134" s="310">
        <f>DP8</f>
        <v>5606.1</v>
      </c>
      <c r="DQ134" s="310">
        <f>DQ8</f>
        <v>5308.2</v>
      </c>
      <c r="DR134" s="310">
        <f>DR8</f>
        <v>5682.5</v>
      </c>
      <c r="DS134" s="694">
        <f>SUM(DO134:DR134)</f>
        <v>21938.600000000002</v>
      </c>
      <c r="DU134" s="310">
        <f>DU8</f>
        <v>3965.9</v>
      </c>
      <c r="DV134" s="310">
        <f>DV8</f>
        <v>4760.8999999999996</v>
      </c>
      <c r="DW134" s="310">
        <f>DW8</f>
        <v>5926</v>
      </c>
      <c r="DX134" s="310">
        <f>DX8</f>
        <v>7115.9</v>
      </c>
      <c r="DY134" s="694">
        <f>SUM(DU134:DX134)</f>
        <v>21768.699999999997</v>
      </c>
      <c r="EA134" s="310">
        <f>EA8</f>
        <v>5740.4</v>
      </c>
      <c r="EB134" s="310">
        <f>EB8</f>
        <v>5596.1</v>
      </c>
      <c r="EC134" s="310">
        <f>EC8</f>
        <v>5553.8</v>
      </c>
      <c r="ED134" s="310">
        <f>ED8</f>
        <v>7584</v>
      </c>
      <c r="EE134" s="694">
        <f>SUM(EA134:ED134)</f>
        <v>24474.3</v>
      </c>
      <c r="EG134" s="310">
        <f>EG8</f>
        <v>6279</v>
      </c>
      <c r="EH134" s="310">
        <f>EH8</f>
        <v>5870</v>
      </c>
      <c r="EI134" s="310">
        <f>EI8</f>
        <v>7930</v>
      </c>
      <c r="EJ134" s="310">
        <f>EJ8</f>
        <v>8297.9949999999972</v>
      </c>
      <c r="EK134" s="450"/>
      <c r="FP134" s="311"/>
    </row>
    <row r="135" spans="1:174" x14ac:dyDescent="0.2">
      <c r="B135" s="325" t="s">
        <v>659</v>
      </c>
      <c r="DD135" s="310"/>
      <c r="DE135" s="310"/>
      <c r="DF135" s="310"/>
      <c r="DJ135" s="310">
        <f>DJ132-(DI132+DJ133-DJ134)</f>
        <v>-70.5</v>
      </c>
      <c r="DK135" s="310">
        <f>DK132-(DJ132+DK133-DK134)</f>
        <v>84.69999999999709</v>
      </c>
      <c r="DL135" s="310">
        <f>DL132-(DK132+DL133-DL134)</f>
        <v>831.90000000000146</v>
      </c>
      <c r="DO135" s="310">
        <f>DO132-(DL132+DO133-DO134)</f>
        <v>89.80000000000291</v>
      </c>
      <c r="DP135" s="310">
        <f>DP132-(DO132+DP133-DP134)</f>
        <v>206.09999999999854</v>
      </c>
      <c r="DQ135" s="310">
        <f>DQ132-(DP132+DQ133-DQ134)</f>
        <v>-293.80000000000291</v>
      </c>
      <c r="DR135" s="310">
        <f>DR132-(DQ132+DR133-DR134)</f>
        <v>496.5</v>
      </c>
      <c r="DU135" s="310">
        <f>DU132-(DR132+DU133-DU134)</f>
        <v>-645.09999999999854</v>
      </c>
      <c r="DV135" s="310">
        <f>DV132-(DS132+DV133-DV134)</f>
        <v>-806.09999999999854</v>
      </c>
      <c r="DW135" s="310">
        <f>DW132-(DV132+DW133-DW134)</f>
        <v>293</v>
      </c>
      <c r="DX135" s="310">
        <f>DX132-(DW132+DX133-DX134)</f>
        <v>27.900000000001455</v>
      </c>
      <c r="EA135" s="356">
        <v>0</v>
      </c>
      <c r="EB135" s="356">
        <v>0</v>
      </c>
      <c r="EC135" s="356">
        <v>0</v>
      </c>
      <c r="ED135" s="356">
        <v>0</v>
      </c>
      <c r="EG135" s="356">
        <v>0</v>
      </c>
      <c r="EH135" s="356">
        <v>0</v>
      </c>
      <c r="EI135" s="356">
        <v>0</v>
      </c>
      <c r="EJ135" s="356">
        <v>0</v>
      </c>
      <c r="FP135" s="311"/>
    </row>
    <row r="136" spans="1:174" x14ac:dyDescent="0.2">
      <c r="B136" s="325"/>
      <c r="DJ136" s="310"/>
      <c r="DK136" s="310"/>
      <c r="DL136" s="310"/>
      <c r="DO136" s="310"/>
      <c r="DP136" s="310"/>
      <c r="DQ136" s="356"/>
      <c r="DR136" s="356"/>
      <c r="DU136" s="356"/>
      <c r="DV136" s="356"/>
      <c r="DW136" s="356"/>
      <c r="DX136" s="356"/>
      <c r="EA136" s="356"/>
      <c r="EB136" s="356"/>
      <c r="EC136" s="356"/>
      <c r="ED136" s="356"/>
      <c r="EG136" s="356"/>
      <c r="EH136" s="356"/>
      <c r="FP136" s="311"/>
    </row>
    <row r="137" spans="1:174" x14ac:dyDescent="0.2">
      <c r="FP137" s="311"/>
    </row>
    <row r="138" spans="1:174" ht="12" x14ac:dyDescent="0.25">
      <c r="A138" s="415" t="s">
        <v>666</v>
      </c>
      <c r="B138" s="415"/>
      <c r="C138" s="415"/>
      <c r="D138" s="415"/>
      <c r="E138" s="415"/>
      <c r="F138" s="415"/>
      <c r="G138" s="415"/>
      <c r="H138" s="415"/>
      <c r="I138" s="415"/>
      <c r="J138" s="415"/>
      <c r="K138" s="415"/>
      <c r="L138" s="415"/>
      <c r="M138" s="415"/>
      <c r="N138" s="415"/>
      <c r="O138" s="415"/>
      <c r="P138" s="415"/>
      <c r="Q138" s="415"/>
      <c r="R138" s="415"/>
      <c r="S138" s="415"/>
      <c r="T138" s="415"/>
      <c r="U138" s="415"/>
      <c r="V138" s="415"/>
      <c r="W138" s="415"/>
      <c r="X138" s="415"/>
      <c r="Y138" s="415"/>
      <c r="Z138" s="415"/>
      <c r="AA138" s="415"/>
      <c r="AB138" s="415"/>
      <c r="AC138" s="415"/>
      <c r="AD138" s="415"/>
      <c r="AE138" s="415"/>
      <c r="AF138" s="415"/>
      <c r="AG138" s="415"/>
      <c r="AH138" s="415"/>
      <c r="AI138" s="415"/>
      <c r="AJ138" s="415"/>
      <c r="AK138" s="415"/>
      <c r="AL138" s="415"/>
      <c r="AM138" s="415"/>
      <c r="AN138" s="415"/>
      <c r="AO138" s="415"/>
      <c r="AP138" s="415"/>
      <c r="AQ138" s="415"/>
      <c r="AR138" s="415"/>
      <c r="AS138" s="415"/>
      <c r="AT138" s="415"/>
      <c r="AU138" s="415"/>
      <c r="AV138" s="415"/>
      <c r="AW138" s="415"/>
      <c r="AX138" s="415"/>
      <c r="AY138" s="415"/>
      <c r="AZ138" s="415"/>
      <c r="BA138" s="415"/>
      <c r="BB138" s="415"/>
      <c r="BC138" s="415"/>
      <c r="BD138" s="415"/>
      <c r="BE138" s="415"/>
      <c r="BF138" s="415"/>
      <c r="BG138" s="415"/>
      <c r="BH138" s="415"/>
      <c r="BI138" s="415"/>
      <c r="BJ138" s="415"/>
      <c r="BK138" s="415"/>
      <c r="BL138" s="415"/>
      <c r="BM138" s="415"/>
      <c r="BN138" s="415"/>
      <c r="BO138" s="415"/>
      <c r="BP138" s="415"/>
      <c r="BQ138" s="415"/>
      <c r="BR138" s="415"/>
      <c r="BS138" s="415"/>
      <c r="BT138" s="415"/>
      <c r="BU138" s="415"/>
      <c r="BV138" s="415"/>
      <c r="BW138" s="415"/>
      <c r="BX138" s="415"/>
      <c r="BY138" s="415"/>
      <c r="BZ138" s="415"/>
      <c r="CA138" s="415"/>
      <c r="CB138" s="415"/>
      <c r="CC138" s="415"/>
      <c r="CD138" s="415"/>
      <c r="CE138" s="415"/>
      <c r="CF138" s="415"/>
      <c r="CG138" s="415"/>
      <c r="CH138" s="415"/>
      <c r="CI138" s="415"/>
      <c r="CJ138" s="415"/>
      <c r="CK138" s="415"/>
      <c r="CL138" s="415"/>
      <c r="CM138" s="415"/>
      <c r="CN138" s="415"/>
      <c r="CO138" s="415"/>
      <c r="CP138" s="415"/>
      <c r="CQ138" s="415"/>
      <c r="CR138" s="415"/>
      <c r="CS138" s="415"/>
      <c r="CT138" s="415"/>
      <c r="CU138" s="415"/>
      <c r="CV138" s="415"/>
      <c r="CW138" s="415"/>
      <c r="CX138" s="415"/>
      <c r="CY138" s="415"/>
      <c r="CZ138" s="415"/>
      <c r="DA138" s="755"/>
      <c r="DB138" s="728"/>
      <c r="DC138" s="415"/>
      <c r="DD138" s="415"/>
      <c r="DE138" s="415"/>
      <c r="DF138" s="415"/>
      <c r="DG138" s="415"/>
      <c r="DH138" s="728"/>
      <c r="DI138" s="415"/>
      <c r="DJ138" s="415"/>
      <c r="DK138" s="415"/>
      <c r="DL138" s="415"/>
      <c r="DM138" s="728"/>
      <c r="DN138" s="728"/>
      <c r="DO138" s="415"/>
      <c r="DP138" s="415"/>
      <c r="DQ138" s="415"/>
      <c r="DR138" s="415"/>
      <c r="DS138" s="728"/>
      <c r="DT138" s="728"/>
      <c r="DU138" s="415"/>
      <c r="DV138" s="415"/>
      <c r="DW138" s="415"/>
      <c r="DX138" s="415"/>
      <c r="DY138" s="728"/>
      <c r="DZ138" s="728"/>
      <c r="EA138" s="415"/>
      <c r="EB138" s="415"/>
      <c r="EC138" s="415"/>
      <c r="ED138" s="415"/>
      <c r="EE138" s="728"/>
      <c r="EF138" s="728"/>
      <c r="EG138" s="415"/>
      <c r="EH138" s="415"/>
      <c r="EI138" s="415"/>
      <c r="EJ138" s="415"/>
      <c r="EK138" s="755"/>
      <c r="EL138" s="755"/>
      <c r="EM138" s="582"/>
      <c r="EN138" s="582"/>
      <c r="EO138" s="582"/>
      <c r="EP138" s="582"/>
      <c r="EQ138" s="581"/>
      <c r="ER138" s="581"/>
      <c r="ES138" s="581"/>
      <c r="ET138" s="581"/>
      <c r="EU138" s="581"/>
      <c r="EV138" s="581"/>
      <c r="EW138" s="581"/>
      <c r="EX138" s="581"/>
      <c r="EY138" s="581"/>
      <c r="EZ138" s="581"/>
      <c r="FA138" s="581"/>
      <c r="FB138" s="581"/>
      <c r="FC138" s="581"/>
      <c r="FD138" s="581"/>
      <c r="FE138" s="581"/>
      <c r="FF138" s="581"/>
      <c r="FG138" s="581"/>
      <c r="FH138" s="581"/>
      <c r="FI138" s="581"/>
      <c r="FJ138" s="581"/>
      <c r="FK138" s="581"/>
      <c r="FL138" s="581"/>
      <c r="FM138" s="581"/>
      <c r="FN138" s="581"/>
      <c r="FO138" s="581"/>
      <c r="FP138" s="415"/>
      <c r="FQ138" s="581"/>
      <c r="FR138" s="581"/>
    </row>
    <row r="139" spans="1:174" x14ac:dyDescent="0.2">
      <c r="FP139" s="311"/>
    </row>
    <row r="140" spans="1:174" x14ac:dyDescent="0.2">
      <c r="B140" s="562" t="s">
        <v>729</v>
      </c>
      <c r="FP140" s="311"/>
    </row>
    <row r="141" spans="1:174" x14ac:dyDescent="0.2">
      <c r="B141" s="325" t="s">
        <v>543</v>
      </c>
      <c r="DL141" s="310">
        <f t="shared" ref="DL141" si="445">DL179</f>
        <v>0</v>
      </c>
      <c r="DO141" s="310">
        <f t="shared" ref="DO141" si="446">DO179</f>
        <v>2884.6800000000003</v>
      </c>
      <c r="DP141" s="310">
        <f t="shared" ref="DP141" si="447">DP179</f>
        <v>2074.2199999999998</v>
      </c>
      <c r="DQ141" s="310">
        <f t="shared" ref="DQ141" si="448">DQ179</f>
        <v>1857.87</v>
      </c>
      <c r="DR141" s="310">
        <f t="shared" ref="DR141" si="449">DR179</f>
        <v>2397.4840000000013</v>
      </c>
      <c r="DU141" s="310">
        <f t="shared" ref="DU141" si="450">DU179</f>
        <v>1824.3140000000001</v>
      </c>
      <c r="DV141" s="310">
        <f t="shared" ref="DV141" si="451">DV179</f>
        <v>1475.8789999999999</v>
      </c>
      <c r="DW141" s="310">
        <f t="shared" ref="DW141" si="452">DW179</f>
        <v>2074.1</v>
      </c>
      <c r="DX141" s="310">
        <f t="shared" ref="DX141" si="453">DX179</f>
        <v>2488.6779999999999</v>
      </c>
      <c r="EA141" s="310">
        <f t="shared" ref="EA141:ED141" si="454">EA179</f>
        <v>3214.6240000000003</v>
      </c>
      <c r="EB141" s="310">
        <f t="shared" si="454"/>
        <v>2436.1280000000002</v>
      </c>
      <c r="EC141" s="310">
        <f t="shared" si="454"/>
        <v>1750.52</v>
      </c>
      <c r="ED141" s="310">
        <f t="shared" si="454"/>
        <v>3030.3199999999997</v>
      </c>
      <c r="EE141" s="694">
        <f>EE179</f>
        <v>10431.592000000001</v>
      </c>
      <c r="EG141" s="310">
        <f t="shared" ref="EG141:EJ141" si="455">EG179</f>
        <v>3424.1400000000003</v>
      </c>
      <c r="EH141" s="310">
        <f t="shared" si="455"/>
        <v>3220</v>
      </c>
      <c r="EI141" s="310">
        <f t="shared" si="455"/>
        <v>3910</v>
      </c>
      <c r="EJ141" s="310">
        <f t="shared" si="455"/>
        <v>4140</v>
      </c>
      <c r="EK141" s="450">
        <f>EK179</f>
        <v>14490</v>
      </c>
      <c r="EL141" s="450">
        <f t="shared" ref="EL141" si="456">EL179</f>
        <v>19740</v>
      </c>
      <c r="FP141" s="310">
        <f t="shared" ref="FP141" si="457">FP179</f>
        <v>14335</v>
      </c>
    </row>
    <row r="142" spans="1:174" x14ac:dyDescent="0.2">
      <c r="B142" s="325" t="s">
        <v>250</v>
      </c>
      <c r="DL142" s="310">
        <f t="shared" ref="DL142" si="458">DL236+DL292</f>
        <v>0</v>
      </c>
      <c r="DO142" s="310">
        <f t="shared" ref="DO142" si="459">DO236+DO292</f>
        <v>0</v>
      </c>
      <c r="DP142" s="310">
        <f t="shared" ref="DP142" si="460">DP236+DP292</f>
        <v>0</v>
      </c>
      <c r="DQ142" s="310">
        <f t="shared" ref="DQ142" si="461">DQ236+DQ292</f>
        <v>0</v>
      </c>
      <c r="DR142" s="310">
        <f t="shared" ref="DR142" si="462">DR236+DR292</f>
        <v>0</v>
      </c>
      <c r="DU142" s="310">
        <f t="shared" ref="DU142" si="463">DU236+DU292</f>
        <v>0</v>
      </c>
      <c r="DV142" s="310">
        <f t="shared" ref="DV142" si="464">DV236+DV292</f>
        <v>0</v>
      </c>
      <c r="DW142" s="310">
        <f t="shared" ref="DW142" si="465">DW236+DW292</f>
        <v>0</v>
      </c>
      <c r="DX142" s="310">
        <f t="shared" ref="DX142" si="466">DX236+DX292</f>
        <v>500</v>
      </c>
      <c r="EA142" s="310">
        <f t="shared" ref="EA142:ED142" si="467">EA236+EA292</f>
        <v>0</v>
      </c>
      <c r="EB142" s="310">
        <f t="shared" si="467"/>
        <v>250</v>
      </c>
      <c r="EC142" s="310">
        <f t="shared" si="467"/>
        <v>360</v>
      </c>
      <c r="ED142" s="310">
        <f t="shared" si="467"/>
        <v>610</v>
      </c>
      <c r="EE142" s="694">
        <f>EE236+EE292</f>
        <v>1220</v>
      </c>
      <c r="EG142" s="310">
        <f t="shared" ref="EG142:EJ142" si="468">EG236+EG292</f>
        <v>720</v>
      </c>
      <c r="EH142" s="310">
        <f t="shared" si="468"/>
        <v>0</v>
      </c>
      <c r="EI142" s="310">
        <f t="shared" si="468"/>
        <v>720</v>
      </c>
      <c r="EJ142" s="310">
        <f t="shared" si="468"/>
        <v>720</v>
      </c>
      <c r="EK142" s="450">
        <f>EK236+EK292</f>
        <v>2160</v>
      </c>
      <c r="EL142" s="450">
        <f t="shared" ref="EL142" si="469">EL236+EL292</f>
        <v>2190</v>
      </c>
      <c r="FP142" s="310">
        <f t="shared" ref="FP142" si="470">FP236+FP292</f>
        <v>2880</v>
      </c>
    </row>
    <row r="143" spans="1:174" x14ac:dyDescent="0.2">
      <c r="B143" s="325" t="s">
        <v>587</v>
      </c>
      <c r="DL143" s="310">
        <f t="shared" ref="DL143" si="471">DL338</f>
        <v>0</v>
      </c>
      <c r="DO143" s="310">
        <f t="shared" ref="DO143" si="472">DO338</f>
        <v>0</v>
      </c>
      <c r="DP143" s="310">
        <f t="shared" ref="DP143" si="473">DP338</f>
        <v>0</v>
      </c>
      <c r="DQ143" s="310">
        <f t="shared" ref="DQ143" si="474">DQ338</f>
        <v>0</v>
      </c>
      <c r="DR143" s="310">
        <f t="shared" ref="DR143" si="475">DR338</f>
        <v>0</v>
      </c>
      <c r="DU143" s="310">
        <f t="shared" ref="DU143" si="476">DU338</f>
        <v>2022.6090000000002</v>
      </c>
      <c r="DV143" s="310">
        <f t="shared" ref="DV143" si="477">DV338</f>
        <v>3237.4119999999994</v>
      </c>
      <c r="DW143" s="310">
        <f t="shared" ref="DW143" si="478">DW338</f>
        <v>3733.38</v>
      </c>
      <c r="DX143" s="310">
        <f t="shared" ref="DX143" si="479">DX338</f>
        <v>3842.5859999999998</v>
      </c>
      <c r="EA143" s="310">
        <f t="shared" ref="EA143:ED143" si="480">EA338</f>
        <v>2353.5639999999999</v>
      </c>
      <c r="EB143" s="310">
        <f t="shared" si="480"/>
        <v>2798.05</v>
      </c>
      <c r="EC143" s="310">
        <f t="shared" si="480"/>
        <v>3221.2040000000002</v>
      </c>
      <c r="ED143" s="310">
        <f t="shared" si="480"/>
        <v>3640.3200000000006</v>
      </c>
      <c r="EE143" s="694">
        <f>EE338</f>
        <v>12013.137999999999</v>
      </c>
      <c r="EG143" s="310">
        <f>EG53</f>
        <v>2009.28</v>
      </c>
      <c r="EH143" s="310">
        <f t="shared" ref="EH143:EJ143" si="481">EH338</f>
        <v>2500</v>
      </c>
      <c r="EI143" s="310">
        <f t="shared" si="481"/>
        <v>3125</v>
      </c>
      <c r="EJ143" s="310">
        <f t="shared" si="481"/>
        <v>3237.9949999999972</v>
      </c>
      <c r="EK143" s="450">
        <f>EK338</f>
        <v>10872.274999999998</v>
      </c>
      <c r="EL143" s="450">
        <f t="shared" ref="EL143" si="482">EL338</f>
        <v>14678.14755</v>
      </c>
      <c r="FP143" s="310">
        <f t="shared" ref="FP143" si="483">FP338</f>
        <v>12243.833022499999</v>
      </c>
    </row>
    <row r="144" spans="1:174" x14ac:dyDescent="0.2">
      <c r="B144" s="325" t="s">
        <v>56</v>
      </c>
      <c r="DL144" s="310">
        <f>DL54</f>
        <v>142.43699999999998</v>
      </c>
      <c r="DO144" s="310">
        <f>DO54</f>
        <v>160.25399999999999</v>
      </c>
      <c r="DP144" s="310">
        <f>DP54</f>
        <v>112.12200000000001</v>
      </c>
      <c r="DQ144" s="310">
        <f>DQ54</f>
        <v>212.328</v>
      </c>
      <c r="DR144" s="310">
        <f>DR54</f>
        <v>19.882100000000037</v>
      </c>
      <c r="DU144" s="310">
        <f>DU54</f>
        <v>118.977</v>
      </c>
      <c r="DV144" s="310">
        <f>DV54</f>
        <v>47.608999999999995</v>
      </c>
      <c r="DW144" s="310">
        <f>DW54</f>
        <v>118.52</v>
      </c>
      <c r="DX144" s="310">
        <f>DX54</f>
        <v>284.63599999999997</v>
      </c>
      <c r="EA144" s="310">
        <f>EA54</f>
        <v>172.21199999999999</v>
      </c>
      <c r="EB144" s="310">
        <f>EB54</f>
        <v>111.92200000000001</v>
      </c>
      <c r="EC144" s="310">
        <f>EC54</f>
        <v>222.15200000000002</v>
      </c>
      <c r="ED144" s="310">
        <f>ED54</f>
        <v>303.36</v>
      </c>
      <c r="EE144" s="694">
        <f>EE54</f>
        <v>809.64600000000007</v>
      </c>
      <c r="EG144" s="310">
        <f t="shared" ref="EG144:EL144" si="484">EG54</f>
        <v>125.58</v>
      </c>
      <c r="EH144" s="310">
        <f t="shared" si="484"/>
        <v>150</v>
      </c>
      <c r="EI144" s="310">
        <f t="shared" si="484"/>
        <v>175</v>
      </c>
      <c r="EJ144" s="310">
        <f t="shared" si="484"/>
        <v>200</v>
      </c>
      <c r="EK144" s="450">
        <f t="shared" si="484"/>
        <v>650.57999999999993</v>
      </c>
      <c r="EL144" s="450">
        <f t="shared" si="484"/>
        <v>850</v>
      </c>
      <c r="FP144" s="310">
        <f>FP54</f>
        <v>880</v>
      </c>
    </row>
    <row r="145" spans="2:186" ht="12" x14ac:dyDescent="0.25">
      <c r="B145" s="590" t="s">
        <v>715</v>
      </c>
      <c r="C145" s="604"/>
      <c r="D145" s="604"/>
      <c r="E145" s="604"/>
      <c r="F145" s="604"/>
      <c r="G145" s="604"/>
      <c r="H145" s="604"/>
      <c r="I145" s="604"/>
      <c r="J145" s="604"/>
      <c r="K145" s="604"/>
      <c r="L145" s="604"/>
      <c r="M145" s="604"/>
      <c r="N145" s="604"/>
      <c r="O145" s="604"/>
      <c r="P145" s="604"/>
      <c r="Q145" s="604"/>
      <c r="R145" s="604"/>
      <c r="S145" s="604"/>
      <c r="T145" s="604"/>
      <c r="U145" s="604"/>
      <c r="V145" s="604"/>
      <c r="W145" s="604"/>
      <c r="X145" s="604"/>
      <c r="Y145" s="604"/>
      <c r="Z145" s="604"/>
      <c r="AA145" s="604"/>
      <c r="AB145" s="604"/>
      <c r="AC145" s="604"/>
      <c r="AD145" s="604"/>
      <c r="AE145" s="604"/>
      <c r="AF145" s="604"/>
      <c r="AG145" s="604"/>
      <c r="AH145" s="604"/>
      <c r="AI145" s="604"/>
      <c r="AJ145" s="604"/>
      <c r="AK145" s="604"/>
      <c r="AL145" s="604"/>
      <c r="AM145" s="604"/>
      <c r="AN145" s="604"/>
      <c r="AO145" s="604"/>
      <c r="AP145" s="604"/>
      <c r="AQ145" s="604"/>
      <c r="AR145" s="604"/>
      <c r="AS145" s="604"/>
      <c r="AT145" s="604"/>
      <c r="AU145" s="604"/>
      <c r="AV145" s="604"/>
      <c r="AW145" s="604"/>
      <c r="AX145" s="604"/>
      <c r="AY145" s="604"/>
      <c r="AZ145" s="604"/>
      <c r="BA145" s="604"/>
      <c r="BB145" s="604"/>
      <c r="BC145" s="604"/>
      <c r="BD145" s="604"/>
      <c r="BE145" s="604"/>
      <c r="BF145" s="604"/>
      <c r="BG145" s="604"/>
      <c r="BH145" s="604"/>
      <c r="BI145" s="604"/>
      <c r="BJ145" s="604"/>
      <c r="BK145" s="604"/>
      <c r="BL145" s="604"/>
      <c r="BM145" s="604"/>
      <c r="BN145" s="604"/>
      <c r="BO145" s="604"/>
      <c r="BP145" s="604"/>
      <c r="BQ145" s="604"/>
      <c r="BR145" s="604"/>
      <c r="BS145" s="604"/>
      <c r="BT145" s="604"/>
      <c r="BU145" s="604"/>
      <c r="BV145" s="604"/>
      <c r="BW145" s="604"/>
      <c r="BX145" s="604"/>
      <c r="BY145" s="604"/>
      <c r="BZ145" s="604"/>
      <c r="CA145" s="604"/>
      <c r="CB145" s="604"/>
      <c r="CC145" s="604"/>
      <c r="CD145" s="604"/>
      <c r="CE145" s="604"/>
      <c r="CF145" s="604"/>
      <c r="CG145" s="604"/>
      <c r="CH145" s="604"/>
      <c r="CI145" s="604"/>
      <c r="CJ145" s="604"/>
      <c r="CK145" s="604"/>
      <c r="CL145" s="604"/>
      <c r="CM145" s="604"/>
      <c r="CN145" s="604"/>
      <c r="CO145" s="604"/>
      <c r="CP145" s="604"/>
      <c r="CQ145" s="604"/>
      <c r="CR145" s="604"/>
      <c r="CS145" s="604"/>
      <c r="CT145" s="604"/>
      <c r="CU145" s="604"/>
      <c r="CV145" s="604"/>
      <c r="CW145" s="604"/>
      <c r="CX145" s="604"/>
      <c r="CY145" s="604"/>
      <c r="CZ145" s="604"/>
      <c r="DA145" s="605"/>
      <c r="DC145" s="604"/>
      <c r="DD145" s="604"/>
      <c r="DE145" s="604"/>
      <c r="DF145" s="604"/>
      <c r="DG145" s="678"/>
      <c r="DI145" s="604"/>
      <c r="DJ145" s="604"/>
      <c r="DK145" s="604"/>
      <c r="DL145" s="604"/>
      <c r="DM145" s="678"/>
      <c r="DO145" s="604"/>
      <c r="DP145" s="604"/>
      <c r="DQ145" s="604"/>
      <c r="DR145" s="604"/>
      <c r="DS145" s="678"/>
      <c r="DU145" s="604"/>
      <c r="DV145" s="604"/>
      <c r="DW145" s="604"/>
      <c r="DX145" s="604"/>
      <c r="DY145" s="678"/>
      <c r="EA145" s="591">
        <f t="shared" ref="EA145:ED145" si="485">SUM(EA141:EA144)</f>
        <v>5740.4</v>
      </c>
      <c r="EB145" s="591">
        <f t="shared" si="485"/>
        <v>5596.0999999999995</v>
      </c>
      <c r="EC145" s="591">
        <f t="shared" si="485"/>
        <v>5553.8760000000002</v>
      </c>
      <c r="ED145" s="591">
        <f t="shared" si="485"/>
        <v>7584</v>
      </c>
      <c r="EE145" s="747">
        <f>SUM(EE141:EE144)</f>
        <v>24474.376</v>
      </c>
      <c r="EG145" s="591">
        <f t="shared" ref="EG145" si="486">SUM(EG141:EG144)</f>
        <v>6279</v>
      </c>
      <c r="EH145" s="591">
        <f t="shared" ref="EH145" si="487">SUM(EH141:EH144)</f>
        <v>5870</v>
      </c>
      <c r="EI145" s="591">
        <f t="shared" ref="EI145" si="488">SUM(EI141:EI144)</f>
        <v>7930</v>
      </c>
      <c r="EJ145" s="591">
        <f t="shared" ref="EJ145" si="489">SUM(EJ141:EJ144)</f>
        <v>8297.9949999999972</v>
      </c>
      <c r="EK145" s="592">
        <f>SUM(EK141:EK144)</f>
        <v>28172.854999999996</v>
      </c>
      <c r="EL145" s="592">
        <f t="shared" ref="EL145" si="490">SUM(EL141:EL144)</f>
        <v>37458.147550000002</v>
      </c>
      <c r="FP145" s="571">
        <f t="shared" ref="FP145" si="491">SUM(FP141:FP144)</f>
        <v>30338.833022499999</v>
      </c>
    </row>
    <row r="146" spans="2:186" x14ac:dyDescent="0.2">
      <c r="EA146" s="594">
        <f>EA8-EA145</f>
        <v>0</v>
      </c>
      <c r="EB146" s="594">
        <f>EB8-EB145</f>
        <v>0</v>
      </c>
      <c r="EC146" s="594">
        <f>EC8-EC145</f>
        <v>-7.6000000000021828E-2</v>
      </c>
      <c r="ED146" s="594">
        <f>ED8-ED145</f>
        <v>0</v>
      </c>
      <c r="EE146" s="764">
        <f>EE8-EE145</f>
        <v>-7.6000000000931323E-2</v>
      </c>
      <c r="EG146" s="594">
        <f t="shared" ref="EG146:EL146" si="492">EG8-EG145</f>
        <v>0</v>
      </c>
      <c r="EH146" s="594">
        <f t="shared" si="492"/>
        <v>0</v>
      </c>
      <c r="EI146" s="594">
        <f t="shared" si="492"/>
        <v>0</v>
      </c>
      <c r="EJ146" s="594">
        <f t="shared" si="492"/>
        <v>0</v>
      </c>
      <c r="EK146" s="595">
        <f t="shared" si="492"/>
        <v>204.13999999999942</v>
      </c>
      <c r="EL146" s="595">
        <f t="shared" si="492"/>
        <v>0</v>
      </c>
      <c r="FP146" s="594">
        <f>FP8-FP145</f>
        <v>0</v>
      </c>
    </row>
    <row r="147" spans="2:186" x14ac:dyDescent="0.2">
      <c r="ED147" s="495"/>
      <c r="FP147" s="311"/>
    </row>
    <row r="148" spans="2:186" ht="12" x14ac:dyDescent="0.25">
      <c r="B148" s="561" t="s">
        <v>728</v>
      </c>
      <c r="C148" s="561"/>
      <c r="D148" s="561"/>
      <c r="E148" s="561"/>
      <c r="F148" s="561"/>
      <c r="G148" s="561"/>
      <c r="H148" s="561"/>
      <c r="I148" s="561"/>
      <c r="J148" s="561"/>
      <c r="K148" s="561"/>
      <c r="L148" s="561"/>
      <c r="M148" s="561"/>
      <c r="N148" s="561"/>
      <c r="O148" s="561"/>
      <c r="P148" s="561"/>
      <c r="Q148" s="561"/>
      <c r="R148" s="561"/>
      <c r="S148" s="561"/>
      <c r="T148" s="561"/>
      <c r="U148" s="561"/>
      <c r="V148" s="561"/>
      <c r="W148" s="561"/>
      <c r="X148" s="561"/>
      <c r="Y148" s="561"/>
      <c r="Z148" s="561"/>
      <c r="AA148" s="561"/>
      <c r="AB148" s="561"/>
      <c r="AC148" s="561"/>
      <c r="AD148" s="561"/>
      <c r="AE148" s="561"/>
      <c r="AF148" s="561"/>
      <c r="AG148" s="561"/>
      <c r="AH148" s="561"/>
      <c r="AI148" s="561"/>
      <c r="AJ148" s="561"/>
      <c r="AK148" s="561"/>
      <c r="AL148" s="561"/>
      <c r="AM148" s="561"/>
      <c r="AN148" s="561"/>
      <c r="AO148" s="561"/>
      <c r="AP148" s="561"/>
      <c r="AQ148" s="561"/>
      <c r="AR148" s="561"/>
      <c r="AS148" s="561"/>
      <c r="AT148" s="561"/>
      <c r="AU148" s="561"/>
      <c r="AV148" s="561"/>
      <c r="AW148" s="561"/>
      <c r="AX148" s="561"/>
      <c r="AY148" s="561"/>
      <c r="AZ148" s="561"/>
      <c r="BA148" s="561"/>
      <c r="BB148" s="561"/>
      <c r="BC148" s="561"/>
      <c r="BD148" s="561"/>
      <c r="BE148" s="561"/>
      <c r="BF148" s="561"/>
      <c r="BG148" s="561"/>
      <c r="BH148" s="561"/>
      <c r="BI148" s="561"/>
      <c r="BJ148" s="561"/>
      <c r="BK148" s="561"/>
      <c r="BL148" s="561"/>
      <c r="BM148" s="561"/>
      <c r="BN148" s="561"/>
      <c r="BO148" s="561"/>
      <c r="BP148" s="561"/>
      <c r="BQ148" s="561"/>
      <c r="BR148" s="561"/>
      <c r="BS148" s="561"/>
      <c r="BT148" s="561"/>
      <c r="BU148" s="561"/>
      <c r="BV148" s="561"/>
      <c r="BW148" s="561"/>
      <c r="BX148" s="561"/>
      <c r="BY148" s="561"/>
      <c r="BZ148" s="561"/>
      <c r="CA148" s="561"/>
      <c r="CB148" s="561"/>
      <c r="CC148" s="561"/>
      <c r="CD148" s="561"/>
      <c r="CE148" s="561"/>
      <c r="CF148" s="561"/>
      <c r="CG148" s="561"/>
      <c r="CH148" s="561"/>
      <c r="CI148" s="561"/>
      <c r="CJ148" s="561"/>
      <c r="CK148" s="561"/>
      <c r="CL148" s="561"/>
      <c r="CM148" s="561"/>
      <c r="CN148" s="561"/>
      <c r="CO148" s="561"/>
      <c r="CP148" s="561"/>
      <c r="CQ148" s="561"/>
      <c r="CR148" s="561"/>
      <c r="CS148" s="561"/>
      <c r="CT148" s="561"/>
      <c r="CU148" s="561"/>
      <c r="CV148" s="561"/>
      <c r="CW148" s="561"/>
      <c r="CX148" s="561"/>
      <c r="CY148" s="561"/>
      <c r="CZ148" s="561"/>
      <c r="DA148" s="757"/>
      <c r="DB148" s="738"/>
      <c r="DC148" s="561"/>
      <c r="DD148" s="561"/>
      <c r="DE148" s="561"/>
      <c r="DF148" s="561"/>
      <c r="DG148" s="561"/>
      <c r="DH148" s="738"/>
      <c r="DI148" s="561"/>
      <c r="DJ148" s="561"/>
      <c r="DK148" s="561"/>
      <c r="DL148" s="561"/>
      <c r="DM148" s="738"/>
      <c r="DN148" s="738"/>
      <c r="DO148" s="662"/>
      <c r="DP148" s="662"/>
      <c r="DQ148" s="662"/>
      <c r="DR148" s="662"/>
      <c r="DS148" s="739"/>
      <c r="DT148" s="739"/>
      <c r="DU148" s="662"/>
      <c r="DV148" s="662"/>
      <c r="DW148" s="662"/>
      <c r="DX148" s="662"/>
      <c r="DY148" s="739"/>
      <c r="DZ148" s="739"/>
      <c r="EA148" s="662"/>
      <c r="EB148" s="662"/>
      <c r="EC148" s="662"/>
      <c r="ED148" s="662"/>
      <c r="EE148" s="739"/>
      <c r="EF148" s="739"/>
      <c r="EG148" s="662"/>
      <c r="EH148" s="662"/>
      <c r="EI148" s="662"/>
      <c r="EJ148" s="662"/>
      <c r="EK148" s="758"/>
      <c r="EL148" s="758"/>
      <c r="EM148" s="587"/>
      <c r="FA148" s="586">
        <f t="shared" ref="FA148:FP148" si="493">FA$3</f>
        <v>2013</v>
      </c>
      <c r="FB148" s="586">
        <f t="shared" si="493"/>
        <v>2014</v>
      </c>
      <c r="FC148" s="586">
        <f t="shared" si="493"/>
        <v>2015</v>
      </c>
      <c r="FD148" s="586">
        <f t="shared" si="493"/>
        <v>2016</v>
      </c>
      <c r="FE148" s="586">
        <f t="shared" si="493"/>
        <v>2017</v>
      </c>
      <c r="FF148" s="586">
        <f t="shared" si="493"/>
        <v>2018</v>
      </c>
      <c r="FG148" s="586">
        <f t="shared" si="493"/>
        <v>2019</v>
      </c>
      <c r="FH148" s="586">
        <f t="shared" si="493"/>
        <v>2020</v>
      </c>
      <c r="FI148" s="586">
        <f t="shared" si="493"/>
        <v>2021</v>
      </c>
      <c r="FJ148" s="586">
        <f t="shared" si="493"/>
        <v>2022</v>
      </c>
      <c r="FK148" s="586">
        <f t="shared" si="493"/>
        <v>2023</v>
      </c>
      <c r="FL148" s="586">
        <f t="shared" si="493"/>
        <v>2024</v>
      </c>
      <c r="FM148" s="586" t="str">
        <f t="shared" si="493"/>
        <v>2025e</v>
      </c>
      <c r="FN148" s="586" t="str">
        <f t="shared" si="493"/>
        <v>2026e</v>
      </c>
      <c r="FO148" s="586" t="str">
        <f t="shared" si="493"/>
        <v>2027e</v>
      </c>
      <c r="FP148" s="586" t="str">
        <f t="shared" si="493"/>
        <v>2028e</v>
      </c>
      <c r="FQ148" s="586" t="str">
        <f>FQ$3</f>
        <v>2029e</v>
      </c>
      <c r="FR148" s="586" t="str">
        <f>FR$3</f>
        <v>2030e</v>
      </c>
    </row>
    <row r="149" spans="2:186" x14ac:dyDescent="0.2">
      <c r="FP149" s="311"/>
    </row>
    <row r="150" spans="2:186" x14ac:dyDescent="0.2">
      <c r="B150" s="588" t="s">
        <v>629</v>
      </c>
      <c r="FP150" s="311"/>
    </row>
    <row r="151" spans="2:186" x14ac:dyDescent="0.2">
      <c r="B151" s="311" t="s">
        <v>581</v>
      </c>
      <c r="C151" s="322" t="s">
        <v>617</v>
      </c>
      <c r="DO151" s="356">
        <v>0</v>
      </c>
      <c r="DP151" s="356">
        <v>0</v>
      </c>
      <c r="DQ151" s="356">
        <v>0</v>
      </c>
      <c r="DR151" s="356">
        <v>0</v>
      </c>
      <c r="DS151" s="400">
        <f t="shared" ref="DS151:DS156" si="494">SUM(DO151:DR151)</f>
        <v>0</v>
      </c>
      <c r="DU151" s="356">
        <v>1</v>
      </c>
      <c r="DV151" s="356">
        <v>9</v>
      </c>
      <c r="DW151" s="356">
        <v>5</v>
      </c>
      <c r="DX151" s="356">
        <v>8</v>
      </c>
      <c r="DY151" s="741">
        <f t="shared" ref="DY151:DY156" si="495">SUM(DU151:DX151)</f>
        <v>23</v>
      </c>
      <c r="EA151" s="356">
        <v>0</v>
      </c>
      <c r="EB151" s="356">
        <v>6</v>
      </c>
      <c r="EC151" s="356">
        <v>7</v>
      </c>
      <c r="ED151" s="356">
        <v>11</v>
      </c>
      <c r="EE151" s="750">
        <f t="shared" ref="EE151:EE156" si="496">SUM(EA151:ED151)</f>
        <v>24</v>
      </c>
      <c r="EG151" s="356">
        <v>12</v>
      </c>
      <c r="EH151" s="356">
        <v>11</v>
      </c>
      <c r="EI151" s="356">
        <v>5</v>
      </c>
      <c r="EJ151" s="356">
        <v>1</v>
      </c>
      <c r="EK151" s="578">
        <f t="shared" ref="EK151:EK156" si="497">SUM(EG151:EJ151)</f>
        <v>29</v>
      </c>
      <c r="EL151" s="535">
        <v>25</v>
      </c>
      <c r="EM151" s="589"/>
      <c r="EN151" s="311" t="s">
        <v>760</v>
      </c>
      <c r="FK151" s="310">
        <f t="shared" ref="FK151:FK156" si="498">DS151</f>
        <v>0</v>
      </c>
      <c r="FL151" s="310">
        <f t="shared" ref="FL151:FL156" si="499">DY151</f>
        <v>23</v>
      </c>
      <c r="FM151" s="310">
        <f t="shared" ref="FM151:FM156" si="500">EE151</f>
        <v>24</v>
      </c>
      <c r="FN151" s="373">
        <f t="shared" ref="FN151:FO156" si="501">EK151</f>
        <v>29</v>
      </c>
      <c r="FO151" s="373">
        <f t="shared" si="501"/>
        <v>25</v>
      </c>
      <c r="FP151" s="356">
        <v>28</v>
      </c>
      <c r="FQ151" s="356">
        <v>25</v>
      </c>
      <c r="FR151" s="356">
        <v>28</v>
      </c>
    </row>
    <row r="152" spans="2:186" x14ac:dyDescent="0.2">
      <c r="B152" s="311" t="s">
        <v>582</v>
      </c>
      <c r="C152" s="322" t="s">
        <v>617</v>
      </c>
      <c r="DO152" s="356">
        <v>5</v>
      </c>
      <c r="DP152" s="356">
        <v>3</v>
      </c>
      <c r="DQ152" s="356">
        <v>1</v>
      </c>
      <c r="DR152" s="356">
        <v>9</v>
      </c>
      <c r="DS152" s="400">
        <f t="shared" si="494"/>
        <v>18</v>
      </c>
      <c r="DU152" s="356">
        <v>2</v>
      </c>
      <c r="DV152" s="356">
        <v>3</v>
      </c>
      <c r="DW152" s="356">
        <v>0</v>
      </c>
      <c r="DX152" s="356">
        <v>3</v>
      </c>
      <c r="DY152" s="741">
        <f t="shared" si="495"/>
        <v>8</v>
      </c>
      <c r="EA152" s="356">
        <v>1</v>
      </c>
      <c r="EB152" s="356">
        <v>0</v>
      </c>
      <c r="EC152" s="356">
        <v>3</v>
      </c>
      <c r="ED152" s="356">
        <f>11+2</f>
        <v>13</v>
      </c>
      <c r="EE152" s="741">
        <f t="shared" si="496"/>
        <v>17</v>
      </c>
      <c r="EG152" s="356">
        <v>4</v>
      </c>
      <c r="EH152" s="356">
        <v>4</v>
      </c>
      <c r="EI152" s="356">
        <v>3</v>
      </c>
      <c r="EJ152" s="356">
        <v>2</v>
      </c>
      <c r="EK152" s="578">
        <f t="shared" si="497"/>
        <v>13</v>
      </c>
      <c r="EL152" s="535">
        <v>5</v>
      </c>
      <c r="EM152" s="589"/>
      <c r="EN152" s="311" t="s">
        <v>761</v>
      </c>
      <c r="FK152" s="310">
        <f t="shared" si="498"/>
        <v>18</v>
      </c>
      <c r="FL152" s="310">
        <f t="shared" si="499"/>
        <v>8</v>
      </c>
      <c r="FM152" s="310">
        <f t="shared" si="500"/>
        <v>17</v>
      </c>
      <c r="FN152" s="373">
        <f t="shared" si="501"/>
        <v>13</v>
      </c>
      <c r="FO152" s="373">
        <f t="shared" si="501"/>
        <v>5</v>
      </c>
      <c r="FP152" s="356">
        <v>14</v>
      </c>
      <c r="FQ152" s="356">
        <v>12</v>
      </c>
      <c r="FR152" s="356">
        <v>12</v>
      </c>
    </row>
    <row r="153" spans="2:186" x14ac:dyDescent="0.2">
      <c r="B153" s="311" t="s">
        <v>583</v>
      </c>
      <c r="C153" s="322" t="s">
        <v>617</v>
      </c>
      <c r="DO153" s="356">
        <v>2</v>
      </c>
      <c r="DP153" s="356">
        <v>2</v>
      </c>
      <c r="DQ153" s="356">
        <v>0</v>
      </c>
      <c r="DR153" s="356">
        <v>10</v>
      </c>
      <c r="DS153" s="400">
        <f t="shared" si="494"/>
        <v>14</v>
      </c>
      <c r="DU153" s="356">
        <v>0</v>
      </c>
      <c r="DV153" s="356">
        <v>0</v>
      </c>
      <c r="DW153" s="356">
        <v>0</v>
      </c>
      <c r="DX153" s="356">
        <v>0</v>
      </c>
      <c r="DY153" s="741">
        <f t="shared" si="495"/>
        <v>0</v>
      </c>
      <c r="EA153" s="356">
        <v>0</v>
      </c>
      <c r="EB153" s="356">
        <v>0</v>
      </c>
      <c r="EC153" s="356">
        <v>0</v>
      </c>
      <c r="ED153" s="356">
        <v>0</v>
      </c>
      <c r="EE153" s="741">
        <f t="shared" si="496"/>
        <v>0</v>
      </c>
      <c r="EG153" s="356">
        <v>2</v>
      </c>
      <c r="EH153" s="356">
        <v>2</v>
      </c>
      <c r="EI153" s="356">
        <v>0</v>
      </c>
      <c r="EJ153" s="356">
        <v>0</v>
      </c>
      <c r="EK153" s="578">
        <f t="shared" si="497"/>
        <v>4</v>
      </c>
      <c r="EL153" s="535">
        <v>8</v>
      </c>
      <c r="EM153" s="589"/>
      <c r="EN153" s="311" t="s">
        <v>762</v>
      </c>
      <c r="FK153" s="310">
        <f t="shared" si="498"/>
        <v>14</v>
      </c>
      <c r="FL153" s="310">
        <f t="shared" si="499"/>
        <v>0</v>
      </c>
      <c r="FM153" s="310">
        <f t="shared" si="500"/>
        <v>0</v>
      </c>
      <c r="FN153" s="373">
        <f t="shared" si="501"/>
        <v>4</v>
      </c>
      <c r="FO153" s="373">
        <f t="shared" si="501"/>
        <v>8</v>
      </c>
      <c r="FP153" s="356">
        <v>8</v>
      </c>
      <c r="FQ153" s="356">
        <v>10</v>
      </c>
      <c r="FR153" s="356">
        <v>10</v>
      </c>
    </row>
    <row r="154" spans="2:186" x14ac:dyDescent="0.2">
      <c r="B154" s="311" t="s">
        <v>585</v>
      </c>
      <c r="C154" s="322" t="s">
        <v>617</v>
      </c>
      <c r="DO154" s="356">
        <v>0</v>
      </c>
      <c r="DP154" s="356">
        <v>0</v>
      </c>
      <c r="DQ154" s="356">
        <v>0</v>
      </c>
      <c r="DR154" s="356">
        <v>2</v>
      </c>
      <c r="DS154" s="400">
        <f t="shared" si="494"/>
        <v>2</v>
      </c>
      <c r="DU154" s="356">
        <v>0</v>
      </c>
      <c r="DV154" s="356">
        <v>1</v>
      </c>
      <c r="DW154" s="356">
        <v>2</v>
      </c>
      <c r="DX154" s="356">
        <v>2</v>
      </c>
      <c r="DY154" s="741">
        <f t="shared" si="495"/>
        <v>5</v>
      </c>
      <c r="EA154" s="356">
        <v>2</v>
      </c>
      <c r="EB154" s="356">
        <v>2</v>
      </c>
      <c r="EC154" s="356">
        <v>6</v>
      </c>
      <c r="ED154" s="356">
        <v>8</v>
      </c>
      <c r="EE154" s="741">
        <f t="shared" si="496"/>
        <v>18</v>
      </c>
      <c r="EG154" s="356">
        <v>2</v>
      </c>
      <c r="EH154" s="356">
        <v>3</v>
      </c>
      <c r="EI154" s="356">
        <v>2</v>
      </c>
      <c r="EJ154" s="356">
        <v>2</v>
      </c>
      <c r="EK154" s="578">
        <f t="shared" si="497"/>
        <v>9</v>
      </c>
      <c r="EL154" s="535">
        <v>8</v>
      </c>
      <c r="EM154" s="589"/>
      <c r="EN154" s="311" t="s">
        <v>763</v>
      </c>
      <c r="FK154" s="310">
        <f t="shared" si="498"/>
        <v>2</v>
      </c>
      <c r="FL154" s="310">
        <f t="shared" si="499"/>
        <v>5</v>
      </c>
      <c r="FM154" s="310">
        <f t="shared" si="500"/>
        <v>18</v>
      </c>
      <c r="FN154" s="373">
        <f t="shared" si="501"/>
        <v>9</v>
      </c>
      <c r="FO154" s="373">
        <f t="shared" si="501"/>
        <v>8</v>
      </c>
      <c r="FP154" s="356">
        <v>12</v>
      </c>
      <c r="FQ154" s="356">
        <v>12</v>
      </c>
      <c r="FR154" s="356">
        <v>12</v>
      </c>
    </row>
    <row r="155" spans="2:186" x14ac:dyDescent="0.2">
      <c r="B155" s="311" t="s">
        <v>584</v>
      </c>
      <c r="C155" s="322" t="s">
        <v>617</v>
      </c>
      <c r="DO155" s="356">
        <v>0</v>
      </c>
      <c r="DP155" s="356">
        <v>0</v>
      </c>
      <c r="DQ155" s="356">
        <v>0</v>
      </c>
      <c r="DR155" s="356">
        <v>3</v>
      </c>
      <c r="DS155" s="400">
        <f t="shared" si="494"/>
        <v>3</v>
      </c>
      <c r="DU155" s="356">
        <v>0</v>
      </c>
      <c r="DV155" s="356">
        <v>0</v>
      </c>
      <c r="DW155" s="356">
        <v>0</v>
      </c>
      <c r="DX155" s="356">
        <v>2</v>
      </c>
      <c r="DY155" s="741">
        <f t="shared" si="495"/>
        <v>2</v>
      </c>
      <c r="EA155" s="356">
        <v>3</v>
      </c>
      <c r="EB155" s="356">
        <v>0</v>
      </c>
      <c r="EC155" s="356">
        <v>0</v>
      </c>
      <c r="ED155" s="356">
        <v>1</v>
      </c>
      <c r="EE155" s="741">
        <f t="shared" si="496"/>
        <v>4</v>
      </c>
      <c r="EG155" s="356">
        <v>2</v>
      </c>
      <c r="EH155" s="356">
        <v>3</v>
      </c>
      <c r="EI155" s="356">
        <v>3</v>
      </c>
      <c r="EJ155" s="356">
        <v>2</v>
      </c>
      <c r="EK155" s="578">
        <f t="shared" si="497"/>
        <v>10</v>
      </c>
      <c r="EL155" s="535">
        <v>6</v>
      </c>
      <c r="EM155" s="589"/>
      <c r="EN155" s="311" t="s">
        <v>764</v>
      </c>
      <c r="FK155" s="310">
        <f t="shared" si="498"/>
        <v>3</v>
      </c>
      <c r="FL155" s="310">
        <f t="shared" si="499"/>
        <v>2</v>
      </c>
      <c r="FM155" s="310">
        <f t="shared" si="500"/>
        <v>4</v>
      </c>
      <c r="FN155" s="373">
        <f t="shared" si="501"/>
        <v>10</v>
      </c>
      <c r="FO155" s="373">
        <f t="shared" si="501"/>
        <v>6</v>
      </c>
      <c r="FP155" s="356">
        <v>10</v>
      </c>
      <c r="FQ155" s="356">
        <v>10</v>
      </c>
      <c r="FR155" s="356">
        <v>10</v>
      </c>
    </row>
    <row r="156" spans="2:186" x14ac:dyDescent="0.2">
      <c r="B156" s="382" t="s">
        <v>164</v>
      </c>
      <c r="C156" s="350" t="s">
        <v>617</v>
      </c>
      <c r="DO156" s="356">
        <v>0</v>
      </c>
      <c r="DP156" s="356">
        <v>0</v>
      </c>
      <c r="DQ156" s="356">
        <v>0</v>
      </c>
      <c r="DR156" s="356">
        <v>1</v>
      </c>
      <c r="DS156" s="400">
        <f t="shared" si="494"/>
        <v>1</v>
      </c>
      <c r="DU156" s="356">
        <v>0</v>
      </c>
      <c r="DV156" s="356">
        <v>0</v>
      </c>
      <c r="DW156" s="356">
        <v>0</v>
      </c>
      <c r="DX156" s="356">
        <v>0</v>
      </c>
      <c r="DY156" s="741">
        <f t="shared" si="495"/>
        <v>0</v>
      </c>
      <c r="EA156" s="356">
        <v>0</v>
      </c>
      <c r="EB156" s="356">
        <v>0</v>
      </c>
      <c r="EC156" s="356">
        <v>0</v>
      </c>
      <c r="ED156" s="356">
        <v>0</v>
      </c>
      <c r="EE156" s="741">
        <f t="shared" si="496"/>
        <v>0</v>
      </c>
      <c r="EG156" s="356">
        <v>0</v>
      </c>
      <c r="EH156" s="356">
        <v>1</v>
      </c>
      <c r="EI156" s="356">
        <v>0</v>
      </c>
      <c r="EJ156" s="356">
        <v>0</v>
      </c>
      <c r="EK156" s="578">
        <f t="shared" si="497"/>
        <v>1</v>
      </c>
      <c r="EL156" s="535">
        <v>0</v>
      </c>
      <c r="EM156" s="589"/>
      <c r="EN156" s="311" t="s">
        <v>765</v>
      </c>
      <c r="FK156" s="310">
        <f t="shared" si="498"/>
        <v>1</v>
      </c>
      <c r="FL156" s="310">
        <f t="shared" si="499"/>
        <v>0</v>
      </c>
      <c r="FM156" s="310">
        <f t="shared" si="500"/>
        <v>0</v>
      </c>
      <c r="FN156" s="373">
        <f t="shared" si="501"/>
        <v>1</v>
      </c>
      <c r="FO156" s="373">
        <f t="shared" si="501"/>
        <v>0</v>
      </c>
      <c r="FP156" s="356">
        <v>1</v>
      </c>
      <c r="FQ156" s="356">
        <v>2</v>
      </c>
      <c r="FR156" s="356">
        <v>2</v>
      </c>
    </row>
    <row r="157" spans="2:186" ht="12" x14ac:dyDescent="0.25">
      <c r="B157" s="590" t="s">
        <v>249</v>
      </c>
      <c r="C157" s="351" t="s">
        <v>617</v>
      </c>
      <c r="DO157" s="591">
        <f>SUM(DO151:DO156)</f>
        <v>7</v>
      </c>
      <c r="DP157" s="591">
        <f>SUM(DP151:DP156)</f>
        <v>5</v>
      </c>
      <c r="DQ157" s="591">
        <f>SUM(DQ151:DQ156)</f>
        <v>1</v>
      </c>
      <c r="DR157" s="591">
        <f>SUM(DR151:DR156)</f>
        <v>25</v>
      </c>
      <c r="DS157" s="747">
        <f>SUM(DS151:DS156)</f>
        <v>38</v>
      </c>
      <c r="DU157" s="591">
        <f>SUM(DU151:DU156)</f>
        <v>3</v>
      </c>
      <c r="DV157" s="591">
        <f>SUM(DV151:DV156)</f>
        <v>13</v>
      </c>
      <c r="DW157" s="591">
        <f>SUM(DW151:DW156)</f>
        <v>7</v>
      </c>
      <c r="DX157" s="591">
        <f>SUM(DX151:DX156)</f>
        <v>15</v>
      </c>
      <c r="DY157" s="747">
        <f>SUM(DY151:DY156)</f>
        <v>38</v>
      </c>
      <c r="EA157" s="591">
        <f>SUM(EA151:EA156)</f>
        <v>6</v>
      </c>
      <c r="EB157" s="591">
        <f>SUM(EB151:EB156)</f>
        <v>8</v>
      </c>
      <c r="EC157" s="591">
        <f>SUM(EC151:EC156)</f>
        <v>16</v>
      </c>
      <c r="ED157" s="591">
        <f>SUM(ED151:ED156)</f>
        <v>33</v>
      </c>
      <c r="EE157" s="747">
        <f>SUM(EE151:EE156)</f>
        <v>63</v>
      </c>
      <c r="EG157" s="591">
        <f t="shared" ref="EG157:EL157" si="502">SUM(EG151:EG156)</f>
        <v>22</v>
      </c>
      <c r="EH157" s="591">
        <f t="shared" si="502"/>
        <v>24</v>
      </c>
      <c r="EI157" s="591">
        <f t="shared" si="502"/>
        <v>13</v>
      </c>
      <c r="EJ157" s="591">
        <f t="shared" si="502"/>
        <v>7</v>
      </c>
      <c r="EK157" s="592">
        <f t="shared" si="502"/>
        <v>66</v>
      </c>
      <c r="EL157" s="592">
        <f t="shared" si="502"/>
        <v>52</v>
      </c>
      <c r="EM157" s="593"/>
      <c r="FK157" s="591">
        <f t="shared" ref="FK157:FR157" si="503">SUM(FK151:FK156)</f>
        <v>38</v>
      </c>
      <c r="FL157" s="591">
        <f t="shared" si="503"/>
        <v>38</v>
      </c>
      <c r="FM157" s="591">
        <f t="shared" si="503"/>
        <v>63</v>
      </c>
      <c r="FN157" s="591">
        <f t="shared" si="503"/>
        <v>66</v>
      </c>
      <c r="FO157" s="591">
        <f t="shared" si="503"/>
        <v>52</v>
      </c>
      <c r="FP157" s="591">
        <f t="shared" si="503"/>
        <v>73</v>
      </c>
      <c r="FQ157" s="591">
        <f t="shared" si="503"/>
        <v>71</v>
      </c>
      <c r="FR157" s="591">
        <f t="shared" si="503"/>
        <v>74</v>
      </c>
      <c r="FT157" s="413"/>
      <c r="FU157" s="413"/>
      <c r="FV157" s="413"/>
      <c r="FW157" s="413"/>
      <c r="FX157" s="413"/>
      <c r="FY157" s="413"/>
      <c r="FZ157" s="413"/>
      <c r="GA157" s="413"/>
      <c r="GB157" s="413"/>
      <c r="GC157" s="413"/>
      <c r="GD157" s="413"/>
    </row>
    <row r="158" spans="2:186" x14ac:dyDescent="0.2">
      <c r="DO158" s="594">
        <f>DO157-DO109</f>
        <v>0</v>
      </c>
      <c r="DP158" s="594">
        <f>DP157-DP109</f>
        <v>0</v>
      </c>
      <c r="DQ158" s="594">
        <f>DQ157-DQ109</f>
        <v>0</v>
      </c>
      <c r="DR158" s="594">
        <f>DR157-DR109</f>
        <v>0</v>
      </c>
      <c r="DS158" s="764">
        <f>DS157-DS109</f>
        <v>0</v>
      </c>
      <c r="DU158" s="594">
        <f>DU157-DU109</f>
        <v>0</v>
      </c>
      <c r="DV158" s="594">
        <f>DV157-DV109</f>
        <v>0</v>
      </c>
      <c r="DW158" s="594">
        <f>DW157-DW109</f>
        <v>0</v>
      </c>
      <c r="DX158" s="594">
        <f>DX157-DX109</f>
        <v>0</v>
      </c>
      <c r="DY158" s="764">
        <f>DY157-DY109</f>
        <v>0</v>
      </c>
      <c r="EA158" s="594">
        <f>EA157-EA109</f>
        <v>0</v>
      </c>
      <c r="EB158" s="594">
        <f t="shared" ref="EB158:ED158" si="504">EB157-EB109</f>
        <v>0</v>
      </c>
      <c r="EC158" s="594">
        <f t="shared" si="504"/>
        <v>0</v>
      </c>
      <c r="ED158" s="594">
        <f t="shared" si="504"/>
        <v>0</v>
      </c>
      <c r="FP158" s="311"/>
      <c r="FT158" s="413"/>
      <c r="FU158" s="413"/>
      <c r="FV158" s="413"/>
      <c r="FW158" s="413"/>
      <c r="FX158" s="413"/>
      <c r="FY158" s="413"/>
      <c r="FZ158" s="413"/>
      <c r="GA158" s="413"/>
      <c r="GB158" s="413"/>
      <c r="GC158" s="413"/>
      <c r="GD158" s="413"/>
    </row>
    <row r="159" spans="2:186" ht="12" x14ac:dyDescent="0.25">
      <c r="B159" s="588" t="s">
        <v>628</v>
      </c>
      <c r="DZ159" s="831"/>
      <c r="EC159" s="867">
        <f>(360+4*220*1.8)/EC134</f>
        <v>0.35003060967265653</v>
      </c>
      <c r="EN159" s="444" t="s">
        <v>611</v>
      </c>
      <c r="EO159" s="444"/>
      <c r="FP159" s="311"/>
      <c r="FT159" s="413"/>
      <c r="FU159" s="413"/>
      <c r="FV159" s="587"/>
      <c r="FW159" s="587"/>
      <c r="FX159" s="587"/>
      <c r="FY159" s="587"/>
      <c r="FZ159" s="587"/>
      <c r="GA159" s="587"/>
      <c r="GB159" s="587"/>
      <c r="GC159" s="413"/>
      <c r="GD159" s="413"/>
    </row>
    <row r="160" spans="2:186" x14ac:dyDescent="0.2">
      <c r="B160" s="311" t="s">
        <v>581</v>
      </c>
      <c r="C160" s="322" t="s">
        <v>617</v>
      </c>
      <c r="DI160" s="372">
        <v>1</v>
      </c>
      <c r="DJ160" s="372">
        <v>7</v>
      </c>
      <c r="DK160" s="372">
        <v>6</v>
      </c>
      <c r="DL160" s="372">
        <v>7</v>
      </c>
      <c r="DM160" s="813">
        <f>SUM(DI160:DL160)</f>
        <v>21</v>
      </c>
      <c r="DO160" s="372">
        <v>7</v>
      </c>
      <c r="DP160" s="372">
        <v>4</v>
      </c>
      <c r="DQ160" s="372">
        <v>3</v>
      </c>
      <c r="DR160" s="372">
        <v>3</v>
      </c>
      <c r="DS160" s="813">
        <f>SUM(DO160:DR160)</f>
        <v>17</v>
      </c>
      <c r="DU160" s="372">
        <v>1</v>
      </c>
      <c r="DV160" s="372">
        <v>4</v>
      </c>
      <c r="DW160" s="372">
        <v>4</v>
      </c>
      <c r="DX160" s="372">
        <v>5</v>
      </c>
      <c r="DY160" s="813">
        <f>SUM(DU160:DX160)</f>
        <v>14</v>
      </c>
      <c r="EA160" s="372">
        <v>4</v>
      </c>
      <c r="EB160" s="542">
        <v>5</v>
      </c>
      <c r="EC160" s="542">
        <v>4</v>
      </c>
      <c r="ED160" s="542">
        <v>4</v>
      </c>
      <c r="EE160" s="812">
        <f>SUM(EA160:ED160)</f>
        <v>17</v>
      </c>
      <c r="EG160" s="542">
        <v>7</v>
      </c>
      <c r="EH160" s="542">
        <v>7</v>
      </c>
      <c r="EI160" s="542">
        <v>7</v>
      </c>
      <c r="EJ160" s="576">
        <f>EK160-SUM(EG160:EI160)</f>
        <v>7</v>
      </c>
      <c r="EK160" s="530">
        <v>28</v>
      </c>
      <c r="EL160" s="530">
        <f>30/60*21+35/60*21+45/60*23</f>
        <v>40</v>
      </c>
      <c r="EM160" s="589"/>
      <c r="EN160" s="311" t="s">
        <v>772</v>
      </c>
      <c r="FJ160" s="310">
        <f>DM160</f>
        <v>21</v>
      </c>
      <c r="FK160" s="310">
        <f>DS160</f>
        <v>17</v>
      </c>
      <c r="FL160" s="310">
        <f>DY160</f>
        <v>14</v>
      </c>
      <c r="FM160" s="310">
        <f t="shared" ref="FM160:FM167" si="505">EE160</f>
        <v>17</v>
      </c>
      <c r="FN160" s="373">
        <f>EK160</f>
        <v>28</v>
      </c>
      <c r="FO160" s="373">
        <f>EL160</f>
        <v>40</v>
      </c>
      <c r="FP160" s="532">
        <v>26</v>
      </c>
      <c r="FQ160" s="356">
        <v>29</v>
      </c>
      <c r="FR160" s="356">
        <v>29</v>
      </c>
      <c r="FT160" s="413"/>
      <c r="FU160" s="413"/>
      <c r="FV160" s="596"/>
      <c r="FW160" s="596"/>
      <c r="FX160" s="596"/>
      <c r="FY160" s="596"/>
      <c r="FZ160" s="596"/>
      <c r="GA160" s="596"/>
      <c r="GB160" s="596"/>
      <c r="GC160" s="413"/>
      <c r="GD160" s="413"/>
    </row>
    <row r="161" spans="2:186" x14ac:dyDescent="0.2">
      <c r="B161" s="325" t="s">
        <v>687</v>
      </c>
      <c r="C161" s="322"/>
      <c r="DI161" s="372"/>
      <c r="DJ161" s="372"/>
      <c r="DK161" s="372"/>
      <c r="DL161" s="372"/>
      <c r="DM161" s="750"/>
      <c r="DO161" s="355"/>
      <c r="DP161" s="355"/>
      <c r="DQ161" s="355"/>
      <c r="DR161" s="355"/>
      <c r="DS161" s="750"/>
      <c r="DU161" s="355"/>
      <c r="DV161" s="355"/>
      <c r="DW161" s="355"/>
      <c r="DX161" s="355"/>
      <c r="DY161" s="834">
        <v>3</v>
      </c>
      <c r="EA161" s="883"/>
      <c r="EB161" s="884"/>
      <c r="EC161" s="884"/>
      <c r="ED161" s="884">
        <v>0</v>
      </c>
      <c r="EE161" s="885">
        <f>SUM(EA161:ED161)</f>
        <v>0</v>
      </c>
      <c r="EG161" s="884">
        <v>1</v>
      </c>
      <c r="EH161" s="884">
        <v>0</v>
      </c>
      <c r="EI161" s="884">
        <v>1</v>
      </c>
      <c r="EJ161" s="884">
        <v>2</v>
      </c>
      <c r="EK161" s="896">
        <f>SUM(EG161:EJ161)</f>
        <v>4</v>
      </c>
      <c r="EL161" s="886">
        <v>6</v>
      </c>
      <c r="EM161" s="589"/>
      <c r="EN161" s="311" t="s">
        <v>766</v>
      </c>
      <c r="FJ161" s="310"/>
      <c r="FK161" s="310"/>
      <c r="FL161" s="310"/>
      <c r="FM161" s="310">
        <f t="shared" si="505"/>
        <v>0</v>
      </c>
      <c r="FN161" s="373">
        <f t="shared" ref="FN161" si="506">EK161</f>
        <v>4</v>
      </c>
      <c r="FO161" s="373">
        <f t="shared" ref="FO161" si="507">EL161</f>
        <v>6</v>
      </c>
      <c r="FP161" s="532">
        <v>7</v>
      </c>
      <c r="FQ161" s="356"/>
      <c r="FR161" s="356"/>
      <c r="FT161" s="413"/>
      <c r="FU161" s="413"/>
      <c r="FV161" s="596"/>
      <c r="FW161" s="596"/>
      <c r="FX161" s="596"/>
      <c r="FY161" s="596"/>
      <c r="FZ161" s="596"/>
      <c r="GA161" s="596"/>
      <c r="GB161" s="596"/>
      <c r="GC161" s="413"/>
      <c r="GD161" s="413"/>
    </row>
    <row r="162" spans="2:186" x14ac:dyDescent="0.2">
      <c r="B162" s="325" t="s">
        <v>688</v>
      </c>
      <c r="C162" s="322"/>
      <c r="DI162" s="372"/>
      <c r="DJ162" s="372"/>
      <c r="DK162" s="372"/>
      <c r="DL162" s="372"/>
      <c r="DM162" s="750"/>
      <c r="DO162" s="355"/>
      <c r="DP162" s="355"/>
      <c r="DQ162" s="355"/>
      <c r="DR162" s="355"/>
      <c r="DS162" s="750"/>
      <c r="DU162" s="891"/>
      <c r="DV162" s="891"/>
      <c r="DW162" s="891"/>
      <c r="DX162" s="891"/>
      <c r="DY162" s="892">
        <v>7</v>
      </c>
      <c r="EA162" s="889">
        <f>EA163-EA161</f>
        <v>3</v>
      </c>
      <c r="EB162" s="889">
        <f>EB163-EB161</f>
        <v>3</v>
      </c>
      <c r="EC162" s="889">
        <f>EC163-EC161</f>
        <v>1</v>
      </c>
      <c r="ED162" s="889">
        <v>3</v>
      </c>
      <c r="EE162" s="890">
        <f>SUM(EA162:ED162)</f>
        <v>10</v>
      </c>
      <c r="EG162" s="887">
        <v>3</v>
      </c>
      <c r="EH162" s="887">
        <v>4</v>
      </c>
      <c r="EI162" s="887">
        <v>4</v>
      </c>
      <c r="EJ162" s="889">
        <v>4</v>
      </c>
      <c r="EK162" s="897">
        <f>SUM(EG162:EJ162)</f>
        <v>15</v>
      </c>
      <c r="EL162" s="888">
        <v>14</v>
      </c>
      <c r="EM162" s="589"/>
      <c r="EN162" s="311" t="s">
        <v>767</v>
      </c>
      <c r="FJ162" s="310"/>
      <c r="FK162" s="310"/>
      <c r="FL162" s="310"/>
      <c r="FM162" s="310">
        <f t="shared" si="505"/>
        <v>10</v>
      </c>
      <c r="FN162" s="373">
        <f t="shared" ref="FN162" si="508">EK162</f>
        <v>15</v>
      </c>
      <c r="FO162" s="373">
        <f t="shared" ref="FO162" si="509">EL162</f>
        <v>14</v>
      </c>
      <c r="FP162" s="532">
        <v>10</v>
      </c>
      <c r="FQ162" s="356"/>
      <c r="FR162" s="356"/>
      <c r="FT162" s="413"/>
      <c r="FU162" s="413"/>
      <c r="FV162" s="596"/>
      <c r="FW162" s="596"/>
      <c r="FX162" s="596"/>
      <c r="FY162" s="596"/>
      <c r="FZ162" s="596"/>
      <c r="GA162" s="596"/>
      <c r="GB162" s="596"/>
      <c r="GC162" s="413"/>
      <c r="GD162" s="413"/>
    </row>
    <row r="163" spans="2:186" x14ac:dyDescent="0.2">
      <c r="B163" s="311" t="s">
        <v>582</v>
      </c>
      <c r="C163" s="322" t="s">
        <v>617</v>
      </c>
      <c r="DI163" s="372">
        <v>1</v>
      </c>
      <c r="DJ163" s="372">
        <v>3</v>
      </c>
      <c r="DK163" s="372">
        <v>3</v>
      </c>
      <c r="DL163" s="372">
        <v>4</v>
      </c>
      <c r="DM163" s="813">
        <f>SUM(DI163:DL163)</f>
        <v>11</v>
      </c>
      <c r="DO163" s="372">
        <v>7</v>
      </c>
      <c r="DP163" s="372">
        <v>5</v>
      </c>
      <c r="DQ163" s="372">
        <v>6</v>
      </c>
      <c r="DR163" s="372">
        <v>6</v>
      </c>
      <c r="DS163" s="813">
        <f>SUM(DO163:DR163)</f>
        <v>24</v>
      </c>
      <c r="DU163" s="372">
        <v>3</v>
      </c>
      <c r="DV163" s="372">
        <v>2</v>
      </c>
      <c r="DW163" s="372">
        <v>2</v>
      </c>
      <c r="DX163" s="372">
        <v>3</v>
      </c>
      <c r="DY163" s="813">
        <f>SUM(DY161:DY162)</f>
        <v>10</v>
      </c>
      <c r="EA163" s="372">
        <v>3</v>
      </c>
      <c r="EB163" s="542">
        <v>3</v>
      </c>
      <c r="EC163" s="542">
        <v>1</v>
      </c>
      <c r="ED163" s="374">
        <f>EE163-EC163-EB163-EA163</f>
        <v>3</v>
      </c>
      <c r="EE163" s="813">
        <f>EE161+EE162</f>
        <v>10</v>
      </c>
      <c r="EG163" s="372">
        <f>SUM(EG161:EG162)</f>
        <v>4</v>
      </c>
      <c r="EH163" s="372">
        <f t="shared" ref="EH163:EI163" si="510">SUM(EH161:EH162)</f>
        <v>4</v>
      </c>
      <c r="EI163" s="372">
        <f t="shared" si="510"/>
        <v>5</v>
      </c>
      <c r="EJ163" s="576">
        <f>SUM(EJ161:EJ162)</f>
        <v>6</v>
      </c>
      <c r="EK163" s="537">
        <f>SUM(EK161:EK162)</f>
        <v>19</v>
      </c>
      <c r="EL163" s="530">
        <f>SUM(EL161:EL162)</f>
        <v>20</v>
      </c>
      <c r="EM163" s="589"/>
      <c r="EN163" s="311" t="s">
        <v>768</v>
      </c>
      <c r="FJ163" s="310">
        <f>DM163</f>
        <v>11</v>
      </c>
      <c r="FK163" s="310">
        <f>DS163</f>
        <v>24</v>
      </c>
      <c r="FL163" s="310">
        <f>DY163</f>
        <v>10</v>
      </c>
      <c r="FM163" s="310">
        <f t="shared" si="505"/>
        <v>10</v>
      </c>
      <c r="FN163" s="373">
        <f t="shared" ref="FN163:FO167" si="511">EK163</f>
        <v>19</v>
      </c>
      <c r="FO163" s="373">
        <f t="shared" si="511"/>
        <v>20</v>
      </c>
      <c r="FP163" s="532">
        <f>SUM(FP161:FP162)</f>
        <v>17</v>
      </c>
      <c r="FQ163" s="356">
        <f>8+4</f>
        <v>12</v>
      </c>
      <c r="FR163" s="356">
        <f>7+5</f>
        <v>12</v>
      </c>
      <c r="FT163" s="413"/>
      <c r="FU163" s="413"/>
      <c r="FV163" s="596"/>
      <c r="FW163" s="596"/>
      <c r="FX163" s="596"/>
      <c r="FY163" s="596"/>
      <c r="FZ163" s="596"/>
      <c r="GA163" s="596"/>
      <c r="GB163" s="596"/>
      <c r="GC163" s="413"/>
      <c r="GD163" s="413"/>
    </row>
    <row r="164" spans="2:186" x14ac:dyDescent="0.2">
      <c r="B164" s="311" t="s">
        <v>583</v>
      </c>
      <c r="C164" s="322" t="s">
        <v>617</v>
      </c>
      <c r="DI164" s="372">
        <v>1</v>
      </c>
      <c r="DJ164" s="372">
        <v>1</v>
      </c>
      <c r="DK164" s="372">
        <v>2</v>
      </c>
      <c r="DL164" s="372">
        <v>2</v>
      </c>
      <c r="DM164" s="813">
        <f>SUM(DI164:DL164)</f>
        <v>6</v>
      </c>
      <c r="DO164" s="372">
        <v>2</v>
      </c>
      <c r="DP164" s="372">
        <v>3</v>
      </c>
      <c r="DQ164" s="372">
        <v>2</v>
      </c>
      <c r="DR164" s="372">
        <v>4</v>
      </c>
      <c r="DS164" s="813">
        <f>SUM(DO164:DR164)</f>
        <v>11</v>
      </c>
      <c r="DU164" s="372">
        <v>2</v>
      </c>
      <c r="DV164" s="372">
        <v>1</v>
      </c>
      <c r="DW164" s="372">
        <v>3</v>
      </c>
      <c r="DX164" s="372">
        <v>2</v>
      </c>
      <c r="DY164" s="813">
        <f>SUM(DU164:DX164)</f>
        <v>8</v>
      </c>
      <c r="EA164" s="372">
        <v>2</v>
      </c>
      <c r="EB164" s="542">
        <v>1</v>
      </c>
      <c r="EC164" s="542">
        <v>0</v>
      </c>
      <c r="ED164" s="542">
        <v>0</v>
      </c>
      <c r="EE164" s="813">
        <f>SUM(EA164:ED164)</f>
        <v>3</v>
      </c>
      <c r="EG164" s="542">
        <v>0</v>
      </c>
      <c r="EH164" s="542">
        <v>0</v>
      </c>
      <c r="EI164" s="542">
        <v>0</v>
      </c>
      <c r="EJ164" s="576">
        <f>EK164-SUM(EG164:EI164)</f>
        <v>1</v>
      </c>
      <c r="EK164" s="530">
        <v>1</v>
      </c>
      <c r="EL164" s="530">
        <v>6</v>
      </c>
      <c r="EM164" s="589"/>
      <c r="EN164" s="311" t="s">
        <v>773</v>
      </c>
      <c r="FJ164" s="310">
        <f>DM164</f>
        <v>6</v>
      </c>
      <c r="FK164" s="310">
        <f>DS164</f>
        <v>11</v>
      </c>
      <c r="FL164" s="310">
        <f>DY164</f>
        <v>8</v>
      </c>
      <c r="FM164" s="310">
        <f t="shared" si="505"/>
        <v>3</v>
      </c>
      <c r="FN164" s="373">
        <f t="shared" si="511"/>
        <v>1</v>
      </c>
      <c r="FO164" s="373">
        <f t="shared" si="511"/>
        <v>6</v>
      </c>
      <c r="FP164" s="532">
        <v>4</v>
      </c>
      <c r="FQ164" s="465">
        <v>5</v>
      </c>
      <c r="FR164" s="465">
        <v>7</v>
      </c>
      <c r="FT164" s="413"/>
      <c r="FU164" s="413"/>
      <c r="FV164" s="596"/>
      <c r="FW164" s="596"/>
      <c r="FX164" s="596"/>
      <c r="FY164" s="596"/>
      <c r="FZ164" s="596"/>
      <c r="GA164" s="596"/>
      <c r="GB164" s="596"/>
      <c r="GC164" s="413"/>
      <c r="GD164" s="413"/>
    </row>
    <row r="165" spans="2:186" x14ac:dyDescent="0.2">
      <c r="B165" s="311" t="s">
        <v>585</v>
      </c>
      <c r="C165" s="322" t="s">
        <v>617</v>
      </c>
      <c r="DI165" s="372">
        <v>0</v>
      </c>
      <c r="DJ165" s="372">
        <v>0</v>
      </c>
      <c r="DK165" s="372">
        <v>1</v>
      </c>
      <c r="DL165" s="372">
        <v>0</v>
      </c>
      <c r="DM165" s="813">
        <f>SUM(DI165:DL165)</f>
        <v>1</v>
      </c>
      <c r="DO165" s="372">
        <v>0</v>
      </c>
      <c r="DP165" s="372">
        <v>0</v>
      </c>
      <c r="DQ165" s="372">
        <v>0</v>
      </c>
      <c r="DR165" s="372">
        <v>0</v>
      </c>
      <c r="DS165" s="813">
        <f>SUM(DO165:DR165)</f>
        <v>0</v>
      </c>
      <c r="DU165" s="372">
        <v>2</v>
      </c>
      <c r="DV165" s="372">
        <v>1</v>
      </c>
      <c r="DW165" s="372">
        <v>2</v>
      </c>
      <c r="DX165" s="372">
        <v>2</v>
      </c>
      <c r="DY165" s="813">
        <f>SUM(DU165:DX165)</f>
        <v>7</v>
      </c>
      <c r="EA165" s="372">
        <f>7-EA163</f>
        <v>4</v>
      </c>
      <c r="EB165" s="542">
        <v>1</v>
      </c>
      <c r="EC165" s="542">
        <v>2</v>
      </c>
      <c r="ED165" s="542">
        <v>3</v>
      </c>
      <c r="EE165" s="813">
        <f>SUM(EA165:ED165)</f>
        <v>10</v>
      </c>
      <c r="EG165" s="542">
        <v>3</v>
      </c>
      <c r="EH165" s="542">
        <v>3</v>
      </c>
      <c r="EI165" s="542">
        <v>3</v>
      </c>
      <c r="EJ165" s="576">
        <f>EK165-SUM(EG165:EI165)</f>
        <v>2</v>
      </c>
      <c r="EK165" s="530">
        <f>7+4</f>
        <v>11</v>
      </c>
      <c r="EL165" s="530">
        <v>9</v>
      </c>
      <c r="EM165" s="589"/>
      <c r="EN165" s="311" t="s">
        <v>769</v>
      </c>
      <c r="FJ165" s="310">
        <f>DM165</f>
        <v>1</v>
      </c>
      <c r="FK165" s="310">
        <f>DS165</f>
        <v>0</v>
      </c>
      <c r="FL165" s="310">
        <f>DY165</f>
        <v>7</v>
      </c>
      <c r="FM165" s="310">
        <f t="shared" si="505"/>
        <v>10</v>
      </c>
      <c r="FN165" s="373">
        <f t="shared" si="511"/>
        <v>11</v>
      </c>
      <c r="FO165" s="373">
        <f t="shared" si="511"/>
        <v>9</v>
      </c>
      <c r="FP165" s="532">
        <v>9</v>
      </c>
      <c r="FQ165" s="465">
        <v>8</v>
      </c>
      <c r="FR165" s="465">
        <f>FQ165</f>
        <v>8</v>
      </c>
      <c r="FS165" s="495"/>
      <c r="FT165" s="413"/>
      <c r="FU165" s="596"/>
      <c r="FV165" s="597"/>
      <c r="FW165" s="597"/>
      <c r="FX165" s="597"/>
      <c r="FY165" s="597"/>
      <c r="FZ165" s="597"/>
      <c r="GA165" s="597"/>
      <c r="GB165" s="597"/>
      <c r="GC165" s="413"/>
      <c r="GD165" s="413"/>
    </row>
    <row r="166" spans="2:186" x14ac:dyDescent="0.2">
      <c r="B166" s="311" t="s">
        <v>584</v>
      </c>
      <c r="C166" s="322" t="s">
        <v>617</v>
      </c>
      <c r="DI166" s="372">
        <v>0</v>
      </c>
      <c r="DJ166" s="372">
        <v>1</v>
      </c>
      <c r="DK166" s="372">
        <v>0</v>
      </c>
      <c r="DL166" s="372">
        <v>0</v>
      </c>
      <c r="DM166" s="813">
        <f>SUM(DI166:DL166)</f>
        <v>1</v>
      </c>
      <c r="DO166" s="372">
        <v>0</v>
      </c>
      <c r="DP166" s="372">
        <v>0</v>
      </c>
      <c r="DQ166" s="372">
        <v>0</v>
      </c>
      <c r="DR166" s="372">
        <v>0</v>
      </c>
      <c r="DS166" s="813">
        <f>SUM(DO166:DR166)</f>
        <v>0</v>
      </c>
      <c r="DU166" s="372">
        <v>3</v>
      </c>
      <c r="DV166" s="372">
        <v>0</v>
      </c>
      <c r="DW166" s="372">
        <v>0</v>
      </c>
      <c r="DX166" s="372">
        <v>0</v>
      </c>
      <c r="DY166" s="813">
        <f>SUM(DU166:DX166)</f>
        <v>3</v>
      </c>
      <c r="EA166" s="372">
        <f>3-EA164</f>
        <v>1</v>
      </c>
      <c r="EB166" s="542">
        <v>0</v>
      </c>
      <c r="EC166" s="542">
        <v>1</v>
      </c>
      <c r="ED166" s="542">
        <v>2</v>
      </c>
      <c r="EE166" s="813">
        <f>SUM(EA166:ED166)</f>
        <v>4</v>
      </c>
      <c r="EG166" s="542">
        <v>0</v>
      </c>
      <c r="EH166" s="542">
        <v>0</v>
      </c>
      <c r="EI166" s="542">
        <v>1</v>
      </c>
      <c r="EJ166" s="576">
        <f>EK166-SUM(EG166:EI166)</f>
        <v>2</v>
      </c>
      <c r="EK166" s="530">
        <v>3</v>
      </c>
      <c r="EL166" s="530">
        <v>9</v>
      </c>
      <c r="EM166" s="589"/>
      <c r="EN166" s="311" t="s">
        <v>770</v>
      </c>
      <c r="FJ166" s="310">
        <f>DM166</f>
        <v>1</v>
      </c>
      <c r="FK166" s="310">
        <f>DS166</f>
        <v>0</v>
      </c>
      <c r="FL166" s="310">
        <f>DY166</f>
        <v>3</v>
      </c>
      <c r="FM166" s="310">
        <f t="shared" si="505"/>
        <v>4</v>
      </c>
      <c r="FN166" s="373">
        <f t="shared" si="511"/>
        <v>3</v>
      </c>
      <c r="FO166" s="373">
        <f t="shared" si="511"/>
        <v>9</v>
      </c>
      <c r="FP166" s="532">
        <v>5</v>
      </c>
      <c r="FQ166" s="356">
        <v>7</v>
      </c>
      <c r="FR166" s="356">
        <v>6</v>
      </c>
      <c r="FS166" s="495"/>
      <c r="FT166" s="413"/>
      <c r="FU166" s="596"/>
      <c r="FV166" s="413"/>
      <c r="FW166" s="413"/>
      <c r="FX166" s="413"/>
      <c r="FY166" s="413"/>
      <c r="FZ166" s="413"/>
      <c r="GA166" s="413"/>
      <c r="GB166" s="413"/>
      <c r="GC166" s="413"/>
      <c r="GD166" s="413"/>
    </row>
    <row r="167" spans="2:186" x14ac:dyDescent="0.2">
      <c r="B167" s="311" t="s">
        <v>164</v>
      </c>
      <c r="C167" s="322" t="s">
        <v>617</v>
      </c>
      <c r="DI167" s="372">
        <v>0</v>
      </c>
      <c r="DJ167" s="372">
        <v>0</v>
      </c>
      <c r="DK167" s="372">
        <v>0</v>
      </c>
      <c r="DL167" s="372">
        <v>0</v>
      </c>
      <c r="DM167" s="813">
        <f>SUM(DI167:DL167)</f>
        <v>0</v>
      </c>
      <c r="DO167" s="372">
        <v>1</v>
      </c>
      <c r="DP167" s="372">
        <v>0</v>
      </c>
      <c r="DQ167" s="372">
        <v>0</v>
      </c>
      <c r="DR167" s="372">
        <v>0</v>
      </c>
      <c r="DS167" s="813">
        <f>SUM(DO167:DR167)</f>
        <v>1</v>
      </c>
      <c r="DU167" s="372">
        <v>0</v>
      </c>
      <c r="DV167" s="372">
        <v>0</v>
      </c>
      <c r="DW167" s="372">
        <v>0</v>
      </c>
      <c r="DX167" s="372">
        <v>0</v>
      </c>
      <c r="DY167" s="813">
        <f>SUM(DU167:DX167)</f>
        <v>0</v>
      </c>
      <c r="EA167" s="372">
        <v>0</v>
      </c>
      <c r="EB167" s="542">
        <v>0</v>
      </c>
      <c r="EC167" s="542">
        <v>0</v>
      </c>
      <c r="ED167" s="542">
        <v>0</v>
      </c>
      <c r="EE167" s="813">
        <f>SUM(EA167:ED167)</f>
        <v>0</v>
      </c>
      <c r="EG167" s="542">
        <v>0</v>
      </c>
      <c r="EH167" s="542">
        <v>0</v>
      </c>
      <c r="EI167" s="542">
        <v>1</v>
      </c>
      <c r="EJ167" s="542">
        <v>0</v>
      </c>
      <c r="EK167" s="537">
        <f>SUM(EG167:EJ167)</f>
        <v>1</v>
      </c>
      <c r="EL167" s="530">
        <v>0</v>
      </c>
      <c r="EM167" s="531"/>
      <c r="EN167" s="311" t="s">
        <v>771</v>
      </c>
      <c r="FJ167" s="310">
        <f>DM167</f>
        <v>0</v>
      </c>
      <c r="FK167" s="310">
        <f>DS167</f>
        <v>1</v>
      </c>
      <c r="FL167" s="310">
        <f>DY167</f>
        <v>0</v>
      </c>
      <c r="FM167" s="310">
        <f t="shared" si="505"/>
        <v>0</v>
      </c>
      <c r="FN167" s="373">
        <f t="shared" si="511"/>
        <v>1</v>
      </c>
      <c r="FO167" s="373">
        <f t="shared" si="511"/>
        <v>0</v>
      </c>
      <c r="FP167" s="532">
        <v>0</v>
      </c>
      <c r="FQ167" s="465">
        <v>2</v>
      </c>
      <c r="FR167" s="465">
        <v>2</v>
      </c>
      <c r="FT167" s="413"/>
      <c r="FU167" s="596"/>
      <c r="FV167" s="413"/>
      <c r="FW167" s="413"/>
      <c r="FX167" s="413"/>
      <c r="FY167" s="413"/>
      <c r="FZ167" s="413"/>
      <c r="GA167" s="413"/>
      <c r="GB167" s="413"/>
      <c r="GC167" s="413"/>
      <c r="GD167" s="413"/>
    </row>
    <row r="168" spans="2:186" ht="12" x14ac:dyDescent="0.25">
      <c r="B168" s="590" t="s">
        <v>249</v>
      </c>
      <c r="C168" s="351" t="s">
        <v>617</v>
      </c>
      <c r="D168" s="604"/>
      <c r="E168" s="604"/>
      <c r="F168" s="604"/>
      <c r="G168" s="604"/>
      <c r="H168" s="604"/>
      <c r="I168" s="604"/>
      <c r="J168" s="604"/>
      <c r="K168" s="604"/>
      <c r="L168" s="604"/>
      <c r="M168" s="604"/>
      <c r="N168" s="604"/>
      <c r="O168" s="604"/>
      <c r="P168" s="604"/>
      <c r="Q168" s="604"/>
      <c r="R168" s="604"/>
      <c r="S168" s="604"/>
      <c r="T168" s="604"/>
      <c r="U168" s="604"/>
      <c r="V168" s="604"/>
      <c r="W168" s="604"/>
      <c r="X168" s="604"/>
      <c r="Y168" s="604"/>
      <c r="Z168" s="604"/>
      <c r="AA168" s="604"/>
      <c r="AB168" s="604"/>
      <c r="AC168" s="604"/>
      <c r="AD168" s="604"/>
      <c r="AE168" s="604"/>
      <c r="AF168" s="604"/>
      <c r="AG168" s="604"/>
      <c r="AH168" s="604"/>
      <c r="AI168" s="604"/>
      <c r="AJ168" s="604"/>
      <c r="AK168" s="604"/>
      <c r="AL168" s="604"/>
      <c r="AM168" s="604"/>
      <c r="AN168" s="604"/>
      <c r="AO168" s="604"/>
      <c r="AP168" s="604"/>
      <c r="AQ168" s="604"/>
      <c r="AR168" s="604"/>
      <c r="AS168" s="604"/>
      <c r="AT168" s="604"/>
      <c r="AU168" s="604"/>
      <c r="AV168" s="604"/>
      <c r="AW168" s="604"/>
      <c r="AX168" s="604"/>
      <c r="AY168" s="604"/>
      <c r="AZ168" s="604"/>
      <c r="BA168" s="604"/>
      <c r="BB168" s="604"/>
      <c r="BC168" s="604"/>
      <c r="BD168" s="604"/>
      <c r="BE168" s="604"/>
      <c r="BF168" s="604"/>
      <c r="BG168" s="604"/>
      <c r="BH168" s="604"/>
      <c r="BI168" s="604"/>
      <c r="BJ168" s="604"/>
      <c r="BK168" s="604"/>
      <c r="BL168" s="604"/>
      <c r="BM168" s="604"/>
      <c r="BN168" s="604"/>
      <c r="BO168" s="604"/>
      <c r="BP168" s="604"/>
      <c r="BQ168" s="604"/>
      <c r="BR168" s="604"/>
      <c r="BS168" s="604"/>
      <c r="BT168" s="604"/>
      <c r="BU168" s="604"/>
      <c r="BV168" s="604"/>
      <c r="BW168" s="604"/>
      <c r="BX168" s="604"/>
      <c r="BY168" s="604"/>
      <c r="BZ168" s="604"/>
      <c r="CA168" s="604"/>
      <c r="CB168" s="604"/>
      <c r="CC168" s="604"/>
      <c r="CD168" s="604"/>
      <c r="CE168" s="604"/>
      <c r="CF168" s="604"/>
      <c r="CG168" s="604"/>
      <c r="CH168" s="604"/>
      <c r="CI168" s="604"/>
      <c r="CJ168" s="604"/>
      <c r="CK168" s="604"/>
      <c r="CL168" s="604"/>
      <c r="CM168" s="604"/>
      <c r="CN168" s="604"/>
      <c r="CO168" s="604"/>
      <c r="CP168" s="604"/>
      <c r="CQ168" s="604"/>
      <c r="CR168" s="604"/>
      <c r="CS168" s="604"/>
      <c r="CT168" s="604"/>
      <c r="CU168" s="604"/>
      <c r="CV168" s="604"/>
      <c r="CW168" s="604"/>
      <c r="CX168" s="604"/>
      <c r="CY168" s="604"/>
      <c r="CZ168" s="604"/>
      <c r="DA168" s="605"/>
      <c r="DC168" s="604"/>
      <c r="DD168" s="604"/>
      <c r="DE168" s="604"/>
      <c r="DF168" s="604"/>
      <c r="DG168" s="678"/>
      <c r="DI168" s="591">
        <f>SUM(DI160:DI167)</f>
        <v>3</v>
      </c>
      <c r="DJ168" s="591">
        <f>SUM(DJ160:DJ167)</f>
        <v>12</v>
      </c>
      <c r="DK168" s="591">
        <f>SUM(DK160:DK167)</f>
        <v>12</v>
      </c>
      <c r="DL168" s="591">
        <f>SUM(DL160:DL167)</f>
        <v>13</v>
      </c>
      <c r="DM168" s="747">
        <f>SUM(DM160:DM167)</f>
        <v>40</v>
      </c>
      <c r="DO168" s="591">
        <f>SUM(DO160:DO167)</f>
        <v>17</v>
      </c>
      <c r="DP168" s="591">
        <f>SUM(DP160:DP167)</f>
        <v>12</v>
      </c>
      <c r="DQ168" s="591">
        <f>SUM(DQ160:DQ167)</f>
        <v>11</v>
      </c>
      <c r="DR168" s="591">
        <f>SUM(DR160:DR167)</f>
        <v>13</v>
      </c>
      <c r="DS168" s="747">
        <f>SUM(DS160:DS167)</f>
        <v>53</v>
      </c>
      <c r="DU168" s="591">
        <f>SUM(DU160:DU167)</f>
        <v>11</v>
      </c>
      <c r="DV168" s="591">
        <f>SUM(DV160:DV167)</f>
        <v>8</v>
      </c>
      <c r="DW168" s="591">
        <f>SUM(DW160:DW167)</f>
        <v>11</v>
      </c>
      <c r="DX168" s="591">
        <f>SUM(DX160:DX167)</f>
        <v>12</v>
      </c>
      <c r="DY168" s="747">
        <f>SUM(DY160,DY163:DY167)</f>
        <v>42</v>
      </c>
      <c r="EA168" s="591">
        <f>SUM(EA160,EA163:EA167)</f>
        <v>14</v>
      </c>
      <c r="EB168" s="591">
        <f t="shared" ref="EB168:EE168" si="512">SUM(EB160,EB163:EB167)</f>
        <v>10</v>
      </c>
      <c r="EC168" s="591">
        <f t="shared" si="512"/>
        <v>8</v>
      </c>
      <c r="ED168" s="591">
        <f t="shared" si="512"/>
        <v>12</v>
      </c>
      <c r="EE168" s="747">
        <f t="shared" si="512"/>
        <v>44</v>
      </c>
      <c r="EG168" s="591">
        <f>SUM(EG160,EG163:EG167)</f>
        <v>14</v>
      </c>
      <c r="EH168" s="591">
        <f t="shared" ref="EH168" si="513">SUM(EH160,EH163:EH167)</f>
        <v>14</v>
      </c>
      <c r="EI168" s="591">
        <f t="shared" ref="EI168" si="514">SUM(EI160,EI163:EI167)</f>
        <v>17</v>
      </c>
      <c r="EJ168" s="591">
        <f t="shared" ref="EJ168:EL168" si="515">SUM(EJ160,EJ163:EJ167)</f>
        <v>18</v>
      </c>
      <c r="EK168" s="592">
        <f t="shared" ref="EK168" si="516">SUM(EK160,EK163:EK167)</f>
        <v>63</v>
      </c>
      <c r="EL168" s="592">
        <f t="shared" si="515"/>
        <v>84</v>
      </c>
      <c r="EM168" s="593"/>
      <c r="FJ168" s="591">
        <f>SUM(FJ160,FJ163:FJ167)</f>
        <v>40</v>
      </c>
      <c r="FK168" s="591">
        <f t="shared" ref="FK168:FR168" si="517">SUM(FK160,FK163:FK167)</f>
        <v>53</v>
      </c>
      <c r="FL168" s="591">
        <f t="shared" si="517"/>
        <v>42</v>
      </c>
      <c r="FM168" s="591">
        <f t="shared" si="517"/>
        <v>44</v>
      </c>
      <c r="FN168" s="591">
        <f t="shared" si="517"/>
        <v>63</v>
      </c>
      <c r="FO168" s="591">
        <f t="shared" si="517"/>
        <v>84</v>
      </c>
      <c r="FP168" s="591">
        <f t="shared" si="517"/>
        <v>61</v>
      </c>
      <c r="FQ168" s="591">
        <f t="shared" si="517"/>
        <v>63</v>
      </c>
      <c r="FR168" s="591">
        <f t="shared" si="517"/>
        <v>64</v>
      </c>
      <c r="FT168" s="413"/>
      <c r="FU168" s="413"/>
      <c r="FV168" s="413"/>
      <c r="FW168" s="413"/>
      <c r="FX168" s="413"/>
      <c r="FY168" s="413"/>
      <c r="FZ168" s="413"/>
      <c r="GA168" s="413"/>
      <c r="GB168" s="413"/>
      <c r="GC168" s="413"/>
      <c r="GD168" s="413"/>
    </row>
    <row r="169" spans="2:186" x14ac:dyDescent="0.2">
      <c r="DI169" s="594">
        <f>DI168-DI74</f>
        <v>0</v>
      </c>
      <c r="DJ169" s="594">
        <f>DJ168-DJ74</f>
        <v>0</v>
      </c>
      <c r="DK169" s="594">
        <f>DK168-DK74</f>
        <v>0</v>
      </c>
      <c r="DL169" s="594">
        <f>DL168-DL74</f>
        <v>0</v>
      </c>
      <c r="DM169" s="764">
        <f>DM168-DM74</f>
        <v>0</v>
      </c>
      <c r="DO169" s="594">
        <f>DO168-DO74</f>
        <v>0</v>
      </c>
      <c r="DP169" s="594">
        <f>DP168-DP74</f>
        <v>0</v>
      </c>
      <c r="DQ169" s="594">
        <f>DQ168-DQ74</f>
        <v>0</v>
      </c>
      <c r="DR169" s="594">
        <f>DR168-DR74</f>
        <v>0</v>
      </c>
      <c r="DS169" s="764">
        <f>DS168-DS74</f>
        <v>0</v>
      </c>
      <c r="DU169" s="594">
        <f>DU168-DU74</f>
        <v>0</v>
      </c>
      <c r="DV169" s="594">
        <f>DV168-DV74</f>
        <v>0</v>
      </c>
      <c r="DW169" s="594">
        <f>DW168-DW74</f>
        <v>0</v>
      </c>
      <c r="DX169" s="594">
        <f>DX168-DX74</f>
        <v>0</v>
      </c>
      <c r="DY169" s="764"/>
      <c r="EA169" s="594">
        <f>EA168-EA74</f>
        <v>0</v>
      </c>
      <c r="EB169" s="594">
        <f>EB168-EB74</f>
        <v>0</v>
      </c>
      <c r="EC169" s="594">
        <f>EC168-EC74</f>
        <v>0</v>
      </c>
      <c r="ED169" s="594">
        <f>ED168-ED74</f>
        <v>0</v>
      </c>
      <c r="EE169" s="764"/>
      <c r="EG169" s="594">
        <f>EG168-EG74</f>
        <v>0</v>
      </c>
      <c r="EH169" s="594"/>
      <c r="FM169" s="310">
        <f>FM162+FM165+FM166</f>
        <v>24</v>
      </c>
      <c r="FN169" s="310">
        <f t="shared" ref="FN169:FO169" si="518">FN162+FN165+FN166</f>
        <v>29</v>
      </c>
      <c r="FO169" s="310">
        <f t="shared" si="518"/>
        <v>32</v>
      </c>
      <c r="FP169" s="311"/>
      <c r="FT169" s="413"/>
      <c r="FU169" s="413"/>
      <c r="FV169" s="413"/>
      <c r="FW169" s="413"/>
      <c r="FX169" s="413"/>
      <c r="FY169" s="413"/>
      <c r="FZ169" s="413"/>
      <c r="GA169" s="413"/>
      <c r="GB169" s="413"/>
      <c r="GC169" s="413"/>
      <c r="GD169" s="413"/>
    </row>
    <row r="170" spans="2:186" x14ac:dyDescent="0.2">
      <c r="B170" s="588" t="s">
        <v>683</v>
      </c>
      <c r="C170" s="598"/>
      <c r="EM170" s="451"/>
      <c r="FP170" s="311"/>
      <c r="FQ170" s="599">
        <f>FQ$87</f>
        <v>210</v>
      </c>
      <c r="FR170" s="599">
        <f>FR$87</f>
        <v>210</v>
      </c>
    </row>
    <row r="171" spans="2:186" x14ac:dyDescent="0.2">
      <c r="B171" s="311" t="s">
        <v>581</v>
      </c>
      <c r="C171" s="322"/>
      <c r="DO171" s="310">
        <f>DO160*DO$199</f>
        <v>1187.8094117647061</v>
      </c>
      <c r="DP171" s="310">
        <f>DP160*DP$199</f>
        <v>691.40666666666664</v>
      </c>
      <c r="DQ171" s="310">
        <f>DQ160*DQ$199</f>
        <v>506.69181818181812</v>
      </c>
      <c r="DR171" s="310">
        <f>DR160*DR$199</f>
        <v>553.26553846153877</v>
      </c>
      <c r="DS171" s="694">
        <f>SUM(DO171:DR171)</f>
        <v>2939.1734350747297</v>
      </c>
      <c r="DU171" s="310">
        <f>DU160*DU$199</f>
        <v>165.84672727272729</v>
      </c>
      <c r="DV171" s="310">
        <f>DV160*DV$199</f>
        <v>737.93949999999995</v>
      </c>
      <c r="DW171" s="310">
        <f>DW160*DW$199</f>
        <v>754.21818181818173</v>
      </c>
      <c r="DX171" s="310">
        <f>DX160*DX$199</f>
        <v>1036.9491666666665</v>
      </c>
      <c r="DY171" s="694">
        <f>SUM(DU171:DX171)</f>
        <v>2694.9535757575759</v>
      </c>
      <c r="EA171" s="310">
        <f>EA160*EA$199</f>
        <v>918.46400000000006</v>
      </c>
      <c r="EB171" s="310">
        <f>EB160*EB$199</f>
        <v>1218.0640000000001</v>
      </c>
      <c r="EC171" s="310">
        <f>EC160*EC$199</f>
        <v>875.26</v>
      </c>
      <c r="ED171" s="310">
        <f>ED160*ED$199</f>
        <v>1010.1066666666666</v>
      </c>
      <c r="EE171" s="694">
        <f>SUM(EA171:ED171)</f>
        <v>4021.894666666667</v>
      </c>
      <c r="EG171" s="310">
        <f>EG160*EG$199</f>
        <v>1610</v>
      </c>
      <c r="EH171" s="310">
        <f>EH160*EH$199</f>
        <v>1610</v>
      </c>
      <c r="EI171" s="310">
        <f>EI160*EI$199</f>
        <v>1610</v>
      </c>
      <c r="EJ171" s="310">
        <f>EJ160*EJ$199</f>
        <v>1610</v>
      </c>
      <c r="EK171" s="450">
        <f>SUM(EG171:EJ171)</f>
        <v>6440</v>
      </c>
      <c r="EL171" s="450">
        <f t="shared" ref="EL171:EL178" si="519">EL160*EL$199</f>
        <v>9400</v>
      </c>
      <c r="EM171" s="451"/>
      <c r="EP171" s="478"/>
      <c r="FK171" s="310">
        <f>DS171</f>
        <v>2939.1734350747297</v>
      </c>
      <c r="FL171" s="310">
        <f>DY171</f>
        <v>2694.9535757575759</v>
      </c>
      <c r="FM171" s="310">
        <f>EE171</f>
        <v>4021.894666666667</v>
      </c>
      <c r="FN171" s="373">
        <f>EK171</f>
        <v>6440</v>
      </c>
      <c r="FO171" s="373">
        <f>EL171</f>
        <v>9400</v>
      </c>
      <c r="FP171" s="310">
        <f t="shared" ref="FP171:FP178" si="520">FP160*FP$199</f>
        <v>6110</v>
      </c>
      <c r="FQ171" s="310">
        <f>FQ$170*FQ160</f>
        <v>6090</v>
      </c>
      <c r="FR171" s="310">
        <f>FR$170*FR160</f>
        <v>6090</v>
      </c>
    </row>
    <row r="172" spans="2:186" outlineLevel="1" x14ac:dyDescent="0.2">
      <c r="B172" s="325" t="s">
        <v>687</v>
      </c>
      <c r="C172" s="322"/>
      <c r="DO172" s="310"/>
      <c r="DP172" s="310"/>
      <c r="DQ172" s="310"/>
      <c r="DR172" s="310"/>
      <c r="DS172" s="694"/>
      <c r="DU172" s="310"/>
      <c r="DV172" s="310"/>
      <c r="DW172" s="310"/>
      <c r="DX172" s="310"/>
      <c r="DY172" s="694">
        <f>DY161*DY$199</f>
        <v>561.6407857142857</v>
      </c>
      <c r="EA172" s="310"/>
      <c r="EB172" s="310"/>
      <c r="EC172" s="310"/>
      <c r="ED172" s="310"/>
      <c r="EE172" s="694">
        <f>EE161*EE$199</f>
        <v>0</v>
      </c>
      <c r="EG172" s="310"/>
      <c r="EH172" s="310"/>
      <c r="EI172" s="310"/>
      <c r="EJ172" s="310"/>
      <c r="EK172" s="450">
        <f>EK161*EK$199</f>
        <v>920</v>
      </c>
      <c r="EL172" s="450">
        <f t="shared" si="519"/>
        <v>1410</v>
      </c>
      <c r="EM172" s="451"/>
      <c r="EP172" s="478"/>
      <c r="FK172" s="310"/>
      <c r="FL172" s="310"/>
      <c r="FM172" s="310"/>
      <c r="FN172" s="373"/>
      <c r="FO172" s="373"/>
      <c r="FP172" s="310">
        <f t="shared" si="520"/>
        <v>1645</v>
      </c>
      <c r="FQ172" s="310"/>
      <c r="FR172" s="310"/>
    </row>
    <row r="173" spans="2:186" outlineLevel="1" x14ac:dyDescent="0.2">
      <c r="B173" s="325" t="s">
        <v>688</v>
      </c>
      <c r="C173" s="322"/>
      <c r="DO173" s="310"/>
      <c r="DP173" s="310"/>
      <c r="DQ173" s="310"/>
      <c r="DR173" s="310"/>
      <c r="DS173" s="694"/>
      <c r="DU173" s="310"/>
      <c r="DV173" s="310"/>
      <c r="DW173" s="310"/>
      <c r="DX173" s="310"/>
      <c r="DY173" s="694">
        <f>DY162*DY$199</f>
        <v>1310.4951666666666</v>
      </c>
      <c r="EA173" s="310"/>
      <c r="EB173" s="310"/>
      <c r="EC173" s="310"/>
      <c r="ED173" s="310"/>
      <c r="EE173" s="694">
        <f>EE162*EE$199</f>
        <v>2370.8163636363638</v>
      </c>
      <c r="EG173" s="310"/>
      <c r="EH173" s="310"/>
      <c r="EI173" s="310"/>
      <c r="EJ173" s="310"/>
      <c r="EK173" s="450">
        <f>EK162*EK$199</f>
        <v>3450</v>
      </c>
      <c r="EL173" s="450">
        <f t="shared" si="519"/>
        <v>3290</v>
      </c>
      <c r="EM173" s="451"/>
      <c r="EP173" s="478"/>
      <c r="FK173" s="310"/>
      <c r="FL173" s="310"/>
      <c r="FM173" s="310"/>
      <c r="FN173" s="373"/>
      <c r="FO173" s="373"/>
      <c r="FP173" s="310">
        <f t="shared" si="520"/>
        <v>2350</v>
      </c>
      <c r="FQ173" s="310"/>
      <c r="FR173" s="310"/>
    </row>
    <row r="174" spans="2:186" x14ac:dyDescent="0.2">
      <c r="B174" s="311" t="s">
        <v>582</v>
      </c>
      <c r="C174" s="322"/>
      <c r="DO174" s="310">
        <f t="shared" ref="DO174:DR178" si="521">DO163*DO$199</f>
        <v>1187.8094117647061</v>
      </c>
      <c r="DP174" s="310">
        <f t="shared" si="521"/>
        <v>864.25833333333333</v>
      </c>
      <c r="DQ174" s="310">
        <f t="shared" si="521"/>
        <v>1013.3836363636362</v>
      </c>
      <c r="DR174" s="310">
        <f t="shared" si="521"/>
        <v>1106.5310769230775</v>
      </c>
      <c r="DS174" s="694">
        <f>SUM(DO174:DR174)</f>
        <v>4171.982458384753</v>
      </c>
      <c r="DU174" s="310">
        <f t="shared" ref="DU174:DX178" si="522">DU163*DU$199</f>
        <v>497.54018181818185</v>
      </c>
      <c r="DV174" s="310">
        <f t="shared" si="522"/>
        <v>368.96974999999998</v>
      </c>
      <c r="DW174" s="310">
        <f t="shared" si="522"/>
        <v>377.10909090909087</v>
      </c>
      <c r="DX174" s="310">
        <f t="shared" si="522"/>
        <v>622.16949999999997</v>
      </c>
      <c r="DY174" s="694">
        <f>SUM(DU174:DX174)</f>
        <v>1865.7885227272727</v>
      </c>
      <c r="EA174" s="310">
        <f t="shared" ref="EA174:EC178" si="523">EA163*EA$199</f>
        <v>688.84800000000007</v>
      </c>
      <c r="EB174" s="310">
        <f t="shared" si="523"/>
        <v>730.83840000000009</v>
      </c>
      <c r="EC174" s="310">
        <f>EC163*EC$199</f>
        <v>218.815</v>
      </c>
      <c r="ED174" s="310">
        <f>ED163*ED$199</f>
        <v>757.57999999999993</v>
      </c>
      <c r="EE174" s="694">
        <f>SUM(EA174:ED174)</f>
        <v>2396.0814</v>
      </c>
      <c r="EG174" s="310">
        <f t="shared" ref="EG174:EJ178" si="524">EG163*EG$199</f>
        <v>920</v>
      </c>
      <c r="EH174" s="310">
        <f t="shared" si="524"/>
        <v>920</v>
      </c>
      <c r="EI174" s="310">
        <f t="shared" si="524"/>
        <v>1150</v>
      </c>
      <c r="EJ174" s="310">
        <f t="shared" si="524"/>
        <v>1380</v>
      </c>
      <c r="EK174" s="450">
        <f>SUM(EG174:EJ174)</f>
        <v>4370</v>
      </c>
      <c r="EL174" s="450">
        <f t="shared" si="519"/>
        <v>4700</v>
      </c>
      <c r="EM174" s="451"/>
      <c r="EP174" s="478"/>
      <c r="FK174" s="310">
        <f>DS174</f>
        <v>4171.982458384753</v>
      </c>
      <c r="FL174" s="310">
        <f>DY174</f>
        <v>1865.7885227272727</v>
      </c>
      <c r="FM174" s="310">
        <f>EE174</f>
        <v>2396.0814</v>
      </c>
      <c r="FN174" s="373">
        <f t="shared" ref="FN174:FO178" si="525">EK174</f>
        <v>4370</v>
      </c>
      <c r="FO174" s="373">
        <f t="shared" si="525"/>
        <v>4700</v>
      </c>
      <c r="FP174" s="310">
        <f t="shared" si="520"/>
        <v>3995</v>
      </c>
      <c r="FQ174" s="310">
        <f t="shared" ref="FQ174:FR178" si="526">FQ$170*FQ163</f>
        <v>2520</v>
      </c>
      <c r="FR174" s="310">
        <f t="shared" si="526"/>
        <v>2520</v>
      </c>
    </row>
    <row r="175" spans="2:186" x14ac:dyDescent="0.2">
      <c r="B175" s="311" t="s">
        <v>583</v>
      </c>
      <c r="C175" s="322"/>
      <c r="DO175" s="310">
        <f t="shared" si="521"/>
        <v>339.37411764705888</v>
      </c>
      <c r="DP175" s="310">
        <f t="shared" si="521"/>
        <v>518.55499999999995</v>
      </c>
      <c r="DQ175" s="310">
        <f t="shared" si="521"/>
        <v>337.79454545454541</v>
      </c>
      <c r="DR175" s="310">
        <f t="shared" si="521"/>
        <v>737.68738461538499</v>
      </c>
      <c r="DS175" s="694">
        <f>SUM(DO175:DR175)</f>
        <v>1933.4110477169893</v>
      </c>
      <c r="DU175" s="310">
        <f t="shared" si="522"/>
        <v>331.69345454545459</v>
      </c>
      <c r="DV175" s="310">
        <f t="shared" si="522"/>
        <v>184.48487499999999</v>
      </c>
      <c r="DW175" s="310">
        <f t="shared" si="522"/>
        <v>565.66363636363633</v>
      </c>
      <c r="DX175" s="310">
        <f t="shared" si="522"/>
        <v>414.77966666666663</v>
      </c>
      <c r="DY175" s="694">
        <f>SUM(DU175:DX175)</f>
        <v>1496.6216325757575</v>
      </c>
      <c r="EA175" s="310">
        <f t="shared" si="523"/>
        <v>459.23200000000003</v>
      </c>
      <c r="EB175" s="310">
        <f t="shared" si="523"/>
        <v>243.61280000000002</v>
      </c>
      <c r="EC175" s="310">
        <f t="shared" si="523"/>
        <v>0</v>
      </c>
      <c r="ED175" s="310">
        <f t="shared" ref="ED175" si="527">ED164*ED$199</f>
        <v>0</v>
      </c>
      <c r="EE175" s="694">
        <f>SUM(EA175:ED175)</f>
        <v>702.84480000000008</v>
      </c>
      <c r="EG175" s="310">
        <f t="shared" si="524"/>
        <v>0</v>
      </c>
      <c r="EH175" s="310">
        <f t="shared" si="524"/>
        <v>0</v>
      </c>
      <c r="EI175" s="310">
        <f t="shared" si="524"/>
        <v>0</v>
      </c>
      <c r="EJ175" s="310">
        <f t="shared" si="524"/>
        <v>230</v>
      </c>
      <c r="EK175" s="450">
        <f>SUM(EG175:EJ175)</f>
        <v>230</v>
      </c>
      <c r="EL175" s="450">
        <f t="shared" si="519"/>
        <v>1410</v>
      </c>
      <c r="EM175" s="451"/>
      <c r="EP175" s="478"/>
      <c r="FK175" s="310">
        <f>DS175</f>
        <v>1933.4110477169893</v>
      </c>
      <c r="FL175" s="310">
        <f>DY175</f>
        <v>1496.6216325757575</v>
      </c>
      <c r="FM175" s="310">
        <f>EE175</f>
        <v>702.84480000000008</v>
      </c>
      <c r="FN175" s="373">
        <f t="shared" si="525"/>
        <v>230</v>
      </c>
      <c r="FO175" s="373">
        <f t="shared" si="525"/>
        <v>1410</v>
      </c>
      <c r="FP175" s="310">
        <f t="shared" si="520"/>
        <v>940</v>
      </c>
      <c r="FQ175" s="310">
        <f t="shared" si="526"/>
        <v>1050</v>
      </c>
      <c r="FR175" s="310">
        <f t="shared" si="526"/>
        <v>1470</v>
      </c>
    </row>
    <row r="176" spans="2:186" x14ac:dyDescent="0.2">
      <c r="B176" s="311" t="s">
        <v>585</v>
      </c>
      <c r="C176" s="322"/>
      <c r="DO176" s="310">
        <f t="shared" si="521"/>
        <v>0</v>
      </c>
      <c r="DP176" s="310">
        <f t="shared" si="521"/>
        <v>0</v>
      </c>
      <c r="DQ176" s="310">
        <f t="shared" si="521"/>
        <v>0</v>
      </c>
      <c r="DR176" s="310">
        <f t="shared" si="521"/>
        <v>0</v>
      </c>
      <c r="DS176" s="694">
        <f>SUM(DO176:DR176)</f>
        <v>0</v>
      </c>
      <c r="DU176" s="310">
        <f t="shared" si="522"/>
        <v>331.69345454545459</v>
      </c>
      <c r="DV176" s="310">
        <f t="shared" si="522"/>
        <v>184.48487499999999</v>
      </c>
      <c r="DW176" s="310">
        <f t="shared" si="522"/>
        <v>377.10909090909087</v>
      </c>
      <c r="DX176" s="310">
        <f t="shared" si="522"/>
        <v>414.77966666666663</v>
      </c>
      <c r="DY176" s="694">
        <f>SUM(DU176:DX176)</f>
        <v>1308.0670871212119</v>
      </c>
      <c r="EA176" s="310">
        <f t="shared" si="523"/>
        <v>918.46400000000006</v>
      </c>
      <c r="EB176" s="310">
        <f t="shared" si="523"/>
        <v>243.61280000000002</v>
      </c>
      <c r="EC176" s="310">
        <f t="shared" si="523"/>
        <v>437.63</v>
      </c>
      <c r="ED176" s="310">
        <f t="shared" ref="ED176" si="528">ED165*ED$199</f>
        <v>757.57999999999993</v>
      </c>
      <c r="EE176" s="694">
        <f>SUM(EA176:ED176)</f>
        <v>2357.2867999999999</v>
      </c>
      <c r="EG176" s="310">
        <f t="shared" si="524"/>
        <v>690</v>
      </c>
      <c r="EH176" s="310">
        <f t="shared" si="524"/>
        <v>690</v>
      </c>
      <c r="EI176" s="310">
        <f t="shared" si="524"/>
        <v>690</v>
      </c>
      <c r="EJ176" s="310">
        <f t="shared" si="524"/>
        <v>460</v>
      </c>
      <c r="EK176" s="450">
        <f>SUM(EG176:EJ176)</f>
        <v>2530</v>
      </c>
      <c r="EL176" s="450">
        <f t="shared" si="519"/>
        <v>2115</v>
      </c>
      <c r="EM176" s="451"/>
      <c r="FK176" s="310">
        <f>DS176</f>
        <v>0</v>
      </c>
      <c r="FL176" s="310">
        <f>DY176</f>
        <v>1308.0670871212119</v>
      </c>
      <c r="FM176" s="310">
        <f>EE176</f>
        <v>2357.2867999999999</v>
      </c>
      <c r="FN176" s="373">
        <f t="shared" si="525"/>
        <v>2530</v>
      </c>
      <c r="FO176" s="373">
        <f t="shared" si="525"/>
        <v>2115</v>
      </c>
      <c r="FP176" s="310">
        <f t="shared" si="520"/>
        <v>2115</v>
      </c>
      <c r="FQ176" s="310">
        <f t="shared" si="526"/>
        <v>1680</v>
      </c>
      <c r="FR176" s="310">
        <f t="shared" si="526"/>
        <v>1680</v>
      </c>
    </row>
    <row r="177" spans="2:174" x14ac:dyDescent="0.2">
      <c r="B177" s="311" t="s">
        <v>584</v>
      </c>
      <c r="C177" s="322"/>
      <c r="DO177" s="310">
        <f t="shared" si="521"/>
        <v>0</v>
      </c>
      <c r="DP177" s="310">
        <f t="shared" si="521"/>
        <v>0</v>
      </c>
      <c r="DQ177" s="310">
        <f t="shared" si="521"/>
        <v>0</v>
      </c>
      <c r="DR177" s="310">
        <f t="shared" si="521"/>
        <v>0</v>
      </c>
      <c r="DS177" s="694">
        <f>SUM(DO177:DR177)</f>
        <v>0</v>
      </c>
      <c r="DU177" s="310">
        <f t="shared" si="522"/>
        <v>497.54018181818185</v>
      </c>
      <c r="DV177" s="310">
        <f t="shared" si="522"/>
        <v>0</v>
      </c>
      <c r="DW177" s="310">
        <f t="shared" si="522"/>
        <v>0</v>
      </c>
      <c r="DX177" s="310">
        <f t="shared" si="522"/>
        <v>0</v>
      </c>
      <c r="DY177" s="694">
        <f>SUM(DU177:DX177)</f>
        <v>497.54018181818185</v>
      </c>
      <c r="EA177" s="310">
        <f t="shared" si="523"/>
        <v>229.61600000000001</v>
      </c>
      <c r="EB177" s="310">
        <f t="shared" si="523"/>
        <v>0</v>
      </c>
      <c r="EC177" s="310">
        <f t="shared" si="523"/>
        <v>218.815</v>
      </c>
      <c r="ED177" s="310">
        <f t="shared" ref="ED177" si="529">ED166*ED$199</f>
        <v>505.05333333333328</v>
      </c>
      <c r="EE177" s="694">
        <f>SUM(EA177:ED177)</f>
        <v>953.48433333333332</v>
      </c>
      <c r="EG177" s="310">
        <f t="shared" si="524"/>
        <v>0</v>
      </c>
      <c r="EH177" s="310">
        <f t="shared" si="524"/>
        <v>0</v>
      </c>
      <c r="EI177" s="310">
        <f t="shared" si="524"/>
        <v>230</v>
      </c>
      <c r="EJ177" s="310">
        <f t="shared" si="524"/>
        <v>460</v>
      </c>
      <c r="EK177" s="450">
        <f>SUM(EG177:EJ177)</f>
        <v>690</v>
      </c>
      <c r="EL177" s="450">
        <f t="shared" si="519"/>
        <v>2115</v>
      </c>
      <c r="EM177" s="451"/>
      <c r="FK177" s="310">
        <f>DS177</f>
        <v>0</v>
      </c>
      <c r="FL177" s="310">
        <f>DY177</f>
        <v>497.54018181818185</v>
      </c>
      <c r="FM177" s="310">
        <f>EE177</f>
        <v>953.48433333333332</v>
      </c>
      <c r="FN177" s="373">
        <f t="shared" si="525"/>
        <v>690</v>
      </c>
      <c r="FO177" s="373">
        <f t="shared" si="525"/>
        <v>2115</v>
      </c>
      <c r="FP177" s="310">
        <f t="shared" si="520"/>
        <v>1175</v>
      </c>
      <c r="FQ177" s="310">
        <f t="shared" si="526"/>
        <v>1470</v>
      </c>
      <c r="FR177" s="310">
        <f t="shared" si="526"/>
        <v>1260</v>
      </c>
    </row>
    <row r="178" spans="2:174" x14ac:dyDescent="0.2">
      <c r="B178" s="311" t="s">
        <v>164</v>
      </c>
      <c r="C178" s="322"/>
      <c r="DO178" s="310">
        <f t="shared" si="521"/>
        <v>169.68705882352944</v>
      </c>
      <c r="DP178" s="310">
        <f t="shared" si="521"/>
        <v>0</v>
      </c>
      <c r="DQ178" s="310">
        <f t="shared" si="521"/>
        <v>0</v>
      </c>
      <c r="DR178" s="310">
        <f t="shared" si="521"/>
        <v>0</v>
      </c>
      <c r="DS178" s="694">
        <f>SUM(DO178:DR178)</f>
        <v>169.68705882352944</v>
      </c>
      <c r="DU178" s="310">
        <f t="shared" si="522"/>
        <v>0</v>
      </c>
      <c r="DV178" s="310">
        <f t="shared" si="522"/>
        <v>0</v>
      </c>
      <c r="DW178" s="310">
        <f t="shared" si="522"/>
        <v>0</v>
      </c>
      <c r="DX178" s="310">
        <f t="shared" si="522"/>
        <v>0</v>
      </c>
      <c r="DY178" s="694">
        <f>SUM(DU178:DX178)</f>
        <v>0</v>
      </c>
      <c r="EA178" s="310">
        <f t="shared" si="523"/>
        <v>0</v>
      </c>
      <c r="EB178" s="310">
        <f t="shared" si="523"/>
        <v>0</v>
      </c>
      <c r="EC178" s="310">
        <f t="shared" si="523"/>
        <v>0</v>
      </c>
      <c r="ED178" s="310">
        <f t="shared" ref="ED178" si="530">ED167*ED$199</f>
        <v>0</v>
      </c>
      <c r="EE178" s="694">
        <f>SUM(EA178:ED178)</f>
        <v>0</v>
      </c>
      <c r="EG178" s="310">
        <f t="shared" si="524"/>
        <v>0</v>
      </c>
      <c r="EH178" s="310">
        <f t="shared" si="524"/>
        <v>0</v>
      </c>
      <c r="EI178" s="310">
        <f t="shared" si="524"/>
        <v>230</v>
      </c>
      <c r="EJ178" s="310">
        <f t="shared" si="524"/>
        <v>0</v>
      </c>
      <c r="EK178" s="450">
        <f>SUM(EG178:EJ178)</f>
        <v>230</v>
      </c>
      <c r="EL178" s="450">
        <f t="shared" si="519"/>
        <v>0</v>
      </c>
      <c r="EM178" s="451"/>
      <c r="FK178" s="310">
        <f>DS178</f>
        <v>169.68705882352944</v>
      </c>
      <c r="FL178" s="310">
        <f>DY178</f>
        <v>0</v>
      </c>
      <c r="FM178" s="310">
        <f>EE178</f>
        <v>0</v>
      </c>
      <c r="FN178" s="373">
        <f t="shared" si="525"/>
        <v>230</v>
      </c>
      <c r="FO178" s="373">
        <f t="shared" si="525"/>
        <v>0</v>
      </c>
      <c r="FP178" s="310">
        <f t="shared" si="520"/>
        <v>0</v>
      </c>
      <c r="FQ178" s="310">
        <f t="shared" si="526"/>
        <v>420</v>
      </c>
      <c r="FR178" s="310">
        <f t="shared" si="526"/>
        <v>420</v>
      </c>
    </row>
    <row r="179" spans="2:174" ht="12" x14ac:dyDescent="0.25">
      <c r="B179" s="590" t="s">
        <v>249</v>
      </c>
      <c r="C179" s="351"/>
      <c r="D179" s="604"/>
      <c r="E179" s="604"/>
      <c r="F179" s="604"/>
      <c r="G179" s="604"/>
      <c r="H179" s="604"/>
      <c r="I179" s="604"/>
      <c r="J179" s="604"/>
      <c r="K179" s="604"/>
      <c r="L179" s="604"/>
      <c r="M179" s="604"/>
      <c r="N179" s="604"/>
      <c r="O179" s="604"/>
      <c r="P179" s="604"/>
      <c r="Q179" s="604"/>
      <c r="R179" s="604"/>
      <c r="S179" s="604"/>
      <c r="T179" s="604"/>
      <c r="U179" s="604"/>
      <c r="V179" s="604"/>
      <c r="W179" s="604"/>
      <c r="X179" s="604"/>
      <c r="Y179" s="604"/>
      <c r="Z179" s="604"/>
      <c r="AA179" s="604"/>
      <c r="AB179" s="604"/>
      <c r="AC179" s="604"/>
      <c r="AD179" s="604"/>
      <c r="AE179" s="604"/>
      <c r="AF179" s="604"/>
      <c r="AG179" s="604"/>
      <c r="AH179" s="604"/>
      <c r="AI179" s="604"/>
      <c r="AJ179" s="604"/>
      <c r="AK179" s="604"/>
      <c r="AL179" s="604"/>
      <c r="AM179" s="604"/>
      <c r="AN179" s="604"/>
      <c r="AO179" s="604"/>
      <c r="AP179" s="604"/>
      <c r="AQ179" s="604"/>
      <c r="AR179" s="604"/>
      <c r="AS179" s="604"/>
      <c r="AT179" s="604"/>
      <c r="AU179" s="604"/>
      <c r="AV179" s="604"/>
      <c r="AW179" s="604"/>
      <c r="AX179" s="604"/>
      <c r="AY179" s="604"/>
      <c r="AZ179" s="604"/>
      <c r="BA179" s="604"/>
      <c r="BB179" s="604"/>
      <c r="BC179" s="604"/>
      <c r="BD179" s="604"/>
      <c r="BE179" s="604"/>
      <c r="BF179" s="604"/>
      <c r="BG179" s="604"/>
      <c r="BH179" s="604"/>
      <c r="BI179" s="604"/>
      <c r="BJ179" s="604"/>
      <c r="BK179" s="604"/>
      <c r="BL179" s="604"/>
      <c r="BM179" s="604"/>
      <c r="BN179" s="604"/>
      <c r="BO179" s="604"/>
      <c r="BP179" s="604"/>
      <c r="BQ179" s="604"/>
      <c r="BR179" s="604"/>
      <c r="BS179" s="604"/>
      <c r="BT179" s="604"/>
      <c r="BU179" s="604"/>
      <c r="BV179" s="604"/>
      <c r="BW179" s="604"/>
      <c r="BX179" s="604"/>
      <c r="BY179" s="604"/>
      <c r="BZ179" s="604"/>
      <c r="CA179" s="604"/>
      <c r="CB179" s="604"/>
      <c r="CC179" s="604"/>
      <c r="CD179" s="604"/>
      <c r="CE179" s="604"/>
      <c r="CF179" s="604"/>
      <c r="CG179" s="604"/>
      <c r="CH179" s="604"/>
      <c r="CI179" s="604"/>
      <c r="CJ179" s="604"/>
      <c r="CK179" s="604"/>
      <c r="CL179" s="604"/>
      <c r="CM179" s="604"/>
      <c r="CN179" s="604"/>
      <c r="CO179" s="604"/>
      <c r="CP179" s="604"/>
      <c r="CQ179" s="604"/>
      <c r="CR179" s="604"/>
      <c r="CS179" s="604"/>
      <c r="CT179" s="604"/>
      <c r="CU179" s="604"/>
      <c r="CV179" s="604"/>
      <c r="CW179" s="604"/>
      <c r="CX179" s="604"/>
      <c r="CY179" s="604"/>
      <c r="CZ179" s="604"/>
      <c r="DA179" s="605"/>
      <c r="DC179" s="604"/>
      <c r="DD179" s="604"/>
      <c r="DE179" s="604"/>
      <c r="DF179" s="604"/>
      <c r="DG179" s="604"/>
      <c r="DI179" s="604"/>
      <c r="DJ179" s="604"/>
      <c r="DK179" s="604"/>
      <c r="DL179" s="604"/>
      <c r="DM179" s="604"/>
      <c r="DO179" s="679">
        <v>2884.6800000000003</v>
      </c>
      <c r="DP179" s="679">
        <v>2074.2199999999998</v>
      </c>
      <c r="DQ179" s="679">
        <v>1857.87</v>
      </c>
      <c r="DR179" s="679">
        <v>2397.4840000000013</v>
      </c>
      <c r="DS179" s="591">
        <f t="shared" ref="DS179" si="531">SUM(DS171,DS174:DS178)</f>
        <v>9214.2540000000008</v>
      </c>
      <c r="DU179" s="679">
        <v>1824.3140000000001</v>
      </c>
      <c r="DV179" s="679">
        <v>1475.8789999999999</v>
      </c>
      <c r="DW179" s="679">
        <v>2074.1</v>
      </c>
      <c r="DX179" s="679">
        <v>2488.6779999999999</v>
      </c>
      <c r="DY179" s="591">
        <f t="shared" ref="DY179" si="532">SUM(DY171,DY174:DY178)</f>
        <v>7862.9709999999995</v>
      </c>
      <c r="EA179" s="679">
        <v>3214.6240000000003</v>
      </c>
      <c r="EB179" s="679">
        <v>2436.1280000000002</v>
      </c>
      <c r="EC179" s="679">
        <v>1750.52</v>
      </c>
      <c r="ED179" s="679">
        <v>3030.3199999999997</v>
      </c>
      <c r="EE179" s="591">
        <f t="shared" ref="EE179" si="533">SUM(EE171,EE174:EE178)</f>
        <v>10431.592000000001</v>
      </c>
      <c r="EG179" s="679">
        <v>3424.1400000000003</v>
      </c>
      <c r="EH179" s="591">
        <f t="shared" ref="EH179" si="534">SUM(EH171,EH174:EH178)</f>
        <v>3220</v>
      </c>
      <c r="EI179" s="591">
        <f t="shared" ref="EI179" si="535">SUM(EI171,EI174:EI178)</f>
        <v>3910</v>
      </c>
      <c r="EJ179" s="591">
        <f t="shared" ref="EJ179" si="536">SUM(EJ171,EJ174:EJ178)</f>
        <v>4140</v>
      </c>
      <c r="EK179" s="591">
        <f t="shared" ref="EK179:EL179" si="537">SUM(EK171,EK174:EK178)</f>
        <v>14490</v>
      </c>
      <c r="EL179" s="591">
        <f t="shared" si="537"/>
        <v>19740</v>
      </c>
      <c r="EM179" s="593"/>
      <c r="FK179" s="591">
        <f>SUM(FK171:FK178)</f>
        <v>9214.2540000000008</v>
      </c>
      <c r="FL179" s="591">
        <f>SUM(FL171:FL178)</f>
        <v>7862.9709999999995</v>
      </c>
      <c r="FM179" s="591">
        <f>SUM(FM171:FM178)</f>
        <v>10431.592000000001</v>
      </c>
      <c r="FN179" s="591">
        <f>SUM(FN171:FN178)</f>
        <v>14490</v>
      </c>
      <c r="FO179" s="591">
        <f>SUM(FO171:FO178)</f>
        <v>19740</v>
      </c>
      <c r="FP179" s="591">
        <f t="shared" ref="FP179" si="538">SUM(FP171,FP174:FP178)</f>
        <v>14335</v>
      </c>
      <c r="FQ179" s="591">
        <f>SUM(FQ171:FQ178)</f>
        <v>13230</v>
      </c>
      <c r="FR179" s="591">
        <f>SUM(FR171:FR178)</f>
        <v>13440</v>
      </c>
    </row>
    <row r="180" spans="2:174" x14ac:dyDescent="0.2">
      <c r="DO180" s="594"/>
      <c r="DP180" s="594"/>
      <c r="DQ180" s="594"/>
      <c r="DR180" s="594"/>
      <c r="DS180" s="764"/>
      <c r="DU180" s="594"/>
      <c r="DV180" s="594"/>
      <c r="DW180" s="594"/>
      <c r="DX180" s="594"/>
      <c r="DY180" s="764"/>
      <c r="EA180" s="594"/>
      <c r="EB180" s="594"/>
      <c r="EC180" s="594"/>
      <c r="ED180" s="594"/>
      <c r="EE180" s="764"/>
      <c r="EG180" s="594"/>
      <c r="EH180" s="594"/>
      <c r="EI180" s="594"/>
      <c r="EJ180" s="594"/>
      <c r="EK180" s="595"/>
      <c r="EL180" s="595"/>
      <c r="EM180" s="600"/>
      <c r="FP180" s="594"/>
      <c r="FQ180" s="594"/>
      <c r="FR180" s="594"/>
    </row>
    <row r="181" spans="2:174" x14ac:dyDescent="0.2">
      <c r="B181" s="588" t="s">
        <v>627</v>
      </c>
      <c r="FP181" s="311"/>
    </row>
    <row r="182" spans="2:174" x14ac:dyDescent="0.2">
      <c r="B182" s="311" t="s">
        <v>581</v>
      </c>
      <c r="C182" s="322" t="s">
        <v>617</v>
      </c>
      <c r="DR182" s="532">
        <v>12</v>
      </c>
      <c r="DS182" s="694">
        <f t="shared" ref="DS182:DS187" si="539">DR182</f>
        <v>12</v>
      </c>
      <c r="DU182" s="310">
        <f>DR182-DU160+DU151</f>
        <v>12</v>
      </c>
      <c r="DV182" s="310">
        <f>DU182-DV160+DV151</f>
        <v>17</v>
      </c>
      <c r="DW182" s="310">
        <f>DV182-DW160+DW151</f>
        <v>18</v>
      </c>
      <c r="DX182" s="310">
        <f>DW182-DX160+DX151</f>
        <v>21</v>
      </c>
      <c r="DY182" s="694">
        <f t="shared" ref="DY182:DY187" si="540">DX182</f>
        <v>21</v>
      </c>
      <c r="EA182" s="310">
        <f>DX182-EA160+EA151</f>
        <v>17</v>
      </c>
      <c r="EB182" s="310">
        <f>EA182-EB160+EB151</f>
        <v>18</v>
      </c>
      <c r="EC182" s="310">
        <f>EB182-EC160+EC151</f>
        <v>21</v>
      </c>
      <c r="ED182" s="310">
        <f>EC182-ED160+ED151</f>
        <v>28</v>
      </c>
      <c r="EE182" s="694">
        <f t="shared" ref="EE182:EE187" si="541">ED182</f>
        <v>28</v>
      </c>
      <c r="EG182" s="310">
        <f>ED182-EG160+EG151</f>
        <v>33</v>
      </c>
      <c r="EH182" s="310">
        <f>EG182-EH160+EH151</f>
        <v>37</v>
      </c>
      <c r="EI182" s="310">
        <f>EH182-EI160+EI151</f>
        <v>35</v>
      </c>
      <c r="EJ182" s="310">
        <f>EI182-EJ160+EJ151</f>
        <v>29</v>
      </c>
      <c r="EK182" s="450">
        <f t="shared" ref="EK182:EK187" si="542">EJ182</f>
        <v>29</v>
      </c>
      <c r="EL182" s="601">
        <f>FN182+EL151-EL160</f>
        <v>14</v>
      </c>
      <c r="EM182" s="485"/>
      <c r="FK182" s="310">
        <f t="shared" ref="FK182:FK187" si="543">DS182</f>
        <v>12</v>
      </c>
      <c r="FL182" s="310">
        <f t="shared" ref="FL182:FL187" si="544">DY182</f>
        <v>21</v>
      </c>
      <c r="FM182" s="310">
        <f t="shared" ref="FM182:FM187" si="545">EE182</f>
        <v>28</v>
      </c>
      <c r="FN182" s="373">
        <f t="shared" ref="FN182:FO187" si="546">EK182</f>
        <v>29</v>
      </c>
      <c r="FO182" s="373">
        <f t="shared" si="546"/>
        <v>14</v>
      </c>
      <c r="FP182" s="373">
        <f>GR182+FP151-FP160</f>
        <v>2</v>
      </c>
      <c r="FQ182" s="373">
        <f>FP182+FQ151-FQ160</f>
        <v>-2</v>
      </c>
      <c r="FR182" s="373">
        <f>FQ182+FR151-FR160</f>
        <v>-3</v>
      </c>
    </row>
    <row r="183" spans="2:174" x14ac:dyDescent="0.2">
      <c r="B183" s="311" t="s">
        <v>582</v>
      </c>
      <c r="C183" s="322" t="s">
        <v>617</v>
      </c>
      <c r="DR183" s="532">
        <v>28</v>
      </c>
      <c r="DS183" s="694">
        <f t="shared" si="539"/>
        <v>28</v>
      </c>
      <c r="DU183" s="310">
        <f>DR183-DU163+DU152</f>
        <v>27</v>
      </c>
      <c r="DV183" s="310">
        <f t="shared" ref="DV183:DX187" si="547">DU183-DV163+DV152</f>
        <v>28</v>
      </c>
      <c r="DW183" s="310">
        <f t="shared" si="547"/>
        <v>26</v>
      </c>
      <c r="DX183" s="310">
        <f t="shared" si="547"/>
        <v>26</v>
      </c>
      <c r="DY183" s="694">
        <f t="shared" si="540"/>
        <v>26</v>
      </c>
      <c r="EA183" s="310">
        <f>DX183-EA163+EA152</f>
        <v>24</v>
      </c>
      <c r="EB183" s="310">
        <f t="shared" ref="EB183:ED187" si="548">EA183-EB163+EB152</f>
        <v>21</v>
      </c>
      <c r="EC183" s="310">
        <f t="shared" si="548"/>
        <v>23</v>
      </c>
      <c r="ED183" s="310">
        <f t="shared" si="548"/>
        <v>33</v>
      </c>
      <c r="EE183" s="694">
        <f t="shared" si="541"/>
        <v>33</v>
      </c>
      <c r="EG183" s="310">
        <f>ED183-EG163+EG152</f>
        <v>33</v>
      </c>
      <c r="EH183" s="310">
        <f t="shared" ref="EH183:EJ187" si="549">EG183-EH163+EH152</f>
        <v>33</v>
      </c>
      <c r="EI183" s="310">
        <f t="shared" si="549"/>
        <v>31</v>
      </c>
      <c r="EJ183" s="310">
        <f t="shared" si="549"/>
        <v>27</v>
      </c>
      <c r="EK183" s="450">
        <f t="shared" si="542"/>
        <v>27</v>
      </c>
      <c r="EL183" s="601">
        <f>FN183+EL152-EL163</f>
        <v>12</v>
      </c>
      <c r="EM183" s="485"/>
      <c r="FK183" s="310">
        <f t="shared" si="543"/>
        <v>28</v>
      </c>
      <c r="FL183" s="310">
        <f t="shared" si="544"/>
        <v>26</v>
      </c>
      <c r="FM183" s="310">
        <f t="shared" si="545"/>
        <v>33</v>
      </c>
      <c r="FN183" s="373">
        <f t="shared" si="546"/>
        <v>27</v>
      </c>
      <c r="FO183" s="373">
        <f t="shared" si="546"/>
        <v>12</v>
      </c>
      <c r="FP183" s="373">
        <f>GR183+FP152-FP163</f>
        <v>-3</v>
      </c>
      <c r="FQ183" s="373">
        <f t="shared" ref="FQ183:FR187" si="550">FP183+FQ152-FQ163</f>
        <v>-3</v>
      </c>
      <c r="FR183" s="373">
        <f t="shared" si="550"/>
        <v>-3</v>
      </c>
    </row>
    <row r="184" spans="2:174" x14ac:dyDescent="0.2">
      <c r="B184" s="311" t="s">
        <v>583</v>
      </c>
      <c r="C184" s="322" t="s">
        <v>617</v>
      </c>
      <c r="DR184" s="532">
        <v>18</v>
      </c>
      <c r="DS184" s="694">
        <f t="shared" si="539"/>
        <v>18</v>
      </c>
      <c r="DU184" s="310">
        <f>DR184-DU164+DU153</f>
        <v>16</v>
      </c>
      <c r="DV184" s="310">
        <f t="shared" si="547"/>
        <v>15</v>
      </c>
      <c r="DW184" s="310">
        <f t="shared" si="547"/>
        <v>12</v>
      </c>
      <c r="DX184" s="310">
        <f t="shared" si="547"/>
        <v>10</v>
      </c>
      <c r="DY184" s="694">
        <f t="shared" si="540"/>
        <v>10</v>
      </c>
      <c r="EA184" s="310">
        <f>DX184-EA164+EA153</f>
        <v>8</v>
      </c>
      <c r="EB184" s="310">
        <f t="shared" si="548"/>
        <v>7</v>
      </c>
      <c r="EC184" s="310">
        <f t="shared" si="548"/>
        <v>7</v>
      </c>
      <c r="ED184" s="310">
        <f t="shared" si="548"/>
        <v>7</v>
      </c>
      <c r="EE184" s="694">
        <f t="shared" si="541"/>
        <v>7</v>
      </c>
      <c r="EG184" s="310">
        <f>ED184-EG164+EG153</f>
        <v>9</v>
      </c>
      <c r="EH184" s="310">
        <f t="shared" si="549"/>
        <v>11</v>
      </c>
      <c r="EI184" s="310">
        <f t="shared" si="549"/>
        <v>11</v>
      </c>
      <c r="EJ184" s="310">
        <f t="shared" si="549"/>
        <v>10</v>
      </c>
      <c r="EK184" s="450">
        <f t="shared" si="542"/>
        <v>10</v>
      </c>
      <c r="EL184" s="601">
        <f>FN184+EL153-EL164</f>
        <v>12</v>
      </c>
      <c r="EM184" s="485"/>
      <c r="FK184" s="310">
        <f t="shared" si="543"/>
        <v>18</v>
      </c>
      <c r="FL184" s="310">
        <f t="shared" si="544"/>
        <v>10</v>
      </c>
      <c r="FM184" s="310">
        <f t="shared" si="545"/>
        <v>7</v>
      </c>
      <c r="FN184" s="373">
        <f t="shared" si="546"/>
        <v>10</v>
      </c>
      <c r="FO184" s="373">
        <f t="shared" si="546"/>
        <v>12</v>
      </c>
      <c r="FP184" s="373">
        <f>GR184+FP153-FP164</f>
        <v>4</v>
      </c>
      <c r="FQ184" s="373">
        <f t="shared" si="550"/>
        <v>9</v>
      </c>
      <c r="FR184" s="373">
        <f t="shared" si="550"/>
        <v>12</v>
      </c>
    </row>
    <row r="185" spans="2:174" x14ac:dyDescent="0.2">
      <c r="B185" s="311" t="s">
        <v>585</v>
      </c>
      <c r="C185" s="322" t="s">
        <v>617</v>
      </c>
      <c r="DR185" s="532">
        <v>8</v>
      </c>
      <c r="DS185" s="694">
        <f t="shared" si="539"/>
        <v>8</v>
      </c>
      <c r="DU185" s="310">
        <f>DR185-DU165+DU154</f>
        <v>6</v>
      </c>
      <c r="DV185" s="310">
        <f t="shared" si="547"/>
        <v>6</v>
      </c>
      <c r="DW185" s="310">
        <f t="shared" si="547"/>
        <v>6</v>
      </c>
      <c r="DX185" s="310">
        <f t="shared" si="547"/>
        <v>6</v>
      </c>
      <c r="DY185" s="694">
        <f t="shared" si="540"/>
        <v>6</v>
      </c>
      <c r="EA185" s="310">
        <f>DX185-EA165+EA154</f>
        <v>4</v>
      </c>
      <c r="EB185" s="310">
        <f t="shared" si="548"/>
        <v>5</v>
      </c>
      <c r="EC185" s="310">
        <f t="shared" si="548"/>
        <v>9</v>
      </c>
      <c r="ED185" s="310">
        <f t="shared" si="548"/>
        <v>14</v>
      </c>
      <c r="EE185" s="694">
        <f t="shared" si="541"/>
        <v>14</v>
      </c>
      <c r="EG185" s="310">
        <f>ED185-EG165+EG154</f>
        <v>13</v>
      </c>
      <c r="EH185" s="310">
        <f t="shared" si="549"/>
        <v>13</v>
      </c>
      <c r="EI185" s="310">
        <f t="shared" si="549"/>
        <v>12</v>
      </c>
      <c r="EJ185" s="310">
        <f t="shared" si="549"/>
        <v>12</v>
      </c>
      <c r="EK185" s="450">
        <f t="shared" si="542"/>
        <v>12</v>
      </c>
      <c r="EL185" s="601">
        <f>FN185+EL154-EL165</f>
        <v>11</v>
      </c>
      <c r="EM185" s="485"/>
      <c r="FK185" s="310">
        <f t="shared" si="543"/>
        <v>8</v>
      </c>
      <c r="FL185" s="310">
        <f t="shared" si="544"/>
        <v>6</v>
      </c>
      <c r="FM185" s="310">
        <f t="shared" si="545"/>
        <v>14</v>
      </c>
      <c r="FN185" s="373">
        <f t="shared" si="546"/>
        <v>12</v>
      </c>
      <c r="FO185" s="373">
        <f t="shared" si="546"/>
        <v>11</v>
      </c>
      <c r="FP185" s="373">
        <f>GR185+FP154-FP165</f>
        <v>3</v>
      </c>
      <c r="FQ185" s="373">
        <f t="shared" si="550"/>
        <v>7</v>
      </c>
      <c r="FR185" s="373">
        <f t="shared" si="550"/>
        <v>11</v>
      </c>
    </row>
    <row r="186" spans="2:174" x14ac:dyDescent="0.2">
      <c r="B186" s="311" t="s">
        <v>584</v>
      </c>
      <c r="C186" s="322" t="s">
        <v>617</v>
      </c>
      <c r="DR186" s="532">
        <v>3</v>
      </c>
      <c r="DS186" s="694">
        <f t="shared" si="539"/>
        <v>3</v>
      </c>
      <c r="DU186" s="310">
        <f>DR186-DU166+DU155</f>
        <v>0</v>
      </c>
      <c r="DV186" s="310">
        <f t="shared" si="547"/>
        <v>0</v>
      </c>
      <c r="DW186" s="310">
        <f t="shared" si="547"/>
        <v>0</v>
      </c>
      <c r="DX186" s="310">
        <f t="shared" si="547"/>
        <v>2</v>
      </c>
      <c r="DY186" s="694">
        <f t="shared" si="540"/>
        <v>2</v>
      </c>
      <c r="EA186" s="310">
        <f>DX186-EA166+EA155</f>
        <v>4</v>
      </c>
      <c r="EB186" s="310">
        <f t="shared" si="548"/>
        <v>4</v>
      </c>
      <c r="EC186" s="310">
        <f t="shared" si="548"/>
        <v>3</v>
      </c>
      <c r="ED186" s="310">
        <f t="shared" si="548"/>
        <v>2</v>
      </c>
      <c r="EE186" s="694">
        <f t="shared" si="541"/>
        <v>2</v>
      </c>
      <c r="EG186" s="310">
        <f>ED186-EG166+EG155</f>
        <v>4</v>
      </c>
      <c r="EH186" s="310">
        <f t="shared" si="549"/>
        <v>7</v>
      </c>
      <c r="EI186" s="310">
        <f t="shared" si="549"/>
        <v>9</v>
      </c>
      <c r="EJ186" s="310">
        <f t="shared" si="549"/>
        <v>9</v>
      </c>
      <c r="EK186" s="450">
        <f t="shared" si="542"/>
        <v>9</v>
      </c>
      <c r="EL186" s="601">
        <f>FN186+EL155-EL166</f>
        <v>6</v>
      </c>
      <c r="EM186" s="485"/>
      <c r="FK186" s="310">
        <f t="shared" si="543"/>
        <v>3</v>
      </c>
      <c r="FL186" s="310">
        <f t="shared" si="544"/>
        <v>2</v>
      </c>
      <c r="FM186" s="310">
        <f t="shared" si="545"/>
        <v>2</v>
      </c>
      <c r="FN186" s="373">
        <f t="shared" si="546"/>
        <v>9</v>
      </c>
      <c r="FO186" s="373">
        <f t="shared" si="546"/>
        <v>6</v>
      </c>
      <c r="FP186" s="373">
        <f>GR186+FP155-FP166</f>
        <v>5</v>
      </c>
      <c r="FQ186" s="373">
        <f t="shared" si="550"/>
        <v>8</v>
      </c>
      <c r="FR186" s="373">
        <f t="shared" si="550"/>
        <v>12</v>
      </c>
    </row>
    <row r="187" spans="2:174" x14ac:dyDescent="0.2">
      <c r="B187" s="311" t="s">
        <v>164</v>
      </c>
      <c r="C187" s="322" t="s">
        <v>617</v>
      </c>
      <c r="DR187" s="532">
        <v>1</v>
      </c>
      <c r="DS187" s="694">
        <f t="shared" si="539"/>
        <v>1</v>
      </c>
      <c r="DU187" s="310">
        <f>DR187-DU167+DU156</f>
        <v>1</v>
      </c>
      <c r="DV187" s="310">
        <f t="shared" si="547"/>
        <v>1</v>
      </c>
      <c r="DW187" s="310">
        <f t="shared" si="547"/>
        <v>1</v>
      </c>
      <c r="DX187" s="310">
        <f t="shared" si="547"/>
        <v>1</v>
      </c>
      <c r="DY187" s="694">
        <f t="shared" si="540"/>
        <v>1</v>
      </c>
      <c r="EA187" s="310">
        <f>DX187-EA167+EA156</f>
        <v>1</v>
      </c>
      <c r="EB187" s="310">
        <f t="shared" si="548"/>
        <v>1</v>
      </c>
      <c r="EC187" s="310">
        <f t="shared" si="548"/>
        <v>1</v>
      </c>
      <c r="ED187" s="310">
        <f t="shared" si="548"/>
        <v>1</v>
      </c>
      <c r="EE187" s="694">
        <f t="shared" si="541"/>
        <v>1</v>
      </c>
      <c r="EG187" s="310">
        <f>ED187-EG167+EG156</f>
        <v>1</v>
      </c>
      <c r="EH187" s="310">
        <f t="shared" si="549"/>
        <v>2</v>
      </c>
      <c r="EI187" s="310">
        <f t="shared" si="549"/>
        <v>1</v>
      </c>
      <c r="EJ187" s="310">
        <f t="shared" si="549"/>
        <v>1</v>
      </c>
      <c r="EK187" s="450">
        <f t="shared" si="542"/>
        <v>1</v>
      </c>
      <c r="EL187" s="601">
        <f>FN187+EL156-EL167</f>
        <v>1</v>
      </c>
      <c r="EM187" s="485"/>
      <c r="FK187" s="310">
        <f t="shared" si="543"/>
        <v>1</v>
      </c>
      <c r="FL187" s="310">
        <f t="shared" si="544"/>
        <v>1</v>
      </c>
      <c r="FM187" s="310">
        <f t="shared" si="545"/>
        <v>1</v>
      </c>
      <c r="FN187" s="373">
        <f t="shared" si="546"/>
        <v>1</v>
      </c>
      <c r="FO187" s="373">
        <f t="shared" si="546"/>
        <v>1</v>
      </c>
      <c r="FP187" s="373">
        <f>GR187+FP156-FP167</f>
        <v>1</v>
      </c>
      <c r="FQ187" s="373">
        <f t="shared" si="550"/>
        <v>1</v>
      </c>
      <c r="FR187" s="373">
        <f t="shared" si="550"/>
        <v>1</v>
      </c>
    </row>
    <row r="188" spans="2:174" ht="12" x14ac:dyDescent="0.25">
      <c r="B188" s="590" t="s">
        <v>249</v>
      </c>
      <c r="C188" s="351" t="s">
        <v>617</v>
      </c>
      <c r="D188" s="604"/>
      <c r="E188" s="604"/>
      <c r="F188" s="604"/>
      <c r="G188" s="604"/>
      <c r="H188" s="604"/>
      <c r="I188" s="604"/>
      <c r="J188" s="604"/>
      <c r="K188" s="604"/>
      <c r="L188" s="604"/>
      <c r="M188" s="604"/>
      <c r="N188" s="604"/>
      <c r="O188" s="604"/>
      <c r="P188" s="604"/>
      <c r="Q188" s="604"/>
      <c r="R188" s="604"/>
      <c r="S188" s="604"/>
      <c r="T188" s="604"/>
      <c r="U188" s="604"/>
      <c r="V188" s="604"/>
      <c r="W188" s="604"/>
      <c r="X188" s="604"/>
      <c r="Y188" s="604"/>
      <c r="Z188" s="604"/>
      <c r="AA188" s="604"/>
      <c r="AB188" s="604"/>
      <c r="AC188" s="604"/>
      <c r="AD188" s="604"/>
      <c r="AE188" s="604"/>
      <c r="AF188" s="604"/>
      <c r="AG188" s="604"/>
      <c r="AH188" s="604"/>
      <c r="AI188" s="604"/>
      <c r="AJ188" s="604"/>
      <c r="AK188" s="604"/>
      <c r="AL188" s="604"/>
      <c r="AM188" s="604"/>
      <c r="AN188" s="604"/>
      <c r="AO188" s="604"/>
      <c r="AP188" s="604"/>
      <c r="AQ188" s="604"/>
      <c r="AR188" s="604"/>
      <c r="AS188" s="604"/>
      <c r="AT188" s="604"/>
      <c r="AU188" s="604"/>
      <c r="AV188" s="604"/>
      <c r="AW188" s="604"/>
      <c r="AX188" s="604"/>
      <c r="AY188" s="604"/>
      <c r="AZ188" s="604"/>
      <c r="BA188" s="604"/>
      <c r="BB188" s="604"/>
      <c r="BC188" s="604"/>
      <c r="BD188" s="604"/>
      <c r="BE188" s="604"/>
      <c r="BF188" s="604"/>
      <c r="BG188" s="604"/>
      <c r="BH188" s="604"/>
      <c r="BI188" s="604"/>
      <c r="BJ188" s="604"/>
      <c r="BK188" s="604"/>
      <c r="BL188" s="604"/>
      <c r="BM188" s="604"/>
      <c r="BN188" s="604"/>
      <c r="BO188" s="604"/>
      <c r="BP188" s="604"/>
      <c r="BQ188" s="604"/>
      <c r="BR188" s="604"/>
      <c r="BS188" s="604"/>
      <c r="BT188" s="604"/>
      <c r="BU188" s="604"/>
      <c r="BV188" s="604"/>
      <c r="BW188" s="604"/>
      <c r="BX188" s="604"/>
      <c r="BY188" s="604"/>
      <c r="BZ188" s="604"/>
      <c r="CA188" s="604"/>
      <c r="CB188" s="604"/>
      <c r="CC188" s="604"/>
      <c r="CD188" s="604"/>
      <c r="CE188" s="604"/>
      <c r="CF188" s="604"/>
      <c r="CG188" s="604"/>
      <c r="CH188" s="604"/>
      <c r="CI188" s="604"/>
      <c r="CJ188" s="604"/>
      <c r="CK188" s="604"/>
      <c r="CL188" s="604"/>
      <c r="CM188" s="604"/>
      <c r="CN188" s="604"/>
      <c r="CO188" s="604"/>
      <c r="CP188" s="604"/>
      <c r="CQ188" s="604"/>
      <c r="CR188" s="604"/>
      <c r="CS188" s="604"/>
      <c r="CT188" s="604"/>
      <c r="CU188" s="604"/>
      <c r="CV188" s="604"/>
      <c r="CW188" s="604"/>
      <c r="CX188" s="604"/>
      <c r="CY188" s="604"/>
      <c r="CZ188" s="604"/>
      <c r="DA188" s="605"/>
      <c r="DC188" s="604"/>
      <c r="DD188" s="604"/>
      <c r="DE188" s="604"/>
      <c r="DF188" s="604"/>
      <c r="DG188" s="678"/>
      <c r="DI188" s="604"/>
      <c r="DJ188" s="604"/>
      <c r="DK188" s="604"/>
      <c r="DL188" s="604"/>
      <c r="DM188" s="678"/>
      <c r="DO188" s="604"/>
      <c r="DP188" s="604"/>
      <c r="DQ188" s="604"/>
      <c r="DR188" s="591">
        <f>SUM(DR182:DR187)</f>
        <v>70</v>
      </c>
      <c r="DS188" s="747">
        <f>SUM(DS182:DS187)</f>
        <v>70</v>
      </c>
      <c r="DU188" s="591">
        <f>SUM(DU182:DU187)</f>
        <v>62</v>
      </c>
      <c r="DV188" s="591">
        <f>SUM(DV182:DV187)</f>
        <v>67</v>
      </c>
      <c r="DW188" s="591">
        <f>SUM(DW182:DW187)</f>
        <v>63</v>
      </c>
      <c r="DX188" s="591">
        <f>SUM(DX182:DX187)</f>
        <v>66</v>
      </c>
      <c r="DY188" s="747">
        <f>SUM(DY182:DY187)</f>
        <v>66</v>
      </c>
      <c r="EA188" s="591">
        <f>SUM(EA182:EA187)</f>
        <v>58</v>
      </c>
      <c r="EB188" s="591">
        <f>SUM(EB182:EB187)</f>
        <v>56</v>
      </c>
      <c r="EC188" s="591">
        <f>SUM(EC182:EC187)</f>
        <v>64</v>
      </c>
      <c r="ED188" s="591">
        <f>SUM(ED182:ED187)</f>
        <v>85</v>
      </c>
      <c r="EE188" s="747">
        <f>SUM(EE182:EE187)</f>
        <v>85</v>
      </c>
      <c r="EG188" s="591">
        <f t="shared" ref="EG188:EL188" si="551">SUM(EG182:EG187)</f>
        <v>93</v>
      </c>
      <c r="EH188" s="591">
        <f t="shared" si="551"/>
        <v>103</v>
      </c>
      <c r="EI188" s="591">
        <f t="shared" si="551"/>
        <v>99</v>
      </c>
      <c r="EJ188" s="591">
        <f t="shared" si="551"/>
        <v>88</v>
      </c>
      <c r="EK188" s="592">
        <f t="shared" si="551"/>
        <v>88</v>
      </c>
      <c r="EL188" s="592">
        <f t="shared" si="551"/>
        <v>56</v>
      </c>
      <c r="EM188" s="593"/>
      <c r="FK188" s="591">
        <f t="shared" ref="FK188:FR188" si="552">SUM(FK182:FK187)</f>
        <v>70</v>
      </c>
      <c r="FL188" s="591">
        <f t="shared" si="552"/>
        <v>66</v>
      </c>
      <c r="FM188" s="591">
        <f t="shared" si="552"/>
        <v>85</v>
      </c>
      <c r="FN188" s="591">
        <f t="shared" si="552"/>
        <v>88</v>
      </c>
      <c r="FO188" s="591">
        <f t="shared" si="552"/>
        <v>56</v>
      </c>
      <c r="FP188" s="591">
        <f t="shared" si="552"/>
        <v>12</v>
      </c>
      <c r="FQ188" s="591">
        <f t="shared" si="552"/>
        <v>20</v>
      </c>
      <c r="FR188" s="591">
        <f t="shared" si="552"/>
        <v>30</v>
      </c>
    </row>
    <row r="189" spans="2:174" x14ac:dyDescent="0.2">
      <c r="FP189" s="311"/>
    </row>
    <row r="190" spans="2:174" x14ac:dyDescent="0.2">
      <c r="B190" s="588" t="s">
        <v>684</v>
      </c>
      <c r="C190" s="598"/>
      <c r="FP190" s="311"/>
    </row>
    <row r="191" spans="2:174" x14ac:dyDescent="0.2">
      <c r="B191" s="311" t="s">
        <v>581</v>
      </c>
      <c r="C191" s="322"/>
      <c r="DR191" s="310">
        <f t="shared" ref="DR191:DR196" si="553">DR$199*DR182</f>
        <v>2213.0621538461551</v>
      </c>
      <c r="DS191" s="694">
        <f t="shared" ref="DS191:DS196" si="554">DR191</f>
        <v>2213.0621538461551</v>
      </c>
      <c r="DU191" s="310">
        <f t="shared" ref="DU191:DX196" si="555">DU$199*DU182</f>
        <v>1990.1607272727274</v>
      </c>
      <c r="DV191" s="310">
        <f t="shared" si="555"/>
        <v>3136.2428749999999</v>
      </c>
      <c r="DW191" s="310">
        <f t="shared" si="555"/>
        <v>3393.9818181818177</v>
      </c>
      <c r="DX191" s="310">
        <f t="shared" si="555"/>
        <v>4355.1864999999998</v>
      </c>
      <c r="DY191" s="694">
        <f t="shared" ref="DY191:DY196" si="556">DX191</f>
        <v>4355.1864999999998</v>
      </c>
      <c r="EA191" s="310">
        <f t="shared" ref="EA191:EC196" si="557">EA$199*EA182</f>
        <v>3903.4720000000002</v>
      </c>
      <c r="EB191" s="310">
        <f t="shared" si="557"/>
        <v>4385.0304000000006</v>
      </c>
      <c r="EC191" s="310">
        <f t="shared" si="557"/>
        <v>4595.1149999999998</v>
      </c>
      <c r="ED191" s="310">
        <f t="shared" ref="ED191:ED196" si="558">ED$199*ED182</f>
        <v>7070.746666666666</v>
      </c>
      <c r="EE191" s="694">
        <f t="shared" ref="EE191:EE196" si="559">ED191</f>
        <v>7070.746666666666</v>
      </c>
      <c r="EG191" s="310">
        <f t="shared" ref="EG191:EJ196" si="560">EG$199*EG182</f>
        <v>7590</v>
      </c>
      <c r="EH191" s="310">
        <f t="shared" si="560"/>
        <v>8510</v>
      </c>
      <c r="EI191" s="310">
        <f t="shared" si="560"/>
        <v>8050</v>
      </c>
      <c r="EJ191" s="310">
        <f t="shared" si="560"/>
        <v>6670</v>
      </c>
      <c r="EK191" s="450">
        <f t="shared" ref="EK191:EK196" si="561">EJ191</f>
        <v>6670</v>
      </c>
      <c r="EL191" s="450">
        <f t="shared" ref="EL191:EL196" si="562">EL$199*EL182</f>
        <v>3290</v>
      </c>
      <c r="EM191" s="451"/>
      <c r="FK191" s="310">
        <f t="shared" ref="FK191:FK196" si="563">DS191</f>
        <v>2213.0621538461551</v>
      </c>
      <c r="FL191" s="310">
        <f t="shared" ref="FL191:FL196" si="564">DY191</f>
        <v>4355.1864999999998</v>
      </c>
      <c r="FM191" s="310">
        <f t="shared" ref="FM191:FM196" si="565">EE191</f>
        <v>7070.746666666666</v>
      </c>
      <c r="FN191" s="373">
        <f t="shared" ref="FN191:FO196" si="566">EK191</f>
        <v>6670</v>
      </c>
      <c r="FO191" s="373">
        <f t="shared" si="566"/>
        <v>3290</v>
      </c>
      <c r="FP191" s="310">
        <f t="shared" ref="FP191:FR196" si="567">FP$199*FP182</f>
        <v>470</v>
      </c>
      <c r="FQ191" s="310">
        <f t="shared" si="567"/>
        <v>-450</v>
      </c>
      <c r="FR191" s="310">
        <f t="shared" si="567"/>
        <v>-675</v>
      </c>
    </row>
    <row r="192" spans="2:174" x14ac:dyDescent="0.2">
      <c r="B192" s="311" t="s">
        <v>582</v>
      </c>
      <c r="C192" s="322"/>
      <c r="DR192" s="310">
        <f t="shared" si="553"/>
        <v>5163.811692307695</v>
      </c>
      <c r="DS192" s="694">
        <f t="shared" si="554"/>
        <v>5163.811692307695</v>
      </c>
      <c r="DU192" s="310">
        <f t="shared" si="555"/>
        <v>4477.8616363636365</v>
      </c>
      <c r="DV192" s="310">
        <f t="shared" si="555"/>
        <v>5165.5764999999992</v>
      </c>
      <c r="DW192" s="310">
        <f t="shared" si="555"/>
        <v>4902.4181818181814</v>
      </c>
      <c r="DX192" s="310">
        <f t="shared" si="555"/>
        <v>5392.1356666666661</v>
      </c>
      <c r="DY192" s="694">
        <f t="shared" si="556"/>
        <v>5392.1356666666661</v>
      </c>
      <c r="EA192" s="310">
        <f t="shared" si="557"/>
        <v>5510.7840000000006</v>
      </c>
      <c r="EB192" s="310">
        <f t="shared" si="557"/>
        <v>5115.8688000000002</v>
      </c>
      <c r="EC192" s="310">
        <f t="shared" si="557"/>
        <v>5032.7449999999999</v>
      </c>
      <c r="ED192" s="310">
        <f t="shared" si="558"/>
        <v>8333.3799999999992</v>
      </c>
      <c r="EE192" s="694">
        <f t="shared" si="559"/>
        <v>8333.3799999999992</v>
      </c>
      <c r="EG192" s="310">
        <f t="shared" si="560"/>
        <v>7590</v>
      </c>
      <c r="EH192" s="310">
        <f t="shared" si="560"/>
        <v>7590</v>
      </c>
      <c r="EI192" s="310">
        <f t="shared" si="560"/>
        <v>7130</v>
      </c>
      <c r="EJ192" s="310">
        <f t="shared" si="560"/>
        <v>6210</v>
      </c>
      <c r="EK192" s="450">
        <f t="shared" si="561"/>
        <v>6210</v>
      </c>
      <c r="EL192" s="450">
        <f t="shared" si="562"/>
        <v>2820</v>
      </c>
      <c r="EM192" s="451"/>
      <c r="FK192" s="310">
        <f t="shared" si="563"/>
        <v>5163.811692307695</v>
      </c>
      <c r="FL192" s="310">
        <f t="shared" si="564"/>
        <v>5392.1356666666661</v>
      </c>
      <c r="FM192" s="310">
        <f t="shared" si="565"/>
        <v>8333.3799999999992</v>
      </c>
      <c r="FN192" s="373">
        <f t="shared" si="566"/>
        <v>6210</v>
      </c>
      <c r="FO192" s="373">
        <f t="shared" si="566"/>
        <v>2820</v>
      </c>
      <c r="FP192" s="310">
        <f t="shared" si="567"/>
        <v>-705</v>
      </c>
      <c r="FQ192" s="310">
        <f t="shared" si="567"/>
        <v>-675</v>
      </c>
      <c r="FR192" s="310">
        <f t="shared" si="567"/>
        <v>-675</v>
      </c>
    </row>
    <row r="193" spans="2:174" x14ac:dyDescent="0.2">
      <c r="B193" s="311" t="s">
        <v>583</v>
      </c>
      <c r="C193" s="322"/>
      <c r="DR193" s="310">
        <f t="shared" si="553"/>
        <v>3319.5932307692324</v>
      </c>
      <c r="DS193" s="694">
        <f t="shared" si="554"/>
        <v>3319.5932307692324</v>
      </c>
      <c r="DU193" s="310">
        <f t="shared" si="555"/>
        <v>2653.5476363636367</v>
      </c>
      <c r="DV193" s="310">
        <f t="shared" si="555"/>
        <v>2767.2731249999997</v>
      </c>
      <c r="DW193" s="310">
        <f t="shared" si="555"/>
        <v>2262.6545454545453</v>
      </c>
      <c r="DX193" s="310">
        <f t="shared" si="555"/>
        <v>2073.8983333333331</v>
      </c>
      <c r="DY193" s="694">
        <f t="shared" si="556"/>
        <v>2073.8983333333331</v>
      </c>
      <c r="EA193" s="310">
        <f t="shared" si="557"/>
        <v>1836.9280000000001</v>
      </c>
      <c r="EB193" s="310">
        <f t="shared" si="557"/>
        <v>1705.2896000000001</v>
      </c>
      <c r="EC193" s="310">
        <f t="shared" si="557"/>
        <v>1531.7049999999999</v>
      </c>
      <c r="ED193" s="310">
        <f t="shared" si="558"/>
        <v>1767.6866666666665</v>
      </c>
      <c r="EE193" s="694">
        <f t="shared" si="559"/>
        <v>1767.6866666666665</v>
      </c>
      <c r="EG193" s="310">
        <f t="shared" si="560"/>
        <v>2070</v>
      </c>
      <c r="EH193" s="310">
        <f t="shared" si="560"/>
        <v>2530</v>
      </c>
      <c r="EI193" s="310">
        <f t="shared" si="560"/>
        <v>2530</v>
      </c>
      <c r="EJ193" s="310">
        <f t="shared" si="560"/>
        <v>2300</v>
      </c>
      <c r="EK193" s="450">
        <f t="shared" si="561"/>
        <v>2300</v>
      </c>
      <c r="EL193" s="450">
        <f t="shared" si="562"/>
        <v>2820</v>
      </c>
      <c r="EM193" s="451"/>
      <c r="FK193" s="310">
        <f t="shared" si="563"/>
        <v>3319.5932307692324</v>
      </c>
      <c r="FL193" s="310">
        <f t="shared" si="564"/>
        <v>2073.8983333333331</v>
      </c>
      <c r="FM193" s="310">
        <f t="shared" si="565"/>
        <v>1767.6866666666665</v>
      </c>
      <c r="FN193" s="373">
        <f t="shared" si="566"/>
        <v>2300</v>
      </c>
      <c r="FO193" s="373">
        <f t="shared" si="566"/>
        <v>2820</v>
      </c>
      <c r="FP193" s="310">
        <f t="shared" si="567"/>
        <v>940</v>
      </c>
      <c r="FQ193" s="310">
        <f t="shared" si="567"/>
        <v>2025</v>
      </c>
      <c r="FR193" s="310">
        <f t="shared" si="567"/>
        <v>2700</v>
      </c>
    </row>
    <row r="194" spans="2:174" x14ac:dyDescent="0.2">
      <c r="B194" s="311" t="s">
        <v>585</v>
      </c>
      <c r="C194" s="322"/>
      <c r="DR194" s="310">
        <f t="shared" si="553"/>
        <v>1475.37476923077</v>
      </c>
      <c r="DS194" s="694">
        <f t="shared" si="554"/>
        <v>1475.37476923077</v>
      </c>
      <c r="DU194" s="310">
        <f t="shared" si="555"/>
        <v>995.0803636363637</v>
      </c>
      <c r="DV194" s="310">
        <f t="shared" si="555"/>
        <v>1106.9092499999999</v>
      </c>
      <c r="DW194" s="310">
        <f t="shared" si="555"/>
        <v>1131.3272727272727</v>
      </c>
      <c r="DX194" s="310">
        <f t="shared" si="555"/>
        <v>1244.3389999999999</v>
      </c>
      <c r="DY194" s="694">
        <f t="shared" si="556"/>
        <v>1244.3389999999999</v>
      </c>
      <c r="EA194" s="310">
        <f t="shared" si="557"/>
        <v>918.46400000000006</v>
      </c>
      <c r="EB194" s="310">
        <f t="shared" si="557"/>
        <v>1218.0640000000001</v>
      </c>
      <c r="EC194" s="310">
        <f t="shared" si="557"/>
        <v>1969.335</v>
      </c>
      <c r="ED194" s="310">
        <f t="shared" si="558"/>
        <v>3535.373333333333</v>
      </c>
      <c r="EE194" s="694">
        <f t="shared" si="559"/>
        <v>3535.373333333333</v>
      </c>
      <c r="EG194" s="310">
        <f t="shared" si="560"/>
        <v>2990</v>
      </c>
      <c r="EH194" s="310">
        <f t="shared" si="560"/>
        <v>2990</v>
      </c>
      <c r="EI194" s="310">
        <f t="shared" si="560"/>
        <v>2760</v>
      </c>
      <c r="EJ194" s="310">
        <f t="shared" si="560"/>
        <v>2760</v>
      </c>
      <c r="EK194" s="450">
        <f t="shared" si="561"/>
        <v>2760</v>
      </c>
      <c r="EL194" s="450">
        <f t="shared" si="562"/>
        <v>2585</v>
      </c>
      <c r="EM194" s="451"/>
      <c r="FK194" s="310">
        <f t="shared" si="563"/>
        <v>1475.37476923077</v>
      </c>
      <c r="FL194" s="310">
        <f t="shared" si="564"/>
        <v>1244.3389999999999</v>
      </c>
      <c r="FM194" s="310">
        <f t="shared" si="565"/>
        <v>3535.373333333333</v>
      </c>
      <c r="FN194" s="373">
        <f t="shared" si="566"/>
        <v>2760</v>
      </c>
      <c r="FO194" s="373">
        <f t="shared" si="566"/>
        <v>2585</v>
      </c>
      <c r="FP194" s="310">
        <f t="shared" si="567"/>
        <v>705</v>
      </c>
      <c r="FQ194" s="310">
        <f t="shared" si="567"/>
        <v>1575</v>
      </c>
      <c r="FR194" s="310">
        <f t="shared" si="567"/>
        <v>2475</v>
      </c>
    </row>
    <row r="195" spans="2:174" x14ac:dyDescent="0.2">
      <c r="B195" s="311" t="s">
        <v>584</v>
      </c>
      <c r="C195" s="322"/>
      <c r="DR195" s="310">
        <f t="shared" si="553"/>
        <v>553.26553846153877</v>
      </c>
      <c r="DS195" s="694">
        <f t="shared" si="554"/>
        <v>553.26553846153877</v>
      </c>
      <c r="DU195" s="310">
        <f t="shared" si="555"/>
        <v>0</v>
      </c>
      <c r="DV195" s="310">
        <f t="shared" si="555"/>
        <v>0</v>
      </c>
      <c r="DW195" s="310">
        <f t="shared" si="555"/>
        <v>0</v>
      </c>
      <c r="DX195" s="310">
        <f t="shared" si="555"/>
        <v>414.77966666666663</v>
      </c>
      <c r="DY195" s="694">
        <f t="shared" si="556"/>
        <v>414.77966666666663</v>
      </c>
      <c r="EA195" s="310">
        <f t="shared" si="557"/>
        <v>918.46400000000006</v>
      </c>
      <c r="EB195" s="310">
        <f t="shared" si="557"/>
        <v>974.45120000000009</v>
      </c>
      <c r="EC195" s="310">
        <f t="shared" si="557"/>
        <v>656.44499999999994</v>
      </c>
      <c r="ED195" s="310">
        <f t="shared" si="558"/>
        <v>505.05333333333328</v>
      </c>
      <c r="EE195" s="694">
        <f t="shared" si="559"/>
        <v>505.05333333333328</v>
      </c>
      <c r="EG195" s="310">
        <f t="shared" si="560"/>
        <v>920</v>
      </c>
      <c r="EH195" s="310">
        <f t="shared" si="560"/>
        <v>1610</v>
      </c>
      <c r="EI195" s="310">
        <f t="shared" si="560"/>
        <v>2070</v>
      </c>
      <c r="EJ195" s="310">
        <f t="shared" si="560"/>
        <v>2070</v>
      </c>
      <c r="EK195" s="450">
        <f t="shared" si="561"/>
        <v>2070</v>
      </c>
      <c r="EL195" s="450">
        <f t="shared" si="562"/>
        <v>1410</v>
      </c>
      <c r="EM195" s="451"/>
      <c r="FK195" s="310">
        <f t="shared" si="563"/>
        <v>553.26553846153877</v>
      </c>
      <c r="FL195" s="310">
        <f t="shared" si="564"/>
        <v>414.77966666666663</v>
      </c>
      <c r="FM195" s="310">
        <f t="shared" si="565"/>
        <v>505.05333333333328</v>
      </c>
      <c r="FN195" s="373">
        <f t="shared" si="566"/>
        <v>2070</v>
      </c>
      <c r="FO195" s="373">
        <f t="shared" si="566"/>
        <v>1410</v>
      </c>
      <c r="FP195" s="310">
        <f t="shared" si="567"/>
        <v>1175</v>
      </c>
      <c r="FQ195" s="310">
        <f t="shared" si="567"/>
        <v>1800</v>
      </c>
      <c r="FR195" s="310">
        <f t="shared" si="567"/>
        <v>2700</v>
      </c>
    </row>
    <row r="196" spans="2:174" x14ac:dyDescent="0.2">
      <c r="B196" s="311" t="s">
        <v>164</v>
      </c>
      <c r="C196" s="322"/>
      <c r="DR196" s="310">
        <f t="shared" si="553"/>
        <v>184.42184615384625</v>
      </c>
      <c r="DS196" s="694">
        <f t="shared" si="554"/>
        <v>184.42184615384625</v>
      </c>
      <c r="DU196" s="310">
        <f t="shared" si="555"/>
        <v>165.84672727272729</v>
      </c>
      <c r="DV196" s="310">
        <f t="shared" si="555"/>
        <v>184.48487499999999</v>
      </c>
      <c r="DW196" s="310">
        <f t="shared" si="555"/>
        <v>188.55454545454543</v>
      </c>
      <c r="DX196" s="310">
        <f t="shared" si="555"/>
        <v>207.38983333333331</v>
      </c>
      <c r="DY196" s="694">
        <f t="shared" si="556"/>
        <v>207.38983333333331</v>
      </c>
      <c r="EA196" s="310">
        <f t="shared" si="557"/>
        <v>229.61600000000001</v>
      </c>
      <c r="EB196" s="310">
        <f t="shared" si="557"/>
        <v>243.61280000000002</v>
      </c>
      <c r="EC196" s="310">
        <f t="shared" si="557"/>
        <v>218.815</v>
      </c>
      <c r="ED196" s="310">
        <f t="shared" si="558"/>
        <v>252.52666666666664</v>
      </c>
      <c r="EE196" s="694">
        <f t="shared" si="559"/>
        <v>252.52666666666664</v>
      </c>
      <c r="EG196" s="310">
        <f t="shared" si="560"/>
        <v>230</v>
      </c>
      <c r="EH196" s="310">
        <f t="shared" si="560"/>
        <v>460</v>
      </c>
      <c r="EI196" s="310">
        <f t="shared" si="560"/>
        <v>230</v>
      </c>
      <c r="EJ196" s="310">
        <f t="shared" si="560"/>
        <v>230</v>
      </c>
      <c r="EK196" s="450">
        <f t="shared" si="561"/>
        <v>230</v>
      </c>
      <c r="EL196" s="450">
        <f t="shared" si="562"/>
        <v>235</v>
      </c>
      <c r="EM196" s="451"/>
      <c r="FK196" s="310">
        <f t="shared" si="563"/>
        <v>184.42184615384625</v>
      </c>
      <c r="FL196" s="310">
        <f t="shared" si="564"/>
        <v>207.38983333333331</v>
      </c>
      <c r="FM196" s="310">
        <f t="shared" si="565"/>
        <v>252.52666666666664</v>
      </c>
      <c r="FN196" s="373">
        <f t="shared" si="566"/>
        <v>230</v>
      </c>
      <c r="FO196" s="373">
        <f t="shared" si="566"/>
        <v>235</v>
      </c>
      <c r="FP196" s="310">
        <f t="shared" si="567"/>
        <v>235</v>
      </c>
      <c r="FQ196" s="310">
        <f t="shared" si="567"/>
        <v>225</v>
      </c>
      <c r="FR196" s="310">
        <f t="shared" si="567"/>
        <v>225</v>
      </c>
    </row>
    <row r="197" spans="2:174" ht="12" x14ac:dyDescent="0.25">
      <c r="B197" s="590" t="s">
        <v>249</v>
      </c>
      <c r="C197" s="351"/>
      <c r="D197" s="604"/>
      <c r="E197" s="604"/>
      <c r="F197" s="604"/>
      <c r="G197" s="604"/>
      <c r="H197" s="604"/>
      <c r="I197" s="604"/>
      <c r="J197" s="604"/>
      <c r="K197" s="604"/>
      <c r="L197" s="604"/>
      <c r="M197" s="604"/>
      <c r="N197" s="604"/>
      <c r="O197" s="604"/>
      <c r="P197" s="604"/>
      <c r="Q197" s="604"/>
      <c r="R197" s="604"/>
      <c r="S197" s="604"/>
      <c r="T197" s="604"/>
      <c r="U197" s="604"/>
      <c r="V197" s="604"/>
      <c r="W197" s="604"/>
      <c r="X197" s="604"/>
      <c r="Y197" s="604"/>
      <c r="Z197" s="604"/>
      <c r="AA197" s="604"/>
      <c r="AB197" s="604"/>
      <c r="AC197" s="604"/>
      <c r="AD197" s="604"/>
      <c r="AE197" s="604"/>
      <c r="AF197" s="604"/>
      <c r="AG197" s="604"/>
      <c r="AH197" s="604"/>
      <c r="AI197" s="604"/>
      <c r="AJ197" s="604"/>
      <c r="AK197" s="604"/>
      <c r="AL197" s="604"/>
      <c r="AM197" s="604"/>
      <c r="AN197" s="604"/>
      <c r="AO197" s="604"/>
      <c r="AP197" s="604"/>
      <c r="AQ197" s="604"/>
      <c r="AR197" s="604"/>
      <c r="AS197" s="604"/>
      <c r="AT197" s="604"/>
      <c r="AU197" s="604"/>
      <c r="AV197" s="604"/>
      <c r="AW197" s="604"/>
      <c r="AX197" s="604"/>
      <c r="AY197" s="604"/>
      <c r="AZ197" s="604"/>
      <c r="BA197" s="604"/>
      <c r="BB197" s="604"/>
      <c r="BC197" s="604"/>
      <c r="BD197" s="604"/>
      <c r="BE197" s="604"/>
      <c r="BF197" s="604"/>
      <c r="BG197" s="604"/>
      <c r="BH197" s="604"/>
      <c r="BI197" s="604"/>
      <c r="BJ197" s="604"/>
      <c r="BK197" s="604"/>
      <c r="BL197" s="604"/>
      <c r="BM197" s="604"/>
      <c r="BN197" s="604"/>
      <c r="BO197" s="604"/>
      <c r="BP197" s="604"/>
      <c r="BQ197" s="604"/>
      <c r="BR197" s="604"/>
      <c r="BS197" s="604"/>
      <c r="BT197" s="604"/>
      <c r="BU197" s="604"/>
      <c r="BV197" s="604"/>
      <c r="BW197" s="604"/>
      <c r="BX197" s="604"/>
      <c r="BY197" s="604"/>
      <c r="BZ197" s="604"/>
      <c r="CA197" s="604"/>
      <c r="CB197" s="604"/>
      <c r="CC197" s="604"/>
      <c r="CD197" s="604"/>
      <c r="CE197" s="604"/>
      <c r="CF197" s="604"/>
      <c r="CG197" s="604"/>
      <c r="CH197" s="604"/>
      <c r="CI197" s="604"/>
      <c r="CJ197" s="604"/>
      <c r="CK197" s="604"/>
      <c r="CL197" s="604"/>
      <c r="CM197" s="604"/>
      <c r="CN197" s="604"/>
      <c r="CO197" s="604"/>
      <c r="CP197" s="604"/>
      <c r="CQ197" s="604"/>
      <c r="CR197" s="604"/>
      <c r="CS197" s="604"/>
      <c r="CT197" s="604"/>
      <c r="CU197" s="604"/>
      <c r="CV197" s="604"/>
      <c r="CW197" s="604"/>
      <c r="CX197" s="604"/>
      <c r="CY197" s="604"/>
      <c r="CZ197" s="604"/>
      <c r="DA197" s="605"/>
      <c r="DC197" s="604"/>
      <c r="DD197" s="604"/>
      <c r="DE197" s="604"/>
      <c r="DF197" s="604"/>
      <c r="DG197" s="678"/>
      <c r="DI197" s="604"/>
      <c r="DJ197" s="604"/>
      <c r="DK197" s="604"/>
      <c r="DL197" s="604"/>
      <c r="DM197" s="678"/>
      <c r="DO197" s="604"/>
      <c r="DP197" s="604"/>
      <c r="DQ197" s="604"/>
      <c r="DR197" s="591">
        <f>SUM(DR191:DR196)</f>
        <v>12909.529230769238</v>
      </c>
      <c r="DS197" s="747">
        <f>SUM(DS191:DS196)</f>
        <v>12909.529230769238</v>
      </c>
      <c r="DU197" s="591">
        <f>SUM(DU191:DU196)</f>
        <v>10282.497090909092</v>
      </c>
      <c r="DV197" s="591">
        <f>SUM(DV191:DV196)</f>
        <v>12360.486625</v>
      </c>
      <c r="DW197" s="591">
        <f>SUM(DW191:DW196)</f>
        <v>11878.936363636363</v>
      </c>
      <c r="DX197" s="591">
        <f>SUM(DX191:DX196)</f>
        <v>13687.728999999998</v>
      </c>
      <c r="DY197" s="747">
        <f>SUM(DY191:DY196)</f>
        <v>13687.728999999998</v>
      </c>
      <c r="EA197" s="591">
        <f>SUM(EA191:EA196)</f>
        <v>13317.728000000001</v>
      </c>
      <c r="EB197" s="591">
        <f>SUM(EB191:EB196)</f>
        <v>13642.316800000001</v>
      </c>
      <c r="EC197" s="591">
        <f>SUM(EC191:EC196)</f>
        <v>14004.160000000002</v>
      </c>
      <c r="ED197" s="591">
        <f>SUM(ED191:ED196)</f>
        <v>21464.766666666663</v>
      </c>
      <c r="EE197" s="747">
        <f>SUM(EE191:EE196)</f>
        <v>21464.766666666663</v>
      </c>
      <c r="EG197" s="591">
        <f t="shared" ref="EG197:EL197" si="568">SUM(EG191:EG196)</f>
        <v>21390</v>
      </c>
      <c r="EH197" s="591">
        <f t="shared" si="568"/>
        <v>23690</v>
      </c>
      <c r="EI197" s="591">
        <f t="shared" si="568"/>
        <v>22770</v>
      </c>
      <c r="EJ197" s="591">
        <f t="shared" si="568"/>
        <v>20240</v>
      </c>
      <c r="EK197" s="592">
        <f t="shared" si="568"/>
        <v>20240</v>
      </c>
      <c r="EL197" s="592">
        <f t="shared" si="568"/>
        <v>13160</v>
      </c>
      <c r="EM197" s="593"/>
      <c r="FK197" s="591">
        <f t="shared" ref="FK197:FR197" si="569">SUM(FK191:FK196)</f>
        <v>12909.529230769238</v>
      </c>
      <c r="FL197" s="591">
        <f t="shared" si="569"/>
        <v>13687.728999999998</v>
      </c>
      <c r="FM197" s="591">
        <f t="shared" si="569"/>
        <v>21464.766666666663</v>
      </c>
      <c r="FN197" s="591">
        <f t="shared" si="569"/>
        <v>20240</v>
      </c>
      <c r="FO197" s="591">
        <f t="shared" si="569"/>
        <v>13160</v>
      </c>
      <c r="FP197" s="591">
        <f t="shared" si="569"/>
        <v>2820</v>
      </c>
      <c r="FQ197" s="591">
        <f t="shared" si="569"/>
        <v>4500</v>
      </c>
      <c r="FR197" s="591">
        <f t="shared" si="569"/>
        <v>6750</v>
      </c>
    </row>
    <row r="198" spans="2:174" x14ac:dyDescent="0.2">
      <c r="FP198" s="311"/>
    </row>
    <row r="199" spans="2:174" ht="12" x14ac:dyDescent="0.25">
      <c r="B199" s="603" t="s">
        <v>685</v>
      </c>
      <c r="C199" s="604"/>
      <c r="D199" s="604"/>
      <c r="E199" s="604"/>
      <c r="F199" s="604"/>
      <c r="G199" s="604"/>
      <c r="H199" s="604"/>
      <c r="I199" s="604"/>
      <c r="J199" s="604"/>
      <c r="K199" s="604"/>
      <c r="L199" s="604"/>
      <c r="M199" s="604"/>
      <c r="N199" s="604"/>
      <c r="O199" s="604"/>
      <c r="P199" s="604"/>
      <c r="Q199" s="604"/>
      <c r="R199" s="604"/>
      <c r="S199" s="604"/>
      <c r="T199" s="604"/>
      <c r="U199" s="604"/>
      <c r="V199" s="604"/>
      <c r="W199" s="604"/>
      <c r="X199" s="604"/>
      <c r="Y199" s="604"/>
      <c r="Z199" s="604"/>
      <c r="AA199" s="604"/>
      <c r="AB199" s="604"/>
      <c r="AC199" s="604"/>
      <c r="AD199" s="604"/>
      <c r="AE199" s="604"/>
      <c r="AF199" s="604"/>
      <c r="AG199" s="604"/>
      <c r="AH199" s="604"/>
      <c r="AI199" s="604"/>
      <c r="AJ199" s="604"/>
      <c r="AK199" s="604"/>
      <c r="AL199" s="604"/>
      <c r="AM199" s="604"/>
      <c r="AN199" s="604"/>
      <c r="AO199" s="604"/>
      <c r="AP199" s="604"/>
      <c r="AQ199" s="604"/>
      <c r="AR199" s="604"/>
      <c r="AS199" s="604"/>
      <c r="AT199" s="604"/>
      <c r="AU199" s="604"/>
      <c r="AV199" s="604"/>
      <c r="AW199" s="604"/>
      <c r="AX199" s="604"/>
      <c r="AY199" s="604"/>
      <c r="AZ199" s="604"/>
      <c r="BA199" s="604"/>
      <c r="BB199" s="604"/>
      <c r="BC199" s="604"/>
      <c r="BD199" s="604"/>
      <c r="BE199" s="604"/>
      <c r="BF199" s="604"/>
      <c r="BG199" s="604"/>
      <c r="BH199" s="604"/>
      <c r="BI199" s="604"/>
      <c r="BJ199" s="604"/>
      <c r="BK199" s="604"/>
      <c r="BL199" s="604"/>
      <c r="BM199" s="604"/>
      <c r="BN199" s="604"/>
      <c r="BO199" s="604"/>
      <c r="BP199" s="604"/>
      <c r="BQ199" s="604"/>
      <c r="BR199" s="604"/>
      <c r="BS199" s="604"/>
      <c r="BT199" s="604"/>
      <c r="BU199" s="604"/>
      <c r="BV199" s="604"/>
      <c r="BW199" s="604"/>
      <c r="BX199" s="604"/>
      <c r="BY199" s="604"/>
      <c r="BZ199" s="604"/>
      <c r="CA199" s="604"/>
      <c r="CB199" s="604"/>
      <c r="CC199" s="604"/>
      <c r="CD199" s="604"/>
      <c r="CE199" s="604"/>
      <c r="CF199" s="604"/>
      <c r="CG199" s="604"/>
      <c r="CH199" s="604"/>
      <c r="CI199" s="604"/>
      <c r="CJ199" s="604"/>
      <c r="CK199" s="604"/>
      <c r="CL199" s="604"/>
      <c r="CM199" s="604"/>
      <c r="CN199" s="604"/>
      <c r="CO199" s="604"/>
      <c r="CP199" s="604"/>
      <c r="CQ199" s="604"/>
      <c r="CR199" s="604"/>
      <c r="CS199" s="604"/>
      <c r="CT199" s="604"/>
      <c r="CU199" s="604"/>
      <c r="CV199" s="604"/>
      <c r="CW199" s="604"/>
      <c r="CX199" s="604"/>
      <c r="CY199" s="604"/>
      <c r="CZ199" s="604"/>
      <c r="DA199" s="605"/>
      <c r="DC199" s="604"/>
      <c r="DD199" s="604"/>
      <c r="DE199" s="604"/>
      <c r="DF199" s="604"/>
      <c r="DG199" s="678"/>
      <c r="DI199" s="604"/>
      <c r="DJ199" s="604"/>
      <c r="DK199" s="604"/>
      <c r="DL199" s="604"/>
      <c r="DM199" s="678"/>
      <c r="DO199" s="606">
        <f>DO179/DO168</f>
        <v>169.68705882352944</v>
      </c>
      <c r="DP199" s="606">
        <f>DP179/DP168</f>
        <v>172.85166666666666</v>
      </c>
      <c r="DQ199" s="606">
        <f>DQ179/DQ168</f>
        <v>168.89727272727271</v>
      </c>
      <c r="DR199" s="606">
        <f>DR179/DR168</f>
        <v>184.42184615384625</v>
      </c>
      <c r="DS199" s="749"/>
      <c r="DT199" s="744"/>
      <c r="DU199" s="606">
        <f>DU179/DU168</f>
        <v>165.84672727272729</v>
      </c>
      <c r="DV199" s="606">
        <f>DV179/DV168</f>
        <v>184.48487499999999</v>
      </c>
      <c r="DW199" s="606">
        <f>DW179/DW168</f>
        <v>188.55454545454543</v>
      </c>
      <c r="DX199" s="606">
        <f>DX179/DX168</f>
        <v>207.38983333333331</v>
      </c>
      <c r="DY199" s="740">
        <f>DY179/DY168</f>
        <v>187.21359523809522</v>
      </c>
      <c r="DZ199" s="744"/>
      <c r="EA199" s="606">
        <f>EA179/EA168</f>
        <v>229.61600000000001</v>
      </c>
      <c r="EB199" s="606">
        <f>EB179/EB168</f>
        <v>243.61280000000002</v>
      </c>
      <c r="EC199" s="606">
        <f>EC179/EC168</f>
        <v>218.815</v>
      </c>
      <c r="ED199" s="606">
        <f>ED179/ED168</f>
        <v>252.52666666666664</v>
      </c>
      <c r="EE199" s="740">
        <f>EE179/EE168</f>
        <v>237.08163636363636</v>
      </c>
      <c r="EG199" s="606">
        <v>230</v>
      </c>
      <c r="EH199" s="606">
        <v>230</v>
      </c>
      <c r="EI199" s="606">
        <v>230</v>
      </c>
      <c r="EJ199" s="606">
        <v>230</v>
      </c>
      <c r="EK199" s="608">
        <f>EK179/EK168</f>
        <v>230</v>
      </c>
      <c r="EL199" s="608">
        <v>235</v>
      </c>
      <c r="EM199" s="609"/>
      <c r="FP199" s="606">
        <v>235</v>
      </c>
      <c r="FQ199" s="606">
        <v>225</v>
      </c>
      <c r="FR199" s="606">
        <v>225</v>
      </c>
    </row>
    <row r="200" spans="2:174" x14ac:dyDescent="0.2">
      <c r="FP200" s="311"/>
    </row>
    <row r="201" spans="2:174" x14ac:dyDescent="0.2">
      <c r="DG201" s="311"/>
      <c r="FP201" s="311"/>
    </row>
    <row r="202" spans="2:174" ht="12" x14ac:dyDescent="0.25">
      <c r="B202" s="561" t="s">
        <v>727</v>
      </c>
      <c r="C202" s="561"/>
      <c r="D202" s="561"/>
      <c r="E202" s="561"/>
      <c r="F202" s="561"/>
      <c r="G202" s="561"/>
      <c r="H202" s="561"/>
      <c r="I202" s="561"/>
      <c r="J202" s="561"/>
      <c r="K202" s="561"/>
      <c r="L202" s="561"/>
      <c r="M202" s="561"/>
      <c r="N202" s="561"/>
      <c r="O202" s="561"/>
      <c r="P202" s="561"/>
      <c r="Q202" s="561"/>
      <c r="R202" s="561"/>
      <c r="S202" s="561"/>
      <c r="T202" s="561"/>
      <c r="U202" s="561"/>
      <c r="V202" s="561"/>
      <c r="W202" s="561"/>
      <c r="X202" s="561"/>
      <c r="Y202" s="561"/>
      <c r="Z202" s="561"/>
      <c r="AA202" s="561"/>
      <c r="AB202" s="561"/>
      <c r="AC202" s="561"/>
      <c r="AD202" s="561"/>
      <c r="AE202" s="561"/>
      <c r="AF202" s="561"/>
      <c r="AG202" s="561"/>
      <c r="AH202" s="561"/>
      <c r="AI202" s="561"/>
      <c r="AJ202" s="561"/>
      <c r="AK202" s="561"/>
      <c r="AL202" s="561"/>
      <c r="AM202" s="561"/>
      <c r="AN202" s="561"/>
      <c r="AO202" s="561"/>
      <c r="AP202" s="561"/>
      <c r="AQ202" s="561"/>
      <c r="AR202" s="561"/>
      <c r="AS202" s="561"/>
      <c r="AT202" s="561"/>
      <c r="AU202" s="561"/>
      <c r="AV202" s="561"/>
      <c r="AW202" s="561"/>
      <c r="AX202" s="561"/>
      <c r="AY202" s="561"/>
      <c r="AZ202" s="561"/>
      <c r="BA202" s="561"/>
      <c r="BB202" s="561"/>
      <c r="BC202" s="561"/>
      <c r="BD202" s="561"/>
      <c r="BE202" s="561"/>
      <c r="BF202" s="561"/>
      <c r="BG202" s="561"/>
      <c r="BH202" s="561"/>
      <c r="BI202" s="561"/>
      <c r="BJ202" s="561"/>
      <c r="BK202" s="561"/>
      <c r="BL202" s="561"/>
      <c r="BM202" s="561"/>
      <c r="BN202" s="561"/>
      <c r="BO202" s="561"/>
      <c r="BP202" s="561"/>
      <c r="BQ202" s="561"/>
      <c r="BR202" s="561"/>
      <c r="BS202" s="561"/>
      <c r="BT202" s="561"/>
      <c r="BU202" s="561"/>
      <c r="BV202" s="561"/>
      <c r="BW202" s="561"/>
      <c r="BX202" s="561"/>
      <c r="BY202" s="561"/>
      <c r="BZ202" s="561"/>
      <c r="CA202" s="561"/>
      <c r="CB202" s="561"/>
      <c r="CC202" s="561"/>
      <c r="CD202" s="561"/>
      <c r="CE202" s="561"/>
      <c r="CF202" s="561"/>
      <c r="CG202" s="561"/>
      <c r="CH202" s="561"/>
      <c r="CI202" s="561"/>
      <c r="CJ202" s="561"/>
      <c r="CK202" s="561"/>
      <c r="CL202" s="561"/>
      <c r="CM202" s="561"/>
      <c r="CN202" s="561"/>
      <c r="CO202" s="561"/>
      <c r="CP202" s="561"/>
      <c r="CQ202" s="561"/>
      <c r="CR202" s="561"/>
      <c r="CS202" s="561"/>
      <c r="CT202" s="561"/>
      <c r="CU202" s="561"/>
      <c r="CV202" s="561"/>
      <c r="CW202" s="561"/>
      <c r="CX202" s="561"/>
      <c r="CY202" s="561"/>
      <c r="CZ202" s="561"/>
      <c r="DA202" s="757"/>
      <c r="DB202" s="738"/>
      <c r="DC202" s="561"/>
      <c r="DD202" s="561"/>
      <c r="DE202" s="561"/>
      <c r="DF202" s="561"/>
      <c r="DG202" s="561"/>
      <c r="DH202" s="738"/>
      <c r="DI202" s="561"/>
      <c r="DJ202" s="561"/>
      <c r="DK202" s="561"/>
      <c r="DL202" s="561"/>
      <c r="DM202" s="738"/>
      <c r="DN202" s="738"/>
      <c r="DO202" s="561"/>
      <c r="DP202" s="561"/>
      <c r="DQ202" s="561"/>
      <c r="DR202" s="561"/>
      <c r="DS202" s="738"/>
      <c r="DT202" s="738"/>
      <c r="DU202" s="561"/>
      <c r="DV202" s="561"/>
      <c r="DW202" s="561"/>
      <c r="DX202" s="561"/>
      <c r="DY202" s="738"/>
      <c r="DZ202" s="738"/>
      <c r="EA202" s="561"/>
      <c r="EB202" s="561"/>
      <c r="EC202" s="561"/>
      <c r="ED202" s="561"/>
      <c r="EE202" s="738"/>
      <c r="EF202" s="738"/>
      <c r="EG202" s="561"/>
      <c r="EH202" s="561"/>
      <c r="EI202" s="561"/>
      <c r="EJ202" s="561"/>
      <c r="EK202" s="757"/>
      <c r="EL202" s="757"/>
      <c r="EM202" s="587"/>
      <c r="FA202" s="610">
        <f t="shared" ref="FA202:FO202" si="570">FA$3</f>
        <v>2013</v>
      </c>
      <c r="FB202" s="610">
        <f t="shared" si="570"/>
        <v>2014</v>
      </c>
      <c r="FC202" s="610">
        <f t="shared" si="570"/>
        <v>2015</v>
      </c>
      <c r="FD202" s="610">
        <f t="shared" si="570"/>
        <v>2016</v>
      </c>
      <c r="FE202" s="610">
        <f t="shared" si="570"/>
        <v>2017</v>
      </c>
      <c r="FF202" s="610">
        <f t="shared" si="570"/>
        <v>2018</v>
      </c>
      <c r="FG202" s="610">
        <f t="shared" si="570"/>
        <v>2019</v>
      </c>
      <c r="FH202" s="610">
        <f t="shared" si="570"/>
        <v>2020</v>
      </c>
      <c r="FI202" s="610">
        <f t="shared" si="570"/>
        <v>2021</v>
      </c>
      <c r="FJ202" s="610">
        <f t="shared" si="570"/>
        <v>2022</v>
      </c>
      <c r="FK202" s="610">
        <f t="shared" si="570"/>
        <v>2023</v>
      </c>
      <c r="FL202" s="610">
        <f t="shared" si="570"/>
        <v>2024</v>
      </c>
      <c r="FM202" s="610" t="str">
        <f t="shared" si="570"/>
        <v>2025e</v>
      </c>
      <c r="FN202" s="610" t="str">
        <f t="shared" si="570"/>
        <v>2026e</v>
      </c>
      <c r="FO202" s="610" t="str">
        <f t="shared" si="570"/>
        <v>2027e</v>
      </c>
      <c r="FP202" s="561"/>
      <c r="FQ202" s="610" t="str">
        <f>FQ$3</f>
        <v>2029e</v>
      </c>
      <c r="FR202" s="610" t="str">
        <f>FR$3</f>
        <v>2030e</v>
      </c>
    </row>
    <row r="203" spans="2:174" x14ac:dyDescent="0.2">
      <c r="DQ203" s="588"/>
      <c r="EA203" s="478"/>
      <c r="EB203" s="478"/>
      <c r="EC203" s="478"/>
      <c r="ED203" s="478"/>
      <c r="FP203" s="311"/>
    </row>
    <row r="204" spans="2:174" x14ac:dyDescent="0.2">
      <c r="B204" s="562" t="s">
        <v>730</v>
      </c>
      <c r="DG204" s="311"/>
      <c r="DQ204" s="588"/>
      <c r="EA204" s="478"/>
      <c r="EB204" s="478"/>
      <c r="EC204" s="478"/>
      <c r="ED204" s="478"/>
      <c r="FP204" s="311"/>
    </row>
    <row r="205" spans="2:174" x14ac:dyDescent="0.2">
      <c r="B205" s="325" t="s">
        <v>731</v>
      </c>
      <c r="DB205" s="694">
        <f t="shared" ref="DB205:DT205" si="571">SUM(DB227,DB280)</f>
        <v>0</v>
      </c>
      <c r="DC205" s="310">
        <f t="shared" si="571"/>
        <v>0</v>
      </c>
      <c r="DD205" s="310">
        <f t="shared" si="571"/>
        <v>0</v>
      </c>
      <c r="DE205" s="310">
        <f t="shared" si="571"/>
        <v>0</v>
      </c>
      <c r="DF205" s="310">
        <f t="shared" si="571"/>
        <v>0</v>
      </c>
      <c r="DG205" s="310">
        <f t="shared" si="571"/>
        <v>0</v>
      </c>
      <c r="DH205" s="694">
        <f t="shared" si="571"/>
        <v>0</v>
      </c>
      <c r="DI205" s="310">
        <f t="shared" si="571"/>
        <v>0</v>
      </c>
      <c r="DJ205" s="310">
        <f t="shared" si="571"/>
        <v>0</v>
      </c>
      <c r="DK205" s="310">
        <f t="shared" si="571"/>
        <v>0</v>
      </c>
      <c r="DL205" s="310">
        <f t="shared" si="571"/>
        <v>0</v>
      </c>
      <c r="DM205" s="694">
        <f t="shared" si="571"/>
        <v>0</v>
      </c>
      <c r="DN205" s="694">
        <f t="shared" si="571"/>
        <v>0</v>
      </c>
      <c r="DO205" s="310">
        <f t="shared" si="571"/>
        <v>0</v>
      </c>
      <c r="DP205" s="310">
        <f t="shared" si="571"/>
        <v>0</v>
      </c>
      <c r="DQ205" s="310">
        <f t="shared" si="571"/>
        <v>0</v>
      </c>
      <c r="DR205" s="310">
        <f t="shared" si="571"/>
        <v>0</v>
      </c>
      <c r="DS205" s="694">
        <f t="shared" si="571"/>
        <v>0</v>
      </c>
      <c r="DT205" s="694">
        <f t="shared" si="571"/>
        <v>0</v>
      </c>
      <c r="DU205" s="310">
        <f>SUM(DU227,DU280)</f>
        <v>0</v>
      </c>
      <c r="DV205" s="310">
        <f>SUM(DV227,DV280)</f>
        <v>0</v>
      </c>
      <c r="DW205" s="310">
        <f t="shared" ref="DW205:DX205" si="572">SUM(DW227,DW280)</f>
        <v>0</v>
      </c>
      <c r="DX205" s="310">
        <f t="shared" si="572"/>
        <v>2</v>
      </c>
      <c r="DY205" s="694">
        <f t="shared" ref="DY205:EK205" si="573">SUM(DY227,DY280)</f>
        <v>2</v>
      </c>
      <c r="DZ205" s="694"/>
      <c r="EA205" s="310">
        <f t="shared" si="573"/>
        <v>0</v>
      </c>
      <c r="EB205" s="310">
        <f t="shared" si="573"/>
        <v>1</v>
      </c>
      <c r="EC205" s="310">
        <f t="shared" si="573"/>
        <v>1</v>
      </c>
      <c r="ED205" s="310">
        <f t="shared" si="573"/>
        <v>2</v>
      </c>
      <c r="EE205" s="694">
        <f t="shared" si="573"/>
        <v>4</v>
      </c>
      <c r="EF205" s="694"/>
      <c r="EG205" s="310">
        <f t="shared" si="573"/>
        <v>2</v>
      </c>
      <c r="EH205" s="310">
        <f t="shared" si="573"/>
        <v>0</v>
      </c>
      <c r="EI205" s="310">
        <f t="shared" si="573"/>
        <v>2</v>
      </c>
      <c r="EJ205" s="310">
        <f t="shared" si="573"/>
        <v>2</v>
      </c>
      <c r="EK205" s="450">
        <f t="shared" si="573"/>
        <v>6</v>
      </c>
      <c r="EL205" s="450">
        <f t="shared" ref="EL205" si="574">SUM(EL227,EL280)</f>
        <v>6</v>
      </c>
      <c r="FP205" s="310">
        <f>SUM(FP227,FP280)</f>
        <v>8</v>
      </c>
    </row>
    <row r="206" spans="2:174" x14ac:dyDescent="0.2">
      <c r="B206" s="325" t="s">
        <v>556</v>
      </c>
      <c r="DB206" s="694">
        <f t="shared" ref="DB206:DT206" si="575">SUM(DB236,DB292)</f>
        <v>0</v>
      </c>
      <c r="DC206" s="310">
        <f t="shared" si="575"/>
        <v>0</v>
      </c>
      <c r="DD206" s="310">
        <f t="shared" si="575"/>
        <v>0</v>
      </c>
      <c r="DE206" s="310">
        <f t="shared" si="575"/>
        <v>0</v>
      </c>
      <c r="DF206" s="310">
        <f t="shared" si="575"/>
        <v>0</v>
      </c>
      <c r="DG206" s="310">
        <f t="shared" si="575"/>
        <v>0</v>
      </c>
      <c r="DH206" s="694">
        <f t="shared" si="575"/>
        <v>0</v>
      </c>
      <c r="DI206" s="310">
        <f t="shared" si="575"/>
        <v>0</v>
      </c>
      <c r="DJ206" s="310">
        <f t="shared" si="575"/>
        <v>0</v>
      </c>
      <c r="DK206" s="310">
        <f t="shared" si="575"/>
        <v>0</v>
      </c>
      <c r="DL206" s="310">
        <f t="shared" si="575"/>
        <v>0</v>
      </c>
      <c r="DM206" s="694">
        <f t="shared" si="575"/>
        <v>0</v>
      </c>
      <c r="DN206" s="694">
        <f t="shared" si="575"/>
        <v>0</v>
      </c>
      <c r="DO206" s="310">
        <f t="shared" si="575"/>
        <v>0</v>
      </c>
      <c r="DP206" s="310">
        <f t="shared" si="575"/>
        <v>0</v>
      </c>
      <c r="DQ206" s="310">
        <f t="shared" si="575"/>
        <v>0</v>
      </c>
      <c r="DR206" s="310">
        <f t="shared" si="575"/>
        <v>0</v>
      </c>
      <c r="DS206" s="694">
        <f t="shared" si="575"/>
        <v>0</v>
      </c>
      <c r="DT206" s="694">
        <f t="shared" si="575"/>
        <v>0</v>
      </c>
      <c r="DU206" s="310">
        <f>SUM(DU236,DU292)</f>
        <v>0</v>
      </c>
      <c r="DV206" s="310">
        <f t="shared" ref="DV206:DX206" si="576">SUM(DV236,DV292)</f>
        <v>0</v>
      </c>
      <c r="DW206" s="310">
        <f t="shared" si="576"/>
        <v>0</v>
      </c>
      <c r="DX206" s="310">
        <f t="shared" si="576"/>
        <v>500</v>
      </c>
      <c r="DY206" s="694">
        <f t="shared" ref="DY206:EK206" si="577">SUM(DY236,DY292)</f>
        <v>500</v>
      </c>
      <c r="DZ206" s="694"/>
      <c r="EA206" s="310">
        <f t="shared" si="577"/>
        <v>0</v>
      </c>
      <c r="EB206" s="310">
        <f t="shared" si="577"/>
        <v>250</v>
      </c>
      <c r="EC206" s="310">
        <f>SUM(EC236,EC292)</f>
        <v>360</v>
      </c>
      <c r="ED206" s="310">
        <f>SUM(ED236,ED292)</f>
        <v>610</v>
      </c>
      <c r="EE206" s="694">
        <f t="shared" si="577"/>
        <v>1220</v>
      </c>
      <c r="EF206" s="694"/>
      <c r="EG206" s="310">
        <f t="shared" si="577"/>
        <v>720</v>
      </c>
      <c r="EH206" s="310">
        <f t="shared" si="577"/>
        <v>0</v>
      </c>
      <c r="EI206" s="310">
        <f t="shared" si="577"/>
        <v>720</v>
      </c>
      <c r="EJ206" s="310">
        <f t="shared" si="577"/>
        <v>720</v>
      </c>
      <c r="EK206" s="450">
        <f t="shared" si="577"/>
        <v>2160</v>
      </c>
      <c r="EL206" s="450">
        <f t="shared" ref="EL206" si="578">SUM(EL236,EL292)</f>
        <v>2190</v>
      </c>
      <c r="FP206" s="310">
        <f t="shared" ref="FP206" si="579">SUM(FP236,FP292)</f>
        <v>2880</v>
      </c>
    </row>
    <row r="207" spans="2:174" x14ac:dyDescent="0.2">
      <c r="B207" s="325" t="s">
        <v>704</v>
      </c>
      <c r="DB207" s="741">
        <f t="shared" ref="DB207:DT207" si="580">IFERROR(DB206/DB205,0)</f>
        <v>0</v>
      </c>
      <c r="DC207" s="478">
        <f t="shared" si="580"/>
        <v>0</v>
      </c>
      <c r="DD207" s="478">
        <f t="shared" si="580"/>
        <v>0</v>
      </c>
      <c r="DE207" s="478">
        <f t="shared" si="580"/>
        <v>0</v>
      </c>
      <c r="DF207" s="478">
        <f t="shared" si="580"/>
        <v>0</v>
      </c>
      <c r="DG207" s="478">
        <f t="shared" si="580"/>
        <v>0</v>
      </c>
      <c r="DH207" s="741">
        <f t="shared" si="580"/>
        <v>0</v>
      </c>
      <c r="DI207" s="478">
        <f t="shared" si="580"/>
        <v>0</v>
      </c>
      <c r="DJ207" s="478">
        <f t="shared" si="580"/>
        <v>0</v>
      </c>
      <c r="DK207" s="478">
        <f t="shared" si="580"/>
        <v>0</v>
      </c>
      <c r="DL207" s="478">
        <f t="shared" si="580"/>
        <v>0</v>
      </c>
      <c r="DM207" s="741">
        <f t="shared" si="580"/>
        <v>0</v>
      </c>
      <c r="DN207" s="741">
        <f t="shared" si="580"/>
        <v>0</v>
      </c>
      <c r="DO207" s="478">
        <f t="shared" si="580"/>
        <v>0</v>
      </c>
      <c r="DP207" s="478">
        <f t="shared" si="580"/>
        <v>0</v>
      </c>
      <c r="DQ207" s="478">
        <f t="shared" si="580"/>
        <v>0</v>
      </c>
      <c r="DR207" s="478">
        <f t="shared" si="580"/>
        <v>0</v>
      </c>
      <c r="DS207" s="741">
        <f t="shared" si="580"/>
        <v>0</v>
      </c>
      <c r="DT207" s="741">
        <f t="shared" si="580"/>
        <v>0</v>
      </c>
      <c r="DU207" s="310">
        <f>IFERROR(DU206/DU205,0)</f>
        <v>0</v>
      </c>
      <c r="DV207" s="310">
        <f t="shared" ref="DV207" si="581">IFERROR(DV206/DV205,0)</f>
        <v>0</v>
      </c>
      <c r="DW207" s="310">
        <f t="shared" ref="DW207" si="582">IFERROR(DW206/DW205,0)</f>
        <v>0</v>
      </c>
      <c r="DX207" s="310">
        <f t="shared" ref="DX207" si="583">IFERROR(DX206/DX205,0)</f>
        <v>250</v>
      </c>
      <c r="DY207" s="694">
        <f t="shared" ref="DY207" si="584">IFERROR(DY206/DY205,0)</f>
        <v>250</v>
      </c>
      <c r="DZ207" s="694"/>
      <c r="EA207" s="310">
        <f t="shared" ref="EA207" si="585">IFERROR(EA206/EA205,0)</f>
        <v>0</v>
      </c>
      <c r="EB207" s="310">
        <f t="shared" ref="EB207" si="586">IFERROR(EB206/EB205,0)</f>
        <v>250</v>
      </c>
      <c r="EC207" s="310">
        <f t="shared" ref="EC207" si="587">IFERROR(EC206/EC205,0)</f>
        <v>360</v>
      </c>
      <c r="ED207" s="310">
        <f t="shared" ref="ED207" si="588">IFERROR(ED206/ED205,0)</f>
        <v>305</v>
      </c>
      <c r="EE207" s="694">
        <f t="shared" ref="EE207" si="589">IFERROR(EE206/EE205,0)</f>
        <v>305</v>
      </c>
      <c r="EF207" s="694"/>
      <c r="EG207" s="310">
        <f t="shared" ref="EG207" si="590">IFERROR(EG206/EG205,0)</f>
        <v>360</v>
      </c>
      <c r="EH207" s="310">
        <f t="shared" ref="EH207" si="591">IFERROR(EH206/EH205,0)</f>
        <v>0</v>
      </c>
      <c r="EI207" s="310">
        <f t="shared" ref="EI207" si="592">IFERROR(EI206/EI205,0)</f>
        <v>360</v>
      </c>
      <c r="EJ207" s="310">
        <f t="shared" ref="EJ207" si="593">IFERROR(EJ206/EJ205,0)</f>
        <v>360</v>
      </c>
      <c r="EK207" s="450">
        <f t="shared" ref="EK207:EL207" si="594">IFERROR(EK206/EK205,0)</f>
        <v>360</v>
      </c>
      <c r="EL207" s="450">
        <f t="shared" si="594"/>
        <v>365</v>
      </c>
      <c r="FP207" s="478">
        <f t="shared" ref="FP207" si="595">IFERROR(FP206/FP205,0)</f>
        <v>360</v>
      </c>
    </row>
    <row r="208" spans="2:174" x14ac:dyDescent="0.2">
      <c r="DG208" s="311"/>
      <c r="DQ208" s="588"/>
      <c r="FP208" s="311"/>
    </row>
    <row r="209" spans="2:174" ht="12" x14ac:dyDescent="0.25">
      <c r="B209" s="441" t="s">
        <v>614</v>
      </c>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c r="AI209" s="92"/>
      <c r="AJ209" s="92"/>
      <c r="AK209" s="92"/>
      <c r="AL209" s="92"/>
      <c r="AM209" s="92"/>
      <c r="AN209" s="92"/>
      <c r="AO209" s="92"/>
      <c r="AP209" s="92"/>
      <c r="AQ209" s="92"/>
      <c r="AR209" s="92"/>
      <c r="AS209" s="92"/>
      <c r="AT209" s="92"/>
      <c r="AU209" s="92"/>
      <c r="AV209" s="92"/>
      <c r="AW209" s="92"/>
      <c r="AX209" s="92"/>
      <c r="AY209" s="92"/>
      <c r="AZ209" s="92"/>
      <c r="BA209" s="92"/>
      <c r="BB209" s="92"/>
      <c r="BC209" s="92"/>
      <c r="BD209" s="92"/>
      <c r="BE209" s="92"/>
      <c r="BF209" s="92"/>
      <c r="BG209" s="92"/>
      <c r="BH209" s="92"/>
      <c r="BI209" s="92"/>
      <c r="BJ209" s="92"/>
      <c r="BK209" s="92"/>
      <c r="BL209" s="92"/>
      <c r="BM209" s="92"/>
      <c r="BN209" s="92"/>
      <c r="BO209" s="92"/>
      <c r="BP209" s="92"/>
      <c r="BQ209" s="92"/>
      <c r="BR209" s="92"/>
      <c r="BS209" s="92"/>
      <c r="BT209" s="92"/>
      <c r="BU209" s="92"/>
      <c r="BV209" s="92"/>
      <c r="BW209" s="92"/>
      <c r="BX209" s="92"/>
      <c r="BY209" s="92"/>
      <c r="BZ209" s="92"/>
      <c r="CA209" s="92"/>
      <c r="CB209" s="92"/>
      <c r="CC209" s="92"/>
      <c r="CD209" s="92"/>
      <c r="CE209" s="92"/>
      <c r="CF209" s="92"/>
      <c r="CG209" s="92"/>
      <c r="CH209" s="92"/>
      <c r="CI209" s="92"/>
      <c r="CJ209" s="92"/>
      <c r="CK209" s="92"/>
      <c r="CL209" s="92"/>
      <c r="CM209" s="92"/>
      <c r="CN209" s="92"/>
      <c r="CO209" s="92"/>
      <c r="CP209" s="92"/>
      <c r="CQ209" s="92"/>
      <c r="CR209" s="92"/>
      <c r="CS209" s="92"/>
      <c r="CT209" s="92"/>
      <c r="CU209" s="92"/>
      <c r="CV209" s="92"/>
      <c r="CW209" s="92"/>
      <c r="CX209" s="92"/>
      <c r="CY209" s="92"/>
      <c r="CZ209" s="92"/>
      <c r="DA209" s="837"/>
      <c r="DB209" s="836"/>
      <c r="DC209" s="92"/>
      <c r="DD209" s="611"/>
      <c r="DE209" s="611"/>
      <c r="DF209" s="611"/>
      <c r="DG209" s="611"/>
      <c r="DH209" s="742"/>
      <c r="DI209" s="611"/>
      <c r="DJ209" s="611"/>
      <c r="DK209" s="611"/>
      <c r="DL209" s="611"/>
      <c r="DM209" s="742"/>
      <c r="DN209" s="742"/>
      <c r="DO209" s="611"/>
      <c r="DP209" s="611"/>
      <c r="DQ209" s="611"/>
      <c r="DR209" s="611"/>
      <c r="DS209" s="742"/>
      <c r="DT209" s="829"/>
      <c r="DU209" s="611"/>
      <c r="DV209" s="611"/>
      <c r="DW209" s="611"/>
      <c r="DX209" s="611"/>
      <c r="DY209" s="742"/>
      <c r="DZ209" s="829"/>
      <c r="EA209" s="611"/>
      <c r="EB209" s="611"/>
      <c r="EC209" s="611"/>
      <c r="ED209" s="611"/>
      <c r="EE209" s="742"/>
      <c r="EF209" s="829"/>
      <c r="EG209" s="611"/>
      <c r="EH209" s="611"/>
      <c r="EI209" s="611"/>
      <c r="EJ209" s="611"/>
      <c r="EK209" s="612"/>
      <c r="EL209" s="612"/>
      <c r="EM209" s="613"/>
      <c r="FA209" s="614">
        <f t="shared" ref="FA209:FP209" si="596">FA$3</f>
        <v>2013</v>
      </c>
      <c r="FB209" s="614">
        <f t="shared" si="596"/>
        <v>2014</v>
      </c>
      <c r="FC209" s="614">
        <f t="shared" si="596"/>
        <v>2015</v>
      </c>
      <c r="FD209" s="614">
        <f t="shared" si="596"/>
        <v>2016</v>
      </c>
      <c r="FE209" s="614">
        <f t="shared" si="596"/>
        <v>2017</v>
      </c>
      <c r="FF209" s="614">
        <f t="shared" si="596"/>
        <v>2018</v>
      </c>
      <c r="FG209" s="614">
        <f t="shared" si="596"/>
        <v>2019</v>
      </c>
      <c r="FH209" s="614">
        <f t="shared" si="596"/>
        <v>2020</v>
      </c>
      <c r="FI209" s="614">
        <f t="shared" si="596"/>
        <v>2021</v>
      </c>
      <c r="FJ209" s="614">
        <f t="shared" si="596"/>
        <v>2022</v>
      </c>
      <c r="FK209" s="614">
        <f t="shared" si="596"/>
        <v>2023</v>
      </c>
      <c r="FL209" s="614">
        <f t="shared" si="596"/>
        <v>2024</v>
      </c>
      <c r="FM209" s="614" t="str">
        <f t="shared" si="596"/>
        <v>2025e</v>
      </c>
      <c r="FN209" s="614" t="str">
        <f t="shared" si="596"/>
        <v>2026e</v>
      </c>
      <c r="FO209" s="614" t="str">
        <f t="shared" si="596"/>
        <v>2027e</v>
      </c>
      <c r="FP209" s="614" t="str">
        <f t="shared" si="596"/>
        <v>2028e</v>
      </c>
      <c r="FQ209" s="614" t="str">
        <f>FQ$3</f>
        <v>2029e</v>
      </c>
      <c r="FR209" s="614" t="str">
        <f>FR$3</f>
        <v>2030e</v>
      </c>
    </row>
    <row r="210" spans="2:174" outlineLevel="1" x14ac:dyDescent="0.2"/>
    <row r="211" spans="2:174" outlineLevel="1" x14ac:dyDescent="0.2">
      <c r="B211" s="588" t="s">
        <v>629</v>
      </c>
    </row>
    <row r="212" spans="2:174" outlineLevel="1" x14ac:dyDescent="0.2">
      <c r="B212" s="325" t="s">
        <v>581</v>
      </c>
      <c r="C212" s="322" t="s">
        <v>617</v>
      </c>
      <c r="DC212" s="356">
        <v>0</v>
      </c>
      <c r="DD212" s="356">
        <v>0</v>
      </c>
      <c r="DE212" s="356">
        <v>0</v>
      </c>
      <c r="DF212" s="356">
        <v>0</v>
      </c>
      <c r="DG212" s="741">
        <f t="shared" ref="DG212:DG217" si="597">SUM(DC212:DF212)</f>
        <v>0</v>
      </c>
      <c r="DI212" s="356">
        <v>1</v>
      </c>
      <c r="DJ212" s="356">
        <v>0</v>
      </c>
      <c r="DK212" s="356">
        <v>0</v>
      </c>
      <c r="DL212" s="356">
        <v>0</v>
      </c>
      <c r="DM212" s="741">
        <f t="shared" ref="DM212:DM217" si="598">SUM(DI212:DL212)</f>
        <v>1</v>
      </c>
      <c r="DO212" s="356">
        <v>0</v>
      </c>
      <c r="DP212" s="356">
        <v>0</v>
      </c>
      <c r="DQ212" s="356">
        <v>0</v>
      </c>
      <c r="DR212" s="356">
        <v>0</v>
      </c>
      <c r="DS212" s="741">
        <f t="shared" ref="DS212:DS217" si="599">SUM(DO212:DR212)</f>
        <v>0</v>
      </c>
      <c r="DU212" s="356">
        <v>0</v>
      </c>
      <c r="DV212" s="356">
        <v>0</v>
      </c>
      <c r="DW212" s="356">
        <v>0</v>
      </c>
      <c r="DX212" s="356">
        <v>0</v>
      </c>
      <c r="DY212" s="741">
        <f t="shared" ref="DY212:DY217" si="600">SUM(DU212:DX212)</f>
        <v>0</v>
      </c>
      <c r="EA212" s="356">
        <v>0</v>
      </c>
      <c r="EB212" s="356">
        <v>0</v>
      </c>
      <c r="EC212" s="356">
        <v>0</v>
      </c>
      <c r="ED212" s="356">
        <v>0</v>
      </c>
      <c r="EE212" s="741">
        <f t="shared" ref="EE212:EE217" si="601">SUM(EA212:ED212)</f>
        <v>0</v>
      </c>
      <c r="EG212" s="356">
        <v>0</v>
      </c>
      <c r="EH212" s="356">
        <v>0</v>
      </c>
      <c r="EI212" s="356">
        <v>0</v>
      </c>
      <c r="EJ212" s="356">
        <v>0</v>
      </c>
      <c r="EK212" s="578">
        <f t="shared" ref="EK212:EK217" si="602">SUM(EG212:EJ212)</f>
        <v>0</v>
      </c>
      <c r="EL212" s="535">
        <v>0</v>
      </c>
      <c r="EN212" s="311" t="s">
        <v>632</v>
      </c>
      <c r="FI212" s="310">
        <f t="shared" ref="FI212:FI218" si="603">DG212</f>
        <v>0</v>
      </c>
      <c r="FJ212" s="310">
        <f t="shared" ref="FJ212:FJ218" si="604">DM212</f>
        <v>1</v>
      </c>
      <c r="FK212" s="310">
        <f t="shared" ref="FK212:FK217" si="605">DS212</f>
        <v>0</v>
      </c>
      <c r="FL212" s="615"/>
      <c r="FM212" s="615"/>
      <c r="FN212" s="615"/>
      <c r="FO212" s="615"/>
      <c r="FP212" s="535">
        <v>0</v>
      </c>
      <c r="FQ212" s="615"/>
      <c r="FR212" s="615"/>
    </row>
    <row r="213" spans="2:174" outlineLevel="1" x14ac:dyDescent="0.2">
      <c r="B213" s="325" t="s">
        <v>582</v>
      </c>
      <c r="C213" s="322" t="s">
        <v>617</v>
      </c>
      <c r="DC213" s="356">
        <v>0</v>
      </c>
      <c r="DD213" s="356">
        <v>1</v>
      </c>
      <c r="DE213" s="356">
        <v>0</v>
      </c>
      <c r="DF213" s="356">
        <v>0</v>
      </c>
      <c r="DG213" s="741">
        <f t="shared" si="597"/>
        <v>1</v>
      </c>
      <c r="DI213" s="356">
        <v>0</v>
      </c>
      <c r="DJ213" s="356">
        <v>0</v>
      </c>
      <c r="DK213" s="356">
        <v>0</v>
      </c>
      <c r="DL213" s="356">
        <v>0</v>
      </c>
      <c r="DM213" s="741">
        <f t="shared" si="598"/>
        <v>0</v>
      </c>
      <c r="DO213" s="356">
        <v>0</v>
      </c>
      <c r="DP213" s="356">
        <v>0</v>
      </c>
      <c r="DQ213" s="356">
        <v>0</v>
      </c>
      <c r="DR213" s="356">
        <v>0</v>
      </c>
      <c r="DS213" s="741">
        <f t="shared" si="599"/>
        <v>0</v>
      </c>
      <c r="DU213" s="356">
        <v>0</v>
      </c>
      <c r="DV213" s="356">
        <v>0</v>
      </c>
      <c r="DW213" s="356">
        <v>0</v>
      </c>
      <c r="DX213" s="356">
        <v>0</v>
      </c>
      <c r="DY213" s="741">
        <f t="shared" si="600"/>
        <v>0</v>
      </c>
      <c r="EA213" s="356">
        <v>0</v>
      </c>
      <c r="EB213" s="356">
        <v>0</v>
      </c>
      <c r="EC213" s="356">
        <v>0</v>
      </c>
      <c r="ED213" s="356">
        <v>0</v>
      </c>
      <c r="EE213" s="741">
        <f t="shared" si="601"/>
        <v>0</v>
      </c>
      <c r="EG213" s="356">
        <v>0</v>
      </c>
      <c r="EH213" s="356">
        <v>0</v>
      </c>
      <c r="EI213" s="356">
        <v>0</v>
      </c>
      <c r="EJ213" s="356">
        <v>0</v>
      </c>
      <c r="EK213" s="578">
        <f t="shared" si="602"/>
        <v>0</v>
      </c>
      <c r="EL213" s="535">
        <v>0</v>
      </c>
      <c r="EN213" s="311" t="s">
        <v>632</v>
      </c>
      <c r="FI213" s="310">
        <f t="shared" si="603"/>
        <v>1</v>
      </c>
      <c r="FJ213" s="310">
        <f t="shared" si="604"/>
        <v>0</v>
      </c>
      <c r="FK213" s="310">
        <f t="shared" si="605"/>
        <v>0</v>
      </c>
      <c r="FL213" s="615"/>
      <c r="FM213" s="615"/>
      <c r="FN213" s="615"/>
      <c r="FO213" s="615"/>
      <c r="FP213" s="535">
        <v>0</v>
      </c>
      <c r="FQ213" s="615"/>
      <c r="FR213" s="615"/>
    </row>
    <row r="214" spans="2:174" outlineLevel="1" x14ac:dyDescent="0.2">
      <c r="B214" s="325" t="s">
        <v>583</v>
      </c>
      <c r="C214" s="322" t="s">
        <v>617</v>
      </c>
      <c r="DC214" s="356">
        <v>0</v>
      </c>
      <c r="DD214" s="356">
        <v>1</v>
      </c>
      <c r="DE214" s="356">
        <v>0</v>
      </c>
      <c r="DF214" s="356">
        <v>1</v>
      </c>
      <c r="DG214" s="741">
        <f t="shared" si="597"/>
        <v>2</v>
      </c>
      <c r="DI214" s="356">
        <v>0</v>
      </c>
      <c r="DJ214" s="356">
        <v>0</v>
      </c>
      <c r="DK214" s="356">
        <v>0</v>
      </c>
      <c r="DL214" s="356">
        <v>0</v>
      </c>
      <c r="DM214" s="741">
        <f t="shared" si="598"/>
        <v>0</v>
      </c>
      <c r="DO214" s="356">
        <v>0</v>
      </c>
      <c r="DP214" s="356">
        <v>0</v>
      </c>
      <c r="DQ214" s="356">
        <v>0</v>
      </c>
      <c r="DR214" s="356">
        <v>0</v>
      </c>
      <c r="DS214" s="741">
        <f t="shared" si="599"/>
        <v>0</v>
      </c>
      <c r="DU214" s="356">
        <v>0</v>
      </c>
      <c r="DV214" s="356">
        <v>0</v>
      </c>
      <c r="DW214" s="356">
        <v>0</v>
      </c>
      <c r="DX214" s="356">
        <v>0</v>
      </c>
      <c r="DY214" s="741">
        <f t="shared" si="600"/>
        <v>0</v>
      </c>
      <c r="EA214" s="356">
        <v>0</v>
      </c>
      <c r="EB214" s="356">
        <v>0</v>
      </c>
      <c r="EC214" s="356">
        <v>0</v>
      </c>
      <c r="ED214" s="356">
        <v>0</v>
      </c>
      <c r="EE214" s="741">
        <f t="shared" si="601"/>
        <v>0</v>
      </c>
      <c r="EG214" s="356">
        <v>0</v>
      </c>
      <c r="EH214" s="356">
        <v>0</v>
      </c>
      <c r="EI214" s="356">
        <v>0</v>
      </c>
      <c r="EJ214" s="356">
        <v>0</v>
      </c>
      <c r="EK214" s="578">
        <f t="shared" si="602"/>
        <v>0</v>
      </c>
      <c r="EL214" s="535">
        <v>0</v>
      </c>
      <c r="EN214" s="311" t="s">
        <v>632</v>
      </c>
      <c r="FI214" s="310">
        <f t="shared" si="603"/>
        <v>2</v>
      </c>
      <c r="FJ214" s="310">
        <f t="shared" si="604"/>
        <v>0</v>
      </c>
      <c r="FK214" s="310">
        <f t="shared" si="605"/>
        <v>0</v>
      </c>
      <c r="FL214" s="615"/>
      <c r="FM214" s="615"/>
      <c r="FN214" s="615"/>
      <c r="FO214" s="615"/>
      <c r="FP214" s="535">
        <v>0</v>
      </c>
      <c r="FQ214" s="615"/>
      <c r="FR214" s="615"/>
    </row>
    <row r="215" spans="2:174" outlineLevel="1" x14ac:dyDescent="0.2">
      <c r="B215" s="325" t="s">
        <v>585</v>
      </c>
      <c r="C215" s="322" t="s">
        <v>617</v>
      </c>
      <c r="DC215" s="356">
        <v>0</v>
      </c>
      <c r="DD215" s="356">
        <v>0</v>
      </c>
      <c r="DE215" s="356">
        <v>0</v>
      </c>
      <c r="DF215" s="356">
        <v>0</v>
      </c>
      <c r="DG215" s="741">
        <f t="shared" si="597"/>
        <v>0</v>
      </c>
      <c r="DI215" s="356">
        <v>1</v>
      </c>
      <c r="DJ215" s="356">
        <v>0</v>
      </c>
      <c r="DK215" s="356">
        <v>0</v>
      </c>
      <c r="DL215" s="356">
        <v>0</v>
      </c>
      <c r="DM215" s="741">
        <f t="shared" si="598"/>
        <v>1</v>
      </c>
      <c r="DO215" s="356">
        <v>0</v>
      </c>
      <c r="DP215" s="356">
        <v>0</v>
      </c>
      <c r="DQ215" s="356">
        <v>0</v>
      </c>
      <c r="DR215" s="356">
        <v>0</v>
      </c>
      <c r="DS215" s="741">
        <f t="shared" si="599"/>
        <v>0</v>
      </c>
      <c r="DU215" s="356">
        <v>0</v>
      </c>
      <c r="DV215" s="356">
        <v>0</v>
      </c>
      <c r="DW215" s="356">
        <v>0</v>
      </c>
      <c r="DX215" s="356">
        <v>0</v>
      </c>
      <c r="DY215" s="741">
        <f t="shared" si="600"/>
        <v>0</v>
      </c>
      <c r="EA215" s="356">
        <v>0</v>
      </c>
      <c r="EB215" s="356">
        <v>0</v>
      </c>
      <c r="EC215" s="356">
        <v>0</v>
      </c>
      <c r="ED215" s="356">
        <v>0</v>
      </c>
      <c r="EE215" s="741">
        <f t="shared" si="601"/>
        <v>0</v>
      </c>
      <c r="EG215" s="356">
        <v>0</v>
      </c>
      <c r="EH215" s="356">
        <v>0</v>
      </c>
      <c r="EI215" s="356">
        <v>0</v>
      </c>
      <c r="EJ215" s="356">
        <v>0</v>
      </c>
      <c r="EK215" s="578">
        <f t="shared" si="602"/>
        <v>0</v>
      </c>
      <c r="EL215" s="535">
        <v>0</v>
      </c>
      <c r="EN215" s="311" t="s">
        <v>632</v>
      </c>
      <c r="FI215" s="310">
        <f t="shared" si="603"/>
        <v>0</v>
      </c>
      <c r="FJ215" s="310">
        <f t="shared" si="604"/>
        <v>1</v>
      </c>
      <c r="FK215" s="310">
        <f t="shared" si="605"/>
        <v>0</v>
      </c>
      <c r="FL215" s="615"/>
      <c r="FM215" s="615"/>
      <c r="FN215" s="615"/>
      <c r="FO215" s="615"/>
      <c r="FP215" s="535">
        <v>0</v>
      </c>
      <c r="FQ215" s="615"/>
      <c r="FR215" s="615"/>
    </row>
    <row r="216" spans="2:174" outlineLevel="1" x14ac:dyDescent="0.2">
      <c r="B216" s="325" t="s">
        <v>584</v>
      </c>
      <c r="C216" s="322" t="s">
        <v>617</v>
      </c>
      <c r="DC216" s="356">
        <v>0</v>
      </c>
      <c r="DD216" s="356">
        <v>0</v>
      </c>
      <c r="DE216" s="356">
        <v>0</v>
      </c>
      <c r="DF216" s="356">
        <v>0</v>
      </c>
      <c r="DG216" s="741">
        <f t="shared" si="597"/>
        <v>0</v>
      </c>
      <c r="DI216" s="356">
        <v>1</v>
      </c>
      <c r="DJ216" s="356">
        <v>0</v>
      </c>
      <c r="DK216" s="356">
        <v>0</v>
      </c>
      <c r="DL216" s="356">
        <v>0</v>
      </c>
      <c r="DM216" s="741">
        <f t="shared" si="598"/>
        <v>1</v>
      </c>
      <c r="DO216" s="356">
        <v>0</v>
      </c>
      <c r="DP216" s="356">
        <v>0</v>
      </c>
      <c r="DQ216" s="356">
        <v>0</v>
      </c>
      <c r="DR216" s="356">
        <v>0</v>
      </c>
      <c r="DS216" s="741">
        <f t="shared" si="599"/>
        <v>0</v>
      </c>
      <c r="DU216" s="356">
        <v>0</v>
      </c>
      <c r="DV216" s="356">
        <v>0</v>
      </c>
      <c r="DW216" s="356">
        <v>0</v>
      </c>
      <c r="DX216" s="356">
        <v>0</v>
      </c>
      <c r="DY216" s="741">
        <f t="shared" si="600"/>
        <v>0</v>
      </c>
      <c r="EA216" s="356">
        <v>0</v>
      </c>
      <c r="EB216" s="356">
        <v>0</v>
      </c>
      <c r="EC216" s="356">
        <v>0</v>
      </c>
      <c r="ED216" s="356">
        <v>0</v>
      </c>
      <c r="EE216" s="741">
        <f t="shared" si="601"/>
        <v>0</v>
      </c>
      <c r="EG216" s="356">
        <v>0</v>
      </c>
      <c r="EH216" s="356">
        <v>0</v>
      </c>
      <c r="EI216" s="356">
        <v>0</v>
      </c>
      <c r="EJ216" s="356">
        <v>0</v>
      </c>
      <c r="EK216" s="578">
        <f t="shared" si="602"/>
        <v>0</v>
      </c>
      <c r="EL216" s="535">
        <v>0</v>
      </c>
      <c r="EN216" s="311" t="s">
        <v>632</v>
      </c>
      <c r="FI216" s="310">
        <f t="shared" si="603"/>
        <v>0</v>
      </c>
      <c r="FJ216" s="310">
        <f t="shared" si="604"/>
        <v>1</v>
      </c>
      <c r="FK216" s="310">
        <f t="shared" si="605"/>
        <v>0</v>
      </c>
      <c r="FL216" s="615"/>
      <c r="FM216" s="615"/>
      <c r="FN216" s="615"/>
      <c r="FO216" s="615"/>
      <c r="FP216" s="535">
        <v>0</v>
      </c>
      <c r="FQ216" s="615"/>
      <c r="FR216" s="615"/>
    </row>
    <row r="217" spans="2:174" outlineLevel="1" x14ac:dyDescent="0.2">
      <c r="B217" s="381" t="s">
        <v>164</v>
      </c>
      <c r="C217" s="350" t="s">
        <v>617</v>
      </c>
      <c r="D217" s="382"/>
      <c r="E217" s="382"/>
      <c r="F217" s="382"/>
      <c r="G217" s="382"/>
      <c r="H217" s="382"/>
      <c r="I217" s="382"/>
      <c r="J217" s="382"/>
      <c r="K217" s="382"/>
      <c r="L217" s="382"/>
      <c r="M217" s="382"/>
      <c r="N217" s="382"/>
      <c r="O217" s="382"/>
      <c r="P217" s="382"/>
      <c r="Q217" s="382"/>
      <c r="R217" s="382"/>
      <c r="S217" s="382"/>
      <c r="T217" s="382"/>
      <c r="U217" s="382"/>
      <c r="V217" s="382"/>
      <c r="W217" s="382"/>
      <c r="X217" s="382"/>
      <c r="Y217" s="382"/>
      <c r="Z217" s="382"/>
      <c r="AA217" s="382"/>
      <c r="AB217" s="382"/>
      <c r="AC217" s="382"/>
      <c r="AD217" s="382"/>
      <c r="AE217" s="382"/>
      <c r="AF217" s="382"/>
      <c r="AG217" s="382"/>
      <c r="AH217" s="382"/>
      <c r="AI217" s="382"/>
      <c r="AJ217" s="382"/>
      <c r="AK217" s="382"/>
      <c r="AL217" s="382"/>
      <c r="AM217" s="382"/>
      <c r="AN217" s="382"/>
      <c r="AO217" s="382"/>
      <c r="AP217" s="382"/>
      <c r="AQ217" s="382"/>
      <c r="AR217" s="382"/>
      <c r="AS217" s="382"/>
      <c r="AT217" s="382"/>
      <c r="AU217" s="382"/>
      <c r="AV217" s="382"/>
      <c r="AW217" s="382"/>
      <c r="AX217" s="382"/>
      <c r="AY217" s="382"/>
      <c r="AZ217" s="382"/>
      <c r="BA217" s="382"/>
      <c r="BB217" s="382"/>
      <c r="BC217" s="382"/>
      <c r="BD217" s="382"/>
      <c r="BE217" s="382"/>
      <c r="BF217" s="382"/>
      <c r="BG217" s="382"/>
      <c r="BH217" s="382"/>
      <c r="BI217" s="382"/>
      <c r="BJ217" s="382"/>
      <c r="BK217" s="382"/>
      <c r="BL217" s="382"/>
      <c r="BM217" s="382"/>
      <c r="BN217" s="382"/>
      <c r="BO217" s="382"/>
      <c r="BP217" s="382"/>
      <c r="BQ217" s="382"/>
      <c r="BR217" s="382"/>
      <c r="BS217" s="382"/>
      <c r="BT217" s="382"/>
      <c r="BU217" s="382"/>
      <c r="BV217" s="382"/>
      <c r="BW217" s="382"/>
      <c r="BX217" s="382"/>
      <c r="BY217" s="382"/>
      <c r="BZ217" s="382"/>
      <c r="CA217" s="382"/>
      <c r="CB217" s="382"/>
      <c r="CC217" s="382"/>
      <c r="CD217" s="382"/>
      <c r="CE217" s="382"/>
      <c r="CF217" s="382"/>
      <c r="CG217" s="382"/>
      <c r="CH217" s="382"/>
      <c r="CI217" s="382"/>
      <c r="CJ217" s="382"/>
      <c r="CK217" s="382"/>
      <c r="CL217" s="382"/>
      <c r="CM217" s="382"/>
      <c r="CN217" s="382"/>
      <c r="CO217" s="382"/>
      <c r="CP217" s="382"/>
      <c r="CQ217" s="382"/>
      <c r="CR217" s="382"/>
      <c r="CS217" s="382"/>
      <c r="CT217" s="382"/>
      <c r="CU217" s="382"/>
      <c r="CV217" s="382"/>
      <c r="CW217" s="382"/>
      <c r="CX217" s="382"/>
      <c r="CY217" s="382"/>
      <c r="CZ217" s="382"/>
      <c r="DA217" s="690"/>
      <c r="DC217" s="720">
        <v>0</v>
      </c>
      <c r="DD217" s="720">
        <v>0</v>
      </c>
      <c r="DE217" s="720">
        <v>0</v>
      </c>
      <c r="DF217" s="720">
        <v>0</v>
      </c>
      <c r="DG217" s="814">
        <f t="shared" si="597"/>
        <v>0</v>
      </c>
      <c r="DI217" s="720">
        <v>0</v>
      </c>
      <c r="DJ217" s="720">
        <v>1</v>
      </c>
      <c r="DK217" s="720">
        <v>0</v>
      </c>
      <c r="DL217" s="720">
        <v>0</v>
      </c>
      <c r="DM217" s="814">
        <f t="shared" si="598"/>
        <v>1</v>
      </c>
      <c r="DO217" s="720">
        <v>0</v>
      </c>
      <c r="DP217" s="720">
        <v>0</v>
      </c>
      <c r="DQ217" s="720">
        <v>0</v>
      </c>
      <c r="DR217" s="720">
        <v>0</v>
      </c>
      <c r="DS217" s="814">
        <f t="shared" si="599"/>
        <v>0</v>
      </c>
      <c r="DU217" s="720">
        <v>0</v>
      </c>
      <c r="DV217" s="720">
        <v>0</v>
      </c>
      <c r="DW217" s="720">
        <v>0</v>
      </c>
      <c r="DX217" s="720">
        <v>0</v>
      </c>
      <c r="DY217" s="814">
        <f t="shared" si="600"/>
        <v>0</v>
      </c>
      <c r="EA217" s="720">
        <v>0</v>
      </c>
      <c r="EB217" s="720">
        <v>0</v>
      </c>
      <c r="EC217" s="720">
        <v>0</v>
      </c>
      <c r="ED217" s="720">
        <v>0</v>
      </c>
      <c r="EE217" s="814">
        <f t="shared" si="601"/>
        <v>0</v>
      </c>
      <c r="EG217" s="720">
        <v>0</v>
      </c>
      <c r="EH217" s="720">
        <v>0</v>
      </c>
      <c r="EI217" s="720">
        <v>0</v>
      </c>
      <c r="EJ217" s="720">
        <v>0</v>
      </c>
      <c r="EK217" s="721">
        <f t="shared" si="602"/>
        <v>0</v>
      </c>
      <c r="EL217" s="722">
        <v>0</v>
      </c>
      <c r="EN217" s="311" t="s">
        <v>632</v>
      </c>
      <c r="FI217" s="310">
        <f t="shared" si="603"/>
        <v>0</v>
      </c>
      <c r="FJ217" s="310">
        <f t="shared" si="604"/>
        <v>1</v>
      </c>
      <c r="FK217" s="310">
        <f t="shared" si="605"/>
        <v>0</v>
      </c>
      <c r="FL217" s="615"/>
      <c r="FM217" s="615"/>
      <c r="FN217" s="615"/>
      <c r="FO217" s="615"/>
      <c r="FP217" s="535">
        <v>0</v>
      </c>
      <c r="FQ217" s="615"/>
      <c r="FR217" s="615"/>
    </row>
    <row r="218" spans="2:174" ht="12" outlineLevel="1" x14ac:dyDescent="0.25">
      <c r="B218" s="444" t="s">
        <v>249</v>
      </c>
      <c r="C218" s="322" t="s">
        <v>617</v>
      </c>
      <c r="DC218" s="542">
        <v>0</v>
      </c>
      <c r="DD218" s="542">
        <v>2</v>
      </c>
      <c r="DE218" s="542">
        <v>0</v>
      </c>
      <c r="DF218" s="542">
        <v>0</v>
      </c>
      <c r="DG218" s="571">
        <f>SUM(DG212:DG217)</f>
        <v>3</v>
      </c>
      <c r="DI218" s="542">
        <v>3</v>
      </c>
      <c r="DJ218" s="542">
        <v>3</v>
      </c>
      <c r="DK218" s="542">
        <v>1</v>
      </c>
      <c r="DL218" s="542">
        <v>0</v>
      </c>
      <c r="DM218" s="743">
        <f>SUM(DM212:DM217)</f>
        <v>4</v>
      </c>
      <c r="DO218" s="571">
        <f>SUM(DO212:DO217)</f>
        <v>0</v>
      </c>
      <c r="DP218" s="571">
        <f>SUM(DP212:DP217)</f>
        <v>0</v>
      </c>
      <c r="DQ218" s="571">
        <f>SUM(DQ212:DQ217)</f>
        <v>0</v>
      </c>
      <c r="DR218" s="571">
        <f>SUM(DR212:DR217)</f>
        <v>0</v>
      </c>
      <c r="DS218" s="743">
        <f>SUM(DS212:DS217)</f>
        <v>0</v>
      </c>
      <c r="DU218" s="571">
        <f>SUM(DU212:DU217)</f>
        <v>0</v>
      </c>
      <c r="DV218" s="571">
        <f>SUM(DV212:DV217)</f>
        <v>0</v>
      </c>
      <c r="DW218" s="571">
        <f>SUM(DW212:DW217)</f>
        <v>0</v>
      </c>
      <c r="DX218" s="571">
        <f>SUM(DX212:DX217)</f>
        <v>0</v>
      </c>
      <c r="DY218" s="743">
        <f>SUM(DY212:DY217)</f>
        <v>0</v>
      </c>
      <c r="EA218" s="571">
        <f>SUM(EA212:EA217)</f>
        <v>0</v>
      </c>
      <c r="EB218" s="571">
        <f>SUM(EB212:EB217)</f>
        <v>0</v>
      </c>
      <c r="EC218" s="571">
        <f>SUM(EC212:EC217)</f>
        <v>0</v>
      </c>
      <c r="ED218" s="571">
        <f>SUM(ED212:ED217)</f>
        <v>0</v>
      </c>
      <c r="EE218" s="743">
        <f>SUM(EE212:EE217)</f>
        <v>0</v>
      </c>
      <c r="EG218" s="571">
        <f t="shared" ref="EG218:EL218" si="606">SUM(EG212:EG217)</f>
        <v>0</v>
      </c>
      <c r="EH218" s="571">
        <f t="shared" si="606"/>
        <v>0</v>
      </c>
      <c r="EI218" s="571">
        <f t="shared" si="606"/>
        <v>0</v>
      </c>
      <c r="EJ218" s="571">
        <f t="shared" si="606"/>
        <v>0</v>
      </c>
      <c r="EK218" s="569">
        <f t="shared" si="606"/>
        <v>0</v>
      </c>
      <c r="EL218" s="569">
        <f t="shared" si="606"/>
        <v>0</v>
      </c>
      <c r="FI218" s="591">
        <f t="shared" si="603"/>
        <v>3</v>
      </c>
      <c r="FJ218" s="591">
        <f t="shared" si="604"/>
        <v>4</v>
      </c>
      <c r="FK218" s="591">
        <f>SUM(FK212:FK217)</f>
        <v>0</v>
      </c>
      <c r="FL218" s="615"/>
      <c r="FM218" s="615"/>
      <c r="FN218" s="615"/>
      <c r="FO218" s="615"/>
      <c r="FP218" s="592">
        <f>SUM(FP212:FP217)</f>
        <v>0</v>
      </c>
      <c r="FQ218" s="615"/>
      <c r="FR218" s="615"/>
    </row>
    <row r="219" spans="2:174" outlineLevel="1" x14ac:dyDescent="0.2"/>
    <row r="220" spans="2:174" outlineLevel="1" x14ac:dyDescent="0.2">
      <c r="B220" s="588" t="s">
        <v>628</v>
      </c>
    </row>
    <row r="221" spans="2:174" outlineLevel="1" x14ac:dyDescent="0.2">
      <c r="B221" s="325" t="s">
        <v>581</v>
      </c>
      <c r="C221" s="322" t="s">
        <v>617</v>
      </c>
      <c r="DW221" s="355">
        <f>IF(DW239=0,IF(DV239=1,1,0),0)</f>
        <v>0</v>
      </c>
      <c r="DX221" s="355">
        <f>IF(DX239=0,IF(DW239=1,1,0),0)</f>
        <v>0</v>
      </c>
      <c r="DY221" s="741">
        <f t="shared" ref="DY221:DY226" si="607">SUM(DU221:DX221)</f>
        <v>0</v>
      </c>
      <c r="EA221" s="355">
        <f t="shared" ref="EA221:EA226" si="608">IF(EA239=0,IF(DY239=1,1,0),0)</f>
        <v>0</v>
      </c>
      <c r="EB221" s="355">
        <f t="shared" ref="EB221:ED223" si="609">IF(EB239=0,IF(EA239=1,1,0),0)</f>
        <v>1</v>
      </c>
      <c r="EC221" s="347">
        <f t="shared" si="609"/>
        <v>0</v>
      </c>
      <c r="ED221" s="355">
        <f t="shared" si="609"/>
        <v>0</v>
      </c>
      <c r="EE221" s="741">
        <f t="shared" ref="EE221:EE226" si="610">SUM(EA221:ED221)</f>
        <v>1</v>
      </c>
      <c r="EG221" s="355">
        <f t="shared" ref="EG221:EG226" si="611">IF(EG239=0,IF(EE239=1,1,0),0)</f>
        <v>0</v>
      </c>
      <c r="EH221" s="355">
        <f t="shared" ref="EH221:EJ226" si="612">IF(EH239=0,IF(EG239=1,1,0),0)</f>
        <v>0</v>
      </c>
      <c r="EI221" s="355">
        <f t="shared" si="612"/>
        <v>0</v>
      </c>
      <c r="EJ221" s="355">
        <f t="shared" si="612"/>
        <v>0</v>
      </c>
      <c r="EK221" s="578">
        <f t="shared" ref="EK221:EK226" si="613">SUM(EG221:EJ221)</f>
        <v>0</v>
      </c>
      <c r="EL221" s="405">
        <f t="shared" ref="EL221:EL226" si="614">IF(EL239=0,IF(EK239=1,1,0),0)</f>
        <v>0</v>
      </c>
      <c r="FK221" s="310">
        <f t="shared" ref="FK221:FK226" si="615">DS221</f>
        <v>0</v>
      </c>
      <c r="FL221" s="310">
        <f t="shared" ref="FL221:FL226" si="616">DY221</f>
        <v>0</v>
      </c>
      <c r="FM221" s="310">
        <f t="shared" ref="FM221:FM226" si="617">EE221</f>
        <v>1</v>
      </c>
      <c r="FN221" s="373">
        <f t="shared" ref="FN221:FO226" si="618">EK221</f>
        <v>0</v>
      </c>
      <c r="FO221" s="373">
        <f t="shared" si="618"/>
        <v>0</v>
      </c>
      <c r="FP221" s="405">
        <f t="shared" ref="FP221:FP226" si="619">IF(FP239=0,IF(FO239=1,1,0),0)</f>
        <v>0</v>
      </c>
      <c r="FQ221" s="615"/>
      <c r="FR221" s="615"/>
    </row>
    <row r="222" spans="2:174" outlineLevel="1" x14ac:dyDescent="0.2">
      <c r="B222" s="325" t="s">
        <v>582</v>
      </c>
      <c r="C222" s="322" t="s">
        <v>617</v>
      </c>
      <c r="DW222" s="355">
        <f>IF(DW240=0,IF(DV240=1,1,0),0)</f>
        <v>0</v>
      </c>
      <c r="DX222" s="355">
        <f>IF(DX240=0,IF(DW240=1,1,0),0)</f>
        <v>0</v>
      </c>
      <c r="DY222" s="741">
        <f t="shared" si="607"/>
        <v>0</v>
      </c>
      <c r="EA222" s="355">
        <f t="shared" si="608"/>
        <v>0</v>
      </c>
      <c r="EB222" s="355">
        <f t="shared" si="609"/>
        <v>0</v>
      </c>
      <c r="EC222" s="347">
        <f t="shared" si="609"/>
        <v>0</v>
      </c>
      <c r="ED222" s="355">
        <v>0</v>
      </c>
      <c r="EE222" s="741">
        <f t="shared" si="610"/>
        <v>0</v>
      </c>
      <c r="EG222" s="355">
        <f t="shared" si="611"/>
        <v>0</v>
      </c>
      <c r="EH222" s="355">
        <f t="shared" si="612"/>
        <v>0</v>
      </c>
      <c r="EI222" s="355">
        <f t="shared" si="612"/>
        <v>0</v>
      </c>
      <c r="EJ222" s="355">
        <f t="shared" si="612"/>
        <v>0</v>
      </c>
      <c r="EK222" s="578">
        <f t="shared" si="613"/>
        <v>0</v>
      </c>
      <c r="EL222" s="405">
        <f t="shared" si="614"/>
        <v>0</v>
      </c>
      <c r="EN222" s="311" t="s">
        <v>646</v>
      </c>
      <c r="FK222" s="310">
        <f t="shared" si="615"/>
        <v>0</v>
      </c>
      <c r="FL222" s="310">
        <f t="shared" si="616"/>
        <v>0</v>
      </c>
      <c r="FM222" s="310">
        <f t="shared" si="617"/>
        <v>0</v>
      </c>
      <c r="FN222" s="373">
        <f t="shared" si="618"/>
        <v>0</v>
      </c>
      <c r="FO222" s="373">
        <f t="shared" si="618"/>
        <v>0</v>
      </c>
      <c r="FP222" s="405">
        <f t="shared" si="619"/>
        <v>0</v>
      </c>
      <c r="FQ222" s="615"/>
      <c r="FR222" s="615"/>
    </row>
    <row r="223" spans="2:174" outlineLevel="1" x14ac:dyDescent="0.2">
      <c r="B223" s="325" t="s">
        <v>583</v>
      </c>
      <c r="C223" s="322" t="s">
        <v>617</v>
      </c>
      <c r="DW223" s="355">
        <f>IF(DW241=0,IF(DV241=1,1,0),0)</f>
        <v>0</v>
      </c>
      <c r="DX223" s="355">
        <v>2</v>
      </c>
      <c r="DY223" s="741">
        <f t="shared" si="607"/>
        <v>2</v>
      </c>
      <c r="EA223" s="355">
        <f t="shared" si="608"/>
        <v>0</v>
      </c>
      <c r="EB223" s="355">
        <f t="shared" si="609"/>
        <v>0</v>
      </c>
      <c r="EC223" s="347">
        <f t="shared" si="609"/>
        <v>0</v>
      </c>
      <c r="ED223" s="355">
        <f t="shared" si="609"/>
        <v>0</v>
      </c>
      <c r="EE223" s="741">
        <f t="shared" si="610"/>
        <v>0</v>
      </c>
      <c r="EG223" s="355">
        <f t="shared" si="611"/>
        <v>0</v>
      </c>
      <c r="EH223" s="355">
        <f t="shared" si="612"/>
        <v>0</v>
      </c>
      <c r="EI223" s="355">
        <f t="shared" si="612"/>
        <v>0</v>
      </c>
      <c r="EJ223" s="355">
        <f t="shared" si="612"/>
        <v>0</v>
      </c>
      <c r="EK223" s="578">
        <f t="shared" si="613"/>
        <v>0</v>
      </c>
      <c r="EL223" s="405">
        <f t="shared" si="614"/>
        <v>0</v>
      </c>
      <c r="EN223" s="311" t="s">
        <v>626</v>
      </c>
      <c r="FK223" s="310">
        <f t="shared" si="615"/>
        <v>0</v>
      </c>
      <c r="FL223" s="310">
        <f t="shared" si="616"/>
        <v>2</v>
      </c>
      <c r="FM223" s="310">
        <f t="shared" si="617"/>
        <v>0</v>
      </c>
      <c r="FN223" s="373">
        <f t="shared" si="618"/>
        <v>0</v>
      </c>
      <c r="FO223" s="373">
        <f t="shared" si="618"/>
        <v>0</v>
      </c>
      <c r="FP223" s="405">
        <f t="shared" si="619"/>
        <v>0</v>
      </c>
      <c r="FQ223" s="615"/>
      <c r="FR223" s="615"/>
    </row>
    <row r="224" spans="2:174" outlineLevel="1" x14ac:dyDescent="0.2">
      <c r="B224" s="325" t="s">
        <v>585</v>
      </c>
      <c r="C224" s="322" t="s">
        <v>617</v>
      </c>
      <c r="DW224" s="355">
        <f>IF(DW242=0,IF(DV242=1,1,0),0)</f>
        <v>0</v>
      </c>
      <c r="DX224" s="355">
        <f>IF(DX242=0,IF(DW242=1,1,0),0)</f>
        <v>0</v>
      </c>
      <c r="DY224" s="741">
        <f t="shared" si="607"/>
        <v>0</v>
      </c>
      <c r="EA224" s="355">
        <f t="shared" si="608"/>
        <v>0</v>
      </c>
      <c r="EB224" s="355">
        <f t="shared" ref="EB224:EC226" si="620">IF(EB242=0,IF(EA242=1,1,0),0)</f>
        <v>0</v>
      </c>
      <c r="EC224" s="355">
        <f t="shared" si="620"/>
        <v>0</v>
      </c>
      <c r="ED224" s="347">
        <v>0</v>
      </c>
      <c r="EE224" s="741">
        <f t="shared" si="610"/>
        <v>0</v>
      </c>
      <c r="EG224" s="355">
        <f t="shared" si="611"/>
        <v>0</v>
      </c>
      <c r="EH224" s="355">
        <f t="shared" si="612"/>
        <v>0</v>
      </c>
      <c r="EI224" s="355">
        <f t="shared" si="612"/>
        <v>0</v>
      </c>
      <c r="EJ224" s="355">
        <f t="shared" si="612"/>
        <v>0</v>
      </c>
      <c r="EK224" s="578">
        <f t="shared" si="613"/>
        <v>0</v>
      </c>
      <c r="EL224" s="405">
        <f t="shared" si="614"/>
        <v>0</v>
      </c>
      <c r="EN224" s="311" t="s">
        <v>645</v>
      </c>
      <c r="FK224" s="310">
        <f t="shared" si="615"/>
        <v>0</v>
      </c>
      <c r="FL224" s="310">
        <f t="shared" si="616"/>
        <v>0</v>
      </c>
      <c r="FM224" s="310">
        <f t="shared" si="617"/>
        <v>0</v>
      </c>
      <c r="FN224" s="373">
        <f t="shared" si="618"/>
        <v>0</v>
      </c>
      <c r="FO224" s="373">
        <f t="shared" si="618"/>
        <v>0</v>
      </c>
      <c r="FP224" s="405">
        <f t="shared" si="619"/>
        <v>0</v>
      </c>
      <c r="FQ224" s="615"/>
      <c r="FR224" s="615"/>
    </row>
    <row r="225" spans="2:174" outlineLevel="1" x14ac:dyDescent="0.2">
      <c r="B225" s="325" t="s">
        <v>584</v>
      </c>
      <c r="C225" s="322" t="s">
        <v>617</v>
      </c>
      <c r="DW225" s="355">
        <f>IF(DW243=0,IF(DV243=1,1,0),0)</f>
        <v>0</v>
      </c>
      <c r="DX225" s="355">
        <f>IF(DX243=0,IF(DW243=1,1,0),0)</f>
        <v>0</v>
      </c>
      <c r="DY225" s="741">
        <f t="shared" si="607"/>
        <v>0</v>
      </c>
      <c r="EA225" s="355">
        <f t="shared" si="608"/>
        <v>0</v>
      </c>
      <c r="EB225" s="355">
        <f t="shared" si="620"/>
        <v>0</v>
      </c>
      <c r="EC225" s="355">
        <f t="shared" si="620"/>
        <v>0</v>
      </c>
      <c r="ED225" s="347">
        <v>0</v>
      </c>
      <c r="EE225" s="741">
        <f t="shared" si="610"/>
        <v>0</v>
      </c>
      <c r="EG225" s="355">
        <f t="shared" si="611"/>
        <v>0</v>
      </c>
      <c r="EH225" s="355">
        <f t="shared" si="612"/>
        <v>0</v>
      </c>
      <c r="EI225" s="355">
        <f t="shared" si="612"/>
        <v>0</v>
      </c>
      <c r="EJ225" s="355">
        <f t="shared" si="612"/>
        <v>0</v>
      </c>
      <c r="EK225" s="578">
        <f t="shared" si="613"/>
        <v>0</v>
      </c>
      <c r="EL225" s="405">
        <f t="shared" si="614"/>
        <v>0</v>
      </c>
      <c r="FK225" s="310">
        <f t="shared" si="615"/>
        <v>0</v>
      </c>
      <c r="FL225" s="310">
        <f t="shared" si="616"/>
        <v>0</v>
      </c>
      <c r="FM225" s="310">
        <f t="shared" si="617"/>
        <v>0</v>
      </c>
      <c r="FN225" s="373">
        <f t="shared" si="618"/>
        <v>0</v>
      </c>
      <c r="FO225" s="373">
        <f t="shared" si="618"/>
        <v>0</v>
      </c>
      <c r="FP225" s="405">
        <f t="shared" si="619"/>
        <v>0</v>
      </c>
      <c r="FQ225" s="615"/>
      <c r="FR225" s="615"/>
    </row>
    <row r="226" spans="2:174" outlineLevel="1" x14ac:dyDescent="0.2">
      <c r="B226" s="381" t="s">
        <v>164</v>
      </c>
      <c r="C226" s="350" t="s">
        <v>617</v>
      </c>
      <c r="D226" s="382"/>
      <c r="E226" s="382"/>
      <c r="F226" s="382"/>
      <c r="G226" s="382"/>
      <c r="H226" s="382"/>
      <c r="I226" s="382"/>
      <c r="J226" s="382"/>
      <c r="K226" s="382"/>
      <c r="L226" s="382"/>
      <c r="M226" s="382"/>
      <c r="N226" s="382"/>
      <c r="O226" s="382"/>
      <c r="P226" s="382"/>
      <c r="Q226" s="382"/>
      <c r="R226" s="382"/>
      <c r="S226" s="382"/>
      <c r="T226" s="382"/>
      <c r="U226" s="382"/>
      <c r="V226" s="382"/>
      <c r="W226" s="382"/>
      <c r="X226" s="382"/>
      <c r="Y226" s="382"/>
      <c r="Z226" s="382"/>
      <c r="AA226" s="382"/>
      <c r="AB226" s="382"/>
      <c r="AC226" s="382"/>
      <c r="AD226" s="382"/>
      <c r="AE226" s="382"/>
      <c r="AF226" s="382"/>
      <c r="AG226" s="382"/>
      <c r="AH226" s="382"/>
      <c r="AI226" s="382"/>
      <c r="AJ226" s="382"/>
      <c r="AK226" s="382"/>
      <c r="AL226" s="382"/>
      <c r="AM226" s="382"/>
      <c r="AN226" s="382"/>
      <c r="AO226" s="382"/>
      <c r="AP226" s="382"/>
      <c r="AQ226" s="382"/>
      <c r="AR226" s="382"/>
      <c r="AS226" s="382"/>
      <c r="AT226" s="382"/>
      <c r="AU226" s="382"/>
      <c r="AV226" s="382"/>
      <c r="AW226" s="382"/>
      <c r="AX226" s="382"/>
      <c r="AY226" s="382"/>
      <c r="AZ226" s="382"/>
      <c r="BA226" s="382"/>
      <c r="BB226" s="382"/>
      <c r="BC226" s="382"/>
      <c r="BD226" s="382"/>
      <c r="BE226" s="382"/>
      <c r="BF226" s="382"/>
      <c r="BG226" s="382"/>
      <c r="BH226" s="382"/>
      <c r="BI226" s="382"/>
      <c r="BJ226" s="382"/>
      <c r="BK226" s="382"/>
      <c r="BL226" s="382"/>
      <c r="BM226" s="382"/>
      <c r="BN226" s="382"/>
      <c r="BO226" s="382"/>
      <c r="BP226" s="382"/>
      <c r="BQ226" s="382"/>
      <c r="BR226" s="382"/>
      <c r="BS226" s="382"/>
      <c r="BT226" s="382"/>
      <c r="BU226" s="382"/>
      <c r="BV226" s="382"/>
      <c r="BW226" s="382"/>
      <c r="BX226" s="382"/>
      <c r="BY226" s="382"/>
      <c r="BZ226" s="382"/>
      <c r="CA226" s="382"/>
      <c r="CB226" s="382"/>
      <c r="CC226" s="382"/>
      <c r="CD226" s="382"/>
      <c r="CE226" s="382"/>
      <c r="CF226" s="382"/>
      <c r="CG226" s="382"/>
      <c r="CH226" s="382"/>
      <c r="CI226" s="382"/>
      <c r="CJ226" s="382"/>
      <c r="CK226" s="382"/>
      <c r="CL226" s="382"/>
      <c r="CM226" s="382"/>
      <c r="CN226" s="382"/>
      <c r="CO226" s="382"/>
      <c r="CP226" s="382"/>
      <c r="CQ226" s="382"/>
      <c r="CR226" s="382"/>
      <c r="CS226" s="382"/>
      <c r="CT226" s="382"/>
      <c r="CU226" s="382"/>
      <c r="CV226" s="382"/>
      <c r="CW226" s="382"/>
      <c r="CX226" s="382"/>
      <c r="CY226" s="382"/>
      <c r="CZ226" s="382"/>
      <c r="DA226" s="690"/>
      <c r="DC226" s="382"/>
      <c r="DD226" s="382"/>
      <c r="DE226" s="382"/>
      <c r="DF226" s="382"/>
      <c r="DG226" s="677"/>
      <c r="DI226" s="382"/>
      <c r="DJ226" s="382"/>
      <c r="DK226" s="382"/>
      <c r="DL226" s="382"/>
      <c r="DM226" s="677"/>
      <c r="DO226" s="382"/>
      <c r="DP226" s="382"/>
      <c r="DQ226" s="382"/>
      <c r="DR226" s="382"/>
      <c r="DS226" s="677"/>
      <c r="DU226" s="382"/>
      <c r="DV226" s="382"/>
      <c r="DW226" s="371">
        <f>IF(DW244=0,IF(DV244=1,1,0),0)</f>
        <v>0</v>
      </c>
      <c r="DX226" s="371">
        <f>IF(DX244=0,IF(DW244=1,1,0),0)</f>
        <v>0</v>
      </c>
      <c r="DY226" s="814">
        <f t="shared" si="607"/>
        <v>0</v>
      </c>
      <c r="EA226" s="371">
        <f t="shared" si="608"/>
        <v>0</v>
      </c>
      <c r="EB226" s="371">
        <f t="shared" si="620"/>
        <v>0</v>
      </c>
      <c r="EC226" s="371">
        <f t="shared" si="620"/>
        <v>0</v>
      </c>
      <c r="ED226" s="371">
        <f>IF(ED244=0,IF(EC244=1,1,0),0)</f>
        <v>1</v>
      </c>
      <c r="EE226" s="814">
        <f t="shared" si="610"/>
        <v>1</v>
      </c>
      <c r="EG226" s="375">
        <f t="shared" si="611"/>
        <v>0</v>
      </c>
      <c r="EH226" s="371">
        <f t="shared" si="612"/>
        <v>0</v>
      </c>
      <c r="EI226" s="371">
        <f t="shared" si="612"/>
        <v>0</v>
      </c>
      <c r="EJ226" s="371">
        <f t="shared" si="612"/>
        <v>0</v>
      </c>
      <c r="EK226" s="721">
        <f t="shared" si="613"/>
        <v>0</v>
      </c>
      <c r="EL226" s="409">
        <f t="shared" si="614"/>
        <v>0</v>
      </c>
      <c r="EN226" s="311" t="s">
        <v>662</v>
      </c>
      <c r="FK226" s="310">
        <f t="shared" si="615"/>
        <v>0</v>
      </c>
      <c r="FL226" s="310">
        <f t="shared" si="616"/>
        <v>0</v>
      </c>
      <c r="FM226" s="310">
        <f t="shared" si="617"/>
        <v>1</v>
      </c>
      <c r="FN226" s="373">
        <f t="shared" si="618"/>
        <v>0</v>
      </c>
      <c r="FO226" s="373">
        <f t="shared" si="618"/>
        <v>0</v>
      </c>
      <c r="FP226" s="408">
        <f t="shared" si="619"/>
        <v>0</v>
      </c>
      <c r="FQ226" s="615"/>
      <c r="FR226" s="615"/>
    </row>
    <row r="227" spans="2:174" ht="12" outlineLevel="1" x14ac:dyDescent="0.25">
      <c r="B227" s="444" t="s">
        <v>249</v>
      </c>
      <c r="C227" s="322" t="s">
        <v>617</v>
      </c>
      <c r="DG227" s="311"/>
      <c r="DW227" s="571">
        <f>SUM(DW221:DW226)</f>
        <v>0</v>
      </c>
      <c r="DX227" s="571">
        <f>SUM(DX221:DX226)</f>
        <v>2</v>
      </c>
      <c r="DY227" s="743">
        <f>SUM(DY221:DY226)</f>
        <v>2</v>
      </c>
      <c r="EA227" s="571">
        <f>SUM(EA221:EA226)</f>
        <v>0</v>
      </c>
      <c r="EB227" s="571">
        <f>SUM(EB221:EB226)</f>
        <v>1</v>
      </c>
      <c r="EC227" s="571">
        <f>SUM(EC221:EC226)</f>
        <v>0</v>
      </c>
      <c r="ED227" s="571">
        <f>SUM(ED221:ED226)</f>
        <v>1</v>
      </c>
      <c r="EE227" s="743">
        <f>SUM(EE221:EE226)</f>
        <v>2</v>
      </c>
      <c r="EG227" s="571">
        <f t="shared" ref="EG227:EL227" si="621">SUM(EG221:EG226)</f>
        <v>0</v>
      </c>
      <c r="EH227" s="571">
        <f t="shared" si="621"/>
        <v>0</v>
      </c>
      <c r="EI227" s="571">
        <f t="shared" si="621"/>
        <v>0</v>
      </c>
      <c r="EJ227" s="571">
        <f t="shared" si="621"/>
        <v>0</v>
      </c>
      <c r="EK227" s="569">
        <f t="shared" si="621"/>
        <v>0</v>
      </c>
      <c r="EL227" s="569">
        <f t="shared" si="621"/>
        <v>0</v>
      </c>
      <c r="FK227" s="591">
        <f t="shared" ref="FK227:FP227" si="622">SUM(FK221:FK226)</f>
        <v>0</v>
      </c>
      <c r="FL227" s="591">
        <f t="shared" si="622"/>
        <v>2</v>
      </c>
      <c r="FM227" s="591">
        <f t="shared" si="622"/>
        <v>2</v>
      </c>
      <c r="FN227" s="591">
        <f t="shared" si="622"/>
        <v>0</v>
      </c>
      <c r="FO227" s="591">
        <f t="shared" si="622"/>
        <v>0</v>
      </c>
      <c r="FP227" s="592">
        <f t="shared" si="622"/>
        <v>0</v>
      </c>
      <c r="FQ227" s="615"/>
      <c r="FR227" s="615"/>
    </row>
    <row r="228" spans="2:174" outlineLevel="1" x14ac:dyDescent="0.2"/>
    <row r="229" spans="2:174" outlineLevel="1" x14ac:dyDescent="0.2">
      <c r="B229" s="588" t="s">
        <v>634</v>
      </c>
    </row>
    <row r="230" spans="2:174" outlineLevel="1" x14ac:dyDescent="0.2">
      <c r="B230" s="325" t="s">
        <v>581</v>
      </c>
      <c r="C230" s="322"/>
      <c r="DW230" s="310">
        <f t="shared" ref="DW230:DX235" si="623">DW$256*DW221</f>
        <v>0</v>
      </c>
      <c r="DX230" s="310">
        <f t="shared" si="623"/>
        <v>0</v>
      </c>
      <c r="DY230" s="694">
        <f t="shared" ref="DY230:DY235" si="624">SUM(DU230:DX230)</f>
        <v>0</v>
      </c>
      <c r="EA230" s="310">
        <f t="shared" ref="EA230:ED235" si="625">EA$256*EA221</f>
        <v>0</v>
      </c>
      <c r="EB230" s="310">
        <f t="shared" si="625"/>
        <v>250</v>
      </c>
      <c r="EC230" s="310">
        <f t="shared" si="625"/>
        <v>0</v>
      </c>
      <c r="ED230" s="310">
        <f t="shared" si="625"/>
        <v>0</v>
      </c>
      <c r="EE230" s="694">
        <f t="shared" ref="EE230:EE235" si="626">SUM(EA230:ED230)</f>
        <v>250</v>
      </c>
      <c r="EG230" s="310">
        <f t="shared" ref="EG230:EJ235" si="627">EG$256*EG221</f>
        <v>0</v>
      </c>
      <c r="EH230" s="310">
        <f t="shared" si="627"/>
        <v>0</v>
      </c>
      <c r="EI230" s="310">
        <f t="shared" si="627"/>
        <v>0</v>
      </c>
      <c r="EJ230" s="310">
        <f t="shared" si="627"/>
        <v>0</v>
      </c>
      <c r="EK230" s="450">
        <f t="shared" ref="EK230:EK235" si="628">SUM(EG230:EJ230)</f>
        <v>0</v>
      </c>
      <c r="EL230" s="450">
        <f t="shared" ref="EL230:EL235" si="629">EL$256*EL221</f>
        <v>0</v>
      </c>
      <c r="FK230" s="310">
        <f t="shared" ref="FK230:FK235" si="630">DS230</f>
        <v>0</v>
      </c>
      <c r="FL230" s="310">
        <f t="shared" ref="FL230:FL235" si="631">DY230</f>
        <v>0</v>
      </c>
      <c r="FM230" s="310">
        <f t="shared" ref="FM230:FM235" si="632">EE230</f>
        <v>250</v>
      </c>
      <c r="FN230" s="373">
        <f t="shared" ref="FN230:FO235" si="633">EK230</f>
        <v>0</v>
      </c>
      <c r="FO230" s="373">
        <f t="shared" si="633"/>
        <v>0</v>
      </c>
      <c r="FP230" s="450">
        <f t="shared" ref="FP230:FP235" si="634">FP$256*FP221</f>
        <v>0</v>
      </c>
      <c r="FQ230" s="615"/>
      <c r="FR230" s="615"/>
    </row>
    <row r="231" spans="2:174" outlineLevel="1" x14ac:dyDescent="0.2">
      <c r="B231" s="325" t="s">
        <v>582</v>
      </c>
      <c r="C231" s="322"/>
      <c r="DW231" s="310">
        <f t="shared" si="623"/>
        <v>0</v>
      </c>
      <c r="DX231" s="310">
        <f t="shared" si="623"/>
        <v>0</v>
      </c>
      <c r="DY231" s="694">
        <f t="shared" si="624"/>
        <v>0</v>
      </c>
      <c r="EA231" s="310">
        <f t="shared" si="625"/>
        <v>0</v>
      </c>
      <c r="EB231" s="310">
        <f t="shared" si="625"/>
        <v>0</v>
      </c>
      <c r="EC231" s="310">
        <f t="shared" si="625"/>
        <v>0</v>
      </c>
      <c r="ED231" s="310">
        <f t="shared" si="625"/>
        <v>0</v>
      </c>
      <c r="EE231" s="694">
        <f t="shared" si="626"/>
        <v>0</v>
      </c>
      <c r="EG231" s="310">
        <f t="shared" si="627"/>
        <v>0</v>
      </c>
      <c r="EH231" s="310">
        <f t="shared" si="627"/>
        <v>0</v>
      </c>
      <c r="EI231" s="310">
        <f t="shared" si="627"/>
        <v>0</v>
      </c>
      <c r="EJ231" s="310">
        <f t="shared" si="627"/>
        <v>0</v>
      </c>
      <c r="EK231" s="450">
        <f t="shared" si="628"/>
        <v>0</v>
      </c>
      <c r="EL231" s="450">
        <f t="shared" si="629"/>
        <v>0</v>
      </c>
      <c r="FK231" s="310">
        <f t="shared" si="630"/>
        <v>0</v>
      </c>
      <c r="FL231" s="310">
        <f t="shared" si="631"/>
        <v>0</v>
      </c>
      <c r="FM231" s="310">
        <f t="shared" si="632"/>
        <v>0</v>
      </c>
      <c r="FN231" s="373">
        <f t="shared" si="633"/>
        <v>0</v>
      </c>
      <c r="FO231" s="373">
        <f t="shared" si="633"/>
        <v>0</v>
      </c>
      <c r="FP231" s="450">
        <f t="shared" si="634"/>
        <v>0</v>
      </c>
      <c r="FQ231" s="615"/>
      <c r="FR231" s="615"/>
    </row>
    <row r="232" spans="2:174" outlineLevel="1" x14ac:dyDescent="0.2">
      <c r="B232" s="325" t="s">
        <v>583</v>
      </c>
      <c r="C232" s="322"/>
      <c r="DW232" s="310">
        <f t="shared" si="623"/>
        <v>0</v>
      </c>
      <c r="DX232" s="310">
        <f t="shared" si="623"/>
        <v>500</v>
      </c>
      <c r="DY232" s="694">
        <f t="shared" si="624"/>
        <v>500</v>
      </c>
      <c r="EA232" s="310">
        <f t="shared" si="625"/>
        <v>0</v>
      </c>
      <c r="EB232" s="310">
        <f t="shared" si="625"/>
        <v>0</v>
      </c>
      <c r="EC232" s="310">
        <f t="shared" si="625"/>
        <v>0</v>
      </c>
      <c r="ED232" s="310">
        <f t="shared" si="625"/>
        <v>0</v>
      </c>
      <c r="EE232" s="694">
        <f t="shared" si="626"/>
        <v>0</v>
      </c>
      <c r="EG232" s="310">
        <f t="shared" si="627"/>
        <v>0</v>
      </c>
      <c r="EH232" s="310">
        <f t="shared" si="627"/>
        <v>0</v>
      </c>
      <c r="EI232" s="310">
        <f t="shared" si="627"/>
        <v>0</v>
      </c>
      <c r="EJ232" s="310">
        <f t="shared" si="627"/>
        <v>0</v>
      </c>
      <c r="EK232" s="450">
        <f t="shared" si="628"/>
        <v>0</v>
      </c>
      <c r="EL232" s="450">
        <f t="shared" si="629"/>
        <v>0</v>
      </c>
      <c r="FK232" s="310">
        <f t="shared" si="630"/>
        <v>0</v>
      </c>
      <c r="FL232" s="310">
        <f t="shared" si="631"/>
        <v>500</v>
      </c>
      <c r="FM232" s="310">
        <f t="shared" si="632"/>
        <v>0</v>
      </c>
      <c r="FN232" s="373">
        <f t="shared" si="633"/>
        <v>0</v>
      </c>
      <c r="FO232" s="373">
        <f t="shared" si="633"/>
        <v>0</v>
      </c>
      <c r="FP232" s="450">
        <f t="shared" si="634"/>
        <v>0</v>
      </c>
      <c r="FQ232" s="615"/>
      <c r="FR232" s="615"/>
    </row>
    <row r="233" spans="2:174" outlineLevel="1" x14ac:dyDescent="0.2">
      <c r="B233" s="325" t="s">
        <v>585</v>
      </c>
      <c r="C233" s="322"/>
      <c r="DW233" s="310">
        <f t="shared" si="623"/>
        <v>0</v>
      </c>
      <c r="DX233" s="310">
        <f t="shared" si="623"/>
        <v>0</v>
      </c>
      <c r="DY233" s="694">
        <f t="shared" si="624"/>
        <v>0</v>
      </c>
      <c r="EA233" s="310">
        <f t="shared" si="625"/>
        <v>0</v>
      </c>
      <c r="EB233" s="310">
        <f t="shared" si="625"/>
        <v>0</v>
      </c>
      <c r="EC233" s="310">
        <f t="shared" si="625"/>
        <v>0</v>
      </c>
      <c r="ED233" s="310">
        <f t="shared" si="625"/>
        <v>0</v>
      </c>
      <c r="EE233" s="694">
        <f t="shared" si="626"/>
        <v>0</v>
      </c>
      <c r="EG233" s="310">
        <f t="shared" si="627"/>
        <v>0</v>
      </c>
      <c r="EH233" s="310">
        <f t="shared" si="627"/>
        <v>0</v>
      </c>
      <c r="EI233" s="310">
        <f t="shared" si="627"/>
        <v>0</v>
      </c>
      <c r="EJ233" s="310">
        <f t="shared" si="627"/>
        <v>0</v>
      </c>
      <c r="EK233" s="450">
        <f t="shared" si="628"/>
        <v>0</v>
      </c>
      <c r="EL233" s="450">
        <f t="shared" si="629"/>
        <v>0</v>
      </c>
      <c r="FK233" s="310">
        <f t="shared" si="630"/>
        <v>0</v>
      </c>
      <c r="FL233" s="310">
        <f t="shared" si="631"/>
        <v>0</v>
      </c>
      <c r="FM233" s="310">
        <f t="shared" si="632"/>
        <v>0</v>
      </c>
      <c r="FN233" s="373">
        <f t="shared" si="633"/>
        <v>0</v>
      </c>
      <c r="FO233" s="373">
        <f t="shared" si="633"/>
        <v>0</v>
      </c>
      <c r="FP233" s="450">
        <f t="shared" si="634"/>
        <v>0</v>
      </c>
      <c r="FQ233" s="615"/>
      <c r="FR233" s="615"/>
    </row>
    <row r="234" spans="2:174" outlineLevel="1" x14ac:dyDescent="0.2">
      <c r="B234" s="325" t="s">
        <v>584</v>
      </c>
      <c r="C234" s="322"/>
      <c r="DW234" s="310">
        <f t="shared" si="623"/>
        <v>0</v>
      </c>
      <c r="DX234" s="310">
        <f t="shared" si="623"/>
        <v>0</v>
      </c>
      <c r="DY234" s="694">
        <f t="shared" si="624"/>
        <v>0</v>
      </c>
      <c r="EA234" s="310">
        <f t="shared" si="625"/>
        <v>0</v>
      </c>
      <c r="EB234" s="310">
        <f t="shared" si="625"/>
        <v>0</v>
      </c>
      <c r="EC234" s="310">
        <f t="shared" si="625"/>
        <v>0</v>
      </c>
      <c r="ED234" s="310">
        <f t="shared" si="625"/>
        <v>0</v>
      </c>
      <c r="EE234" s="694">
        <f t="shared" si="626"/>
        <v>0</v>
      </c>
      <c r="EG234" s="310">
        <f t="shared" si="627"/>
        <v>0</v>
      </c>
      <c r="EH234" s="310">
        <f t="shared" si="627"/>
        <v>0</v>
      </c>
      <c r="EI234" s="310">
        <f t="shared" si="627"/>
        <v>0</v>
      </c>
      <c r="EJ234" s="310">
        <f t="shared" si="627"/>
        <v>0</v>
      </c>
      <c r="EK234" s="450">
        <f t="shared" si="628"/>
        <v>0</v>
      </c>
      <c r="EL234" s="450">
        <f t="shared" si="629"/>
        <v>0</v>
      </c>
      <c r="FK234" s="310">
        <f t="shared" si="630"/>
        <v>0</v>
      </c>
      <c r="FL234" s="310">
        <f t="shared" si="631"/>
        <v>0</v>
      </c>
      <c r="FM234" s="310">
        <f t="shared" si="632"/>
        <v>0</v>
      </c>
      <c r="FN234" s="373">
        <f t="shared" si="633"/>
        <v>0</v>
      </c>
      <c r="FO234" s="373">
        <f t="shared" si="633"/>
        <v>0</v>
      </c>
      <c r="FP234" s="450">
        <f t="shared" si="634"/>
        <v>0</v>
      </c>
      <c r="FQ234" s="615"/>
      <c r="FR234" s="615"/>
    </row>
    <row r="235" spans="2:174" outlineLevel="1" x14ac:dyDescent="0.2">
      <c r="B235" s="381" t="s">
        <v>164</v>
      </c>
      <c r="C235" s="350"/>
      <c r="D235" s="382"/>
      <c r="E235" s="382"/>
      <c r="F235" s="382"/>
      <c r="G235" s="382"/>
      <c r="H235" s="382"/>
      <c r="I235" s="382"/>
      <c r="J235" s="382"/>
      <c r="K235" s="382"/>
      <c r="L235" s="382"/>
      <c r="M235" s="382"/>
      <c r="N235" s="382"/>
      <c r="O235" s="382"/>
      <c r="P235" s="382"/>
      <c r="Q235" s="382"/>
      <c r="R235" s="382"/>
      <c r="S235" s="382"/>
      <c r="T235" s="382"/>
      <c r="U235" s="382"/>
      <c r="V235" s="382"/>
      <c r="W235" s="382"/>
      <c r="X235" s="382"/>
      <c r="Y235" s="382"/>
      <c r="Z235" s="382"/>
      <c r="AA235" s="382"/>
      <c r="AB235" s="382"/>
      <c r="AC235" s="382"/>
      <c r="AD235" s="382"/>
      <c r="AE235" s="382"/>
      <c r="AF235" s="382"/>
      <c r="AG235" s="382"/>
      <c r="AH235" s="382"/>
      <c r="AI235" s="382"/>
      <c r="AJ235" s="382"/>
      <c r="AK235" s="382"/>
      <c r="AL235" s="382"/>
      <c r="AM235" s="382"/>
      <c r="AN235" s="382"/>
      <c r="AO235" s="382"/>
      <c r="AP235" s="382"/>
      <c r="AQ235" s="382"/>
      <c r="AR235" s="382"/>
      <c r="AS235" s="382"/>
      <c r="AT235" s="382"/>
      <c r="AU235" s="382"/>
      <c r="AV235" s="382"/>
      <c r="AW235" s="382"/>
      <c r="AX235" s="382"/>
      <c r="AY235" s="382"/>
      <c r="AZ235" s="382"/>
      <c r="BA235" s="382"/>
      <c r="BB235" s="382"/>
      <c r="BC235" s="382"/>
      <c r="BD235" s="382"/>
      <c r="BE235" s="382"/>
      <c r="BF235" s="382"/>
      <c r="BG235" s="382"/>
      <c r="BH235" s="382"/>
      <c r="BI235" s="382"/>
      <c r="BJ235" s="382"/>
      <c r="BK235" s="382"/>
      <c r="BL235" s="382"/>
      <c r="BM235" s="382"/>
      <c r="BN235" s="382"/>
      <c r="BO235" s="382"/>
      <c r="BP235" s="382"/>
      <c r="BQ235" s="382"/>
      <c r="BR235" s="382"/>
      <c r="BS235" s="382"/>
      <c r="BT235" s="382"/>
      <c r="BU235" s="382"/>
      <c r="BV235" s="382"/>
      <c r="BW235" s="382"/>
      <c r="BX235" s="382"/>
      <c r="BY235" s="382"/>
      <c r="BZ235" s="382"/>
      <c r="CA235" s="382"/>
      <c r="CB235" s="382"/>
      <c r="CC235" s="382"/>
      <c r="CD235" s="382"/>
      <c r="CE235" s="382"/>
      <c r="CF235" s="382"/>
      <c r="CG235" s="382"/>
      <c r="CH235" s="382"/>
      <c r="CI235" s="382"/>
      <c r="CJ235" s="382"/>
      <c r="CK235" s="382"/>
      <c r="CL235" s="382"/>
      <c r="CM235" s="382"/>
      <c r="CN235" s="382"/>
      <c r="CO235" s="382"/>
      <c r="CP235" s="382"/>
      <c r="CQ235" s="382"/>
      <c r="CR235" s="382"/>
      <c r="CS235" s="382"/>
      <c r="CT235" s="382"/>
      <c r="CU235" s="382"/>
      <c r="CV235" s="382"/>
      <c r="CW235" s="382"/>
      <c r="CX235" s="382"/>
      <c r="CY235" s="382"/>
      <c r="CZ235" s="382"/>
      <c r="DA235" s="690"/>
      <c r="DC235" s="382"/>
      <c r="DD235" s="382"/>
      <c r="DE235" s="382"/>
      <c r="DF235" s="382"/>
      <c r="DG235" s="677"/>
      <c r="DI235" s="382"/>
      <c r="DJ235" s="382"/>
      <c r="DK235" s="382"/>
      <c r="DL235" s="382"/>
      <c r="DM235" s="677"/>
      <c r="DO235" s="382"/>
      <c r="DP235" s="382"/>
      <c r="DQ235" s="382"/>
      <c r="DR235" s="382"/>
      <c r="DS235" s="677"/>
      <c r="DU235" s="382"/>
      <c r="DV235" s="382"/>
      <c r="DW235" s="482">
        <f t="shared" si="623"/>
        <v>0</v>
      </c>
      <c r="DX235" s="482">
        <f t="shared" si="623"/>
        <v>0</v>
      </c>
      <c r="DY235" s="745">
        <f t="shared" si="624"/>
        <v>0</v>
      </c>
      <c r="EA235" s="482">
        <f t="shared" si="625"/>
        <v>0</v>
      </c>
      <c r="EB235" s="482">
        <f t="shared" si="625"/>
        <v>0</v>
      </c>
      <c r="EC235" s="482">
        <f t="shared" si="625"/>
        <v>0</v>
      </c>
      <c r="ED235" s="482">
        <f t="shared" si="625"/>
        <v>250</v>
      </c>
      <c r="EE235" s="745">
        <f t="shared" si="626"/>
        <v>250</v>
      </c>
      <c r="EG235" s="482">
        <f t="shared" si="627"/>
        <v>0</v>
      </c>
      <c r="EH235" s="482">
        <f t="shared" si="627"/>
        <v>0</v>
      </c>
      <c r="EI235" s="482">
        <f t="shared" si="627"/>
        <v>0</v>
      </c>
      <c r="EJ235" s="482">
        <f t="shared" si="627"/>
        <v>0</v>
      </c>
      <c r="EK235" s="483">
        <f t="shared" si="628"/>
        <v>0</v>
      </c>
      <c r="EL235" s="483">
        <f t="shared" si="629"/>
        <v>0</v>
      </c>
      <c r="FK235" s="310">
        <f t="shared" si="630"/>
        <v>0</v>
      </c>
      <c r="FL235" s="310">
        <f t="shared" si="631"/>
        <v>0</v>
      </c>
      <c r="FM235" s="310">
        <f t="shared" si="632"/>
        <v>250</v>
      </c>
      <c r="FN235" s="373">
        <f t="shared" si="633"/>
        <v>0</v>
      </c>
      <c r="FO235" s="373">
        <f t="shared" si="633"/>
        <v>0</v>
      </c>
      <c r="FP235" s="450">
        <f t="shared" si="634"/>
        <v>0</v>
      </c>
      <c r="FQ235" s="615"/>
      <c r="FR235" s="615"/>
    </row>
    <row r="236" spans="2:174" ht="12" outlineLevel="1" x14ac:dyDescent="0.25">
      <c r="B236" s="444" t="s">
        <v>249</v>
      </c>
      <c r="C236" s="322"/>
      <c r="DG236" s="311"/>
      <c r="DW236" s="571">
        <f>SUM(DW230:DW235)</f>
        <v>0</v>
      </c>
      <c r="DX236" s="571">
        <f>SUM(DX230:DX235)</f>
        <v>500</v>
      </c>
      <c r="DY236" s="743">
        <f>SUM(DY230:DY235)</f>
        <v>500</v>
      </c>
      <c r="EA236" s="571">
        <f>SUM(EA230:EA235)</f>
        <v>0</v>
      </c>
      <c r="EB236" s="571">
        <f>SUM(EB230:EB235)</f>
        <v>250</v>
      </c>
      <c r="EC236" s="571">
        <f>SUM(EC230:EC235)</f>
        <v>0</v>
      </c>
      <c r="ED236" s="571">
        <f>SUM(ED230:ED235)</f>
        <v>250</v>
      </c>
      <c r="EE236" s="743">
        <f>SUM(EE230:EE235)</f>
        <v>500</v>
      </c>
      <c r="EG236" s="571">
        <f t="shared" ref="EG236:EL236" si="635">SUM(EG230:EG235)</f>
        <v>0</v>
      </c>
      <c r="EH236" s="571">
        <f t="shared" si="635"/>
        <v>0</v>
      </c>
      <c r="EI236" s="571">
        <f t="shared" si="635"/>
        <v>0</v>
      </c>
      <c r="EJ236" s="571">
        <f t="shared" si="635"/>
        <v>0</v>
      </c>
      <c r="EK236" s="569">
        <f t="shared" si="635"/>
        <v>0</v>
      </c>
      <c r="EL236" s="569">
        <f t="shared" si="635"/>
        <v>0</v>
      </c>
      <c r="FK236" s="591">
        <f t="shared" ref="FK236:FP236" si="636">SUM(FK230:FK235)</f>
        <v>0</v>
      </c>
      <c r="FL236" s="591">
        <f t="shared" si="636"/>
        <v>500</v>
      </c>
      <c r="FM236" s="591">
        <f t="shared" si="636"/>
        <v>500</v>
      </c>
      <c r="FN236" s="591">
        <f t="shared" si="636"/>
        <v>0</v>
      </c>
      <c r="FO236" s="591">
        <f t="shared" si="636"/>
        <v>0</v>
      </c>
      <c r="FP236" s="592">
        <f t="shared" si="636"/>
        <v>0</v>
      </c>
      <c r="FQ236" s="615"/>
      <c r="FR236" s="615"/>
    </row>
    <row r="237" spans="2:174" outlineLevel="1" x14ac:dyDescent="0.2"/>
    <row r="238" spans="2:174" outlineLevel="1" x14ac:dyDescent="0.2">
      <c r="B238" s="588" t="s">
        <v>627</v>
      </c>
    </row>
    <row r="239" spans="2:174" outlineLevel="1" x14ac:dyDescent="0.2">
      <c r="B239" s="325" t="s">
        <v>581</v>
      </c>
      <c r="C239" s="322" t="s">
        <v>617</v>
      </c>
      <c r="DP239" s="357"/>
      <c r="DR239" s="616">
        <v>1</v>
      </c>
      <c r="DS239" s="694">
        <f t="shared" ref="DS239:DS244" si="637">DR239</f>
        <v>1</v>
      </c>
      <c r="DU239" s="465">
        <v>1</v>
      </c>
      <c r="DV239" s="465">
        <v>1</v>
      </c>
      <c r="DW239" s="465">
        <v>1</v>
      </c>
      <c r="DX239" s="465">
        <v>1</v>
      </c>
      <c r="DY239" s="694">
        <f t="shared" ref="DY239:DY244" si="638">DX239</f>
        <v>1</v>
      </c>
      <c r="EA239" s="617">
        <v>1</v>
      </c>
      <c r="EB239" s="617">
        <v>0</v>
      </c>
      <c r="EC239" s="618">
        <v>0</v>
      </c>
      <c r="ED239" s="465">
        <v>0</v>
      </c>
      <c r="EE239" s="694">
        <f t="shared" ref="EE239:EE244" si="639">ED239</f>
        <v>0</v>
      </c>
      <c r="EG239" s="465">
        <v>0</v>
      </c>
      <c r="EH239" s="465">
        <v>0</v>
      </c>
      <c r="EI239" s="465">
        <v>0</v>
      </c>
      <c r="EJ239" s="465">
        <v>0</v>
      </c>
      <c r="EK239" s="450">
        <f t="shared" ref="EK239:EK244" si="640">EJ239</f>
        <v>0</v>
      </c>
      <c r="EL239" s="536">
        <v>0</v>
      </c>
      <c r="EN239" s="296" t="s">
        <v>636</v>
      </c>
      <c r="EO239" s="296"/>
      <c r="FK239" s="310">
        <f t="shared" ref="FK239:FK244" si="641">DS239</f>
        <v>1</v>
      </c>
      <c r="FL239" s="310">
        <f t="shared" ref="FL239:FL244" si="642">DY239</f>
        <v>1</v>
      </c>
      <c r="FM239" s="310">
        <f t="shared" ref="FM239:FM244" si="643">EE239</f>
        <v>0</v>
      </c>
      <c r="FN239" s="373">
        <f t="shared" ref="FN239:FO244" si="644">EK239</f>
        <v>0</v>
      </c>
      <c r="FO239" s="373">
        <f t="shared" si="644"/>
        <v>0</v>
      </c>
      <c r="FP239" s="536">
        <v>0</v>
      </c>
      <c r="FQ239" s="615"/>
      <c r="FR239" s="615"/>
    </row>
    <row r="240" spans="2:174" outlineLevel="1" x14ac:dyDescent="0.2">
      <c r="B240" s="325" t="s">
        <v>582</v>
      </c>
      <c r="C240" s="322" t="s">
        <v>617</v>
      </c>
      <c r="DP240" s="357"/>
      <c r="DR240" s="616">
        <v>1</v>
      </c>
      <c r="DS240" s="694">
        <f t="shared" si="637"/>
        <v>1</v>
      </c>
      <c r="DU240" s="465">
        <v>1</v>
      </c>
      <c r="DV240" s="465">
        <v>1</v>
      </c>
      <c r="DW240" s="465">
        <v>1</v>
      </c>
      <c r="DX240" s="465">
        <v>1</v>
      </c>
      <c r="DY240" s="694">
        <f t="shared" si="638"/>
        <v>1</v>
      </c>
      <c r="EA240" s="617">
        <v>1</v>
      </c>
      <c r="EB240" s="617">
        <v>1</v>
      </c>
      <c r="EC240" s="618">
        <v>1</v>
      </c>
      <c r="ED240" s="465">
        <v>0</v>
      </c>
      <c r="EE240" s="694">
        <f t="shared" si="639"/>
        <v>0</v>
      </c>
      <c r="EG240" s="465">
        <v>0</v>
      </c>
      <c r="EH240" s="465">
        <v>0</v>
      </c>
      <c r="EI240" s="465">
        <v>0</v>
      </c>
      <c r="EJ240" s="465">
        <v>0</v>
      </c>
      <c r="EK240" s="450">
        <f t="shared" si="640"/>
        <v>0</v>
      </c>
      <c r="EL240" s="536">
        <v>0</v>
      </c>
      <c r="EN240" s="296" t="s">
        <v>647</v>
      </c>
      <c r="EO240" s="296"/>
      <c r="FK240" s="310">
        <f t="shared" si="641"/>
        <v>1</v>
      </c>
      <c r="FL240" s="310">
        <f t="shared" si="642"/>
        <v>1</v>
      </c>
      <c r="FM240" s="310">
        <f t="shared" si="643"/>
        <v>0</v>
      </c>
      <c r="FN240" s="373">
        <f t="shared" si="644"/>
        <v>0</v>
      </c>
      <c r="FO240" s="373">
        <f t="shared" si="644"/>
        <v>0</v>
      </c>
      <c r="FP240" s="536">
        <v>0</v>
      </c>
      <c r="FQ240" s="615"/>
      <c r="FR240" s="615"/>
    </row>
    <row r="241" spans="2:174" outlineLevel="1" x14ac:dyDescent="0.2">
      <c r="B241" s="325" t="s">
        <v>583</v>
      </c>
      <c r="C241" s="322" t="s">
        <v>617</v>
      </c>
      <c r="DP241" s="357"/>
      <c r="DR241" s="616">
        <v>2</v>
      </c>
      <c r="DS241" s="694">
        <f t="shared" si="637"/>
        <v>2</v>
      </c>
      <c r="DU241" s="532">
        <v>2</v>
      </c>
      <c r="DV241" s="617">
        <v>2</v>
      </c>
      <c r="DW241" s="617">
        <v>2</v>
      </c>
      <c r="DX241" s="465">
        <v>0</v>
      </c>
      <c r="DY241" s="694">
        <f t="shared" si="638"/>
        <v>0</v>
      </c>
      <c r="EA241" s="465">
        <v>0</v>
      </c>
      <c r="EB241" s="465">
        <v>0</v>
      </c>
      <c r="EC241" s="465">
        <v>0</v>
      </c>
      <c r="ED241" s="465">
        <v>0</v>
      </c>
      <c r="EE241" s="694">
        <f t="shared" si="639"/>
        <v>0</v>
      </c>
      <c r="EG241" s="465">
        <v>0</v>
      </c>
      <c r="EH241" s="465">
        <v>0</v>
      </c>
      <c r="EI241" s="465">
        <v>0</v>
      </c>
      <c r="EJ241" s="465">
        <v>0</v>
      </c>
      <c r="EK241" s="450">
        <f t="shared" si="640"/>
        <v>0</v>
      </c>
      <c r="EL241" s="536">
        <v>0</v>
      </c>
      <c r="EN241" s="296" t="s">
        <v>622</v>
      </c>
      <c r="EO241" s="296"/>
      <c r="FK241" s="310">
        <f t="shared" si="641"/>
        <v>2</v>
      </c>
      <c r="FL241" s="310">
        <f t="shared" si="642"/>
        <v>0</v>
      </c>
      <c r="FM241" s="310">
        <f t="shared" si="643"/>
        <v>0</v>
      </c>
      <c r="FN241" s="373">
        <f t="shared" si="644"/>
        <v>0</v>
      </c>
      <c r="FO241" s="373">
        <f t="shared" si="644"/>
        <v>0</v>
      </c>
      <c r="FP241" s="536">
        <v>0</v>
      </c>
      <c r="FQ241" s="615"/>
      <c r="FR241" s="615"/>
    </row>
    <row r="242" spans="2:174" outlineLevel="1" x14ac:dyDescent="0.2">
      <c r="B242" s="325" t="s">
        <v>585</v>
      </c>
      <c r="C242" s="322" t="s">
        <v>617</v>
      </c>
      <c r="DP242" s="357"/>
      <c r="DR242" s="616">
        <v>1</v>
      </c>
      <c r="DS242" s="694">
        <f t="shared" si="637"/>
        <v>1</v>
      </c>
      <c r="DU242" s="465">
        <v>1</v>
      </c>
      <c r="DV242" s="465">
        <v>1</v>
      </c>
      <c r="DW242" s="465">
        <v>1</v>
      </c>
      <c r="DX242" s="465">
        <v>1</v>
      </c>
      <c r="DY242" s="694">
        <f t="shared" si="638"/>
        <v>1</v>
      </c>
      <c r="EA242" s="532">
        <v>1</v>
      </c>
      <c r="EB242" s="617">
        <v>1</v>
      </c>
      <c r="EC242" s="617">
        <v>1</v>
      </c>
      <c r="ED242" s="618">
        <v>0</v>
      </c>
      <c r="EE242" s="694">
        <f t="shared" si="639"/>
        <v>0</v>
      </c>
      <c r="EG242" s="465">
        <v>0</v>
      </c>
      <c r="EH242" s="465">
        <v>0</v>
      </c>
      <c r="EI242" s="465">
        <v>0</v>
      </c>
      <c r="EJ242" s="465">
        <v>0</v>
      </c>
      <c r="EK242" s="450">
        <f t="shared" si="640"/>
        <v>0</v>
      </c>
      <c r="EL242" s="536">
        <v>0</v>
      </c>
      <c r="EN242" s="296" t="s">
        <v>621</v>
      </c>
      <c r="EO242" s="296"/>
      <c r="FK242" s="310">
        <f t="shared" si="641"/>
        <v>1</v>
      </c>
      <c r="FL242" s="310">
        <f t="shared" si="642"/>
        <v>1</v>
      </c>
      <c r="FM242" s="310">
        <f t="shared" si="643"/>
        <v>0</v>
      </c>
      <c r="FN242" s="373">
        <f t="shared" si="644"/>
        <v>0</v>
      </c>
      <c r="FO242" s="373">
        <f t="shared" si="644"/>
        <v>0</v>
      </c>
      <c r="FP242" s="536">
        <v>0</v>
      </c>
      <c r="FQ242" s="615"/>
      <c r="FR242" s="615"/>
    </row>
    <row r="243" spans="2:174" outlineLevel="1" x14ac:dyDescent="0.2">
      <c r="B243" s="325" t="s">
        <v>584</v>
      </c>
      <c r="C243" s="322" t="s">
        <v>617</v>
      </c>
      <c r="DP243" s="357"/>
      <c r="DR243" s="616">
        <v>1</v>
      </c>
      <c r="DS243" s="694">
        <f t="shared" si="637"/>
        <v>1</v>
      </c>
      <c r="DU243" s="465">
        <v>1</v>
      </c>
      <c r="DV243" s="465">
        <v>1</v>
      </c>
      <c r="DW243" s="465">
        <v>1</v>
      </c>
      <c r="DX243" s="465">
        <v>1</v>
      </c>
      <c r="DY243" s="694">
        <f t="shared" si="638"/>
        <v>1</v>
      </c>
      <c r="EA243" s="532">
        <v>1</v>
      </c>
      <c r="EB243" s="617">
        <v>1</v>
      </c>
      <c r="EC243" s="617">
        <v>1</v>
      </c>
      <c r="ED243" s="618">
        <v>0</v>
      </c>
      <c r="EE243" s="694">
        <f t="shared" si="639"/>
        <v>0</v>
      </c>
      <c r="EG243" s="465">
        <v>0</v>
      </c>
      <c r="EH243" s="465">
        <v>0</v>
      </c>
      <c r="EI243" s="465">
        <v>0</v>
      </c>
      <c r="EJ243" s="465">
        <v>0</v>
      </c>
      <c r="EK243" s="450">
        <f t="shared" si="640"/>
        <v>0</v>
      </c>
      <c r="EL243" s="536">
        <v>0</v>
      </c>
      <c r="EN243" s="296" t="s">
        <v>621</v>
      </c>
      <c r="EO243" s="296"/>
      <c r="FK243" s="310">
        <f t="shared" si="641"/>
        <v>1</v>
      </c>
      <c r="FL243" s="310">
        <f t="shared" si="642"/>
        <v>1</v>
      </c>
      <c r="FM243" s="310">
        <f t="shared" si="643"/>
        <v>0</v>
      </c>
      <c r="FN243" s="373">
        <f t="shared" si="644"/>
        <v>0</v>
      </c>
      <c r="FO243" s="373">
        <f t="shared" si="644"/>
        <v>0</v>
      </c>
      <c r="FP243" s="536">
        <v>0</v>
      </c>
      <c r="FQ243" s="615"/>
      <c r="FR243" s="615"/>
    </row>
    <row r="244" spans="2:174" outlineLevel="1" x14ac:dyDescent="0.2">
      <c r="B244" s="381" t="s">
        <v>164</v>
      </c>
      <c r="C244" s="350" t="s">
        <v>617</v>
      </c>
      <c r="D244" s="382"/>
      <c r="E244" s="382"/>
      <c r="F244" s="382"/>
      <c r="G244" s="382"/>
      <c r="H244" s="382"/>
      <c r="I244" s="382"/>
      <c r="J244" s="382"/>
      <c r="K244" s="382"/>
      <c r="L244" s="382"/>
      <c r="M244" s="382"/>
      <c r="N244" s="382"/>
      <c r="O244" s="382"/>
      <c r="P244" s="382"/>
      <c r="Q244" s="382"/>
      <c r="R244" s="382"/>
      <c r="S244" s="382"/>
      <c r="T244" s="382"/>
      <c r="U244" s="382"/>
      <c r="V244" s="382"/>
      <c r="W244" s="382"/>
      <c r="X244" s="382"/>
      <c r="Y244" s="382"/>
      <c r="Z244" s="382"/>
      <c r="AA244" s="382"/>
      <c r="AB244" s="382"/>
      <c r="AC244" s="382"/>
      <c r="AD244" s="382"/>
      <c r="AE244" s="382"/>
      <c r="AF244" s="382"/>
      <c r="AG244" s="382"/>
      <c r="AH244" s="382"/>
      <c r="AI244" s="382"/>
      <c r="AJ244" s="382"/>
      <c r="AK244" s="382"/>
      <c r="AL244" s="382"/>
      <c r="AM244" s="382"/>
      <c r="AN244" s="382"/>
      <c r="AO244" s="382"/>
      <c r="AP244" s="382"/>
      <c r="AQ244" s="382"/>
      <c r="AR244" s="382"/>
      <c r="AS244" s="382"/>
      <c r="AT244" s="382"/>
      <c r="AU244" s="382"/>
      <c r="AV244" s="382"/>
      <c r="AW244" s="382"/>
      <c r="AX244" s="382"/>
      <c r="AY244" s="382"/>
      <c r="AZ244" s="382"/>
      <c r="BA244" s="382"/>
      <c r="BB244" s="382"/>
      <c r="BC244" s="382"/>
      <c r="BD244" s="382"/>
      <c r="BE244" s="382"/>
      <c r="BF244" s="382"/>
      <c r="BG244" s="382"/>
      <c r="BH244" s="382"/>
      <c r="BI244" s="382"/>
      <c r="BJ244" s="382"/>
      <c r="BK244" s="382"/>
      <c r="BL244" s="382"/>
      <c r="BM244" s="382"/>
      <c r="BN244" s="382"/>
      <c r="BO244" s="382"/>
      <c r="BP244" s="382"/>
      <c r="BQ244" s="382"/>
      <c r="BR244" s="382"/>
      <c r="BS244" s="382"/>
      <c r="BT244" s="382"/>
      <c r="BU244" s="382"/>
      <c r="BV244" s="382"/>
      <c r="BW244" s="382"/>
      <c r="BX244" s="382"/>
      <c r="BY244" s="382"/>
      <c r="BZ244" s="382"/>
      <c r="CA244" s="382"/>
      <c r="CB244" s="382"/>
      <c r="CC244" s="382"/>
      <c r="CD244" s="382"/>
      <c r="CE244" s="382"/>
      <c r="CF244" s="382"/>
      <c r="CG244" s="382"/>
      <c r="CH244" s="382"/>
      <c r="CI244" s="382"/>
      <c r="CJ244" s="382"/>
      <c r="CK244" s="382"/>
      <c r="CL244" s="382"/>
      <c r="CM244" s="382"/>
      <c r="CN244" s="382"/>
      <c r="CO244" s="382"/>
      <c r="CP244" s="382"/>
      <c r="CQ244" s="382"/>
      <c r="CR244" s="382"/>
      <c r="CS244" s="382"/>
      <c r="CT244" s="382"/>
      <c r="CU244" s="382"/>
      <c r="CV244" s="382"/>
      <c r="CW244" s="382"/>
      <c r="CX244" s="382"/>
      <c r="CY244" s="382"/>
      <c r="CZ244" s="382"/>
      <c r="DA244" s="690"/>
      <c r="DC244" s="382"/>
      <c r="DD244" s="382"/>
      <c r="DE244" s="382"/>
      <c r="DF244" s="382"/>
      <c r="DG244" s="677"/>
      <c r="DI244" s="382"/>
      <c r="DJ244" s="382"/>
      <c r="DK244" s="382"/>
      <c r="DL244" s="382"/>
      <c r="DM244" s="677"/>
      <c r="DO244" s="382"/>
      <c r="DP244" s="382"/>
      <c r="DQ244" s="382"/>
      <c r="DR244" s="619">
        <v>1</v>
      </c>
      <c r="DS244" s="745">
        <f t="shared" si="637"/>
        <v>1</v>
      </c>
      <c r="DU244" s="620">
        <v>1</v>
      </c>
      <c r="DV244" s="620">
        <v>1</v>
      </c>
      <c r="DW244" s="620">
        <v>1</v>
      </c>
      <c r="DX244" s="620">
        <v>1</v>
      </c>
      <c r="DY244" s="745">
        <f t="shared" si="638"/>
        <v>1</v>
      </c>
      <c r="EA244" s="602">
        <v>1</v>
      </c>
      <c r="EB244" s="723">
        <v>1</v>
      </c>
      <c r="EC244" s="723">
        <v>1</v>
      </c>
      <c r="ED244" s="724">
        <v>0</v>
      </c>
      <c r="EE244" s="745">
        <f t="shared" si="639"/>
        <v>0</v>
      </c>
      <c r="EG244" s="620">
        <v>0</v>
      </c>
      <c r="EH244" s="620">
        <v>0</v>
      </c>
      <c r="EI244" s="620">
        <v>0</v>
      </c>
      <c r="EJ244" s="620">
        <v>0</v>
      </c>
      <c r="EK244" s="483">
        <f t="shared" si="640"/>
        <v>0</v>
      </c>
      <c r="EL244" s="725">
        <v>0</v>
      </c>
      <c r="EN244" s="296" t="s">
        <v>621</v>
      </c>
      <c r="EO244" s="296"/>
      <c r="FK244" s="310">
        <f t="shared" si="641"/>
        <v>1</v>
      </c>
      <c r="FL244" s="310">
        <f t="shared" si="642"/>
        <v>1</v>
      </c>
      <c r="FM244" s="310">
        <f t="shared" si="643"/>
        <v>0</v>
      </c>
      <c r="FN244" s="373">
        <f t="shared" si="644"/>
        <v>0</v>
      </c>
      <c r="FO244" s="373">
        <f t="shared" si="644"/>
        <v>0</v>
      </c>
      <c r="FP244" s="536">
        <v>0</v>
      </c>
      <c r="FQ244" s="615"/>
      <c r="FR244" s="615"/>
    </row>
    <row r="245" spans="2:174" ht="12" outlineLevel="1" x14ac:dyDescent="0.25">
      <c r="B245" s="444" t="s">
        <v>249</v>
      </c>
      <c r="C245" s="322" t="s">
        <v>617</v>
      </c>
      <c r="DG245" s="311"/>
      <c r="DR245" s="571">
        <f>SUM(DR239:DR244)</f>
        <v>7</v>
      </c>
      <c r="DS245" s="743">
        <f>SUM(DS239:DS244)</f>
        <v>7</v>
      </c>
      <c r="DU245" s="571">
        <f>SUM(DU239:DU244)</f>
        <v>7</v>
      </c>
      <c r="DV245" s="571">
        <f>SUM(DV239:DV244)</f>
        <v>7</v>
      </c>
      <c r="DW245" s="571">
        <f>SUM(DW239:DW244)</f>
        <v>7</v>
      </c>
      <c r="DX245" s="571">
        <f>SUM(DX239:DX244)</f>
        <v>5</v>
      </c>
      <c r="DY245" s="743">
        <f>SUM(DY239:DY244)</f>
        <v>5</v>
      </c>
      <c r="EA245" s="571">
        <f>SUM(EA239:EA244)</f>
        <v>5</v>
      </c>
      <c r="EB245" s="571">
        <f>SUM(EB239:EB244)</f>
        <v>4</v>
      </c>
      <c r="EC245" s="571">
        <f>SUM(EC239:EC244)</f>
        <v>4</v>
      </c>
      <c r="ED245" s="571">
        <f>SUM(ED239:ED244)</f>
        <v>0</v>
      </c>
      <c r="EE245" s="743">
        <f>SUM(EE239:EE244)</f>
        <v>0</v>
      </c>
      <c r="EG245" s="571">
        <f t="shared" ref="EG245:EL245" si="645">SUM(EG239:EG244)</f>
        <v>0</v>
      </c>
      <c r="EH245" s="571">
        <f t="shared" si="645"/>
        <v>0</v>
      </c>
      <c r="EI245" s="571">
        <f t="shared" si="645"/>
        <v>0</v>
      </c>
      <c r="EJ245" s="571">
        <f t="shared" si="645"/>
        <v>0</v>
      </c>
      <c r="EK245" s="569">
        <f t="shared" si="645"/>
        <v>0</v>
      </c>
      <c r="EL245" s="569">
        <f t="shared" si="645"/>
        <v>0</v>
      </c>
      <c r="EN245" s="296"/>
      <c r="EO245" s="296"/>
      <c r="FK245" s="591">
        <f t="shared" ref="FK245:FP245" si="646">SUM(FK239:FK244)</f>
        <v>7</v>
      </c>
      <c r="FL245" s="591">
        <f t="shared" si="646"/>
        <v>5</v>
      </c>
      <c r="FM245" s="591">
        <f t="shared" si="646"/>
        <v>0</v>
      </c>
      <c r="FN245" s="591">
        <f t="shared" si="646"/>
        <v>0</v>
      </c>
      <c r="FO245" s="591">
        <f t="shared" si="646"/>
        <v>0</v>
      </c>
      <c r="FP245" s="592">
        <f t="shared" si="646"/>
        <v>0</v>
      </c>
      <c r="FQ245" s="615"/>
      <c r="FR245" s="615"/>
    </row>
    <row r="246" spans="2:174" outlineLevel="1" x14ac:dyDescent="0.2">
      <c r="EN246" s="296"/>
      <c r="EO246" s="296"/>
    </row>
    <row r="247" spans="2:174" outlineLevel="1" x14ac:dyDescent="0.2">
      <c r="B247" s="588" t="s">
        <v>630</v>
      </c>
      <c r="EN247" s="296"/>
      <c r="EO247" s="296"/>
    </row>
    <row r="248" spans="2:174" outlineLevel="1" x14ac:dyDescent="0.2">
      <c r="B248" s="311" t="s">
        <v>581</v>
      </c>
      <c r="C248" s="322"/>
      <c r="DR248" s="310">
        <f t="shared" ref="DR248:DR253" si="647">DR$256*DR239</f>
        <v>250</v>
      </c>
      <c r="DS248" s="694">
        <f t="shared" ref="DS248:DS253" si="648">DR248</f>
        <v>250</v>
      </c>
      <c r="DU248" s="310">
        <f t="shared" ref="DU248:DX253" si="649">DU$256*DU239</f>
        <v>250</v>
      </c>
      <c r="DV248" s="310">
        <f t="shared" si="649"/>
        <v>250</v>
      </c>
      <c r="DW248" s="310">
        <f t="shared" si="649"/>
        <v>250</v>
      </c>
      <c r="DX248" s="310">
        <f t="shared" si="649"/>
        <v>250</v>
      </c>
      <c r="DY248" s="694">
        <f t="shared" ref="DY248:DY253" si="650">DX248</f>
        <v>250</v>
      </c>
      <c r="EA248" s="310">
        <f t="shared" ref="EA248:ED253" si="651">EA$256*EA239</f>
        <v>250</v>
      </c>
      <c r="EB248" s="310">
        <f t="shared" si="651"/>
        <v>0</v>
      </c>
      <c r="EC248" s="310">
        <f t="shared" si="651"/>
        <v>0</v>
      </c>
      <c r="ED248" s="310">
        <f t="shared" si="651"/>
        <v>0</v>
      </c>
      <c r="EE248" s="694">
        <f t="shared" ref="EE248:EE253" si="652">ED248</f>
        <v>0</v>
      </c>
      <c r="EG248" s="310">
        <f t="shared" ref="EG248:EJ253" si="653">EG$256*EG239</f>
        <v>0</v>
      </c>
      <c r="EH248" s="310">
        <f t="shared" si="653"/>
        <v>0</v>
      </c>
      <c r="EI248" s="310">
        <f t="shared" si="653"/>
        <v>0</v>
      </c>
      <c r="EJ248" s="310">
        <f t="shared" si="653"/>
        <v>0</v>
      </c>
      <c r="EK248" s="450">
        <f t="shared" ref="EK248:EK253" si="654">EJ248</f>
        <v>0</v>
      </c>
      <c r="EL248" s="450">
        <f t="shared" ref="EL248:EL253" si="655">EL$256*EL239</f>
        <v>0</v>
      </c>
      <c r="EN248" s="296"/>
      <c r="EO248" s="296"/>
      <c r="FK248" s="310">
        <f t="shared" ref="FK248:FK253" si="656">DS248</f>
        <v>250</v>
      </c>
      <c r="FL248" s="310">
        <f t="shared" ref="FL248:FL253" si="657">DY248</f>
        <v>250</v>
      </c>
      <c r="FM248" s="310">
        <f t="shared" ref="FM248:FM253" si="658">EE248</f>
        <v>0</v>
      </c>
      <c r="FN248" s="373">
        <f t="shared" ref="FN248:FO253" si="659">EK248</f>
        <v>0</v>
      </c>
      <c r="FO248" s="373">
        <f t="shared" si="659"/>
        <v>0</v>
      </c>
      <c r="FP248" s="450">
        <f t="shared" ref="FP248:FP253" si="660">FP$256*FP239</f>
        <v>0</v>
      </c>
      <c r="FQ248" s="615"/>
      <c r="FR248" s="615"/>
    </row>
    <row r="249" spans="2:174" outlineLevel="1" x14ac:dyDescent="0.2">
      <c r="B249" s="311" t="s">
        <v>582</v>
      </c>
      <c r="C249" s="322"/>
      <c r="DR249" s="310">
        <f t="shared" si="647"/>
        <v>250</v>
      </c>
      <c r="DS249" s="694">
        <f t="shared" si="648"/>
        <v>250</v>
      </c>
      <c r="DU249" s="310">
        <f t="shared" si="649"/>
        <v>250</v>
      </c>
      <c r="DV249" s="310">
        <f t="shared" si="649"/>
        <v>250</v>
      </c>
      <c r="DW249" s="310">
        <f t="shared" si="649"/>
        <v>250</v>
      </c>
      <c r="DX249" s="310">
        <f t="shared" si="649"/>
        <v>250</v>
      </c>
      <c r="DY249" s="694">
        <f t="shared" si="650"/>
        <v>250</v>
      </c>
      <c r="EA249" s="310">
        <f t="shared" si="651"/>
        <v>250</v>
      </c>
      <c r="EB249" s="310">
        <f t="shared" si="651"/>
        <v>250</v>
      </c>
      <c r="EC249" s="310">
        <f t="shared" si="651"/>
        <v>250</v>
      </c>
      <c r="ED249" s="310">
        <f t="shared" si="651"/>
        <v>0</v>
      </c>
      <c r="EE249" s="694">
        <f t="shared" si="652"/>
        <v>0</v>
      </c>
      <c r="EG249" s="310">
        <f t="shared" si="653"/>
        <v>0</v>
      </c>
      <c r="EH249" s="310">
        <f t="shared" si="653"/>
        <v>0</v>
      </c>
      <c r="EI249" s="310">
        <f t="shared" si="653"/>
        <v>0</v>
      </c>
      <c r="EJ249" s="310">
        <f t="shared" si="653"/>
        <v>0</v>
      </c>
      <c r="EK249" s="450">
        <f t="shared" si="654"/>
        <v>0</v>
      </c>
      <c r="EL249" s="450">
        <f t="shared" si="655"/>
        <v>0</v>
      </c>
      <c r="EN249" s="296"/>
      <c r="EO249" s="296"/>
      <c r="FK249" s="310">
        <f t="shared" si="656"/>
        <v>250</v>
      </c>
      <c r="FL249" s="310">
        <f t="shared" si="657"/>
        <v>250</v>
      </c>
      <c r="FM249" s="310">
        <f t="shared" si="658"/>
        <v>0</v>
      </c>
      <c r="FN249" s="373">
        <f t="shared" si="659"/>
        <v>0</v>
      </c>
      <c r="FO249" s="373">
        <f t="shared" si="659"/>
        <v>0</v>
      </c>
      <c r="FP249" s="450">
        <f t="shared" si="660"/>
        <v>0</v>
      </c>
      <c r="FQ249" s="615"/>
      <c r="FR249" s="615"/>
    </row>
    <row r="250" spans="2:174" outlineLevel="1" x14ac:dyDescent="0.2">
      <c r="B250" s="311" t="s">
        <v>583</v>
      </c>
      <c r="C250" s="322"/>
      <c r="DR250" s="310">
        <f t="shared" si="647"/>
        <v>500</v>
      </c>
      <c r="DS250" s="694">
        <f t="shared" si="648"/>
        <v>500</v>
      </c>
      <c r="DU250" s="310">
        <f t="shared" si="649"/>
        <v>500</v>
      </c>
      <c r="DV250" s="310">
        <f t="shared" si="649"/>
        <v>500</v>
      </c>
      <c r="DW250" s="310">
        <f t="shared" si="649"/>
        <v>500</v>
      </c>
      <c r="DX250" s="310">
        <f t="shared" si="649"/>
        <v>0</v>
      </c>
      <c r="DY250" s="694">
        <f t="shared" si="650"/>
        <v>0</v>
      </c>
      <c r="EA250" s="310">
        <f t="shared" si="651"/>
        <v>0</v>
      </c>
      <c r="EB250" s="310">
        <f t="shared" si="651"/>
        <v>0</v>
      </c>
      <c r="EC250" s="310">
        <f t="shared" si="651"/>
        <v>0</v>
      </c>
      <c r="ED250" s="310">
        <f t="shared" si="651"/>
        <v>0</v>
      </c>
      <c r="EE250" s="694">
        <f t="shared" si="652"/>
        <v>0</v>
      </c>
      <c r="EG250" s="310">
        <f t="shared" si="653"/>
        <v>0</v>
      </c>
      <c r="EH250" s="310">
        <f t="shared" si="653"/>
        <v>0</v>
      </c>
      <c r="EI250" s="310">
        <f t="shared" si="653"/>
        <v>0</v>
      </c>
      <c r="EJ250" s="310">
        <f t="shared" si="653"/>
        <v>0</v>
      </c>
      <c r="EK250" s="450">
        <f t="shared" si="654"/>
        <v>0</v>
      </c>
      <c r="EL250" s="450">
        <f t="shared" si="655"/>
        <v>0</v>
      </c>
      <c r="EN250" s="296"/>
      <c r="EO250" s="296"/>
      <c r="FK250" s="310">
        <f t="shared" si="656"/>
        <v>500</v>
      </c>
      <c r="FL250" s="310">
        <f t="shared" si="657"/>
        <v>0</v>
      </c>
      <c r="FM250" s="310">
        <f t="shared" si="658"/>
        <v>0</v>
      </c>
      <c r="FN250" s="373">
        <f t="shared" si="659"/>
        <v>0</v>
      </c>
      <c r="FO250" s="373">
        <f t="shared" si="659"/>
        <v>0</v>
      </c>
      <c r="FP250" s="450">
        <f t="shared" si="660"/>
        <v>0</v>
      </c>
      <c r="FQ250" s="615"/>
      <c r="FR250" s="615"/>
    </row>
    <row r="251" spans="2:174" outlineLevel="1" x14ac:dyDescent="0.2">
      <c r="B251" s="311" t="s">
        <v>585</v>
      </c>
      <c r="C251" s="322"/>
      <c r="DR251" s="310">
        <f t="shared" si="647"/>
        <v>250</v>
      </c>
      <c r="DS251" s="694">
        <f t="shared" si="648"/>
        <v>250</v>
      </c>
      <c r="DU251" s="310">
        <f t="shared" si="649"/>
        <v>250</v>
      </c>
      <c r="DV251" s="310">
        <f t="shared" si="649"/>
        <v>250</v>
      </c>
      <c r="DW251" s="310">
        <f t="shared" si="649"/>
        <v>250</v>
      </c>
      <c r="DX251" s="310">
        <f t="shared" si="649"/>
        <v>250</v>
      </c>
      <c r="DY251" s="694">
        <f t="shared" si="650"/>
        <v>250</v>
      </c>
      <c r="EA251" s="310">
        <f t="shared" si="651"/>
        <v>250</v>
      </c>
      <c r="EB251" s="310">
        <f t="shared" si="651"/>
        <v>250</v>
      </c>
      <c r="EC251" s="310">
        <f t="shared" si="651"/>
        <v>250</v>
      </c>
      <c r="ED251" s="310">
        <f t="shared" si="651"/>
        <v>0</v>
      </c>
      <c r="EE251" s="694">
        <f t="shared" si="652"/>
        <v>0</v>
      </c>
      <c r="EG251" s="310">
        <f t="shared" si="653"/>
        <v>0</v>
      </c>
      <c r="EH251" s="310">
        <f t="shared" si="653"/>
        <v>0</v>
      </c>
      <c r="EI251" s="310">
        <f t="shared" si="653"/>
        <v>0</v>
      </c>
      <c r="EJ251" s="310">
        <f t="shared" si="653"/>
        <v>0</v>
      </c>
      <c r="EK251" s="450">
        <f t="shared" si="654"/>
        <v>0</v>
      </c>
      <c r="EL251" s="450">
        <f t="shared" si="655"/>
        <v>0</v>
      </c>
      <c r="FK251" s="310">
        <f t="shared" si="656"/>
        <v>250</v>
      </c>
      <c r="FL251" s="310">
        <f t="shared" si="657"/>
        <v>250</v>
      </c>
      <c r="FM251" s="310">
        <f t="shared" si="658"/>
        <v>0</v>
      </c>
      <c r="FN251" s="373">
        <f t="shared" si="659"/>
        <v>0</v>
      </c>
      <c r="FO251" s="373">
        <f t="shared" si="659"/>
        <v>0</v>
      </c>
      <c r="FP251" s="450">
        <f t="shared" si="660"/>
        <v>0</v>
      </c>
      <c r="FQ251" s="615"/>
      <c r="FR251" s="615"/>
    </row>
    <row r="252" spans="2:174" outlineLevel="1" x14ac:dyDescent="0.2">
      <c r="B252" s="311" t="s">
        <v>584</v>
      </c>
      <c r="C252" s="322"/>
      <c r="DR252" s="310">
        <f t="shared" si="647"/>
        <v>250</v>
      </c>
      <c r="DS252" s="694">
        <f t="shared" si="648"/>
        <v>250</v>
      </c>
      <c r="DU252" s="310">
        <f t="shared" si="649"/>
        <v>250</v>
      </c>
      <c r="DV252" s="310">
        <f t="shared" si="649"/>
        <v>250</v>
      </c>
      <c r="DW252" s="310">
        <f t="shared" si="649"/>
        <v>250</v>
      </c>
      <c r="DX252" s="310">
        <f t="shared" si="649"/>
        <v>250</v>
      </c>
      <c r="DY252" s="694">
        <f t="shared" si="650"/>
        <v>250</v>
      </c>
      <c r="EA252" s="310">
        <f t="shared" si="651"/>
        <v>250</v>
      </c>
      <c r="EB252" s="310">
        <f t="shared" si="651"/>
        <v>250</v>
      </c>
      <c r="EC252" s="310">
        <f t="shared" si="651"/>
        <v>250</v>
      </c>
      <c r="ED252" s="310">
        <f t="shared" si="651"/>
        <v>0</v>
      </c>
      <c r="EE252" s="694">
        <f t="shared" si="652"/>
        <v>0</v>
      </c>
      <c r="EG252" s="310">
        <f t="shared" si="653"/>
        <v>0</v>
      </c>
      <c r="EH252" s="310">
        <f t="shared" si="653"/>
        <v>0</v>
      </c>
      <c r="EI252" s="310">
        <f t="shared" si="653"/>
        <v>0</v>
      </c>
      <c r="EJ252" s="310">
        <f t="shared" si="653"/>
        <v>0</v>
      </c>
      <c r="EK252" s="450">
        <f t="shared" si="654"/>
        <v>0</v>
      </c>
      <c r="EL252" s="450">
        <f t="shared" si="655"/>
        <v>0</v>
      </c>
      <c r="FK252" s="310">
        <f t="shared" si="656"/>
        <v>250</v>
      </c>
      <c r="FL252" s="310">
        <f t="shared" si="657"/>
        <v>250</v>
      </c>
      <c r="FM252" s="310">
        <f t="shared" si="658"/>
        <v>0</v>
      </c>
      <c r="FN252" s="373">
        <f t="shared" si="659"/>
        <v>0</v>
      </c>
      <c r="FO252" s="373">
        <f t="shared" si="659"/>
        <v>0</v>
      </c>
      <c r="FP252" s="450">
        <f t="shared" si="660"/>
        <v>0</v>
      </c>
      <c r="FQ252" s="615"/>
      <c r="FR252" s="615"/>
    </row>
    <row r="253" spans="2:174" outlineLevel="1" x14ac:dyDescent="0.2">
      <c r="B253" s="311" t="s">
        <v>164</v>
      </c>
      <c r="C253" s="322"/>
      <c r="DR253" s="310">
        <f t="shared" si="647"/>
        <v>250</v>
      </c>
      <c r="DS253" s="694">
        <f t="shared" si="648"/>
        <v>250</v>
      </c>
      <c r="DU253" s="310">
        <f t="shared" si="649"/>
        <v>250</v>
      </c>
      <c r="DV253" s="310">
        <f t="shared" si="649"/>
        <v>250</v>
      </c>
      <c r="DW253" s="310">
        <f t="shared" si="649"/>
        <v>250</v>
      </c>
      <c r="DX253" s="310">
        <f t="shared" si="649"/>
        <v>250</v>
      </c>
      <c r="DY253" s="694">
        <f t="shared" si="650"/>
        <v>250</v>
      </c>
      <c r="EA253" s="310">
        <f t="shared" si="651"/>
        <v>250</v>
      </c>
      <c r="EB253" s="310">
        <f t="shared" si="651"/>
        <v>250</v>
      </c>
      <c r="EC253" s="310">
        <f t="shared" si="651"/>
        <v>250</v>
      </c>
      <c r="ED253" s="310">
        <f t="shared" si="651"/>
        <v>0</v>
      </c>
      <c r="EE253" s="694">
        <f t="shared" si="652"/>
        <v>0</v>
      </c>
      <c r="EG253" s="310">
        <f t="shared" si="653"/>
        <v>0</v>
      </c>
      <c r="EH253" s="310">
        <f t="shared" si="653"/>
        <v>0</v>
      </c>
      <c r="EI253" s="310">
        <f t="shared" si="653"/>
        <v>0</v>
      </c>
      <c r="EJ253" s="310">
        <f t="shared" si="653"/>
        <v>0</v>
      </c>
      <c r="EK253" s="450">
        <f t="shared" si="654"/>
        <v>0</v>
      </c>
      <c r="EL253" s="450">
        <f t="shared" si="655"/>
        <v>0</v>
      </c>
      <c r="FK253" s="310">
        <f t="shared" si="656"/>
        <v>250</v>
      </c>
      <c r="FL253" s="310">
        <f t="shared" si="657"/>
        <v>250</v>
      </c>
      <c r="FM253" s="310">
        <f t="shared" si="658"/>
        <v>0</v>
      </c>
      <c r="FN253" s="373">
        <f t="shared" si="659"/>
        <v>0</v>
      </c>
      <c r="FO253" s="373">
        <f t="shared" si="659"/>
        <v>0</v>
      </c>
      <c r="FP253" s="450">
        <f t="shared" si="660"/>
        <v>0</v>
      </c>
      <c r="FQ253" s="615"/>
      <c r="FR253" s="615"/>
    </row>
    <row r="254" spans="2:174" ht="12" outlineLevel="1" x14ac:dyDescent="0.25">
      <c r="B254" s="590" t="s">
        <v>249</v>
      </c>
      <c r="C254" s="351"/>
      <c r="DR254" s="591">
        <f>SUM(DR248:DR253)</f>
        <v>1750</v>
      </c>
      <c r="DS254" s="747">
        <f>SUM(DS248:DS253)</f>
        <v>1750</v>
      </c>
      <c r="DU254" s="591">
        <f>SUM(DU248:DU253)</f>
        <v>1750</v>
      </c>
      <c r="DV254" s="591">
        <f>SUM(DV248:DV253)</f>
        <v>1750</v>
      </c>
      <c r="DW254" s="591">
        <f>SUM(DW248:DW253)</f>
        <v>1750</v>
      </c>
      <c r="DX254" s="591">
        <f>SUM(DX248:DX253)</f>
        <v>1250</v>
      </c>
      <c r="DY254" s="747">
        <f>SUM(DY248:DY253)</f>
        <v>1250</v>
      </c>
      <c r="EA254" s="591">
        <f>SUM(EA248:EA253)</f>
        <v>1250</v>
      </c>
      <c r="EB254" s="591">
        <f>SUM(EB248:EB253)</f>
        <v>1000</v>
      </c>
      <c r="EC254" s="591">
        <f>SUM(EC248:EC253)</f>
        <v>1000</v>
      </c>
      <c r="ED254" s="591">
        <f>SUM(ED248:ED253)</f>
        <v>0</v>
      </c>
      <c r="EE254" s="747">
        <f>SUM(EE248:EE253)</f>
        <v>0</v>
      </c>
      <c r="EG254" s="591">
        <f t="shared" ref="EG254:EL254" si="661">SUM(EG248:EG253)</f>
        <v>0</v>
      </c>
      <c r="EH254" s="591">
        <f t="shared" si="661"/>
        <v>0</v>
      </c>
      <c r="EI254" s="591">
        <f t="shared" si="661"/>
        <v>0</v>
      </c>
      <c r="EJ254" s="591">
        <f t="shared" si="661"/>
        <v>0</v>
      </c>
      <c r="EK254" s="592">
        <f t="shared" si="661"/>
        <v>0</v>
      </c>
      <c r="EL254" s="592">
        <f t="shared" si="661"/>
        <v>0</v>
      </c>
      <c r="FK254" s="591">
        <f t="shared" ref="FK254:FP254" si="662">SUM(FK248:FK253)</f>
        <v>1750</v>
      </c>
      <c r="FL254" s="591">
        <f t="shared" si="662"/>
        <v>1250</v>
      </c>
      <c r="FM254" s="591">
        <f t="shared" si="662"/>
        <v>0</v>
      </c>
      <c r="FN254" s="591">
        <f t="shared" si="662"/>
        <v>0</v>
      </c>
      <c r="FO254" s="591">
        <f t="shared" si="662"/>
        <v>0</v>
      </c>
      <c r="FP254" s="592">
        <f t="shared" si="662"/>
        <v>0</v>
      </c>
      <c r="FQ254" s="615"/>
      <c r="FR254" s="615"/>
    </row>
    <row r="255" spans="2:174" outlineLevel="1" x14ac:dyDescent="0.2"/>
    <row r="256" spans="2:174" ht="12" outlineLevel="1" x14ac:dyDescent="0.25">
      <c r="B256" s="444" t="s">
        <v>633</v>
      </c>
      <c r="C256" s="465"/>
      <c r="DR256" s="621">
        <v>250</v>
      </c>
      <c r="DS256" s="749"/>
      <c r="DT256" s="744"/>
      <c r="DU256" s="621">
        <v>250</v>
      </c>
      <c r="DV256" s="621">
        <v>250</v>
      </c>
      <c r="DW256" s="621">
        <v>250</v>
      </c>
      <c r="DX256" s="621">
        <v>250</v>
      </c>
      <c r="DY256" s="749"/>
      <c r="DZ256" s="744"/>
      <c r="EA256" s="621">
        <v>250</v>
      </c>
      <c r="EB256" s="621">
        <v>250</v>
      </c>
      <c r="EC256" s="621">
        <v>250</v>
      </c>
      <c r="ED256" s="621">
        <v>250</v>
      </c>
      <c r="EE256" s="749"/>
      <c r="EG256" s="621">
        <v>250</v>
      </c>
      <c r="EH256" s="621">
        <v>250</v>
      </c>
      <c r="EI256" s="621">
        <v>250</v>
      </c>
      <c r="EJ256" s="621">
        <v>250</v>
      </c>
      <c r="EK256" s="607"/>
      <c r="EL256" s="622">
        <v>250</v>
      </c>
      <c r="FP256" s="622">
        <v>250</v>
      </c>
    </row>
    <row r="257" spans="2:174" outlineLevel="1" x14ac:dyDescent="0.2">
      <c r="EN257" s="296"/>
      <c r="EO257" s="296"/>
    </row>
    <row r="258" spans="2:174" x14ac:dyDescent="0.2">
      <c r="EN258" s="296"/>
      <c r="EO258" s="296"/>
      <c r="FP258" s="311"/>
    </row>
    <row r="259" spans="2:174" ht="12" x14ac:dyDescent="0.25">
      <c r="B259" s="441" t="s">
        <v>615</v>
      </c>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c r="AA259" s="92"/>
      <c r="AB259" s="92"/>
      <c r="AC259" s="92"/>
      <c r="AD259" s="92"/>
      <c r="AE259" s="92"/>
      <c r="AF259" s="92"/>
      <c r="AG259" s="92"/>
      <c r="AH259" s="92"/>
      <c r="AI259" s="92"/>
      <c r="AJ259" s="92"/>
      <c r="AK259" s="92"/>
      <c r="AL259" s="92"/>
      <c r="AM259" s="92"/>
      <c r="AN259" s="92"/>
      <c r="AO259" s="92"/>
      <c r="AP259" s="92"/>
      <c r="AQ259" s="92"/>
      <c r="AR259" s="92"/>
      <c r="AS259" s="92"/>
      <c r="AT259" s="92"/>
      <c r="AU259" s="92"/>
      <c r="AV259" s="92"/>
      <c r="AW259" s="92"/>
      <c r="AX259" s="92"/>
      <c r="AY259" s="92"/>
      <c r="AZ259" s="92"/>
      <c r="BA259" s="92"/>
      <c r="BB259" s="92"/>
      <c r="BC259" s="92"/>
      <c r="BD259" s="92"/>
      <c r="BE259" s="92"/>
      <c r="BF259" s="92"/>
      <c r="BG259" s="92"/>
      <c r="BH259" s="92"/>
      <c r="BI259" s="92"/>
      <c r="BJ259" s="92"/>
      <c r="BK259" s="92"/>
      <c r="BL259" s="92"/>
      <c r="BM259" s="92"/>
      <c r="BN259" s="92"/>
      <c r="BO259" s="92"/>
      <c r="BP259" s="92"/>
      <c r="BQ259" s="92"/>
      <c r="BR259" s="92"/>
      <c r="BS259" s="92"/>
      <c r="BT259" s="92"/>
      <c r="BU259" s="92"/>
      <c r="BV259" s="92"/>
      <c r="BW259" s="92"/>
      <c r="BX259" s="92"/>
      <c r="BY259" s="92"/>
      <c r="BZ259" s="92"/>
      <c r="CA259" s="92"/>
      <c r="CB259" s="92"/>
      <c r="CC259" s="92"/>
      <c r="CD259" s="92"/>
      <c r="CE259" s="92"/>
      <c r="CF259" s="92"/>
      <c r="CG259" s="92"/>
      <c r="CH259" s="92"/>
      <c r="CI259" s="92"/>
      <c r="CJ259" s="92"/>
      <c r="CK259" s="92"/>
      <c r="CL259" s="92"/>
      <c r="CM259" s="92"/>
      <c r="CN259" s="92"/>
      <c r="CO259" s="92"/>
      <c r="CP259" s="92"/>
      <c r="CQ259" s="92"/>
      <c r="CR259" s="92"/>
      <c r="CS259" s="92"/>
      <c r="CT259" s="92"/>
      <c r="CU259" s="92"/>
      <c r="CV259" s="92"/>
      <c r="CW259" s="92"/>
      <c r="CX259" s="92"/>
      <c r="CY259" s="92"/>
      <c r="CZ259" s="92"/>
      <c r="DA259" s="837"/>
      <c r="DB259" s="836"/>
      <c r="DC259" s="92"/>
      <c r="DD259" s="611"/>
      <c r="DE259" s="611"/>
      <c r="DF259" s="611"/>
      <c r="DG259" s="611"/>
      <c r="DH259" s="742"/>
      <c r="DI259" s="611"/>
      <c r="DJ259" s="611"/>
      <c r="DK259" s="611"/>
      <c r="DL259" s="611"/>
      <c r="DM259" s="742"/>
      <c r="DN259" s="742"/>
      <c r="DO259" s="611"/>
      <c r="DP259" s="611"/>
      <c r="DQ259" s="611"/>
      <c r="DR259" s="611"/>
      <c r="DS259" s="742"/>
      <c r="DT259" s="829"/>
      <c r="DU259" s="611"/>
      <c r="DV259" s="611"/>
      <c r="DW259" s="611"/>
      <c r="DX259" s="611"/>
      <c r="DY259" s="742"/>
      <c r="DZ259" s="829"/>
      <c r="EA259" s="611"/>
      <c r="EB259" s="611"/>
      <c r="EC259" s="611"/>
      <c r="ED259" s="611"/>
      <c r="EE259" s="742"/>
      <c r="EF259" s="829"/>
      <c r="EG259" s="611"/>
      <c r="EH259" s="611"/>
      <c r="EI259" s="611"/>
      <c r="EJ259" s="611"/>
      <c r="EK259" s="612"/>
      <c r="EL259" s="612"/>
      <c r="EM259" s="613"/>
      <c r="FA259" s="614">
        <f t="shared" ref="FA259:FP259" si="663">FA$3</f>
        <v>2013</v>
      </c>
      <c r="FB259" s="614">
        <f t="shared" si="663"/>
        <v>2014</v>
      </c>
      <c r="FC259" s="614">
        <f t="shared" si="663"/>
        <v>2015</v>
      </c>
      <c r="FD259" s="614">
        <f t="shared" si="663"/>
        <v>2016</v>
      </c>
      <c r="FE259" s="614">
        <f t="shared" si="663"/>
        <v>2017</v>
      </c>
      <c r="FF259" s="614">
        <f t="shared" si="663"/>
        <v>2018</v>
      </c>
      <c r="FG259" s="614">
        <f t="shared" si="663"/>
        <v>2019</v>
      </c>
      <c r="FH259" s="614">
        <f t="shared" si="663"/>
        <v>2020</v>
      </c>
      <c r="FI259" s="614">
        <f t="shared" si="663"/>
        <v>2021</v>
      </c>
      <c r="FJ259" s="614">
        <f t="shared" si="663"/>
        <v>2022</v>
      </c>
      <c r="FK259" s="614">
        <f t="shared" si="663"/>
        <v>2023</v>
      </c>
      <c r="FL259" s="614">
        <f t="shared" si="663"/>
        <v>2024</v>
      </c>
      <c r="FM259" s="614" t="str">
        <f t="shared" si="663"/>
        <v>2025e</v>
      </c>
      <c r="FN259" s="614" t="str">
        <f t="shared" si="663"/>
        <v>2026e</v>
      </c>
      <c r="FO259" s="614" t="str">
        <f t="shared" si="663"/>
        <v>2027e</v>
      </c>
      <c r="FP259" s="614" t="str">
        <f t="shared" si="663"/>
        <v>2028e</v>
      </c>
      <c r="FQ259" s="614" t="str">
        <f>FQ$3</f>
        <v>2029e</v>
      </c>
      <c r="FR259" s="614" t="str">
        <f>FR$3</f>
        <v>2030e</v>
      </c>
    </row>
    <row r="260" spans="2:174" x14ac:dyDescent="0.2">
      <c r="EI260" s="623">
        <v>5200</v>
      </c>
      <c r="EJ260" s="623">
        <v>5200</v>
      </c>
      <c r="EL260" s="624">
        <v>5400</v>
      </c>
      <c r="EM260" s="589"/>
      <c r="EN260" s="311" t="s">
        <v>676</v>
      </c>
      <c r="FI260" s="625">
        <v>5200</v>
      </c>
      <c r="FJ260" s="625">
        <v>5200</v>
      </c>
      <c r="FK260" s="625">
        <v>5200</v>
      </c>
      <c r="FL260" s="625">
        <v>5200</v>
      </c>
      <c r="FM260" s="625">
        <v>5200</v>
      </c>
      <c r="FN260" s="626">
        <v>5400</v>
      </c>
      <c r="FO260" s="626">
        <v>5400</v>
      </c>
      <c r="FP260" s="626">
        <v>5400</v>
      </c>
      <c r="FQ260" s="623">
        <v>5600</v>
      </c>
      <c r="FR260" s="627">
        <v>5800</v>
      </c>
    </row>
    <row r="261" spans="2:174" x14ac:dyDescent="0.2">
      <c r="B261" s="588" t="s">
        <v>629</v>
      </c>
      <c r="FP261" s="311"/>
    </row>
    <row r="262" spans="2:174" x14ac:dyDescent="0.2">
      <c r="B262" s="311" t="s">
        <v>581</v>
      </c>
      <c r="C262" s="322" t="s">
        <v>617</v>
      </c>
      <c r="DI262" s="465">
        <v>0</v>
      </c>
      <c r="DJ262" s="465">
        <v>0</v>
      </c>
      <c r="DK262" s="465">
        <v>0</v>
      </c>
      <c r="DL262" s="465">
        <v>0</v>
      </c>
      <c r="DM262" s="694">
        <f t="shared" ref="DM262:DM267" si="664">SUM(DI262:DL262)</f>
        <v>0</v>
      </c>
      <c r="DO262" s="465">
        <v>0</v>
      </c>
      <c r="DP262" s="465">
        <v>0</v>
      </c>
      <c r="DQ262" s="465">
        <v>0</v>
      </c>
      <c r="DR262" s="465">
        <v>0</v>
      </c>
      <c r="DS262" s="694">
        <f t="shared" ref="DS262:DS267" si="665">SUM(DO262:DR262)</f>
        <v>0</v>
      </c>
      <c r="DU262" s="465">
        <v>0</v>
      </c>
      <c r="DV262" s="465">
        <v>0</v>
      </c>
      <c r="DW262" s="465">
        <v>0</v>
      </c>
      <c r="DX262" s="465">
        <v>0</v>
      </c>
      <c r="DY262" s="694">
        <f t="shared" ref="DY262:DY267" si="666">SUM(DU262:DX262)</f>
        <v>0</v>
      </c>
      <c r="EA262" s="465">
        <v>0</v>
      </c>
      <c r="EB262" s="465">
        <v>1</v>
      </c>
      <c r="EC262" s="465">
        <v>0</v>
      </c>
      <c r="ED262" s="617">
        <v>0</v>
      </c>
      <c r="EE262" s="694">
        <f t="shared" ref="EE262:EE267" si="667">SUM(EA262:ED262)</f>
        <v>1</v>
      </c>
      <c r="EG262" s="465">
        <v>0</v>
      </c>
      <c r="EH262" s="465">
        <v>0</v>
      </c>
      <c r="EI262" s="532">
        <v>1</v>
      </c>
      <c r="EJ262" s="532">
        <v>3</v>
      </c>
      <c r="EK262" s="450">
        <f t="shared" ref="EK262:EK267" si="668">SUM(EG262:EJ262)</f>
        <v>4</v>
      </c>
      <c r="EL262" s="628">
        <v>4</v>
      </c>
      <c r="EM262" s="589"/>
      <c r="FI262" s="310">
        <f t="shared" ref="FI262:FI268" si="669">DG262</f>
        <v>0</v>
      </c>
      <c r="FJ262" s="310">
        <f t="shared" ref="FJ262:FJ268" si="670">DM262</f>
        <v>0</v>
      </c>
      <c r="FK262" s="310">
        <f t="shared" ref="FK262:FK267" si="671">DS262</f>
        <v>0</v>
      </c>
      <c r="FL262" s="310">
        <f t="shared" ref="FL262:FL267" si="672">DY262</f>
        <v>0</v>
      </c>
      <c r="FM262" s="310">
        <f t="shared" ref="FM262:FM267" si="673">EE262</f>
        <v>1</v>
      </c>
      <c r="FN262" s="373">
        <f t="shared" ref="FN262:FO267" si="674">EK262</f>
        <v>4</v>
      </c>
      <c r="FO262" s="373">
        <f t="shared" si="674"/>
        <v>4</v>
      </c>
      <c r="FP262" s="542">
        <v>4</v>
      </c>
      <c r="FQ262" s="542">
        <v>10</v>
      </c>
      <c r="FR262" s="542">
        <v>5</v>
      </c>
    </row>
    <row r="263" spans="2:174" x14ac:dyDescent="0.2">
      <c r="B263" s="311" t="s">
        <v>582</v>
      </c>
      <c r="C263" s="322" t="s">
        <v>617</v>
      </c>
      <c r="DI263" s="465">
        <v>0</v>
      </c>
      <c r="DJ263" s="465">
        <v>0</v>
      </c>
      <c r="DK263" s="465">
        <v>0</v>
      </c>
      <c r="DL263" s="465">
        <v>0</v>
      </c>
      <c r="DM263" s="694">
        <f t="shared" si="664"/>
        <v>0</v>
      </c>
      <c r="DO263" s="532">
        <v>1</v>
      </c>
      <c r="DP263" s="465">
        <v>0</v>
      </c>
      <c r="DQ263" s="532">
        <v>1</v>
      </c>
      <c r="DR263" s="532">
        <v>1</v>
      </c>
      <c r="DS263" s="694">
        <f t="shared" si="665"/>
        <v>3</v>
      </c>
      <c r="DU263" s="465">
        <v>0</v>
      </c>
      <c r="DV263" s="465">
        <v>0</v>
      </c>
      <c r="DW263" s="465">
        <v>0</v>
      </c>
      <c r="DX263" s="465">
        <v>0</v>
      </c>
      <c r="DY263" s="694">
        <f t="shared" si="666"/>
        <v>0</v>
      </c>
      <c r="EA263" s="465">
        <v>0</v>
      </c>
      <c r="EB263" s="465">
        <v>0</v>
      </c>
      <c r="EC263" s="532">
        <v>0</v>
      </c>
      <c r="ED263" s="465">
        <v>0</v>
      </c>
      <c r="EE263" s="694">
        <f t="shared" si="667"/>
        <v>0</v>
      </c>
      <c r="EG263" s="465">
        <v>0</v>
      </c>
      <c r="EH263" s="465">
        <v>0</v>
      </c>
      <c r="EI263" s="532">
        <v>1</v>
      </c>
      <c r="EJ263" s="532">
        <v>0</v>
      </c>
      <c r="EK263" s="450">
        <f t="shared" si="668"/>
        <v>1</v>
      </c>
      <c r="EL263" s="628">
        <v>3</v>
      </c>
      <c r="EM263" s="589"/>
      <c r="FI263" s="310">
        <f t="shared" si="669"/>
        <v>0</v>
      </c>
      <c r="FJ263" s="310">
        <f t="shared" si="670"/>
        <v>0</v>
      </c>
      <c r="FK263" s="310">
        <f t="shared" si="671"/>
        <v>3</v>
      </c>
      <c r="FL263" s="310">
        <f t="shared" si="672"/>
        <v>0</v>
      </c>
      <c r="FM263" s="310">
        <f t="shared" si="673"/>
        <v>0</v>
      </c>
      <c r="FN263" s="373">
        <f t="shared" si="674"/>
        <v>1</v>
      </c>
      <c r="FO263" s="373">
        <f t="shared" si="674"/>
        <v>3</v>
      </c>
      <c r="FP263" s="542">
        <v>3</v>
      </c>
      <c r="FQ263" s="542">
        <v>10</v>
      </c>
      <c r="FR263" s="542">
        <v>5</v>
      </c>
    </row>
    <row r="264" spans="2:174" x14ac:dyDescent="0.2">
      <c r="B264" s="311" t="s">
        <v>583</v>
      </c>
      <c r="C264" s="322" t="s">
        <v>617</v>
      </c>
      <c r="DI264" s="465">
        <v>0</v>
      </c>
      <c r="DJ264" s="532">
        <v>2</v>
      </c>
      <c r="DK264" s="465">
        <v>0</v>
      </c>
      <c r="DL264" s="465">
        <v>0</v>
      </c>
      <c r="DM264" s="694">
        <f t="shared" si="664"/>
        <v>2</v>
      </c>
      <c r="DO264" s="465">
        <v>0</v>
      </c>
      <c r="DP264" s="532">
        <v>2</v>
      </c>
      <c r="DQ264" s="465">
        <v>0</v>
      </c>
      <c r="DR264" s="532">
        <v>1</v>
      </c>
      <c r="DS264" s="694">
        <f t="shared" si="665"/>
        <v>3</v>
      </c>
      <c r="DU264" s="465">
        <v>0</v>
      </c>
      <c r="DV264" s="465">
        <v>0</v>
      </c>
      <c r="DW264" s="465">
        <v>0</v>
      </c>
      <c r="DX264" s="465">
        <v>0</v>
      </c>
      <c r="DY264" s="694">
        <f t="shared" si="666"/>
        <v>0</v>
      </c>
      <c r="EA264" s="531">
        <v>0</v>
      </c>
      <c r="EB264" s="465">
        <v>0</v>
      </c>
      <c r="EC264" s="465">
        <v>0</v>
      </c>
      <c r="ED264" s="465">
        <v>0</v>
      </c>
      <c r="EE264" s="694">
        <f t="shared" si="667"/>
        <v>0</v>
      </c>
      <c r="EG264" s="465">
        <v>0</v>
      </c>
      <c r="EH264" s="465">
        <v>0</v>
      </c>
      <c r="EI264" s="532">
        <v>0</v>
      </c>
      <c r="EJ264" s="532">
        <v>0</v>
      </c>
      <c r="EK264" s="450">
        <f t="shared" si="668"/>
        <v>0</v>
      </c>
      <c r="EL264" s="628">
        <v>0</v>
      </c>
      <c r="EM264" s="589"/>
      <c r="EN264" s="629"/>
      <c r="FI264" s="310">
        <f t="shared" si="669"/>
        <v>0</v>
      </c>
      <c r="FJ264" s="310">
        <f t="shared" si="670"/>
        <v>2</v>
      </c>
      <c r="FK264" s="310">
        <f t="shared" si="671"/>
        <v>3</v>
      </c>
      <c r="FL264" s="310">
        <f t="shared" si="672"/>
        <v>0</v>
      </c>
      <c r="FM264" s="310">
        <f t="shared" si="673"/>
        <v>0</v>
      </c>
      <c r="FN264" s="373">
        <f t="shared" si="674"/>
        <v>0</v>
      </c>
      <c r="FO264" s="373">
        <f t="shared" si="674"/>
        <v>0</v>
      </c>
      <c r="FP264" s="542">
        <v>0</v>
      </c>
      <c r="FQ264" s="542">
        <v>2</v>
      </c>
      <c r="FR264" s="542">
        <v>1</v>
      </c>
    </row>
    <row r="265" spans="2:174" x14ac:dyDescent="0.2">
      <c r="B265" s="311" t="s">
        <v>585</v>
      </c>
      <c r="C265" s="322" t="s">
        <v>617</v>
      </c>
      <c r="DI265" s="465">
        <v>0</v>
      </c>
      <c r="DJ265" s="465">
        <v>0</v>
      </c>
      <c r="DK265" s="532">
        <v>1</v>
      </c>
      <c r="DL265" s="465">
        <v>0</v>
      </c>
      <c r="DM265" s="694">
        <f t="shared" si="664"/>
        <v>1</v>
      </c>
      <c r="DO265" s="465">
        <v>0</v>
      </c>
      <c r="DP265" s="465">
        <v>0</v>
      </c>
      <c r="DQ265" s="465">
        <v>0</v>
      </c>
      <c r="DR265" s="465">
        <v>0</v>
      </c>
      <c r="DS265" s="694">
        <f t="shared" si="665"/>
        <v>0</v>
      </c>
      <c r="DU265" s="465">
        <v>0</v>
      </c>
      <c r="DV265" s="532">
        <v>1</v>
      </c>
      <c r="DW265" s="465">
        <v>0</v>
      </c>
      <c r="DX265" s="465">
        <v>0</v>
      </c>
      <c r="DY265" s="694">
        <f t="shared" si="666"/>
        <v>1</v>
      </c>
      <c r="EA265" s="465">
        <v>0</v>
      </c>
      <c r="EB265" s="465">
        <v>0</v>
      </c>
      <c r="EC265" s="465">
        <v>0</v>
      </c>
      <c r="ED265" s="465">
        <v>0</v>
      </c>
      <c r="EE265" s="694">
        <f t="shared" si="667"/>
        <v>0</v>
      </c>
      <c r="EG265" s="465">
        <v>0</v>
      </c>
      <c r="EH265" s="465">
        <v>0</v>
      </c>
      <c r="EI265" s="532">
        <v>0</v>
      </c>
      <c r="EJ265" s="532">
        <v>1</v>
      </c>
      <c r="EK265" s="450">
        <f t="shared" si="668"/>
        <v>1</v>
      </c>
      <c r="EL265" s="628">
        <v>2</v>
      </c>
      <c r="EM265" s="589"/>
      <c r="FI265" s="310">
        <f t="shared" si="669"/>
        <v>0</v>
      </c>
      <c r="FJ265" s="310">
        <f t="shared" si="670"/>
        <v>1</v>
      </c>
      <c r="FK265" s="310">
        <f t="shared" si="671"/>
        <v>0</v>
      </c>
      <c r="FL265" s="310">
        <f t="shared" si="672"/>
        <v>1</v>
      </c>
      <c r="FM265" s="310">
        <f t="shared" si="673"/>
        <v>0</v>
      </c>
      <c r="FN265" s="373">
        <f t="shared" si="674"/>
        <v>1</v>
      </c>
      <c r="FO265" s="373">
        <f t="shared" si="674"/>
        <v>2</v>
      </c>
      <c r="FP265" s="542">
        <v>2</v>
      </c>
      <c r="FQ265" s="542">
        <v>2</v>
      </c>
      <c r="FR265" s="542">
        <v>3</v>
      </c>
    </row>
    <row r="266" spans="2:174" x14ac:dyDescent="0.2">
      <c r="B266" s="311" t="s">
        <v>584</v>
      </c>
      <c r="C266" s="322" t="s">
        <v>617</v>
      </c>
      <c r="DI266" s="465">
        <v>0</v>
      </c>
      <c r="DJ266" s="465">
        <v>0</v>
      </c>
      <c r="DK266" s="465">
        <v>0</v>
      </c>
      <c r="DL266" s="465">
        <v>0</v>
      </c>
      <c r="DM266" s="694">
        <f t="shared" si="664"/>
        <v>0</v>
      </c>
      <c r="DO266" s="465">
        <v>0</v>
      </c>
      <c r="DP266" s="465">
        <v>0</v>
      </c>
      <c r="DQ266" s="465">
        <v>0</v>
      </c>
      <c r="DR266" s="532">
        <v>1</v>
      </c>
      <c r="DS266" s="694">
        <f t="shared" si="665"/>
        <v>1</v>
      </c>
      <c r="DU266" s="465">
        <v>0</v>
      </c>
      <c r="DV266" s="465">
        <v>0</v>
      </c>
      <c r="DW266" s="465">
        <v>0</v>
      </c>
      <c r="DX266" s="465">
        <v>0</v>
      </c>
      <c r="DY266" s="694">
        <f t="shared" si="666"/>
        <v>0</v>
      </c>
      <c r="EA266" s="465">
        <v>0</v>
      </c>
      <c r="EB266" s="465">
        <v>0</v>
      </c>
      <c r="EC266" s="465">
        <v>0</v>
      </c>
      <c r="ED266" s="465">
        <v>0</v>
      </c>
      <c r="EE266" s="694">
        <f t="shared" si="667"/>
        <v>0</v>
      </c>
      <c r="EG266" s="465">
        <v>0</v>
      </c>
      <c r="EH266" s="465">
        <v>0</v>
      </c>
      <c r="EI266" s="532">
        <v>0</v>
      </c>
      <c r="EJ266" s="532">
        <v>1</v>
      </c>
      <c r="EK266" s="450">
        <f t="shared" si="668"/>
        <v>1</v>
      </c>
      <c r="EL266" s="628">
        <v>2</v>
      </c>
      <c r="EM266" s="589"/>
      <c r="FI266" s="310">
        <f t="shared" si="669"/>
        <v>0</v>
      </c>
      <c r="FJ266" s="310">
        <f t="shared" si="670"/>
        <v>0</v>
      </c>
      <c r="FK266" s="310">
        <f t="shared" si="671"/>
        <v>1</v>
      </c>
      <c r="FL266" s="310">
        <f t="shared" si="672"/>
        <v>0</v>
      </c>
      <c r="FM266" s="310">
        <f t="shared" si="673"/>
        <v>0</v>
      </c>
      <c r="FN266" s="373">
        <f t="shared" si="674"/>
        <v>1</v>
      </c>
      <c r="FO266" s="373">
        <f t="shared" si="674"/>
        <v>2</v>
      </c>
      <c r="FP266" s="542">
        <v>2</v>
      </c>
      <c r="FQ266" s="542">
        <v>2</v>
      </c>
      <c r="FR266" s="542">
        <v>2</v>
      </c>
    </row>
    <row r="267" spans="2:174" x14ac:dyDescent="0.2">
      <c r="B267" s="382" t="s">
        <v>164</v>
      </c>
      <c r="C267" s="350" t="s">
        <v>617</v>
      </c>
      <c r="DI267" s="620">
        <v>0</v>
      </c>
      <c r="DJ267" s="620">
        <v>0</v>
      </c>
      <c r="DK267" s="620">
        <v>0</v>
      </c>
      <c r="DL267" s="465">
        <v>0</v>
      </c>
      <c r="DM267" s="694">
        <f t="shared" si="664"/>
        <v>0</v>
      </c>
      <c r="DO267" s="620">
        <v>0</v>
      </c>
      <c r="DP267" s="620">
        <v>0</v>
      </c>
      <c r="DQ267" s="620">
        <v>0</v>
      </c>
      <c r="DR267" s="620">
        <v>0</v>
      </c>
      <c r="DS267" s="694">
        <f t="shared" si="665"/>
        <v>0</v>
      </c>
      <c r="DU267" s="620">
        <v>0</v>
      </c>
      <c r="DV267" s="620">
        <v>0</v>
      </c>
      <c r="DW267" s="620">
        <v>0</v>
      </c>
      <c r="DX267" s="620">
        <v>0</v>
      </c>
      <c r="DY267" s="694">
        <f t="shared" si="666"/>
        <v>0</v>
      </c>
      <c r="EA267" s="465">
        <v>0</v>
      </c>
      <c r="EB267" s="465">
        <v>0</v>
      </c>
      <c r="EC267" s="465">
        <v>0</v>
      </c>
      <c r="ED267" s="620">
        <v>0</v>
      </c>
      <c r="EE267" s="694">
        <f t="shared" si="667"/>
        <v>0</v>
      </c>
      <c r="EG267" s="465">
        <v>1</v>
      </c>
      <c r="EH267" s="465">
        <v>0</v>
      </c>
      <c r="EI267" s="532">
        <v>0</v>
      </c>
      <c r="EJ267" s="532">
        <v>0</v>
      </c>
      <c r="EK267" s="450">
        <f t="shared" si="668"/>
        <v>1</v>
      </c>
      <c r="EL267" s="628">
        <v>2</v>
      </c>
      <c r="EM267" s="589"/>
      <c r="FI267" s="310">
        <f t="shared" si="669"/>
        <v>0</v>
      </c>
      <c r="FJ267" s="310">
        <f t="shared" si="670"/>
        <v>0</v>
      </c>
      <c r="FK267" s="310">
        <f t="shared" si="671"/>
        <v>0</v>
      </c>
      <c r="FL267" s="310">
        <f t="shared" si="672"/>
        <v>0</v>
      </c>
      <c r="FM267" s="310">
        <f t="shared" si="673"/>
        <v>0</v>
      </c>
      <c r="FN267" s="373">
        <f t="shared" si="674"/>
        <v>1</v>
      </c>
      <c r="FO267" s="373">
        <f t="shared" si="674"/>
        <v>2</v>
      </c>
      <c r="FP267" s="542">
        <v>2</v>
      </c>
      <c r="FQ267" s="542">
        <v>2</v>
      </c>
      <c r="FR267" s="542">
        <v>2</v>
      </c>
    </row>
    <row r="268" spans="2:174" ht="12" x14ac:dyDescent="0.25">
      <c r="B268" s="590" t="s">
        <v>249</v>
      </c>
      <c r="C268" s="351" t="s">
        <v>617</v>
      </c>
      <c r="DI268" s="591">
        <f>SUM(DI262:DI267)</f>
        <v>0</v>
      </c>
      <c r="DJ268" s="591">
        <f>SUM(DJ262:DJ267)</f>
        <v>2</v>
      </c>
      <c r="DK268" s="591">
        <f>SUM(DK262:DK267)</f>
        <v>1</v>
      </c>
      <c r="DL268" s="591">
        <f>SUM(DL262:DL267)</f>
        <v>0</v>
      </c>
      <c r="DM268" s="747">
        <f>SUM(DM262:DM267)</f>
        <v>3</v>
      </c>
      <c r="DO268" s="591">
        <f>SUM(DO262:DO267)</f>
        <v>1</v>
      </c>
      <c r="DP268" s="591">
        <f>SUM(DP262:DP267)</f>
        <v>2</v>
      </c>
      <c r="DQ268" s="591">
        <f>SUM(DQ262:DQ267)</f>
        <v>1</v>
      </c>
      <c r="DR268" s="591">
        <f>SUM(DR262:DR267)</f>
        <v>3</v>
      </c>
      <c r="DS268" s="747">
        <f>SUM(DS262:DS267)</f>
        <v>7</v>
      </c>
      <c r="DU268" s="591">
        <f>SUM(DU262:DU267)</f>
        <v>0</v>
      </c>
      <c r="DV268" s="591">
        <f>SUM(DV262:DV267)</f>
        <v>1</v>
      </c>
      <c r="DW268" s="591">
        <f>SUM(DW262:DW267)</f>
        <v>0</v>
      </c>
      <c r="DX268" s="591">
        <f>SUM(DX262:DX267)</f>
        <v>0</v>
      </c>
      <c r="DY268" s="747">
        <f>SUM(DY262:DY267)</f>
        <v>1</v>
      </c>
      <c r="EA268" s="591">
        <f>SUM(EA262:EA267)</f>
        <v>0</v>
      </c>
      <c r="EB268" s="591">
        <f>SUM(EB262:EB267)</f>
        <v>1</v>
      </c>
      <c r="EC268" s="591">
        <f>SUM(EC262:EC267)</f>
        <v>0</v>
      </c>
      <c r="ED268" s="591">
        <f>SUM(ED262:ED267)</f>
        <v>0</v>
      </c>
      <c r="EE268" s="747">
        <f>SUM(EE262:EE267)</f>
        <v>1</v>
      </c>
      <c r="EG268" s="591">
        <f t="shared" ref="EG268:EL268" si="675">SUM(EG262:EG267)</f>
        <v>1</v>
      </c>
      <c r="EH268" s="591">
        <f t="shared" si="675"/>
        <v>0</v>
      </c>
      <c r="EI268" s="591">
        <f t="shared" si="675"/>
        <v>2</v>
      </c>
      <c r="EJ268" s="591">
        <f t="shared" si="675"/>
        <v>5</v>
      </c>
      <c r="EK268" s="592">
        <f t="shared" si="675"/>
        <v>8</v>
      </c>
      <c r="EL268" s="592">
        <f t="shared" si="675"/>
        <v>13</v>
      </c>
      <c r="EM268" s="593"/>
      <c r="FI268" s="591">
        <f t="shared" si="669"/>
        <v>0</v>
      </c>
      <c r="FJ268" s="591">
        <f t="shared" si="670"/>
        <v>3</v>
      </c>
      <c r="FK268" s="591">
        <f t="shared" ref="FK268:FR268" si="676">SUM(FK262:FK267)</f>
        <v>7</v>
      </c>
      <c r="FL268" s="591">
        <f t="shared" si="676"/>
        <v>1</v>
      </c>
      <c r="FM268" s="591">
        <f t="shared" si="676"/>
        <v>1</v>
      </c>
      <c r="FN268" s="591">
        <f t="shared" si="676"/>
        <v>8</v>
      </c>
      <c r="FO268" s="591">
        <f t="shared" si="676"/>
        <v>13</v>
      </c>
      <c r="FP268" s="591">
        <f t="shared" si="676"/>
        <v>13</v>
      </c>
      <c r="FQ268" s="591">
        <f t="shared" si="676"/>
        <v>28</v>
      </c>
      <c r="FR268" s="591">
        <f t="shared" si="676"/>
        <v>18</v>
      </c>
    </row>
    <row r="269" spans="2:174" x14ac:dyDescent="0.2">
      <c r="FP269" s="311"/>
    </row>
    <row r="270" spans="2:174" x14ac:dyDescent="0.2">
      <c r="FP270" s="311"/>
    </row>
    <row r="271" spans="2:174" x14ac:dyDescent="0.2">
      <c r="B271" s="588" t="s">
        <v>628</v>
      </c>
      <c r="FP271" s="311"/>
    </row>
    <row r="272" spans="2:174" x14ac:dyDescent="0.2">
      <c r="B272" s="311" t="s">
        <v>581</v>
      </c>
      <c r="C272" s="322" t="s">
        <v>617</v>
      </c>
      <c r="DI272" s="465">
        <v>0</v>
      </c>
      <c r="DJ272" s="465">
        <v>0</v>
      </c>
      <c r="DK272" s="465">
        <v>0</v>
      </c>
      <c r="DL272" s="465">
        <v>0</v>
      </c>
      <c r="DM272" s="694">
        <f>SUM(DI272:DL272)</f>
        <v>0</v>
      </c>
      <c r="DO272" s="465">
        <v>0</v>
      </c>
      <c r="DP272" s="465">
        <v>0</v>
      </c>
      <c r="DQ272" s="465">
        <v>0</v>
      </c>
      <c r="DR272" s="465">
        <v>0</v>
      </c>
      <c r="DS272" s="694">
        <f>SUM(DO272:DR272)</f>
        <v>0</v>
      </c>
      <c r="DU272" s="465">
        <v>0</v>
      </c>
      <c r="DV272" s="465">
        <v>0</v>
      </c>
      <c r="DW272" s="465">
        <v>0</v>
      </c>
      <c r="DX272" s="465">
        <v>0</v>
      </c>
      <c r="DY272" s="694">
        <f>SUM(DU272:DX272)</f>
        <v>0</v>
      </c>
      <c r="EA272" s="465">
        <v>0</v>
      </c>
      <c r="EB272" s="465">
        <v>0</v>
      </c>
      <c r="EC272" s="465">
        <v>1</v>
      </c>
      <c r="ED272" s="465">
        <v>0</v>
      </c>
      <c r="EE272" s="694">
        <f>SUM(EA272:ED272)</f>
        <v>1</v>
      </c>
      <c r="EG272" s="465">
        <v>0</v>
      </c>
      <c r="EH272" s="465">
        <v>0</v>
      </c>
      <c r="EI272" s="617">
        <v>0</v>
      </c>
      <c r="EJ272" s="617">
        <v>0</v>
      </c>
      <c r="EK272" s="450">
        <f t="shared" ref="EK272:EK279" si="677">SUM(EG272:EJ272)</f>
        <v>0</v>
      </c>
      <c r="EL272" s="536">
        <v>1</v>
      </c>
      <c r="EM272" s="531"/>
      <c r="EN272" s="296" t="s">
        <v>672</v>
      </c>
      <c r="EO272" s="296"/>
      <c r="FI272" s="310">
        <f>DG272</f>
        <v>0</v>
      </c>
      <c r="FJ272" s="310">
        <f>DM272</f>
        <v>0</v>
      </c>
      <c r="FK272" s="310">
        <f>DS272</f>
        <v>0</v>
      </c>
      <c r="FL272" s="310">
        <f>DY272</f>
        <v>0</v>
      </c>
      <c r="FM272" s="310">
        <f>EE272</f>
        <v>1</v>
      </c>
      <c r="FN272" s="373">
        <f>EK272</f>
        <v>0</v>
      </c>
      <c r="FO272" s="373">
        <f>EL272</f>
        <v>1</v>
      </c>
      <c r="FP272" s="465">
        <v>1</v>
      </c>
      <c r="FQ272" s="465">
        <v>8</v>
      </c>
      <c r="FR272" s="465">
        <v>8</v>
      </c>
    </row>
    <row r="273" spans="2:174" x14ac:dyDescent="0.2">
      <c r="B273" s="325" t="s">
        <v>687</v>
      </c>
      <c r="C273" s="322"/>
      <c r="DI273" s="465"/>
      <c r="DJ273" s="465"/>
      <c r="DK273" s="465"/>
      <c r="DL273" s="465"/>
      <c r="DM273" s="694"/>
      <c r="DO273" s="465"/>
      <c r="DP273" s="465"/>
      <c r="DQ273" s="465"/>
      <c r="DR273" s="465"/>
      <c r="DS273" s="694"/>
      <c r="DU273" s="465"/>
      <c r="DV273" s="465"/>
      <c r="DW273" s="465"/>
      <c r="DX273" s="465"/>
      <c r="DY273" s="694"/>
      <c r="EA273" s="465"/>
      <c r="EB273" s="465"/>
      <c r="EC273" s="465"/>
      <c r="ED273" s="465"/>
      <c r="EE273" s="694"/>
      <c r="EG273" s="465"/>
      <c r="EH273" s="465"/>
      <c r="EI273" s="617"/>
      <c r="EJ273" s="617">
        <v>1</v>
      </c>
      <c r="EK273" s="450">
        <f t="shared" si="677"/>
        <v>1</v>
      </c>
      <c r="EL273" s="536">
        <v>0</v>
      </c>
      <c r="EM273" s="531"/>
      <c r="EN273" s="296"/>
      <c r="EO273" s="296"/>
      <c r="FI273" s="310"/>
      <c r="FJ273" s="310"/>
      <c r="FK273" s="310"/>
      <c r="FL273" s="310"/>
      <c r="FM273" s="310"/>
      <c r="FN273" s="373"/>
      <c r="FO273" s="373"/>
      <c r="FP273" s="465">
        <v>1</v>
      </c>
      <c r="FQ273" s="465"/>
      <c r="FR273" s="465"/>
    </row>
    <row r="274" spans="2:174" x14ac:dyDescent="0.2">
      <c r="B274" s="325" t="s">
        <v>688</v>
      </c>
      <c r="C274" s="322"/>
      <c r="DI274" s="465"/>
      <c r="DJ274" s="465"/>
      <c r="DK274" s="465"/>
      <c r="DL274" s="465"/>
      <c r="DM274" s="694"/>
      <c r="DO274" s="465"/>
      <c r="DP274" s="465"/>
      <c r="DQ274" s="465"/>
      <c r="DR274" s="465"/>
      <c r="DS274" s="694"/>
      <c r="DU274" s="465"/>
      <c r="DV274" s="465"/>
      <c r="DW274" s="465"/>
      <c r="DX274" s="465"/>
      <c r="DY274" s="694"/>
      <c r="EA274" s="465"/>
      <c r="EB274" s="465"/>
      <c r="EC274" s="465"/>
      <c r="ED274" s="465"/>
      <c r="EE274" s="694"/>
      <c r="EG274" s="465"/>
      <c r="EH274" s="465"/>
      <c r="EI274" s="617">
        <v>1</v>
      </c>
      <c r="EJ274" s="617"/>
      <c r="EK274" s="450">
        <f t="shared" si="677"/>
        <v>1</v>
      </c>
      <c r="EL274" s="536">
        <v>1</v>
      </c>
      <c r="EM274" s="531"/>
      <c r="EN274" s="296"/>
      <c r="EO274" s="296"/>
      <c r="FI274" s="310"/>
      <c r="FJ274" s="310"/>
      <c r="FK274" s="310"/>
      <c r="FL274" s="310"/>
      <c r="FM274" s="310"/>
      <c r="FN274" s="373"/>
      <c r="FO274" s="373"/>
      <c r="FP274" s="465">
        <v>2</v>
      </c>
      <c r="FQ274" s="465"/>
      <c r="FR274" s="465"/>
    </row>
    <row r="275" spans="2:174" x14ac:dyDescent="0.2">
      <c r="B275" s="311" t="s">
        <v>582</v>
      </c>
      <c r="C275" s="322" t="s">
        <v>617</v>
      </c>
      <c r="DI275" s="465">
        <v>0</v>
      </c>
      <c r="DJ275" s="465">
        <v>0</v>
      </c>
      <c r="DK275" s="465">
        <v>0</v>
      </c>
      <c r="DL275" s="465">
        <v>0</v>
      </c>
      <c r="DM275" s="694">
        <f>SUM(DI275:DL275)</f>
        <v>0</v>
      </c>
      <c r="DO275" s="465">
        <v>0</v>
      </c>
      <c r="DP275" s="465">
        <v>0</v>
      </c>
      <c r="DQ275" s="465">
        <v>0</v>
      </c>
      <c r="DR275" s="465">
        <v>0</v>
      </c>
      <c r="DS275" s="694">
        <f>SUM(DO275:DR275)</f>
        <v>0</v>
      </c>
      <c r="DU275" s="465">
        <v>0</v>
      </c>
      <c r="DV275" s="465">
        <v>0</v>
      </c>
      <c r="DW275" s="465">
        <v>0</v>
      </c>
      <c r="DX275" s="465">
        <v>0</v>
      </c>
      <c r="DY275" s="694">
        <f>SUM(DU275:DX275)</f>
        <v>0</v>
      </c>
      <c r="EA275" s="465">
        <v>0</v>
      </c>
      <c r="EB275" s="465">
        <v>0</v>
      </c>
      <c r="EC275" s="465">
        <v>0</v>
      </c>
      <c r="ED275" s="532">
        <v>1</v>
      </c>
      <c r="EE275" s="694">
        <f>SUM(EA275:ED275)</f>
        <v>1</v>
      </c>
      <c r="EG275" s="310">
        <f>SUM(EG273:EG274)</f>
        <v>0</v>
      </c>
      <c r="EH275" s="310">
        <f>SUM(EH273:EH274)</f>
        <v>0</v>
      </c>
      <c r="EI275" s="310">
        <f>SUM(EI273:EI274)</f>
        <v>1</v>
      </c>
      <c r="EJ275" s="310">
        <f>SUM(EJ273:EJ274)</f>
        <v>1</v>
      </c>
      <c r="EK275" s="450">
        <f t="shared" si="677"/>
        <v>2</v>
      </c>
      <c r="EL275" s="310">
        <f>SUM(EL273:EL274)</f>
        <v>1</v>
      </c>
      <c r="EM275" s="531"/>
      <c r="EN275" s="296" t="s">
        <v>648</v>
      </c>
      <c r="EO275" s="296"/>
      <c r="FI275" s="310">
        <f t="shared" ref="FI275:FI280" si="678">DG275</f>
        <v>0</v>
      </c>
      <c r="FJ275" s="310">
        <f t="shared" ref="FJ275:FJ280" si="679">DM275</f>
        <v>0</v>
      </c>
      <c r="FK275" s="310">
        <f>DS275</f>
        <v>0</v>
      </c>
      <c r="FL275" s="310">
        <f>DY275</f>
        <v>0</v>
      </c>
      <c r="FM275" s="310">
        <f>EE275</f>
        <v>1</v>
      </c>
      <c r="FN275" s="373">
        <f t="shared" ref="FN275:FO279" si="680">EK275</f>
        <v>2</v>
      </c>
      <c r="FO275" s="373">
        <f t="shared" si="680"/>
        <v>1</v>
      </c>
      <c r="FP275" s="373">
        <f>SUM(FP273:FP274)</f>
        <v>3</v>
      </c>
      <c r="FQ275" s="465">
        <v>3</v>
      </c>
      <c r="FR275" s="465">
        <v>7</v>
      </c>
    </row>
    <row r="276" spans="2:174" x14ac:dyDescent="0.2">
      <c r="B276" s="311" t="s">
        <v>583</v>
      </c>
      <c r="C276" s="322" t="s">
        <v>617</v>
      </c>
      <c r="DI276" s="465">
        <v>0</v>
      </c>
      <c r="DJ276" s="465">
        <v>0</v>
      </c>
      <c r="DK276" s="465">
        <v>0</v>
      </c>
      <c r="DL276" s="465">
        <v>0</v>
      </c>
      <c r="DM276" s="694">
        <f>SUM(DI276:DL276)</f>
        <v>0</v>
      </c>
      <c r="DO276" s="465">
        <v>0</v>
      </c>
      <c r="DP276" s="465">
        <v>0</v>
      </c>
      <c r="DQ276" s="465">
        <v>0</v>
      </c>
      <c r="DR276" s="465">
        <v>0</v>
      </c>
      <c r="DS276" s="694">
        <f>SUM(DO276:DR276)</f>
        <v>0</v>
      </c>
      <c r="DU276" s="465">
        <v>0</v>
      </c>
      <c r="DV276" s="465">
        <v>0</v>
      </c>
      <c r="DW276" s="465">
        <v>0</v>
      </c>
      <c r="DX276" s="465">
        <v>0</v>
      </c>
      <c r="DY276" s="694">
        <f>SUM(DU276:DX276)</f>
        <v>0</v>
      </c>
      <c r="EA276" s="465">
        <v>0</v>
      </c>
      <c r="EB276" s="465">
        <v>0</v>
      </c>
      <c r="EC276" s="532">
        <v>0</v>
      </c>
      <c r="ED276" s="617">
        <v>0</v>
      </c>
      <c r="EE276" s="694">
        <f>SUM(EA276:ED276)</f>
        <v>0</v>
      </c>
      <c r="EG276" s="617">
        <v>1</v>
      </c>
      <c r="EH276" s="618">
        <v>0</v>
      </c>
      <c r="EI276" s="618">
        <v>1</v>
      </c>
      <c r="EJ276" s="465">
        <v>0</v>
      </c>
      <c r="EK276" s="450">
        <f t="shared" si="677"/>
        <v>2</v>
      </c>
      <c r="EL276" s="536">
        <v>2</v>
      </c>
      <c r="EM276" s="531"/>
      <c r="EN276" s="296" t="s">
        <v>675</v>
      </c>
      <c r="EO276" s="296"/>
      <c r="FI276" s="310">
        <f t="shared" si="678"/>
        <v>0</v>
      </c>
      <c r="FJ276" s="310">
        <f t="shared" si="679"/>
        <v>0</v>
      </c>
      <c r="FK276" s="310">
        <f>DS276</f>
        <v>0</v>
      </c>
      <c r="FL276" s="310">
        <f>DY276</f>
        <v>0</v>
      </c>
      <c r="FM276" s="310">
        <f>EE276</f>
        <v>0</v>
      </c>
      <c r="FN276" s="373">
        <f t="shared" si="680"/>
        <v>2</v>
      </c>
      <c r="FO276" s="373">
        <f t="shared" si="680"/>
        <v>2</v>
      </c>
      <c r="FP276" s="465">
        <v>2</v>
      </c>
      <c r="FQ276" s="465">
        <v>2</v>
      </c>
      <c r="FR276" s="465">
        <v>2</v>
      </c>
    </row>
    <row r="277" spans="2:174" x14ac:dyDescent="0.2">
      <c r="B277" s="311" t="s">
        <v>585</v>
      </c>
      <c r="C277" s="322" t="s">
        <v>617</v>
      </c>
      <c r="DI277" s="465">
        <v>0</v>
      </c>
      <c r="DJ277" s="465">
        <v>0</v>
      </c>
      <c r="DK277" s="465">
        <v>0</v>
      </c>
      <c r="DL277" s="465">
        <v>0</v>
      </c>
      <c r="DM277" s="694">
        <f>SUM(DI277:DL277)</f>
        <v>0</v>
      </c>
      <c r="DO277" s="465">
        <v>0</v>
      </c>
      <c r="DP277" s="465">
        <v>0</v>
      </c>
      <c r="DQ277" s="465">
        <v>0</v>
      </c>
      <c r="DR277" s="465">
        <v>0</v>
      </c>
      <c r="DS277" s="694">
        <f>SUM(DO277:DR277)</f>
        <v>0</v>
      </c>
      <c r="DU277" s="465">
        <v>0</v>
      </c>
      <c r="DV277" s="465">
        <v>0</v>
      </c>
      <c r="DW277" s="465">
        <v>0</v>
      </c>
      <c r="DX277" s="465">
        <v>0</v>
      </c>
      <c r="DY277" s="694">
        <f>SUM(DU277:DX277)</f>
        <v>0</v>
      </c>
      <c r="EA277" s="465">
        <v>0</v>
      </c>
      <c r="EB277" s="465">
        <v>0</v>
      </c>
      <c r="EC277" s="532">
        <v>0</v>
      </c>
      <c r="ED277" s="532">
        <v>0</v>
      </c>
      <c r="EE277" s="694">
        <f>SUM(EA277:ED277)</f>
        <v>0</v>
      </c>
      <c r="EG277" s="617">
        <v>0</v>
      </c>
      <c r="EH277" s="617">
        <v>0</v>
      </c>
      <c r="EI277" s="618">
        <v>0</v>
      </c>
      <c r="EJ277" s="465">
        <v>1</v>
      </c>
      <c r="EK277" s="450">
        <f t="shared" si="677"/>
        <v>1</v>
      </c>
      <c r="EL277" s="536">
        <v>1</v>
      </c>
      <c r="EM277" s="531"/>
      <c r="EN277" s="296" t="s">
        <v>674</v>
      </c>
      <c r="EO277" s="296"/>
      <c r="FI277" s="310">
        <f t="shared" si="678"/>
        <v>0</v>
      </c>
      <c r="FJ277" s="310">
        <f t="shared" si="679"/>
        <v>0</v>
      </c>
      <c r="FK277" s="310">
        <f>DS277</f>
        <v>0</v>
      </c>
      <c r="FL277" s="310">
        <f>DY277</f>
        <v>0</v>
      </c>
      <c r="FM277" s="310">
        <f>EE277</f>
        <v>0</v>
      </c>
      <c r="FN277" s="373">
        <f t="shared" si="680"/>
        <v>1</v>
      </c>
      <c r="FO277" s="373">
        <f t="shared" si="680"/>
        <v>1</v>
      </c>
      <c r="FP277" s="465">
        <v>1</v>
      </c>
      <c r="FQ277" s="465">
        <v>3</v>
      </c>
      <c r="FR277" s="465">
        <v>3</v>
      </c>
    </row>
    <row r="278" spans="2:174" x14ac:dyDescent="0.2">
      <c r="B278" s="311" t="s">
        <v>584</v>
      </c>
      <c r="C278" s="322" t="s">
        <v>617</v>
      </c>
      <c r="DI278" s="465">
        <v>0</v>
      </c>
      <c r="DJ278" s="465">
        <v>0</v>
      </c>
      <c r="DK278" s="465">
        <v>0</v>
      </c>
      <c r="DL278" s="465">
        <v>0</v>
      </c>
      <c r="DM278" s="694">
        <f>SUM(DI278:DL278)</f>
        <v>0</v>
      </c>
      <c r="DO278" s="465">
        <v>0</v>
      </c>
      <c r="DP278" s="465">
        <v>0</v>
      </c>
      <c r="DQ278" s="465">
        <v>0</v>
      </c>
      <c r="DR278" s="465">
        <v>0</v>
      </c>
      <c r="DS278" s="694">
        <f>SUM(DO278:DR278)</f>
        <v>0</v>
      </c>
      <c r="DU278" s="465">
        <v>0</v>
      </c>
      <c r="DV278" s="465">
        <v>0</v>
      </c>
      <c r="DW278" s="465">
        <v>0</v>
      </c>
      <c r="DX278" s="465">
        <v>0</v>
      </c>
      <c r="DY278" s="694">
        <f>SUM(DU278:DX278)</f>
        <v>0</v>
      </c>
      <c r="EA278" s="465">
        <v>0</v>
      </c>
      <c r="EB278" s="465">
        <v>0</v>
      </c>
      <c r="EC278" s="465">
        <v>0</v>
      </c>
      <c r="ED278" s="465">
        <v>0</v>
      </c>
      <c r="EE278" s="694">
        <f>SUM(EA278:ED278)</f>
        <v>0</v>
      </c>
      <c r="EG278" s="617">
        <v>1</v>
      </c>
      <c r="EH278" s="617">
        <v>0</v>
      </c>
      <c r="EI278" s="618">
        <v>0</v>
      </c>
      <c r="EJ278" s="465">
        <v>0</v>
      </c>
      <c r="EK278" s="450">
        <f t="shared" si="677"/>
        <v>1</v>
      </c>
      <c r="EL278" s="536">
        <v>1</v>
      </c>
      <c r="EM278" s="531"/>
      <c r="EN278" s="296" t="s">
        <v>673</v>
      </c>
      <c r="EO278" s="296"/>
      <c r="FI278" s="310">
        <f t="shared" si="678"/>
        <v>0</v>
      </c>
      <c r="FJ278" s="310">
        <f t="shared" si="679"/>
        <v>0</v>
      </c>
      <c r="FK278" s="310">
        <f>DS278</f>
        <v>0</v>
      </c>
      <c r="FL278" s="310">
        <f>DY278</f>
        <v>0</v>
      </c>
      <c r="FM278" s="310">
        <f>EE278</f>
        <v>0</v>
      </c>
      <c r="FN278" s="373">
        <f t="shared" si="680"/>
        <v>1</v>
      </c>
      <c r="FO278" s="373">
        <f t="shared" si="680"/>
        <v>1</v>
      </c>
      <c r="FP278" s="465">
        <v>1</v>
      </c>
      <c r="FQ278" s="465">
        <v>2</v>
      </c>
      <c r="FR278" s="465">
        <v>2</v>
      </c>
    </row>
    <row r="279" spans="2:174" x14ac:dyDescent="0.2">
      <c r="B279" s="382" t="s">
        <v>164</v>
      </c>
      <c r="C279" s="350" t="s">
        <v>617</v>
      </c>
      <c r="DI279" s="620">
        <v>0</v>
      </c>
      <c r="DJ279" s="620">
        <v>0</v>
      </c>
      <c r="DK279" s="620">
        <v>0</v>
      </c>
      <c r="DL279" s="620">
        <v>0</v>
      </c>
      <c r="DM279" s="694">
        <f>SUM(DI279:DL279)</f>
        <v>0</v>
      </c>
      <c r="DO279" s="620">
        <v>0</v>
      </c>
      <c r="DP279" s="620">
        <v>0</v>
      </c>
      <c r="DQ279" s="620">
        <v>0</v>
      </c>
      <c r="DR279" s="620">
        <v>0</v>
      </c>
      <c r="DS279" s="694">
        <f>SUM(DO279:DR279)</f>
        <v>0</v>
      </c>
      <c r="DU279" s="620">
        <v>0</v>
      </c>
      <c r="DV279" s="620">
        <v>0</v>
      </c>
      <c r="DW279" s="620">
        <v>0</v>
      </c>
      <c r="DX279" s="620">
        <v>0</v>
      </c>
      <c r="DY279" s="694">
        <f>SUM(DU279:DX279)</f>
        <v>0</v>
      </c>
      <c r="EA279" s="620">
        <v>0</v>
      </c>
      <c r="EB279" s="620">
        <v>0</v>
      </c>
      <c r="EC279" s="620">
        <v>0</v>
      </c>
      <c r="ED279" s="620">
        <v>0</v>
      </c>
      <c r="EE279" s="694">
        <f>SUM(EA279:ED279)</f>
        <v>0</v>
      </c>
      <c r="EG279" s="620">
        <v>0</v>
      </c>
      <c r="EH279" s="620">
        <v>0</v>
      </c>
      <c r="EI279" s="620">
        <v>0</v>
      </c>
      <c r="EJ279" s="620">
        <v>0</v>
      </c>
      <c r="EK279" s="450">
        <f t="shared" si="677"/>
        <v>0</v>
      </c>
      <c r="EL279" s="536">
        <v>0</v>
      </c>
      <c r="EM279" s="531"/>
      <c r="EN279" s="296" t="s">
        <v>649</v>
      </c>
      <c r="EO279" s="296"/>
      <c r="FI279" s="310">
        <f t="shared" si="678"/>
        <v>0</v>
      </c>
      <c r="FJ279" s="310">
        <f t="shared" si="679"/>
        <v>0</v>
      </c>
      <c r="FK279" s="310">
        <f>DS279</f>
        <v>0</v>
      </c>
      <c r="FL279" s="310">
        <f>DY279</f>
        <v>0</v>
      </c>
      <c r="FM279" s="310">
        <f>EE279</f>
        <v>0</v>
      </c>
      <c r="FN279" s="373">
        <f t="shared" si="680"/>
        <v>0</v>
      </c>
      <c r="FO279" s="373">
        <f t="shared" si="680"/>
        <v>0</v>
      </c>
      <c r="FP279" s="465">
        <v>0</v>
      </c>
      <c r="FQ279" s="465">
        <v>2</v>
      </c>
      <c r="FR279" s="465">
        <v>2</v>
      </c>
    </row>
    <row r="280" spans="2:174" ht="12" x14ac:dyDescent="0.25">
      <c r="B280" s="590" t="s">
        <v>249</v>
      </c>
      <c r="C280" s="351" t="s">
        <v>617</v>
      </c>
      <c r="DI280" s="591">
        <f>SUM(DI272:DI279)</f>
        <v>0</v>
      </c>
      <c r="DJ280" s="591">
        <f>SUM(DJ272:DJ279)</f>
        <v>0</v>
      </c>
      <c r="DK280" s="591">
        <f>SUM(DK272:DK279)</f>
        <v>0</v>
      </c>
      <c r="DL280" s="591">
        <f>SUM(DL272:DL279)</f>
        <v>0</v>
      </c>
      <c r="DM280" s="747">
        <f>SUM(DM272:DM279)</f>
        <v>0</v>
      </c>
      <c r="DO280" s="591">
        <f>SUM(DO272:DO279)</f>
        <v>0</v>
      </c>
      <c r="DP280" s="591">
        <f>SUM(DP272:DP279)</f>
        <v>0</v>
      </c>
      <c r="DQ280" s="591">
        <f>SUM(DQ272:DQ279)</f>
        <v>0</v>
      </c>
      <c r="DR280" s="591">
        <f>SUM(DR272:DR279)</f>
        <v>0</v>
      </c>
      <c r="DS280" s="747">
        <f>SUM(DS272:DS279)</f>
        <v>0</v>
      </c>
      <c r="DU280" s="591">
        <f>SUM(DU272:DU279)</f>
        <v>0</v>
      </c>
      <c r="DV280" s="591">
        <f>SUM(DV272:DV279)</f>
        <v>0</v>
      </c>
      <c r="DW280" s="591">
        <f>SUM(DW272:DW279)</f>
        <v>0</v>
      </c>
      <c r="DX280" s="591">
        <f>SUM(DX272:DX279)</f>
        <v>0</v>
      </c>
      <c r="DY280" s="747">
        <f>SUM(DY272:DY279)</f>
        <v>0</v>
      </c>
      <c r="EA280" s="591">
        <f>SUM(EA272:EA279)</f>
        <v>0</v>
      </c>
      <c r="EB280" s="591">
        <f>SUM(EB272:EB279)</f>
        <v>0</v>
      </c>
      <c r="EC280" s="591">
        <f>SUM(EC272:EC279)</f>
        <v>1</v>
      </c>
      <c r="ED280" s="591">
        <f>SUM(ED272:ED279)</f>
        <v>1</v>
      </c>
      <c r="EE280" s="747">
        <f>SUM(EE272,EE275:EE279)</f>
        <v>2</v>
      </c>
      <c r="EG280" s="591">
        <f>SUM(EG275:EG279,EG272)</f>
        <v>2</v>
      </c>
      <c r="EH280" s="591">
        <f t="shared" ref="EH280:EJ280" si="681">SUM(EH275:EH279,EH272)</f>
        <v>0</v>
      </c>
      <c r="EI280" s="591">
        <f t="shared" si="681"/>
        <v>2</v>
      </c>
      <c r="EJ280" s="591">
        <f t="shared" si="681"/>
        <v>2</v>
      </c>
      <c r="EK280" s="592">
        <f>SUM(EK272,EK275:EK279)</f>
        <v>6</v>
      </c>
      <c r="EL280" s="592">
        <f>SUM(EL272,EL275:EL279)</f>
        <v>6</v>
      </c>
      <c r="EM280" s="593"/>
      <c r="FI280" s="591">
        <f t="shared" si="678"/>
        <v>0</v>
      </c>
      <c r="FJ280" s="591">
        <f t="shared" si="679"/>
        <v>0</v>
      </c>
      <c r="FK280" s="591">
        <f>SUM(FK272:FK279)</f>
        <v>0</v>
      </c>
      <c r="FL280" s="591">
        <f>SUM(FL272:FL279)</f>
        <v>0</v>
      </c>
      <c r="FM280" s="591">
        <f>SUM(FM272:FM279)</f>
        <v>2</v>
      </c>
      <c r="FN280" s="591">
        <f>SUM(FN272:FN279)</f>
        <v>6</v>
      </c>
      <c r="FO280" s="591">
        <f>SUM(FO272:FO279)</f>
        <v>6</v>
      </c>
      <c r="FP280" s="592">
        <f>SUM(FP272,FP275:FP279)</f>
        <v>8</v>
      </c>
      <c r="FQ280" s="591">
        <f>SUM(FQ272:FQ279)</f>
        <v>20</v>
      </c>
      <c r="FR280" s="591">
        <f>SUM(FR272:FR279)</f>
        <v>24</v>
      </c>
    </row>
    <row r="281" spans="2:174" x14ac:dyDescent="0.2">
      <c r="FP281" s="311"/>
    </row>
    <row r="282" spans="2:174" x14ac:dyDescent="0.2">
      <c r="FP282" s="311"/>
    </row>
    <row r="283" spans="2:174" x14ac:dyDescent="0.2">
      <c r="B283" s="588" t="s">
        <v>634</v>
      </c>
      <c r="FP283" s="311"/>
    </row>
    <row r="284" spans="2:174" x14ac:dyDescent="0.2">
      <c r="B284" s="311" t="s">
        <v>581</v>
      </c>
      <c r="C284" s="322"/>
      <c r="DY284" s="694">
        <f>SUM(DU284:DX284)</f>
        <v>0</v>
      </c>
      <c r="EA284" s="310">
        <f>EA$314*EA272</f>
        <v>0</v>
      </c>
      <c r="EB284" s="310">
        <f>EB$314*EB272</f>
        <v>0</v>
      </c>
      <c r="EC284" s="310">
        <f>EC$314*EC272</f>
        <v>360</v>
      </c>
      <c r="ED284" s="310">
        <f>ED$314*ED272</f>
        <v>0</v>
      </c>
      <c r="EE284" s="694">
        <f>SUM(EA284:ED284)</f>
        <v>360</v>
      </c>
      <c r="EG284" s="310">
        <f t="shared" ref="EG284:EJ291" si="682">EG$314*EG272</f>
        <v>0</v>
      </c>
      <c r="EH284" s="310">
        <f t="shared" si="682"/>
        <v>0</v>
      </c>
      <c r="EI284" s="310">
        <f t="shared" si="682"/>
        <v>0</v>
      </c>
      <c r="EJ284" s="310">
        <f t="shared" si="682"/>
        <v>0</v>
      </c>
      <c r="EK284" s="450">
        <f t="shared" ref="EK284:EK291" si="683">SUM(EG284:EJ284)</f>
        <v>0</v>
      </c>
      <c r="EL284" s="450">
        <f t="shared" ref="EL284:EL291" si="684">EL$314*EL272</f>
        <v>365</v>
      </c>
      <c r="EM284" s="451"/>
      <c r="FI284" s="310">
        <f t="shared" ref="FI284:FI292" si="685">DG284</f>
        <v>0</v>
      </c>
      <c r="FJ284" s="310">
        <f t="shared" ref="FJ284:FJ292" si="686">DM284</f>
        <v>0</v>
      </c>
      <c r="FK284" s="310">
        <f t="shared" ref="FK284:FK291" si="687">DS284</f>
        <v>0</v>
      </c>
      <c r="FL284" s="310">
        <f t="shared" ref="FL284:FL291" si="688">DY284</f>
        <v>0</v>
      </c>
      <c r="FM284" s="310">
        <f t="shared" ref="FM284:FM291" si="689">EE284</f>
        <v>360</v>
      </c>
      <c r="FN284" s="373">
        <f t="shared" ref="FN284:FO291" si="690">EK284</f>
        <v>0</v>
      </c>
      <c r="FO284" s="373">
        <f t="shared" si="690"/>
        <v>365</v>
      </c>
      <c r="FP284" s="310">
        <f>FP$314*FP272</f>
        <v>360</v>
      </c>
      <c r="FQ284" s="310">
        <f>FQ$314*FQ272</f>
        <v>3040</v>
      </c>
      <c r="FR284" s="310">
        <f>FR$314*FR272</f>
        <v>3080</v>
      </c>
    </row>
    <row r="285" spans="2:174" x14ac:dyDescent="0.2">
      <c r="B285" s="325" t="s">
        <v>687</v>
      </c>
      <c r="C285" s="322"/>
      <c r="DY285" s="694"/>
      <c r="EA285" s="310"/>
      <c r="EB285" s="310"/>
      <c r="EC285" s="310"/>
      <c r="ED285" s="310"/>
      <c r="EE285" s="694"/>
      <c r="EG285" s="310">
        <f t="shared" si="682"/>
        <v>0</v>
      </c>
      <c r="EH285" s="310">
        <f t="shared" si="682"/>
        <v>0</v>
      </c>
      <c r="EI285" s="310">
        <f t="shared" si="682"/>
        <v>0</v>
      </c>
      <c r="EJ285" s="310">
        <f t="shared" si="682"/>
        <v>360</v>
      </c>
      <c r="EK285" s="450">
        <f t="shared" si="683"/>
        <v>360</v>
      </c>
      <c r="EL285" s="450">
        <f t="shared" si="684"/>
        <v>0</v>
      </c>
      <c r="EM285" s="451"/>
      <c r="FI285" s="310">
        <f t="shared" si="685"/>
        <v>0</v>
      </c>
      <c r="FJ285" s="310">
        <f t="shared" si="686"/>
        <v>0</v>
      </c>
      <c r="FK285" s="310">
        <f t="shared" si="687"/>
        <v>0</v>
      </c>
      <c r="FL285" s="310">
        <f t="shared" si="688"/>
        <v>0</v>
      </c>
      <c r="FM285" s="310">
        <f t="shared" si="689"/>
        <v>0</v>
      </c>
      <c r="FN285" s="373">
        <f t="shared" si="690"/>
        <v>360</v>
      </c>
      <c r="FO285" s="373">
        <f t="shared" si="690"/>
        <v>0</v>
      </c>
      <c r="FP285" s="310">
        <f t="shared" ref="FP285:FP291" si="691">FP$314*FP273</f>
        <v>360</v>
      </c>
      <c r="FQ285" s="310"/>
      <c r="FR285" s="310"/>
    </row>
    <row r="286" spans="2:174" x14ac:dyDescent="0.2">
      <c r="B286" s="325" t="s">
        <v>688</v>
      </c>
      <c r="C286" s="322"/>
      <c r="DY286" s="694"/>
      <c r="EA286" s="310"/>
      <c r="EB286" s="310"/>
      <c r="EC286" s="310"/>
      <c r="ED286" s="310"/>
      <c r="EE286" s="694"/>
      <c r="EG286" s="310">
        <f t="shared" si="682"/>
        <v>0</v>
      </c>
      <c r="EH286" s="310">
        <f t="shared" si="682"/>
        <v>0</v>
      </c>
      <c r="EI286" s="310">
        <f t="shared" si="682"/>
        <v>360</v>
      </c>
      <c r="EJ286" s="310">
        <f t="shared" si="682"/>
        <v>0</v>
      </c>
      <c r="EK286" s="450">
        <f t="shared" si="683"/>
        <v>360</v>
      </c>
      <c r="EL286" s="450">
        <f t="shared" si="684"/>
        <v>365</v>
      </c>
      <c r="EM286" s="451"/>
      <c r="FI286" s="310">
        <f t="shared" si="685"/>
        <v>0</v>
      </c>
      <c r="FJ286" s="310">
        <f t="shared" si="686"/>
        <v>0</v>
      </c>
      <c r="FK286" s="310">
        <f t="shared" si="687"/>
        <v>0</v>
      </c>
      <c r="FL286" s="310">
        <f t="shared" si="688"/>
        <v>0</v>
      </c>
      <c r="FM286" s="310">
        <f t="shared" si="689"/>
        <v>0</v>
      </c>
      <c r="FN286" s="373">
        <f t="shared" si="690"/>
        <v>360</v>
      </c>
      <c r="FO286" s="373">
        <f t="shared" si="690"/>
        <v>365</v>
      </c>
      <c r="FP286" s="310">
        <f t="shared" si="691"/>
        <v>720</v>
      </c>
      <c r="FQ286" s="310"/>
      <c r="FR286" s="310"/>
    </row>
    <row r="287" spans="2:174" x14ac:dyDescent="0.2">
      <c r="B287" s="311" t="s">
        <v>582</v>
      </c>
      <c r="C287" s="322"/>
      <c r="DY287" s="694">
        <f>SUM(DU287:DX287)</f>
        <v>0</v>
      </c>
      <c r="EA287" s="310">
        <f t="shared" ref="EA287:ED291" si="692">EA$314*EA275</f>
        <v>0</v>
      </c>
      <c r="EB287" s="310">
        <f t="shared" si="692"/>
        <v>0</v>
      </c>
      <c r="EC287" s="310">
        <f t="shared" si="692"/>
        <v>0</v>
      </c>
      <c r="ED287" s="310">
        <f t="shared" si="692"/>
        <v>360</v>
      </c>
      <c r="EE287" s="694">
        <f>SUM(EA287:ED287)</f>
        <v>360</v>
      </c>
      <c r="EG287" s="310">
        <f t="shared" si="682"/>
        <v>0</v>
      </c>
      <c r="EH287" s="310">
        <f t="shared" si="682"/>
        <v>0</v>
      </c>
      <c r="EI287" s="310">
        <f t="shared" si="682"/>
        <v>360</v>
      </c>
      <c r="EJ287" s="310">
        <f t="shared" si="682"/>
        <v>360</v>
      </c>
      <c r="EK287" s="450">
        <f t="shared" si="683"/>
        <v>720</v>
      </c>
      <c r="EL287" s="450">
        <f t="shared" si="684"/>
        <v>365</v>
      </c>
      <c r="EM287" s="451"/>
      <c r="FI287" s="310">
        <f t="shared" si="685"/>
        <v>0</v>
      </c>
      <c r="FJ287" s="310">
        <f t="shared" si="686"/>
        <v>0</v>
      </c>
      <c r="FK287" s="310">
        <f t="shared" si="687"/>
        <v>0</v>
      </c>
      <c r="FL287" s="310">
        <f t="shared" si="688"/>
        <v>0</v>
      </c>
      <c r="FM287" s="310">
        <f t="shared" si="689"/>
        <v>360</v>
      </c>
      <c r="FN287" s="373">
        <f t="shared" si="690"/>
        <v>720</v>
      </c>
      <c r="FO287" s="373">
        <f t="shared" si="690"/>
        <v>365</v>
      </c>
      <c r="FP287" s="310">
        <f t="shared" si="691"/>
        <v>1080</v>
      </c>
      <c r="FQ287" s="310">
        <f t="shared" ref="FQ287:FR291" si="693">FQ$314*FQ275</f>
        <v>1140</v>
      </c>
      <c r="FR287" s="310">
        <f t="shared" si="693"/>
        <v>2695</v>
      </c>
    </row>
    <row r="288" spans="2:174" x14ac:dyDescent="0.2">
      <c r="B288" s="311" t="s">
        <v>583</v>
      </c>
      <c r="C288" s="322"/>
      <c r="DY288" s="694">
        <f>SUM(DU288:DX288)</f>
        <v>0</v>
      </c>
      <c r="EA288" s="310">
        <f t="shared" si="692"/>
        <v>0</v>
      </c>
      <c r="EB288" s="310">
        <f t="shared" si="692"/>
        <v>0</v>
      </c>
      <c r="EC288" s="310">
        <f t="shared" si="692"/>
        <v>0</v>
      </c>
      <c r="ED288" s="310">
        <f t="shared" si="692"/>
        <v>0</v>
      </c>
      <c r="EE288" s="694">
        <f>SUM(EA288:ED288)</f>
        <v>0</v>
      </c>
      <c r="EG288" s="310">
        <f t="shared" si="682"/>
        <v>360</v>
      </c>
      <c r="EH288" s="310">
        <f t="shared" si="682"/>
        <v>0</v>
      </c>
      <c r="EI288" s="310">
        <f t="shared" si="682"/>
        <v>360</v>
      </c>
      <c r="EJ288" s="310">
        <f t="shared" si="682"/>
        <v>0</v>
      </c>
      <c r="EK288" s="450">
        <f t="shared" si="683"/>
        <v>720</v>
      </c>
      <c r="EL288" s="450">
        <f t="shared" si="684"/>
        <v>730</v>
      </c>
      <c r="EM288" s="451"/>
      <c r="FI288" s="310">
        <f t="shared" si="685"/>
        <v>0</v>
      </c>
      <c r="FJ288" s="310">
        <f t="shared" si="686"/>
        <v>0</v>
      </c>
      <c r="FK288" s="310">
        <f t="shared" si="687"/>
        <v>0</v>
      </c>
      <c r="FL288" s="310">
        <f t="shared" si="688"/>
        <v>0</v>
      </c>
      <c r="FM288" s="310">
        <f t="shared" si="689"/>
        <v>0</v>
      </c>
      <c r="FN288" s="373">
        <f t="shared" si="690"/>
        <v>720</v>
      </c>
      <c r="FO288" s="373">
        <f t="shared" si="690"/>
        <v>730</v>
      </c>
      <c r="FP288" s="310">
        <f t="shared" si="691"/>
        <v>720</v>
      </c>
      <c r="FQ288" s="310">
        <f t="shared" si="693"/>
        <v>760</v>
      </c>
      <c r="FR288" s="310">
        <f t="shared" si="693"/>
        <v>770</v>
      </c>
    </row>
    <row r="289" spans="2:174" x14ac:dyDescent="0.2">
      <c r="B289" s="311" t="s">
        <v>585</v>
      </c>
      <c r="C289" s="322"/>
      <c r="DY289" s="694">
        <f>SUM(DU289:DX289)</f>
        <v>0</v>
      </c>
      <c r="EA289" s="310">
        <f t="shared" si="692"/>
        <v>0</v>
      </c>
      <c r="EB289" s="310">
        <f t="shared" si="692"/>
        <v>0</v>
      </c>
      <c r="EC289" s="310">
        <f t="shared" si="692"/>
        <v>0</v>
      </c>
      <c r="ED289" s="310">
        <f t="shared" si="692"/>
        <v>0</v>
      </c>
      <c r="EE289" s="694">
        <f>SUM(EA289:ED289)</f>
        <v>0</v>
      </c>
      <c r="EG289" s="310">
        <f t="shared" si="682"/>
        <v>0</v>
      </c>
      <c r="EH289" s="310">
        <f t="shared" si="682"/>
        <v>0</v>
      </c>
      <c r="EI289" s="310">
        <f t="shared" si="682"/>
        <v>0</v>
      </c>
      <c r="EJ289" s="310">
        <f t="shared" si="682"/>
        <v>360</v>
      </c>
      <c r="EK289" s="450">
        <f t="shared" si="683"/>
        <v>360</v>
      </c>
      <c r="EL289" s="450">
        <f t="shared" si="684"/>
        <v>365</v>
      </c>
      <c r="EM289" s="451"/>
      <c r="FI289" s="310">
        <f t="shared" si="685"/>
        <v>0</v>
      </c>
      <c r="FJ289" s="310">
        <f t="shared" si="686"/>
        <v>0</v>
      </c>
      <c r="FK289" s="310">
        <f t="shared" si="687"/>
        <v>0</v>
      </c>
      <c r="FL289" s="310">
        <f t="shared" si="688"/>
        <v>0</v>
      </c>
      <c r="FM289" s="310">
        <f t="shared" si="689"/>
        <v>0</v>
      </c>
      <c r="FN289" s="373">
        <f t="shared" si="690"/>
        <v>360</v>
      </c>
      <c r="FO289" s="373">
        <f t="shared" si="690"/>
        <v>365</v>
      </c>
      <c r="FP289" s="310">
        <f t="shared" si="691"/>
        <v>360</v>
      </c>
      <c r="FQ289" s="310">
        <f t="shared" si="693"/>
        <v>1140</v>
      </c>
      <c r="FR289" s="310">
        <f t="shared" si="693"/>
        <v>1155</v>
      </c>
    </row>
    <row r="290" spans="2:174" x14ac:dyDescent="0.2">
      <c r="B290" s="311" t="s">
        <v>584</v>
      </c>
      <c r="C290" s="322"/>
      <c r="DY290" s="694">
        <f>SUM(DU290:DX290)</f>
        <v>0</v>
      </c>
      <c r="EA290" s="310">
        <f t="shared" si="692"/>
        <v>0</v>
      </c>
      <c r="EB290" s="310">
        <f t="shared" si="692"/>
        <v>0</v>
      </c>
      <c r="EC290" s="310">
        <f t="shared" si="692"/>
        <v>0</v>
      </c>
      <c r="ED290" s="310">
        <f t="shared" si="692"/>
        <v>0</v>
      </c>
      <c r="EE290" s="694">
        <f>SUM(EA290:ED290)</f>
        <v>0</v>
      </c>
      <c r="EG290" s="310">
        <f t="shared" si="682"/>
        <v>360</v>
      </c>
      <c r="EH290" s="310">
        <f t="shared" si="682"/>
        <v>0</v>
      </c>
      <c r="EI290" s="310">
        <f t="shared" si="682"/>
        <v>0</v>
      </c>
      <c r="EJ290" s="310">
        <f t="shared" si="682"/>
        <v>0</v>
      </c>
      <c r="EK290" s="450">
        <f t="shared" si="683"/>
        <v>360</v>
      </c>
      <c r="EL290" s="450">
        <f t="shared" si="684"/>
        <v>365</v>
      </c>
      <c r="EM290" s="451"/>
      <c r="FI290" s="310">
        <f t="shared" si="685"/>
        <v>0</v>
      </c>
      <c r="FJ290" s="310">
        <f t="shared" si="686"/>
        <v>0</v>
      </c>
      <c r="FK290" s="310">
        <f t="shared" si="687"/>
        <v>0</v>
      </c>
      <c r="FL290" s="310">
        <f t="shared" si="688"/>
        <v>0</v>
      </c>
      <c r="FM290" s="310">
        <f t="shared" si="689"/>
        <v>0</v>
      </c>
      <c r="FN290" s="373">
        <f t="shared" si="690"/>
        <v>360</v>
      </c>
      <c r="FO290" s="373">
        <f t="shared" si="690"/>
        <v>365</v>
      </c>
      <c r="FP290" s="310">
        <f t="shared" si="691"/>
        <v>360</v>
      </c>
      <c r="FQ290" s="310">
        <f t="shared" si="693"/>
        <v>760</v>
      </c>
      <c r="FR290" s="310">
        <f t="shared" si="693"/>
        <v>770</v>
      </c>
    </row>
    <row r="291" spans="2:174" x14ac:dyDescent="0.2">
      <c r="B291" s="311" t="s">
        <v>164</v>
      </c>
      <c r="C291" s="322"/>
      <c r="DY291" s="694">
        <f>SUM(DU291:DX291)</f>
        <v>0</v>
      </c>
      <c r="EA291" s="310">
        <f t="shared" si="692"/>
        <v>0</v>
      </c>
      <c r="EB291" s="310">
        <f t="shared" si="692"/>
        <v>0</v>
      </c>
      <c r="EC291" s="310">
        <f t="shared" si="692"/>
        <v>0</v>
      </c>
      <c r="ED291" s="310">
        <f t="shared" si="692"/>
        <v>0</v>
      </c>
      <c r="EE291" s="694">
        <f>SUM(EA291:ED291)</f>
        <v>0</v>
      </c>
      <c r="EG291" s="310">
        <f t="shared" si="682"/>
        <v>0</v>
      </c>
      <c r="EH291" s="310">
        <f t="shared" si="682"/>
        <v>0</v>
      </c>
      <c r="EI291" s="310">
        <f t="shared" si="682"/>
        <v>0</v>
      </c>
      <c r="EJ291" s="310">
        <f t="shared" si="682"/>
        <v>0</v>
      </c>
      <c r="EK291" s="450">
        <f t="shared" si="683"/>
        <v>0</v>
      </c>
      <c r="EL291" s="450">
        <f t="shared" si="684"/>
        <v>0</v>
      </c>
      <c r="EM291" s="451"/>
      <c r="FI291" s="310">
        <f t="shared" si="685"/>
        <v>0</v>
      </c>
      <c r="FJ291" s="310">
        <f t="shared" si="686"/>
        <v>0</v>
      </c>
      <c r="FK291" s="310">
        <f t="shared" si="687"/>
        <v>0</v>
      </c>
      <c r="FL291" s="310">
        <f t="shared" si="688"/>
        <v>0</v>
      </c>
      <c r="FM291" s="310">
        <f t="shared" si="689"/>
        <v>0</v>
      </c>
      <c r="FN291" s="373">
        <f t="shared" si="690"/>
        <v>0</v>
      </c>
      <c r="FO291" s="373">
        <f t="shared" si="690"/>
        <v>0</v>
      </c>
      <c r="FP291" s="310">
        <f t="shared" si="691"/>
        <v>0</v>
      </c>
      <c r="FQ291" s="310">
        <f t="shared" si="693"/>
        <v>760</v>
      </c>
      <c r="FR291" s="310">
        <f t="shared" si="693"/>
        <v>770</v>
      </c>
    </row>
    <row r="292" spans="2:174" ht="12" x14ac:dyDescent="0.25">
      <c r="B292" s="590" t="s">
        <v>249</v>
      </c>
      <c r="C292" s="351"/>
      <c r="DU292" s="591">
        <f t="shared" ref="DU292" si="694">SUM(DU284,DU287:DU291)</f>
        <v>0</v>
      </c>
      <c r="DV292" s="591">
        <f t="shared" ref="DV292" si="695">SUM(DV284,DV287:DV291)</f>
        <v>0</v>
      </c>
      <c r="DW292" s="591">
        <f>SUM(DW284,DW287:DW291)</f>
        <v>0</v>
      </c>
      <c r="DX292" s="591">
        <f>SUM(DX284,DX287:DX291)</f>
        <v>0</v>
      </c>
      <c r="DY292" s="747">
        <f>SUM(DY284,DY287:DY291)</f>
        <v>0</v>
      </c>
      <c r="EA292" s="591">
        <f t="shared" ref="EA292" si="696">SUM(EA284,EA287:EA291)</f>
        <v>0</v>
      </c>
      <c r="EB292" s="591">
        <f t="shared" ref="EB292" si="697">SUM(EB284,EB287:EB291)</f>
        <v>0</v>
      </c>
      <c r="EC292" s="591">
        <f>SUM(EC284,EC287:EC291)</f>
        <v>360</v>
      </c>
      <c r="ED292" s="591">
        <f>SUM(ED284,ED287:ED291)</f>
        <v>360</v>
      </c>
      <c r="EE292" s="747">
        <f>SUM(EE284,EE287:EE291)</f>
        <v>720</v>
      </c>
      <c r="EG292" s="591">
        <f t="shared" ref="EG292:EH292" si="698">SUM(EG284,EG287:EG291)</f>
        <v>720</v>
      </c>
      <c r="EH292" s="591">
        <f t="shared" si="698"/>
        <v>0</v>
      </c>
      <c r="EI292" s="591">
        <f>SUM(EI284,EI287:EI291)</f>
        <v>720</v>
      </c>
      <c r="EJ292" s="591">
        <f>SUM(EJ284,EJ287:EJ291)</f>
        <v>720</v>
      </c>
      <c r="EK292" s="592">
        <f>SUM(EK284,EK287:EK291)</f>
        <v>2160</v>
      </c>
      <c r="EL292" s="592">
        <f>SUM(EL284,EL287:EL291)</f>
        <v>2190</v>
      </c>
      <c r="EM292" s="593"/>
      <c r="FI292" s="591">
        <f t="shared" si="685"/>
        <v>0</v>
      </c>
      <c r="FJ292" s="591">
        <f t="shared" si="686"/>
        <v>0</v>
      </c>
      <c r="FK292" s="591">
        <f>SUM(FK284:FK291)</f>
        <v>0</v>
      </c>
      <c r="FL292" s="591">
        <f>SUM(FL284:FL291)</f>
        <v>0</v>
      </c>
      <c r="FM292" s="591">
        <f>SUM(FM284:FM291)</f>
        <v>720</v>
      </c>
      <c r="FN292" s="591">
        <f>SUM(FN284:FN291)</f>
        <v>2880</v>
      </c>
      <c r="FO292" s="591">
        <f>SUM(FO284:FO291)</f>
        <v>2555</v>
      </c>
      <c r="FP292" s="592">
        <f>SUM(FP284,FP287:FP291)</f>
        <v>2880</v>
      </c>
      <c r="FQ292" s="591">
        <f>SUM(FQ284:FQ291)</f>
        <v>7600</v>
      </c>
      <c r="FR292" s="591">
        <f>SUM(FR284:FR291)</f>
        <v>9240</v>
      </c>
    </row>
    <row r="293" spans="2:174" x14ac:dyDescent="0.2">
      <c r="FP293" s="311"/>
    </row>
    <row r="294" spans="2:174" x14ac:dyDescent="0.2">
      <c r="FP294" s="311"/>
    </row>
    <row r="295" spans="2:174" x14ac:dyDescent="0.2">
      <c r="B295" s="588" t="s">
        <v>627</v>
      </c>
      <c r="FP295" s="311"/>
    </row>
    <row r="296" spans="2:174" x14ac:dyDescent="0.2">
      <c r="B296" s="311" t="s">
        <v>581</v>
      </c>
      <c r="C296" s="322" t="s">
        <v>617</v>
      </c>
      <c r="DP296" s="357"/>
      <c r="DR296" s="465">
        <v>0</v>
      </c>
      <c r="DS296" s="694">
        <f t="shared" ref="DS296:DS301" si="699">DR296</f>
        <v>0</v>
      </c>
      <c r="DU296" s="373">
        <f>DR296+DU262-DU272</f>
        <v>0</v>
      </c>
      <c r="DV296" s="373">
        <f>DU296+DV262-DV272</f>
        <v>0</v>
      </c>
      <c r="DW296" s="373">
        <f>DV296+DW262-DW272</f>
        <v>0</v>
      </c>
      <c r="DX296" s="373">
        <f>DW296+DX262-DX272</f>
        <v>0</v>
      </c>
      <c r="DY296" s="694">
        <f t="shared" ref="DY296:DY301" si="700">DX296</f>
        <v>0</v>
      </c>
      <c r="EA296" s="373">
        <f>DX296+EA262-EA272</f>
        <v>0</v>
      </c>
      <c r="EB296" s="373">
        <f>EA296+EB262-EB272</f>
        <v>1</v>
      </c>
      <c r="EC296" s="373">
        <f>EB296+EC262-EC272</f>
        <v>0</v>
      </c>
      <c r="ED296" s="373">
        <f>EC296+ED262-ED272</f>
        <v>0</v>
      </c>
      <c r="EE296" s="694">
        <f t="shared" ref="EE296:EE301" si="701">ED296</f>
        <v>0</v>
      </c>
      <c r="EG296" s="373">
        <f>ED296+EG262-EG272</f>
        <v>0</v>
      </c>
      <c r="EH296" s="373">
        <f>EG296+EH262-EH272</f>
        <v>0</v>
      </c>
      <c r="EI296" s="373">
        <f>EH296+EI262-EI272</f>
        <v>1</v>
      </c>
      <c r="EJ296" s="373">
        <f>EI296+EJ262-EJ272</f>
        <v>4</v>
      </c>
      <c r="EK296" s="450">
        <f t="shared" ref="EK296:EK301" si="702">EJ296</f>
        <v>4</v>
      </c>
      <c r="EL296" s="601">
        <f>FN296+EL262-EL272</f>
        <v>7</v>
      </c>
      <c r="EM296" s="485"/>
      <c r="FI296" s="310">
        <f t="shared" ref="FI296:FI302" si="703">DG296</f>
        <v>0</v>
      </c>
      <c r="FJ296" s="310">
        <f t="shared" ref="FJ296:FJ302" si="704">DM296</f>
        <v>0</v>
      </c>
      <c r="FK296" s="310">
        <f t="shared" ref="FK296:FK301" si="705">DS296</f>
        <v>0</v>
      </c>
      <c r="FL296" s="310">
        <f t="shared" ref="FL296:FL301" si="706">DY296</f>
        <v>0</v>
      </c>
      <c r="FM296" s="310">
        <f t="shared" ref="FM296:FM301" si="707">EE296</f>
        <v>0</v>
      </c>
      <c r="FN296" s="373">
        <f t="shared" ref="FN296:FO301" si="708">EK296</f>
        <v>4</v>
      </c>
      <c r="FO296" s="373">
        <f t="shared" si="708"/>
        <v>7</v>
      </c>
      <c r="FP296" s="373">
        <f>GR296+FP262-FP272</f>
        <v>3</v>
      </c>
      <c r="FQ296" s="373">
        <f>FP296+FQ262-FQ272</f>
        <v>5</v>
      </c>
      <c r="FR296" s="373">
        <f>FQ296+FR262-FR272</f>
        <v>2</v>
      </c>
    </row>
    <row r="297" spans="2:174" x14ac:dyDescent="0.2">
      <c r="B297" s="311" t="s">
        <v>582</v>
      </c>
      <c r="C297" s="322" t="s">
        <v>617</v>
      </c>
      <c r="DP297" s="357"/>
      <c r="DR297" s="465">
        <v>3</v>
      </c>
      <c r="DS297" s="694">
        <f t="shared" si="699"/>
        <v>3</v>
      </c>
      <c r="DU297" s="373">
        <f>DR297+DU263-DU275</f>
        <v>3</v>
      </c>
      <c r="DV297" s="373">
        <f t="shared" ref="DV297:DX301" si="709">DU297+DV263-DV275</f>
        <v>3</v>
      </c>
      <c r="DW297" s="373">
        <f t="shared" si="709"/>
        <v>3</v>
      </c>
      <c r="DX297" s="373">
        <f t="shared" si="709"/>
        <v>3</v>
      </c>
      <c r="DY297" s="694">
        <f t="shared" si="700"/>
        <v>3</v>
      </c>
      <c r="EA297" s="373">
        <f>DX297+EA263-EA275</f>
        <v>3</v>
      </c>
      <c r="EB297" s="373">
        <f t="shared" ref="EB297:ED301" si="710">EA297+EB263-EB275</f>
        <v>3</v>
      </c>
      <c r="EC297" s="373">
        <f t="shared" si="710"/>
        <v>3</v>
      </c>
      <c r="ED297" s="373">
        <f t="shared" si="710"/>
        <v>2</v>
      </c>
      <c r="EE297" s="694">
        <f t="shared" si="701"/>
        <v>2</v>
      </c>
      <c r="EG297" s="373">
        <f>ED297+EG263-EG275</f>
        <v>2</v>
      </c>
      <c r="EH297" s="373">
        <f t="shared" ref="EH297:EJ301" si="711">EG297+EH263-EH275</f>
        <v>2</v>
      </c>
      <c r="EI297" s="373">
        <f t="shared" si="711"/>
        <v>2</v>
      </c>
      <c r="EJ297" s="373">
        <f t="shared" si="711"/>
        <v>1</v>
      </c>
      <c r="EK297" s="450">
        <f t="shared" si="702"/>
        <v>1</v>
      </c>
      <c r="EL297" s="601">
        <f>FN297+EL263-EL275</f>
        <v>3</v>
      </c>
      <c r="EM297" s="485"/>
      <c r="FI297" s="310">
        <f t="shared" si="703"/>
        <v>0</v>
      </c>
      <c r="FJ297" s="310">
        <f t="shared" si="704"/>
        <v>0</v>
      </c>
      <c r="FK297" s="310">
        <f t="shared" si="705"/>
        <v>3</v>
      </c>
      <c r="FL297" s="310">
        <f t="shared" si="706"/>
        <v>3</v>
      </c>
      <c r="FM297" s="310">
        <f t="shared" si="707"/>
        <v>2</v>
      </c>
      <c r="FN297" s="373">
        <f t="shared" si="708"/>
        <v>1</v>
      </c>
      <c r="FO297" s="373">
        <f t="shared" si="708"/>
        <v>3</v>
      </c>
      <c r="FP297" s="373">
        <f>GR297+FP263-FP275</f>
        <v>0</v>
      </c>
      <c r="FQ297" s="373">
        <f t="shared" ref="FQ297:FR301" si="712">FP297+FQ263-FQ275</f>
        <v>7</v>
      </c>
      <c r="FR297" s="373">
        <f t="shared" si="712"/>
        <v>5</v>
      </c>
    </row>
    <row r="298" spans="2:174" x14ac:dyDescent="0.2">
      <c r="B298" s="311" t="s">
        <v>583</v>
      </c>
      <c r="C298" s="322" t="s">
        <v>617</v>
      </c>
      <c r="DP298" s="357"/>
      <c r="DR298" s="465">
        <v>5</v>
      </c>
      <c r="DS298" s="694">
        <f t="shared" si="699"/>
        <v>5</v>
      </c>
      <c r="DU298" s="373">
        <f>DR298+DU264-DU276</f>
        <v>5</v>
      </c>
      <c r="DV298" s="373">
        <f t="shared" si="709"/>
        <v>5</v>
      </c>
      <c r="DW298" s="373">
        <f t="shared" si="709"/>
        <v>5</v>
      </c>
      <c r="DX298" s="373">
        <f t="shared" si="709"/>
        <v>5</v>
      </c>
      <c r="DY298" s="694">
        <f t="shared" si="700"/>
        <v>5</v>
      </c>
      <c r="EA298" s="373">
        <f>DX298+EA264-EA276</f>
        <v>5</v>
      </c>
      <c r="EB298" s="373">
        <f t="shared" si="710"/>
        <v>5</v>
      </c>
      <c r="EC298" s="373">
        <f t="shared" si="710"/>
        <v>5</v>
      </c>
      <c r="ED298" s="373">
        <f t="shared" si="710"/>
        <v>5</v>
      </c>
      <c r="EE298" s="694">
        <f t="shared" si="701"/>
        <v>5</v>
      </c>
      <c r="EG298" s="373">
        <f>ED298+EG264-EG276</f>
        <v>4</v>
      </c>
      <c r="EH298" s="373">
        <f t="shared" si="711"/>
        <v>4</v>
      </c>
      <c r="EI298" s="373">
        <f t="shared" si="711"/>
        <v>3</v>
      </c>
      <c r="EJ298" s="373">
        <f t="shared" si="711"/>
        <v>3</v>
      </c>
      <c r="EK298" s="450">
        <f t="shared" si="702"/>
        <v>3</v>
      </c>
      <c r="EL298" s="601">
        <f>FN298+EL264-EL276</f>
        <v>1</v>
      </c>
      <c r="EM298" s="485"/>
      <c r="FI298" s="310">
        <f t="shared" si="703"/>
        <v>0</v>
      </c>
      <c r="FJ298" s="310">
        <f t="shared" si="704"/>
        <v>0</v>
      </c>
      <c r="FK298" s="310">
        <f t="shared" si="705"/>
        <v>5</v>
      </c>
      <c r="FL298" s="310">
        <f t="shared" si="706"/>
        <v>5</v>
      </c>
      <c r="FM298" s="310">
        <f t="shared" si="707"/>
        <v>5</v>
      </c>
      <c r="FN298" s="373">
        <f t="shared" si="708"/>
        <v>3</v>
      </c>
      <c r="FO298" s="373">
        <f t="shared" si="708"/>
        <v>1</v>
      </c>
      <c r="FP298" s="373">
        <f>GR298+FP264-FP276</f>
        <v>-2</v>
      </c>
      <c r="FQ298" s="373">
        <f t="shared" si="712"/>
        <v>-2</v>
      </c>
      <c r="FR298" s="373">
        <f t="shared" si="712"/>
        <v>-3</v>
      </c>
    </row>
    <row r="299" spans="2:174" x14ac:dyDescent="0.2">
      <c r="B299" s="311" t="s">
        <v>585</v>
      </c>
      <c r="C299" s="322" t="s">
        <v>617</v>
      </c>
      <c r="DP299" s="357"/>
      <c r="DR299" s="465">
        <v>1</v>
      </c>
      <c r="DS299" s="694">
        <f t="shared" si="699"/>
        <v>1</v>
      </c>
      <c r="DU299" s="373">
        <f>DR299+DU265-DU277</f>
        <v>1</v>
      </c>
      <c r="DV299" s="373">
        <f t="shared" si="709"/>
        <v>2</v>
      </c>
      <c r="DW299" s="373">
        <f t="shared" si="709"/>
        <v>2</v>
      </c>
      <c r="DX299" s="373">
        <f t="shared" si="709"/>
        <v>2</v>
      </c>
      <c r="DY299" s="694">
        <f t="shared" si="700"/>
        <v>2</v>
      </c>
      <c r="EA299" s="373">
        <f>DX299+EA265-EA277</f>
        <v>2</v>
      </c>
      <c r="EB299" s="373">
        <f t="shared" si="710"/>
        <v>2</v>
      </c>
      <c r="EC299" s="373">
        <f t="shared" si="710"/>
        <v>2</v>
      </c>
      <c r="ED299" s="373">
        <f t="shared" si="710"/>
        <v>2</v>
      </c>
      <c r="EE299" s="694">
        <f t="shared" si="701"/>
        <v>2</v>
      </c>
      <c r="EG299" s="373">
        <f>ED299+EG265-EG277</f>
        <v>2</v>
      </c>
      <c r="EH299" s="373">
        <f t="shared" si="711"/>
        <v>2</v>
      </c>
      <c r="EI299" s="373">
        <f t="shared" si="711"/>
        <v>2</v>
      </c>
      <c r="EJ299" s="373">
        <f t="shared" si="711"/>
        <v>2</v>
      </c>
      <c r="EK299" s="450">
        <f t="shared" si="702"/>
        <v>2</v>
      </c>
      <c r="EL299" s="601">
        <f>FN299+EL265-EL277</f>
        <v>3</v>
      </c>
      <c r="EM299" s="485"/>
      <c r="FI299" s="310">
        <f t="shared" si="703"/>
        <v>0</v>
      </c>
      <c r="FJ299" s="310">
        <f t="shared" si="704"/>
        <v>0</v>
      </c>
      <c r="FK299" s="310">
        <f t="shared" si="705"/>
        <v>1</v>
      </c>
      <c r="FL299" s="310">
        <f t="shared" si="706"/>
        <v>2</v>
      </c>
      <c r="FM299" s="310">
        <f t="shared" si="707"/>
        <v>2</v>
      </c>
      <c r="FN299" s="373">
        <f t="shared" si="708"/>
        <v>2</v>
      </c>
      <c r="FO299" s="373">
        <f t="shared" si="708"/>
        <v>3</v>
      </c>
      <c r="FP299" s="373">
        <f>GR299+FP265-FP277</f>
        <v>1</v>
      </c>
      <c r="FQ299" s="373">
        <f t="shared" si="712"/>
        <v>0</v>
      </c>
      <c r="FR299" s="373">
        <f t="shared" si="712"/>
        <v>0</v>
      </c>
    </row>
    <row r="300" spans="2:174" x14ac:dyDescent="0.2">
      <c r="B300" s="311" t="s">
        <v>584</v>
      </c>
      <c r="C300" s="322" t="s">
        <v>617</v>
      </c>
      <c r="DP300" s="357"/>
      <c r="DR300" s="465">
        <v>1</v>
      </c>
      <c r="DS300" s="694">
        <f t="shared" si="699"/>
        <v>1</v>
      </c>
      <c r="DU300" s="373">
        <f>DR300+DU266-DU278</f>
        <v>1</v>
      </c>
      <c r="DV300" s="373">
        <f t="shared" si="709"/>
        <v>1</v>
      </c>
      <c r="DW300" s="373">
        <f t="shared" si="709"/>
        <v>1</v>
      </c>
      <c r="DX300" s="373">
        <f t="shared" si="709"/>
        <v>1</v>
      </c>
      <c r="DY300" s="694">
        <f t="shared" si="700"/>
        <v>1</v>
      </c>
      <c r="EA300" s="373">
        <f>DX300+EA266-EA278</f>
        <v>1</v>
      </c>
      <c r="EB300" s="373">
        <f t="shared" si="710"/>
        <v>1</v>
      </c>
      <c r="EC300" s="373">
        <f t="shared" si="710"/>
        <v>1</v>
      </c>
      <c r="ED300" s="373">
        <f t="shared" si="710"/>
        <v>1</v>
      </c>
      <c r="EE300" s="694">
        <f t="shared" si="701"/>
        <v>1</v>
      </c>
      <c r="EG300" s="373">
        <f>ED300+EG266-EG278</f>
        <v>0</v>
      </c>
      <c r="EH300" s="373">
        <f t="shared" si="711"/>
        <v>0</v>
      </c>
      <c r="EI300" s="373">
        <f t="shared" si="711"/>
        <v>0</v>
      </c>
      <c r="EJ300" s="373">
        <f t="shared" si="711"/>
        <v>1</v>
      </c>
      <c r="EK300" s="450">
        <f t="shared" si="702"/>
        <v>1</v>
      </c>
      <c r="EL300" s="601">
        <f>FN300+EL266-EL278</f>
        <v>2</v>
      </c>
      <c r="EM300" s="485"/>
      <c r="FI300" s="310">
        <f t="shared" si="703"/>
        <v>0</v>
      </c>
      <c r="FJ300" s="310">
        <f t="shared" si="704"/>
        <v>0</v>
      </c>
      <c r="FK300" s="310">
        <f t="shared" si="705"/>
        <v>1</v>
      </c>
      <c r="FL300" s="310">
        <f t="shared" si="706"/>
        <v>1</v>
      </c>
      <c r="FM300" s="310">
        <f t="shared" si="707"/>
        <v>1</v>
      </c>
      <c r="FN300" s="373">
        <f t="shared" si="708"/>
        <v>1</v>
      </c>
      <c r="FO300" s="373">
        <f t="shared" si="708"/>
        <v>2</v>
      </c>
      <c r="FP300" s="373">
        <f>GR300+FP266-FP278</f>
        <v>1</v>
      </c>
      <c r="FQ300" s="373">
        <f t="shared" si="712"/>
        <v>1</v>
      </c>
      <c r="FR300" s="373">
        <f t="shared" si="712"/>
        <v>1</v>
      </c>
    </row>
    <row r="301" spans="2:174" x14ac:dyDescent="0.2">
      <c r="B301" s="382" t="s">
        <v>164</v>
      </c>
      <c r="C301" s="350" t="s">
        <v>617</v>
      </c>
      <c r="DP301" s="357"/>
      <c r="DR301" s="620">
        <v>0</v>
      </c>
      <c r="DS301" s="694">
        <f t="shared" si="699"/>
        <v>0</v>
      </c>
      <c r="DU301" s="373">
        <f>DR301+DU267-DU279</f>
        <v>0</v>
      </c>
      <c r="DV301" s="373">
        <f t="shared" si="709"/>
        <v>0</v>
      </c>
      <c r="DW301" s="373">
        <f t="shared" si="709"/>
        <v>0</v>
      </c>
      <c r="DX301" s="373">
        <f t="shared" si="709"/>
        <v>0</v>
      </c>
      <c r="DY301" s="694">
        <f t="shared" si="700"/>
        <v>0</v>
      </c>
      <c r="EA301" s="373">
        <f>DX301+EA267-EA279</f>
        <v>0</v>
      </c>
      <c r="EB301" s="373">
        <f t="shared" si="710"/>
        <v>0</v>
      </c>
      <c r="EC301" s="373">
        <f t="shared" si="710"/>
        <v>0</v>
      </c>
      <c r="ED301" s="373">
        <f t="shared" si="710"/>
        <v>0</v>
      </c>
      <c r="EE301" s="694">
        <f t="shared" si="701"/>
        <v>0</v>
      </c>
      <c r="EG301" s="373">
        <f>ED301+EG267-EG279</f>
        <v>1</v>
      </c>
      <c r="EH301" s="373">
        <f t="shared" si="711"/>
        <v>1</v>
      </c>
      <c r="EI301" s="373">
        <f t="shared" si="711"/>
        <v>1</v>
      </c>
      <c r="EJ301" s="373">
        <f t="shared" si="711"/>
        <v>1</v>
      </c>
      <c r="EK301" s="450">
        <f t="shared" si="702"/>
        <v>1</v>
      </c>
      <c r="EL301" s="601">
        <f>FN301+EL267-EL279</f>
        <v>3</v>
      </c>
      <c r="EM301" s="485"/>
      <c r="FI301" s="310">
        <f t="shared" si="703"/>
        <v>0</v>
      </c>
      <c r="FJ301" s="310">
        <f t="shared" si="704"/>
        <v>0</v>
      </c>
      <c r="FK301" s="310">
        <f t="shared" si="705"/>
        <v>0</v>
      </c>
      <c r="FL301" s="310">
        <f t="shared" si="706"/>
        <v>0</v>
      </c>
      <c r="FM301" s="310">
        <f t="shared" si="707"/>
        <v>0</v>
      </c>
      <c r="FN301" s="373">
        <f t="shared" si="708"/>
        <v>1</v>
      </c>
      <c r="FO301" s="373">
        <f t="shared" si="708"/>
        <v>3</v>
      </c>
      <c r="FP301" s="373">
        <f>GR301+FP267-FP279</f>
        <v>2</v>
      </c>
      <c r="FQ301" s="373">
        <f t="shared" si="712"/>
        <v>2</v>
      </c>
      <c r="FR301" s="373">
        <f t="shared" si="712"/>
        <v>2</v>
      </c>
    </row>
    <row r="302" spans="2:174" ht="12" x14ac:dyDescent="0.25">
      <c r="B302" s="590" t="s">
        <v>249</v>
      </c>
      <c r="C302" s="351" t="s">
        <v>617</v>
      </c>
      <c r="DR302" s="591">
        <f>SUM(DR296:DR301)</f>
        <v>10</v>
      </c>
      <c r="DS302" s="747">
        <f>SUM(DS296:DS301)</f>
        <v>10</v>
      </c>
      <c r="DU302" s="591">
        <f>SUM(DU296:DU301)</f>
        <v>10</v>
      </c>
      <c r="DV302" s="591">
        <f>SUM(DV296:DV301)</f>
        <v>11</v>
      </c>
      <c r="DW302" s="591">
        <f>SUM(DW296:DW301)</f>
        <v>11</v>
      </c>
      <c r="DX302" s="591">
        <f>SUM(DX296:DX301)</f>
        <v>11</v>
      </c>
      <c r="DY302" s="747">
        <f>SUM(DY296:DY301)</f>
        <v>11</v>
      </c>
      <c r="EA302" s="591">
        <f>SUM(EA296:EA301)</f>
        <v>11</v>
      </c>
      <c r="EB302" s="591">
        <f>SUM(EB296:EB301)</f>
        <v>12</v>
      </c>
      <c r="EC302" s="591">
        <f>SUM(EC296:EC301)</f>
        <v>11</v>
      </c>
      <c r="ED302" s="591">
        <f>SUM(ED296:ED301)</f>
        <v>10</v>
      </c>
      <c r="EE302" s="747">
        <f>SUM(EE296:EE301)</f>
        <v>10</v>
      </c>
      <c r="EG302" s="591">
        <f t="shared" ref="EG302:EL302" si="713">SUM(EG296:EG301)</f>
        <v>9</v>
      </c>
      <c r="EH302" s="591">
        <f t="shared" si="713"/>
        <v>9</v>
      </c>
      <c r="EI302" s="591">
        <f t="shared" si="713"/>
        <v>9</v>
      </c>
      <c r="EJ302" s="591">
        <f t="shared" si="713"/>
        <v>12</v>
      </c>
      <c r="EK302" s="592">
        <f t="shared" si="713"/>
        <v>12</v>
      </c>
      <c r="EL302" s="592">
        <f t="shared" si="713"/>
        <v>19</v>
      </c>
      <c r="EM302" s="593"/>
      <c r="FI302" s="591">
        <f t="shared" si="703"/>
        <v>0</v>
      </c>
      <c r="FJ302" s="591">
        <f t="shared" si="704"/>
        <v>0</v>
      </c>
      <c r="FK302" s="591">
        <f t="shared" ref="FK302:FR302" si="714">SUM(FK296:FK301)</f>
        <v>10</v>
      </c>
      <c r="FL302" s="591">
        <f t="shared" si="714"/>
        <v>11</v>
      </c>
      <c r="FM302" s="591">
        <f t="shared" si="714"/>
        <v>10</v>
      </c>
      <c r="FN302" s="591">
        <f t="shared" si="714"/>
        <v>12</v>
      </c>
      <c r="FO302" s="591">
        <f t="shared" si="714"/>
        <v>19</v>
      </c>
      <c r="FP302" s="591">
        <f t="shared" si="714"/>
        <v>5</v>
      </c>
      <c r="FQ302" s="591">
        <f t="shared" si="714"/>
        <v>13</v>
      </c>
      <c r="FR302" s="591">
        <f t="shared" si="714"/>
        <v>7</v>
      </c>
    </row>
    <row r="303" spans="2:174" x14ac:dyDescent="0.2">
      <c r="FP303" s="311"/>
    </row>
    <row r="304" spans="2:174" x14ac:dyDescent="0.2">
      <c r="FP304" s="311"/>
    </row>
    <row r="305" spans="2:174" x14ac:dyDescent="0.2">
      <c r="B305" s="588" t="s">
        <v>630</v>
      </c>
      <c r="C305" s="598"/>
      <c r="FP305" s="311"/>
    </row>
    <row r="306" spans="2:174" x14ac:dyDescent="0.2">
      <c r="B306" s="311" t="s">
        <v>581</v>
      </c>
      <c r="C306" s="322"/>
      <c r="DR306" s="310">
        <f t="shared" ref="DR306:DR311" si="715">DR296*DR$314</f>
        <v>0</v>
      </c>
      <c r="DS306" s="694">
        <f t="shared" ref="DS306:DS311" si="716">DR306</f>
        <v>0</v>
      </c>
      <c r="DU306" s="310">
        <f t="shared" ref="DU306:DX311" si="717">DU$314*DU296</f>
        <v>0</v>
      </c>
      <c r="DV306" s="310">
        <f t="shared" si="717"/>
        <v>0</v>
      </c>
      <c r="DW306" s="310">
        <f t="shared" si="717"/>
        <v>0</v>
      </c>
      <c r="DX306" s="310">
        <f t="shared" si="717"/>
        <v>0</v>
      </c>
      <c r="DY306" s="694">
        <f t="shared" ref="DY306:DY311" si="718">DX306</f>
        <v>0</v>
      </c>
      <c r="EA306" s="310">
        <f t="shared" ref="EA306:ED311" si="719">EA$314*EA296</f>
        <v>0</v>
      </c>
      <c r="EB306" s="310">
        <f t="shared" si="719"/>
        <v>360</v>
      </c>
      <c r="EC306" s="310">
        <f t="shared" si="719"/>
        <v>0</v>
      </c>
      <c r="ED306" s="310">
        <f t="shared" si="719"/>
        <v>0</v>
      </c>
      <c r="EE306" s="694">
        <f t="shared" ref="EE306:EE311" si="720">ED306</f>
        <v>0</v>
      </c>
      <c r="EG306" s="310">
        <f t="shared" ref="EG306:EJ311" si="721">EG$314*EG296</f>
        <v>0</v>
      </c>
      <c r="EH306" s="310">
        <f t="shared" si="721"/>
        <v>0</v>
      </c>
      <c r="EI306" s="310">
        <f t="shared" si="721"/>
        <v>360</v>
      </c>
      <c r="EJ306" s="310">
        <f t="shared" si="721"/>
        <v>1440</v>
      </c>
      <c r="EK306" s="450">
        <f t="shared" ref="EK306:EK311" si="722">EJ306</f>
        <v>1440</v>
      </c>
      <c r="EL306" s="450">
        <f t="shared" ref="EL306:EL311" si="723">EL$314*EL296</f>
        <v>2555</v>
      </c>
      <c r="EM306" s="451"/>
      <c r="FI306" s="310">
        <f t="shared" ref="FI306:FI312" si="724">DG306</f>
        <v>0</v>
      </c>
      <c r="FJ306" s="310">
        <f t="shared" ref="FJ306:FJ312" si="725">DM306</f>
        <v>0</v>
      </c>
      <c r="FK306" s="310">
        <f t="shared" ref="FK306:FK311" si="726">DS306</f>
        <v>0</v>
      </c>
      <c r="FL306" s="310">
        <f t="shared" ref="FL306:FL311" si="727">DY306</f>
        <v>0</v>
      </c>
      <c r="FM306" s="310">
        <f t="shared" ref="FM306:FM311" si="728">EE306</f>
        <v>0</v>
      </c>
      <c r="FN306" s="373">
        <f t="shared" ref="FN306:FO311" si="729">EK306</f>
        <v>1440</v>
      </c>
      <c r="FO306" s="373">
        <f t="shared" si="729"/>
        <v>2555</v>
      </c>
      <c r="FP306" s="310">
        <f t="shared" ref="FP306:FR311" si="730">FP$314*FP296</f>
        <v>1080</v>
      </c>
      <c r="FQ306" s="310">
        <f t="shared" si="730"/>
        <v>1900</v>
      </c>
      <c r="FR306" s="310">
        <f t="shared" si="730"/>
        <v>770</v>
      </c>
    </row>
    <row r="307" spans="2:174" x14ac:dyDescent="0.2">
      <c r="B307" s="311" t="s">
        <v>582</v>
      </c>
      <c r="C307" s="322"/>
      <c r="DR307" s="310">
        <f t="shared" si="715"/>
        <v>1080</v>
      </c>
      <c r="DS307" s="694">
        <f t="shared" si="716"/>
        <v>1080</v>
      </c>
      <c r="DU307" s="310">
        <f t="shared" si="717"/>
        <v>1080</v>
      </c>
      <c r="DV307" s="310">
        <f t="shared" si="717"/>
        <v>1080</v>
      </c>
      <c r="DW307" s="310">
        <f t="shared" si="717"/>
        <v>1080</v>
      </c>
      <c r="DX307" s="310">
        <f t="shared" si="717"/>
        <v>1080</v>
      </c>
      <c r="DY307" s="694">
        <f t="shared" si="718"/>
        <v>1080</v>
      </c>
      <c r="EA307" s="310">
        <f t="shared" si="719"/>
        <v>1080</v>
      </c>
      <c r="EB307" s="310">
        <f t="shared" si="719"/>
        <v>1080</v>
      </c>
      <c r="EC307" s="310">
        <f t="shared" si="719"/>
        <v>1080</v>
      </c>
      <c r="ED307" s="310">
        <f t="shared" si="719"/>
        <v>720</v>
      </c>
      <c r="EE307" s="694">
        <f t="shared" si="720"/>
        <v>720</v>
      </c>
      <c r="EG307" s="310">
        <f t="shared" si="721"/>
        <v>720</v>
      </c>
      <c r="EH307" s="310">
        <f t="shared" si="721"/>
        <v>720</v>
      </c>
      <c r="EI307" s="310">
        <f t="shared" si="721"/>
        <v>720</v>
      </c>
      <c r="EJ307" s="310">
        <f t="shared" si="721"/>
        <v>360</v>
      </c>
      <c r="EK307" s="450">
        <f t="shared" si="722"/>
        <v>360</v>
      </c>
      <c r="EL307" s="450">
        <f t="shared" si="723"/>
        <v>1095</v>
      </c>
      <c r="EM307" s="451"/>
      <c r="FI307" s="310">
        <f t="shared" si="724"/>
        <v>0</v>
      </c>
      <c r="FJ307" s="310">
        <f t="shared" si="725"/>
        <v>0</v>
      </c>
      <c r="FK307" s="310">
        <f t="shared" si="726"/>
        <v>1080</v>
      </c>
      <c r="FL307" s="310">
        <f t="shared" si="727"/>
        <v>1080</v>
      </c>
      <c r="FM307" s="310">
        <f t="shared" si="728"/>
        <v>720</v>
      </c>
      <c r="FN307" s="373">
        <f t="shared" si="729"/>
        <v>360</v>
      </c>
      <c r="FO307" s="373">
        <f t="shared" si="729"/>
        <v>1095</v>
      </c>
      <c r="FP307" s="310">
        <f t="shared" si="730"/>
        <v>0</v>
      </c>
      <c r="FQ307" s="310">
        <f t="shared" si="730"/>
        <v>2660</v>
      </c>
      <c r="FR307" s="310">
        <f t="shared" si="730"/>
        <v>1925</v>
      </c>
    </row>
    <row r="308" spans="2:174" x14ac:dyDescent="0.2">
      <c r="B308" s="311" t="s">
        <v>583</v>
      </c>
      <c r="C308" s="322"/>
      <c r="DR308" s="310">
        <f t="shared" si="715"/>
        <v>1800</v>
      </c>
      <c r="DS308" s="694">
        <f t="shared" si="716"/>
        <v>1800</v>
      </c>
      <c r="DU308" s="310">
        <f t="shared" si="717"/>
        <v>1800</v>
      </c>
      <c r="DV308" s="310">
        <f t="shared" si="717"/>
        <v>1800</v>
      </c>
      <c r="DW308" s="310">
        <f t="shared" si="717"/>
        <v>1800</v>
      </c>
      <c r="DX308" s="310">
        <f t="shared" si="717"/>
        <v>1800</v>
      </c>
      <c r="DY308" s="694">
        <f t="shared" si="718"/>
        <v>1800</v>
      </c>
      <c r="EA308" s="310">
        <f t="shared" si="719"/>
        <v>1800</v>
      </c>
      <c r="EB308" s="310">
        <f t="shared" si="719"/>
        <v>1800</v>
      </c>
      <c r="EC308" s="310">
        <f t="shared" si="719"/>
        <v>1800</v>
      </c>
      <c r="ED308" s="310">
        <f t="shared" si="719"/>
        <v>1800</v>
      </c>
      <c r="EE308" s="694">
        <f t="shared" si="720"/>
        <v>1800</v>
      </c>
      <c r="EG308" s="310">
        <f t="shared" si="721"/>
        <v>1440</v>
      </c>
      <c r="EH308" s="310">
        <f t="shared" si="721"/>
        <v>1440</v>
      </c>
      <c r="EI308" s="310">
        <f t="shared" si="721"/>
        <v>1080</v>
      </c>
      <c r="EJ308" s="310">
        <f t="shared" si="721"/>
        <v>1080</v>
      </c>
      <c r="EK308" s="450">
        <f t="shared" si="722"/>
        <v>1080</v>
      </c>
      <c r="EL308" s="450">
        <f t="shared" si="723"/>
        <v>365</v>
      </c>
      <c r="EM308" s="451"/>
      <c r="FI308" s="310">
        <f t="shared" si="724"/>
        <v>0</v>
      </c>
      <c r="FJ308" s="310">
        <f t="shared" si="725"/>
        <v>0</v>
      </c>
      <c r="FK308" s="310">
        <f t="shared" si="726"/>
        <v>1800</v>
      </c>
      <c r="FL308" s="310">
        <f t="shared" si="727"/>
        <v>1800</v>
      </c>
      <c r="FM308" s="310">
        <f t="shared" si="728"/>
        <v>1800</v>
      </c>
      <c r="FN308" s="373">
        <f t="shared" si="729"/>
        <v>1080</v>
      </c>
      <c r="FO308" s="373">
        <f t="shared" si="729"/>
        <v>365</v>
      </c>
      <c r="FP308" s="310">
        <f t="shared" si="730"/>
        <v>-720</v>
      </c>
      <c r="FQ308" s="310">
        <f t="shared" si="730"/>
        <v>-760</v>
      </c>
      <c r="FR308" s="310">
        <f t="shared" si="730"/>
        <v>-1155</v>
      </c>
    </row>
    <row r="309" spans="2:174" x14ac:dyDescent="0.2">
      <c r="B309" s="311" t="s">
        <v>585</v>
      </c>
      <c r="C309" s="322"/>
      <c r="DR309" s="310">
        <f t="shared" si="715"/>
        <v>360</v>
      </c>
      <c r="DS309" s="694">
        <f t="shared" si="716"/>
        <v>360</v>
      </c>
      <c r="DU309" s="310">
        <f t="shared" si="717"/>
        <v>360</v>
      </c>
      <c r="DV309" s="310">
        <f t="shared" si="717"/>
        <v>720</v>
      </c>
      <c r="DW309" s="310">
        <f t="shared" si="717"/>
        <v>720</v>
      </c>
      <c r="DX309" s="310">
        <f t="shared" si="717"/>
        <v>720</v>
      </c>
      <c r="DY309" s="694">
        <f t="shared" si="718"/>
        <v>720</v>
      </c>
      <c r="EA309" s="310">
        <f t="shared" si="719"/>
        <v>720</v>
      </c>
      <c r="EB309" s="310">
        <f t="shared" si="719"/>
        <v>720</v>
      </c>
      <c r="EC309" s="310">
        <f t="shared" si="719"/>
        <v>720</v>
      </c>
      <c r="ED309" s="310">
        <f t="shared" si="719"/>
        <v>720</v>
      </c>
      <c r="EE309" s="694">
        <f t="shared" si="720"/>
        <v>720</v>
      </c>
      <c r="EG309" s="310">
        <f t="shared" si="721"/>
        <v>720</v>
      </c>
      <c r="EH309" s="310">
        <f t="shared" si="721"/>
        <v>720</v>
      </c>
      <c r="EI309" s="310">
        <f t="shared" si="721"/>
        <v>720</v>
      </c>
      <c r="EJ309" s="310">
        <f t="shared" si="721"/>
        <v>720</v>
      </c>
      <c r="EK309" s="450">
        <f t="shared" si="722"/>
        <v>720</v>
      </c>
      <c r="EL309" s="450">
        <f t="shared" si="723"/>
        <v>1095</v>
      </c>
      <c r="EM309" s="451"/>
      <c r="FI309" s="310">
        <f t="shared" si="724"/>
        <v>0</v>
      </c>
      <c r="FJ309" s="310">
        <f t="shared" si="725"/>
        <v>0</v>
      </c>
      <c r="FK309" s="310">
        <f t="shared" si="726"/>
        <v>360</v>
      </c>
      <c r="FL309" s="310">
        <f t="shared" si="727"/>
        <v>720</v>
      </c>
      <c r="FM309" s="310">
        <f t="shared" si="728"/>
        <v>720</v>
      </c>
      <c r="FN309" s="373">
        <f t="shared" si="729"/>
        <v>720</v>
      </c>
      <c r="FO309" s="373">
        <f t="shared" si="729"/>
        <v>1095</v>
      </c>
      <c r="FP309" s="310">
        <f t="shared" si="730"/>
        <v>360</v>
      </c>
      <c r="FQ309" s="310">
        <f t="shared" si="730"/>
        <v>0</v>
      </c>
      <c r="FR309" s="310">
        <f t="shared" si="730"/>
        <v>0</v>
      </c>
    </row>
    <row r="310" spans="2:174" x14ac:dyDescent="0.2">
      <c r="B310" s="311" t="s">
        <v>584</v>
      </c>
      <c r="C310" s="322"/>
      <c r="DR310" s="310">
        <f t="shared" si="715"/>
        <v>360</v>
      </c>
      <c r="DS310" s="694">
        <f t="shared" si="716"/>
        <v>360</v>
      </c>
      <c r="DU310" s="310">
        <f t="shared" si="717"/>
        <v>360</v>
      </c>
      <c r="DV310" s="310">
        <f t="shared" si="717"/>
        <v>360</v>
      </c>
      <c r="DW310" s="310">
        <f t="shared" si="717"/>
        <v>360</v>
      </c>
      <c r="DX310" s="310">
        <f t="shared" si="717"/>
        <v>360</v>
      </c>
      <c r="DY310" s="694">
        <f t="shared" si="718"/>
        <v>360</v>
      </c>
      <c r="EA310" s="310">
        <f t="shared" si="719"/>
        <v>360</v>
      </c>
      <c r="EB310" s="310">
        <f t="shared" si="719"/>
        <v>360</v>
      </c>
      <c r="EC310" s="310">
        <f t="shared" si="719"/>
        <v>360</v>
      </c>
      <c r="ED310" s="310">
        <f t="shared" si="719"/>
        <v>360</v>
      </c>
      <c r="EE310" s="694">
        <f t="shared" si="720"/>
        <v>360</v>
      </c>
      <c r="EG310" s="310">
        <f t="shared" si="721"/>
        <v>0</v>
      </c>
      <c r="EH310" s="310">
        <f t="shared" si="721"/>
        <v>0</v>
      </c>
      <c r="EI310" s="310">
        <f t="shared" si="721"/>
        <v>0</v>
      </c>
      <c r="EJ310" s="310">
        <f t="shared" si="721"/>
        <v>360</v>
      </c>
      <c r="EK310" s="450">
        <f t="shared" si="722"/>
        <v>360</v>
      </c>
      <c r="EL310" s="450">
        <f t="shared" si="723"/>
        <v>730</v>
      </c>
      <c r="EM310" s="451"/>
      <c r="FI310" s="310">
        <f t="shared" si="724"/>
        <v>0</v>
      </c>
      <c r="FJ310" s="310">
        <f t="shared" si="725"/>
        <v>0</v>
      </c>
      <c r="FK310" s="310">
        <f t="shared" si="726"/>
        <v>360</v>
      </c>
      <c r="FL310" s="310">
        <f t="shared" si="727"/>
        <v>360</v>
      </c>
      <c r="FM310" s="310">
        <f t="shared" si="728"/>
        <v>360</v>
      </c>
      <c r="FN310" s="373">
        <f t="shared" si="729"/>
        <v>360</v>
      </c>
      <c r="FO310" s="373">
        <f t="shared" si="729"/>
        <v>730</v>
      </c>
      <c r="FP310" s="310">
        <f t="shared" si="730"/>
        <v>360</v>
      </c>
      <c r="FQ310" s="310">
        <f t="shared" si="730"/>
        <v>380</v>
      </c>
      <c r="FR310" s="310">
        <f t="shared" si="730"/>
        <v>385</v>
      </c>
    </row>
    <row r="311" spans="2:174" x14ac:dyDescent="0.2">
      <c r="B311" s="311" t="s">
        <v>164</v>
      </c>
      <c r="C311" s="322"/>
      <c r="DR311" s="310">
        <f t="shared" si="715"/>
        <v>0</v>
      </c>
      <c r="DS311" s="694">
        <f t="shared" si="716"/>
        <v>0</v>
      </c>
      <c r="DU311" s="310">
        <f t="shared" si="717"/>
        <v>0</v>
      </c>
      <c r="DV311" s="310">
        <f t="shared" si="717"/>
        <v>0</v>
      </c>
      <c r="DW311" s="310">
        <f t="shared" si="717"/>
        <v>0</v>
      </c>
      <c r="DX311" s="310">
        <f t="shared" si="717"/>
        <v>0</v>
      </c>
      <c r="DY311" s="694">
        <f t="shared" si="718"/>
        <v>0</v>
      </c>
      <c r="EA311" s="310">
        <f t="shared" si="719"/>
        <v>0</v>
      </c>
      <c r="EB311" s="310">
        <f t="shared" si="719"/>
        <v>0</v>
      </c>
      <c r="EC311" s="310">
        <f t="shared" si="719"/>
        <v>0</v>
      </c>
      <c r="ED311" s="310">
        <f t="shared" si="719"/>
        <v>0</v>
      </c>
      <c r="EE311" s="694">
        <f t="shared" si="720"/>
        <v>0</v>
      </c>
      <c r="EG311" s="310">
        <f t="shared" si="721"/>
        <v>360</v>
      </c>
      <c r="EH311" s="310">
        <f t="shared" si="721"/>
        <v>360</v>
      </c>
      <c r="EI311" s="310">
        <f t="shared" si="721"/>
        <v>360</v>
      </c>
      <c r="EJ311" s="310">
        <f t="shared" si="721"/>
        <v>360</v>
      </c>
      <c r="EK311" s="450">
        <f t="shared" si="722"/>
        <v>360</v>
      </c>
      <c r="EL311" s="450">
        <f t="shared" si="723"/>
        <v>1095</v>
      </c>
      <c r="EM311" s="451"/>
      <c r="FI311" s="310">
        <f t="shared" si="724"/>
        <v>0</v>
      </c>
      <c r="FJ311" s="310">
        <f t="shared" si="725"/>
        <v>0</v>
      </c>
      <c r="FK311" s="310">
        <f t="shared" si="726"/>
        <v>0</v>
      </c>
      <c r="FL311" s="310">
        <f t="shared" si="727"/>
        <v>0</v>
      </c>
      <c r="FM311" s="310">
        <f t="shared" si="728"/>
        <v>0</v>
      </c>
      <c r="FN311" s="373">
        <f t="shared" si="729"/>
        <v>360</v>
      </c>
      <c r="FO311" s="373">
        <f t="shared" si="729"/>
        <v>1095</v>
      </c>
      <c r="FP311" s="310">
        <f t="shared" si="730"/>
        <v>720</v>
      </c>
      <c r="FQ311" s="310">
        <f t="shared" si="730"/>
        <v>760</v>
      </c>
      <c r="FR311" s="310">
        <f t="shared" si="730"/>
        <v>770</v>
      </c>
    </row>
    <row r="312" spans="2:174" ht="12" x14ac:dyDescent="0.25">
      <c r="B312" s="590" t="s">
        <v>249</v>
      </c>
      <c r="C312" s="351"/>
      <c r="DR312" s="591">
        <f>SUM(DR306:DR311)</f>
        <v>3600</v>
      </c>
      <c r="DS312" s="747">
        <f>SUM(DS306:DS311)</f>
        <v>3600</v>
      </c>
      <c r="DU312" s="591">
        <f>SUM(DU306:DU311)</f>
        <v>3600</v>
      </c>
      <c r="DV312" s="591">
        <f>SUM(DV306:DV311)</f>
        <v>3960</v>
      </c>
      <c r="DW312" s="591">
        <f>SUM(DW306:DW311)</f>
        <v>3960</v>
      </c>
      <c r="DX312" s="591">
        <f>SUM(DX306:DX311)</f>
        <v>3960</v>
      </c>
      <c r="DY312" s="747">
        <f>SUM(DY306:DY311)</f>
        <v>3960</v>
      </c>
      <c r="EA312" s="591">
        <f>SUM(EA306:EA311)</f>
        <v>3960</v>
      </c>
      <c r="EB312" s="591">
        <f>SUM(EB306:EB311)</f>
        <v>4320</v>
      </c>
      <c r="EC312" s="591">
        <f>SUM(EC306:EC311)</f>
        <v>3960</v>
      </c>
      <c r="ED312" s="591">
        <f>SUM(ED306:ED311)</f>
        <v>3600</v>
      </c>
      <c r="EE312" s="747">
        <f>SUM(EE306:EE311)</f>
        <v>3600</v>
      </c>
      <c r="EG312" s="591">
        <f t="shared" ref="EG312:EL312" si="731">SUM(EG306:EG311)</f>
        <v>3240</v>
      </c>
      <c r="EH312" s="591">
        <f t="shared" si="731"/>
        <v>3240</v>
      </c>
      <c r="EI312" s="591">
        <f t="shared" si="731"/>
        <v>3240</v>
      </c>
      <c r="EJ312" s="591">
        <f t="shared" si="731"/>
        <v>4320</v>
      </c>
      <c r="EK312" s="592">
        <f t="shared" si="731"/>
        <v>4320</v>
      </c>
      <c r="EL312" s="592">
        <f t="shared" si="731"/>
        <v>6935</v>
      </c>
      <c r="EM312" s="593"/>
      <c r="FI312" s="591">
        <f t="shared" si="724"/>
        <v>0</v>
      </c>
      <c r="FJ312" s="591">
        <f t="shared" si="725"/>
        <v>0</v>
      </c>
      <c r="FK312" s="591">
        <f t="shared" ref="FK312:FR312" si="732">SUM(FK306:FK311)</f>
        <v>3600</v>
      </c>
      <c r="FL312" s="591">
        <f t="shared" si="732"/>
        <v>3960</v>
      </c>
      <c r="FM312" s="591">
        <f t="shared" si="732"/>
        <v>3600</v>
      </c>
      <c r="FN312" s="591">
        <f t="shared" si="732"/>
        <v>4320</v>
      </c>
      <c r="FO312" s="591">
        <f t="shared" si="732"/>
        <v>6935</v>
      </c>
      <c r="FP312" s="591">
        <f t="shared" si="732"/>
        <v>1800</v>
      </c>
      <c r="FQ312" s="591">
        <f t="shared" si="732"/>
        <v>4940</v>
      </c>
      <c r="FR312" s="591">
        <f t="shared" si="732"/>
        <v>2695</v>
      </c>
    </row>
    <row r="313" spans="2:174" x14ac:dyDescent="0.2">
      <c r="FP313" s="311"/>
    </row>
    <row r="314" spans="2:174" ht="12" x14ac:dyDescent="0.25">
      <c r="B314" s="444" t="s">
        <v>631</v>
      </c>
      <c r="DR314" s="621">
        <v>360</v>
      </c>
      <c r="DS314" s="749"/>
      <c r="DT314" s="744"/>
      <c r="DU314" s="621">
        <v>360</v>
      </c>
      <c r="DV314" s="621">
        <v>360</v>
      </c>
      <c r="DW314" s="621">
        <v>360</v>
      </c>
      <c r="DX314" s="621">
        <v>360</v>
      </c>
      <c r="DY314" s="749"/>
      <c r="DZ314" s="744"/>
      <c r="EA314" s="621">
        <v>360</v>
      </c>
      <c r="EB314" s="621">
        <v>360</v>
      </c>
      <c r="EC314" s="621">
        <v>360</v>
      </c>
      <c r="ED314" s="621">
        <v>360</v>
      </c>
      <c r="EE314" s="678"/>
      <c r="EG314" s="621">
        <v>360</v>
      </c>
      <c r="EH314" s="621">
        <v>360</v>
      </c>
      <c r="EI314" s="621">
        <v>360</v>
      </c>
      <c r="EJ314" s="621">
        <v>360</v>
      </c>
      <c r="EK314" s="605"/>
      <c r="EL314" s="622">
        <v>365</v>
      </c>
      <c r="EM314" s="630"/>
      <c r="FP314" s="683">
        <v>360</v>
      </c>
      <c r="FQ314" s="683">
        <v>380</v>
      </c>
      <c r="FR314" s="683">
        <v>385</v>
      </c>
    </row>
    <row r="315" spans="2:174" x14ac:dyDescent="0.2">
      <c r="FP315" s="311"/>
    </row>
    <row r="316" spans="2:174" x14ac:dyDescent="0.2">
      <c r="FP316" s="311"/>
    </row>
    <row r="317" spans="2:174" ht="12" x14ac:dyDescent="0.25">
      <c r="B317" s="561" t="s">
        <v>587</v>
      </c>
      <c r="C317" s="561"/>
      <c r="D317" s="561"/>
      <c r="E317" s="561"/>
      <c r="F317" s="561"/>
      <c r="G317" s="561"/>
      <c r="H317" s="561"/>
      <c r="I317" s="561"/>
      <c r="J317" s="561"/>
      <c r="K317" s="561"/>
      <c r="L317" s="561"/>
      <c r="M317" s="561"/>
      <c r="N317" s="561"/>
      <c r="O317" s="561"/>
      <c r="P317" s="561"/>
      <c r="Q317" s="561"/>
      <c r="R317" s="561"/>
      <c r="S317" s="561"/>
      <c r="T317" s="561"/>
      <c r="U317" s="561"/>
      <c r="V317" s="561"/>
      <c r="W317" s="561"/>
      <c r="X317" s="561"/>
      <c r="Y317" s="561"/>
      <c r="Z317" s="561"/>
      <c r="AA317" s="561"/>
      <c r="AB317" s="561"/>
      <c r="AC317" s="561"/>
      <c r="AD317" s="561"/>
      <c r="AE317" s="561"/>
      <c r="AF317" s="561"/>
      <c r="AG317" s="561"/>
      <c r="AH317" s="561"/>
      <c r="AI317" s="561"/>
      <c r="AJ317" s="561"/>
      <c r="AK317" s="561"/>
      <c r="AL317" s="561"/>
      <c r="AM317" s="561"/>
      <c r="AN317" s="561"/>
      <c r="AO317" s="561"/>
      <c r="AP317" s="561"/>
      <c r="AQ317" s="561"/>
      <c r="AR317" s="561"/>
      <c r="AS317" s="561"/>
      <c r="AT317" s="561"/>
      <c r="AU317" s="561"/>
      <c r="AV317" s="561"/>
      <c r="AW317" s="561"/>
      <c r="AX317" s="561"/>
      <c r="AY317" s="561"/>
      <c r="AZ317" s="561"/>
      <c r="BA317" s="561"/>
      <c r="BB317" s="561"/>
      <c r="BC317" s="561"/>
      <c r="BD317" s="561"/>
      <c r="BE317" s="561"/>
      <c r="BF317" s="561"/>
      <c r="BG317" s="561"/>
      <c r="BH317" s="561"/>
      <c r="BI317" s="561"/>
      <c r="BJ317" s="561"/>
      <c r="BK317" s="561"/>
      <c r="BL317" s="561"/>
      <c r="BM317" s="561"/>
      <c r="BN317" s="561"/>
      <c r="BO317" s="561"/>
      <c r="BP317" s="561"/>
      <c r="BQ317" s="561"/>
      <c r="BR317" s="561"/>
      <c r="BS317" s="561"/>
      <c r="BT317" s="561"/>
      <c r="BU317" s="561"/>
      <c r="BV317" s="561"/>
      <c r="BW317" s="561"/>
      <c r="BX317" s="561"/>
      <c r="BY317" s="561"/>
      <c r="BZ317" s="561"/>
      <c r="CA317" s="561"/>
      <c r="CB317" s="561"/>
      <c r="CC317" s="561"/>
      <c r="CD317" s="561"/>
      <c r="CE317" s="561"/>
      <c r="CF317" s="561"/>
      <c r="CG317" s="561"/>
      <c r="CH317" s="561"/>
      <c r="CI317" s="561"/>
      <c r="CJ317" s="561"/>
      <c r="CK317" s="561"/>
      <c r="CL317" s="561"/>
      <c r="CM317" s="561"/>
      <c r="CN317" s="561"/>
      <c r="CO317" s="561"/>
      <c r="CP317" s="561"/>
      <c r="CQ317" s="561"/>
      <c r="CR317" s="561"/>
      <c r="CS317" s="561"/>
      <c r="CT317" s="561"/>
      <c r="CU317" s="561"/>
      <c r="CV317" s="561"/>
      <c r="CW317" s="561"/>
      <c r="CX317" s="561"/>
      <c r="CY317" s="561"/>
      <c r="CZ317" s="561"/>
      <c r="DA317" s="757"/>
      <c r="DB317" s="738"/>
      <c r="DC317" s="561"/>
      <c r="DD317" s="561"/>
      <c r="DE317" s="561"/>
      <c r="DF317" s="561"/>
      <c r="DG317" s="561"/>
      <c r="DH317" s="738"/>
      <c r="DI317" s="561"/>
      <c r="DJ317" s="561"/>
      <c r="DK317" s="561"/>
      <c r="DL317" s="561"/>
      <c r="DM317" s="738"/>
      <c r="DN317" s="738"/>
      <c r="DO317" s="662"/>
      <c r="DP317" s="662"/>
      <c r="DQ317" s="662"/>
      <c r="DR317" s="662"/>
      <c r="DS317" s="739"/>
      <c r="DT317" s="739"/>
      <c r="DU317" s="662"/>
      <c r="DV317" s="662"/>
      <c r="DW317" s="662"/>
      <c r="DX317" s="662"/>
      <c r="DY317" s="739"/>
      <c r="DZ317" s="739"/>
      <c r="EA317" s="662"/>
      <c r="EB317" s="662"/>
      <c r="EC317" s="662"/>
      <c r="ED317" s="662"/>
      <c r="EE317" s="739"/>
      <c r="EF317" s="739"/>
      <c r="EG317" s="662"/>
      <c r="EH317" s="662"/>
      <c r="EI317" s="662"/>
      <c r="EJ317" s="662"/>
      <c r="EK317" s="758"/>
      <c r="EL317" s="758"/>
      <c r="EM317" s="587"/>
      <c r="FA317" s="586">
        <f t="shared" ref="FA317:FP317" si="733">FA$3</f>
        <v>2013</v>
      </c>
      <c r="FB317" s="586">
        <f t="shared" si="733"/>
        <v>2014</v>
      </c>
      <c r="FC317" s="586">
        <f t="shared" si="733"/>
        <v>2015</v>
      </c>
      <c r="FD317" s="586">
        <f t="shared" si="733"/>
        <v>2016</v>
      </c>
      <c r="FE317" s="586">
        <f t="shared" si="733"/>
        <v>2017</v>
      </c>
      <c r="FF317" s="586">
        <f t="shared" si="733"/>
        <v>2018</v>
      </c>
      <c r="FG317" s="586">
        <f t="shared" si="733"/>
        <v>2019</v>
      </c>
      <c r="FH317" s="586">
        <f t="shared" si="733"/>
        <v>2020</v>
      </c>
      <c r="FI317" s="586">
        <f t="shared" si="733"/>
        <v>2021</v>
      </c>
      <c r="FJ317" s="586">
        <f t="shared" si="733"/>
        <v>2022</v>
      </c>
      <c r="FK317" s="586">
        <f t="shared" si="733"/>
        <v>2023</v>
      </c>
      <c r="FL317" s="586">
        <f t="shared" si="733"/>
        <v>2024</v>
      </c>
      <c r="FM317" s="586" t="str">
        <f t="shared" si="733"/>
        <v>2025e</v>
      </c>
      <c r="FN317" s="586" t="str">
        <f t="shared" si="733"/>
        <v>2026e</v>
      </c>
      <c r="FO317" s="586" t="str">
        <f t="shared" si="733"/>
        <v>2027e</v>
      </c>
      <c r="FP317" s="586" t="str">
        <f t="shared" si="733"/>
        <v>2028e</v>
      </c>
      <c r="FQ317" s="586" t="str">
        <f>FQ$3</f>
        <v>2029e</v>
      </c>
      <c r="FR317" s="586" t="str">
        <f>FR$3</f>
        <v>2030e</v>
      </c>
    </row>
    <row r="318" spans="2:174" x14ac:dyDescent="0.2">
      <c r="DG318" s="311"/>
      <c r="FP318" s="311"/>
    </row>
    <row r="319" spans="2:174" ht="12" x14ac:dyDescent="0.25">
      <c r="B319" s="444" t="s">
        <v>698</v>
      </c>
      <c r="C319" s="444"/>
      <c r="D319" s="444"/>
      <c r="E319" s="444"/>
      <c r="F319" s="444"/>
      <c r="G319" s="444"/>
      <c r="H319" s="444"/>
      <c r="I319" s="444"/>
      <c r="J319" s="444"/>
      <c r="K319" s="444"/>
      <c r="L319" s="444"/>
      <c r="M319" s="444"/>
      <c r="N319" s="444"/>
      <c r="O319" s="444"/>
      <c r="P319" s="444"/>
      <c r="Q319" s="444"/>
      <c r="R319" s="444"/>
      <c r="S319" s="444"/>
      <c r="T319" s="444"/>
      <c r="U319" s="444"/>
      <c r="V319" s="444"/>
      <c r="W319" s="444"/>
      <c r="X319" s="444"/>
      <c r="Y319" s="444"/>
      <c r="Z319" s="444"/>
      <c r="AA319" s="444"/>
      <c r="AB319" s="444"/>
      <c r="AC319" s="444"/>
      <c r="AD319" s="444"/>
      <c r="AE319" s="444"/>
      <c r="AF319" s="444"/>
      <c r="AG319" s="444"/>
      <c r="AH319" s="444"/>
      <c r="AI319" s="444"/>
      <c r="AJ319" s="444"/>
      <c r="AK319" s="444"/>
      <c r="AL319" s="444"/>
      <c r="AM319" s="444"/>
      <c r="AN319" s="444"/>
      <c r="AO319" s="444"/>
      <c r="AP319" s="444"/>
      <c r="AQ319" s="444"/>
      <c r="AR319" s="444"/>
      <c r="AS319" s="444"/>
      <c r="AT319" s="444"/>
      <c r="AU319" s="444"/>
      <c r="AV319" s="444"/>
      <c r="AW319" s="444"/>
      <c r="AX319" s="444"/>
      <c r="AY319" s="444"/>
      <c r="AZ319" s="444"/>
      <c r="BA319" s="444"/>
      <c r="BB319" s="444"/>
      <c r="BC319" s="444"/>
      <c r="BD319" s="444"/>
      <c r="BE319" s="444"/>
      <c r="BF319" s="444"/>
      <c r="BG319" s="444"/>
      <c r="BH319" s="444"/>
      <c r="BI319" s="444"/>
      <c r="BJ319" s="444"/>
      <c r="BK319" s="444"/>
      <c r="BL319" s="444"/>
      <c r="BM319" s="444"/>
      <c r="BN319" s="444"/>
      <c r="BO319" s="444"/>
      <c r="BP319" s="444"/>
      <c r="BQ319" s="444"/>
      <c r="BR319" s="444"/>
      <c r="BS319" s="444"/>
      <c r="BT319" s="444"/>
      <c r="BU319" s="444"/>
      <c r="BV319" s="444"/>
      <c r="BW319" s="444"/>
      <c r="BX319" s="444"/>
      <c r="BY319" s="444"/>
      <c r="BZ319" s="444"/>
      <c r="CA319" s="444"/>
      <c r="CB319" s="444"/>
      <c r="CC319" s="444"/>
      <c r="CD319" s="444"/>
      <c r="CE319" s="444"/>
      <c r="CF319" s="444"/>
      <c r="CG319" s="444"/>
      <c r="CH319" s="444"/>
      <c r="CI319" s="444"/>
      <c r="CJ319" s="444"/>
      <c r="CK319" s="444"/>
      <c r="CL319" s="444"/>
      <c r="CM319" s="444"/>
      <c r="CN319" s="444"/>
      <c r="CO319" s="444"/>
      <c r="CP319" s="444"/>
      <c r="CQ319" s="444"/>
      <c r="CR319" s="444"/>
      <c r="CS319" s="444"/>
      <c r="CT319" s="444"/>
      <c r="CU319" s="444"/>
      <c r="CV319" s="444"/>
      <c r="CW319" s="571"/>
      <c r="CX319" s="571"/>
      <c r="CY319" s="571"/>
      <c r="CZ319" s="571"/>
      <c r="DA319" s="567"/>
      <c r="DB319" s="744"/>
      <c r="DC319" s="571">
        <f>DC118</f>
        <v>2370</v>
      </c>
      <c r="DD319" s="571">
        <f t="shared" ref="DD319:DF319" si="734">DD118</f>
        <v>3371</v>
      </c>
      <c r="DE319" s="571">
        <f t="shared" si="734"/>
        <v>3279</v>
      </c>
      <c r="DF319" s="571">
        <f t="shared" si="734"/>
        <v>4450</v>
      </c>
      <c r="DG319" s="444"/>
      <c r="DH319" s="744"/>
      <c r="DI319" s="571">
        <f>DI118</f>
        <v>4477</v>
      </c>
      <c r="DJ319" s="571">
        <f t="shared" ref="DJ319:DL319" si="735">DJ118</f>
        <v>3061</v>
      </c>
      <c r="DK319" s="571">
        <f t="shared" si="735"/>
        <v>5120</v>
      </c>
      <c r="DL319" s="571">
        <f t="shared" si="735"/>
        <v>2916</v>
      </c>
      <c r="DM319" s="744"/>
      <c r="DN319" s="744"/>
      <c r="DO319" s="571">
        <f>DO118</f>
        <v>2152</v>
      </c>
      <c r="DP319" s="571">
        <f t="shared" ref="DP319:DR319" si="736">DP118</f>
        <v>2880</v>
      </c>
      <c r="DQ319" s="571">
        <f t="shared" si="736"/>
        <v>2102</v>
      </c>
      <c r="DR319" s="571">
        <f t="shared" si="736"/>
        <v>8106</v>
      </c>
      <c r="DS319" s="744"/>
      <c r="DT319" s="744"/>
      <c r="DU319" s="571">
        <f>DU118</f>
        <v>2955</v>
      </c>
      <c r="DV319" s="571">
        <f t="shared" ref="DV319:DX319" si="737">DV118</f>
        <v>5207</v>
      </c>
      <c r="DW319" s="571">
        <f t="shared" si="737"/>
        <v>1233</v>
      </c>
      <c r="DX319" s="571">
        <f t="shared" si="737"/>
        <v>4088</v>
      </c>
      <c r="DY319" s="744"/>
      <c r="DZ319" s="744"/>
      <c r="EA319" s="571">
        <f>EA118</f>
        <v>2558.3040000000001</v>
      </c>
      <c r="EB319" s="571">
        <f>EB118</f>
        <v>3232.0976000000001</v>
      </c>
      <c r="EC319" s="571">
        <f>EC118</f>
        <v>1799</v>
      </c>
      <c r="ED319" s="571">
        <f>ED118</f>
        <v>5733</v>
      </c>
      <c r="FP319" s="311"/>
    </row>
    <row r="320" spans="2:174" x14ac:dyDescent="0.2">
      <c r="DG320" s="311"/>
      <c r="FP320" s="311"/>
    </row>
    <row r="321" spans="2:174" x14ac:dyDescent="0.2">
      <c r="B321" s="588" t="s">
        <v>683</v>
      </c>
      <c r="DG321" s="311"/>
      <c r="EI321" s="311">
        <f>EI322+SUM(EI325:EI328)</f>
        <v>12090</v>
      </c>
      <c r="FP321" s="311"/>
    </row>
    <row r="322" spans="2:174" x14ac:dyDescent="0.2">
      <c r="B322" s="311" t="s">
        <v>581</v>
      </c>
      <c r="DG322" s="311"/>
      <c r="DY322" s="694">
        <f t="shared" ref="DY322:DY329" si="738">SUM(DY171,DY284)*DY341</f>
        <v>1019.0000000000002</v>
      </c>
      <c r="EE322" s="694">
        <f>22%*24474-(EE284+EE171)</f>
        <v>1002.3853333333327</v>
      </c>
      <c r="EI322" s="311">
        <f>3*EK160*65</f>
        <v>5460</v>
      </c>
      <c r="EK322" s="450">
        <f>SUM(EK171,EK284)*EK341</f>
        <v>1288</v>
      </c>
      <c r="EL322" s="450">
        <f t="shared" ref="EK322:EL324" si="739">SUM(EL171,EL284)*EL341</f>
        <v>3906</v>
      </c>
      <c r="EM322" s="310"/>
      <c r="FM322" s="310">
        <f t="shared" ref="FM322:FM329" si="740">EE322</f>
        <v>1002.3853333333327</v>
      </c>
      <c r="FN322" s="373">
        <f t="shared" ref="FN322:FO329" si="741">EK322</f>
        <v>1288</v>
      </c>
      <c r="FO322" s="373">
        <f t="shared" si="741"/>
        <v>3906</v>
      </c>
      <c r="FP322" s="310">
        <f t="shared" ref="FP322:FR324" si="742">SUM(FP171,FP284)*FP341</f>
        <v>2264.5</v>
      </c>
      <c r="FQ322" s="310">
        <f t="shared" si="742"/>
        <v>3195.5</v>
      </c>
      <c r="FR322" s="310">
        <f t="shared" si="742"/>
        <v>3209.5</v>
      </c>
    </row>
    <row r="323" spans="2:174" x14ac:dyDescent="0.2">
      <c r="B323" s="325" t="s">
        <v>687</v>
      </c>
      <c r="DG323" s="311"/>
      <c r="DY323" s="694">
        <f t="shared" si="738"/>
        <v>50</v>
      </c>
      <c r="EE323" s="746">
        <v>50</v>
      </c>
      <c r="EI323" s="311">
        <f t="shared" ref="EI323:EI328" si="743">3*EK161*65</f>
        <v>780</v>
      </c>
      <c r="EK323" s="450">
        <f t="shared" si="739"/>
        <v>256</v>
      </c>
      <c r="EL323" s="450">
        <f t="shared" si="739"/>
        <v>423</v>
      </c>
      <c r="EM323" s="310"/>
      <c r="FM323" s="851">
        <f t="shared" si="740"/>
        <v>50</v>
      </c>
      <c r="FN323" s="852">
        <f t="shared" si="741"/>
        <v>256</v>
      </c>
      <c r="FO323" s="852">
        <f t="shared" si="741"/>
        <v>423</v>
      </c>
      <c r="FP323" s="851">
        <f t="shared" si="742"/>
        <v>501.25</v>
      </c>
      <c r="FQ323" s="851">
        <f t="shared" si="742"/>
        <v>0</v>
      </c>
      <c r="FR323" s="851">
        <f t="shared" si="742"/>
        <v>0</v>
      </c>
    </row>
    <row r="324" spans="2:174" x14ac:dyDescent="0.2">
      <c r="B324" s="325" t="s">
        <v>688</v>
      </c>
      <c r="DG324" s="311"/>
      <c r="DY324" s="694">
        <f t="shared" si="738"/>
        <v>409</v>
      </c>
      <c r="EE324" s="694">
        <f>SUM(EE173,EE286)*EE343</f>
        <v>474.16327272727278</v>
      </c>
      <c r="EI324" s="311">
        <f t="shared" si="743"/>
        <v>2925</v>
      </c>
      <c r="EK324" s="450">
        <f t="shared" si="739"/>
        <v>762</v>
      </c>
      <c r="EL324" s="450">
        <f t="shared" si="739"/>
        <v>913.75</v>
      </c>
      <c r="EM324" s="310"/>
      <c r="FM324" s="853">
        <f t="shared" si="740"/>
        <v>474.16327272727278</v>
      </c>
      <c r="FN324" s="854">
        <f t="shared" si="741"/>
        <v>762</v>
      </c>
      <c r="FO324" s="854">
        <f t="shared" si="741"/>
        <v>913.75</v>
      </c>
      <c r="FP324" s="853">
        <f t="shared" si="742"/>
        <v>767.5</v>
      </c>
      <c r="FQ324" s="853">
        <f t="shared" si="742"/>
        <v>0</v>
      </c>
      <c r="FR324" s="853">
        <f t="shared" si="742"/>
        <v>0</v>
      </c>
    </row>
    <row r="325" spans="2:174" x14ac:dyDescent="0.2">
      <c r="B325" s="311" t="s">
        <v>582</v>
      </c>
      <c r="DG325" s="311"/>
      <c r="DY325" s="694">
        <f t="shared" si="738"/>
        <v>459</v>
      </c>
      <c r="EE325" s="694">
        <f>SUM(EE323:EE324)</f>
        <v>524.16327272727278</v>
      </c>
      <c r="EI325" s="311">
        <f>EI323+EI324</f>
        <v>3705</v>
      </c>
      <c r="EK325" s="450">
        <f>SUM(EK323:EK324)</f>
        <v>1018</v>
      </c>
      <c r="EL325" s="450">
        <f t="shared" ref="EL325" si="744">SUM(EL323:EL324)</f>
        <v>1336.75</v>
      </c>
      <c r="EM325" s="310"/>
      <c r="FM325" s="310">
        <f t="shared" si="740"/>
        <v>524.16327272727278</v>
      </c>
      <c r="FN325" s="373">
        <f t="shared" si="741"/>
        <v>1018</v>
      </c>
      <c r="FO325" s="373">
        <f t="shared" si="741"/>
        <v>1336.75</v>
      </c>
      <c r="FP325" s="310">
        <f t="shared" ref="FP325:FR325" si="745">SUM(FP323:FP324)</f>
        <v>1268.75</v>
      </c>
      <c r="FQ325" s="310">
        <f t="shared" si="745"/>
        <v>0</v>
      </c>
      <c r="FR325" s="310">
        <f t="shared" si="745"/>
        <v>0</v>
      </c>
    </row>
    <row r="326" spans="2:174" x14ac:dyDescent="0.2">
      <c r="B326" s="311" t="s">
        <v>583</v>
      </c>
      <c r="DG326" s="311"/>
      <c r="DY326" s="694">
        <f t="shared" si="738"/>
        <v>433</v>
      </c>
      <c r="EE326" s="746">
        <v>450</v>
      </c>
      <c r="EI326" s="311">
        <f t="shared" si="743"/>
        <v>195</v>
      </c>
      <c r="EK326" s="536">
        <v>400</v>
      </c>
      <c r="EL326" s="536">
        <v>400</v>
      </c>
      <c r="EM326" s="465"/>
      <c r="FM326" s="310">
        <f t="shared" si="740"/>
        <v>450</v>
      </c>
      <c r="FN326" s="373">
        <f t="shared" si="741"/>
        <v>400</v>
      </c>
      <c r="FO326" s="373">
        <f t="shared" si="741"/>
        <v>400</v>
      </c>
      <c r="FP326" s="465">
        <v>400</v>
      </c>
      <c r="FQ326" s="465">
        <v>400</v>
      </c>
      <c r="FR326" s="465">
        <v>400</v>
      </c>
    </row>
    <row r="327" spans="2:174" x14ac:dyDescent="0.2">
      <c r="B327" s="311" t="s">
        <v>585</v>
      </c>
      <c r="DG327" s="311"/>
      <c r="DY327" s="694">
        <f t="shared" si="738"/>
        <v>659.99999999999989</v>
      </c>
      <c r="EE327" s="694">
        <f>SUM(EE176,EE289)*EE346</f>
        <v>589.32169999999996</v>
      </c>
      <c r="EI327" s="311">
        <f t="shared" si="743"/>
        <v>2145</v>
      </c>
      <c r="EK327" s="450">
        <f t="shared" ref="EK327:EL329" si="746">SUM(EK176,EK289)*EK346</f>
        <v>722.5</v>
      </c>
      <c r="EL327" s="450">
        <f t="shared" si="746"/>
        <v>744</v>
      </c>
      <c r="EM327" s="310"/>
      <c r="FM327" s="310">
        <f t="shared" si="740"/>
        <v>589.32169999999996</v>
      </c>
      <c r="FN327" s="373">
        <f t="shared" si="741"/>
        <v>722.5</v>
      </c>
      <c r="FO327" s="373">
        <f t="shared" si="741"/>
        <v>744</v>
      </c>
      <c r="FP327" s="310">
        <f t="shared" ref="FP327:FR329" si="747">SUM(FP176,FP289)*FP346</f>
        <v>495</v>
      </c>
      <c r="FQ327" s="310">
        <f t="shared" si="747"/>
        <v>564</v>
      </c>
      <c r="FR327" s="310">
        <f t="shared" si="747"/>
        <v>567</v>
      </c>
    </row>
    <row r="328" spans="2:174" x14ac:dyDescent="0.2">
      <c r="B328" s="311" t="s">
        <v>584</v>
      </c>
      <c r="DG328" s="311"/>
      <c r="DY328" s="694">
        <f t="shared" si="738"/>
        <v>630</v>
      </c>
      <c r="EE328" s="694">
        <f>12%*24474-EE326-EE288-EE290-EE232-EE175-EE177</f>
        <v>830.55086666666671</v>
      </c>
      <c r="EI328" s="311">
        <f t="shared" si="743"/>
        <v>585</v>
      </c>
      <c r="EK328" s="450">
        <f t="shared" si="746"/>
        <v>315</v>
      </c>
      <c r="EL328" s="450">
        <f t="shared" si="746"/>
        <v>744</v>
      </c>
      <c r="EM328" s="310"/>
      <c r="FM328" s="310">
        <f t="shared" si="740"/>
        <v>830.55086666666671</v>
      </c>
      <c r="FN328" s="373">
        <f t="shared" si="741"/>
        <v>315</v>
      </c>
      <c r="FO328" s="373">
        <f t="shared" si="741"/>
        <v>744</v>
      </c>
      <c r="FP328" s="310">
        <f t="shared" si="747"/>
        <v>537.25</v>
      </c>
      <c r="FQ328" s="310">
        <f t="shared" si="747"/>
        <v>780.5</v>
      </c>
      <c r="FR328" s="310">
        <f t="shared" si="747"/>
        <v>710.5</v>
      </c>
    </row>
    <row r="329" spans="2:174" x14ac:dyDescent="0.2">
      <c r="B329" s="382" t="s">
        <v>164</v>
      </c>
      <c r="C329" s="382"/>
      <c r="D329" s="382"/>
      <c r="E329" s="382"/>
      <c r="F329" s="382"/>
      <c r="G329" s="382"/>
      <c r="H329" s="382"/>
      <c r="I329" s="382"/>
      <c r="J329" s="382"/>
      <c r="K329" s="382"/>
      <c r="L329" s="382"/>
      <c r="M329" s="382"/>
      <c r="N329" s="382"/>
      <c r="O329" s="382"/>
      <c r="P329" s="382"/>
      <c r="Q329" s="382"/>
      <c r="R329" s="382"/>
      <c r="S329" s="382"/>
      <c r="T329" s="382"/>
      <c r="U329" s="382"/>
      <c r="V329" s="382"/>
      <c r="W329" s="382"/>
      <c r="X329" s="382"/>
      <c r="Y329" s="382"/>
      <c r="Z329" s="382"/>
      <c r="AA329" s="382"/>
      <c r="AB329" s="382"/>
      <c r="AC329" s="382"/>
      <c r="AD329" s="382"/>
      <c r="AE329" s="382"/>
      <c r="AF329" s="382"/>
      <c r="AG329" s="382"/>
      <c r="AH329" s="382"/>
      <c r="AI329" s="382"/>
      <c r="AJ329" s="382"/>
      <c r="AK329" s="382"/>
      <c r="AL329" s="382"/>
      <c r="AM329" s="382"/>
      <c r="AN329" s="382"/>
      <c r="AO329" s="382"/>
      <c r="AP329" s="382"/>
      <c r="AQ329" s="382"/>
      <c r="AR329" s="382"/>
      <c r="AS329" s="382"/>
      <c r="AT329" s="382"/>
      <c r="AU329" s="382"/>
      <c r="AV329" s="382"/>
      <c r="AW329" s="382"/>
      <c r="AX329" s="382"/>
      <c r="AY329" s="382"/>
      <c r="AZ329" s="382"/>
      <c r="BA329" s="382"/>
      <c r="BB329" s="382"/>
      <c r="BC329" s="382"/>
      <c r="BD329" s="382"/>
      <c r="BE329" s="382"/>
      <c r="BF329" s="382"/>
      <c r="BG329" s="382"/>
      <c r="BH329" s="382"/>
      <c r="BI329" s="382"/>
      <c r="BJ329" s="382"/>
      <c r="BK329" s="382"/>
      <c r="BL329" s="382"/>
      <c r="BM329" s="382"/>
      <c r="BN329" s="382"/>
      <c r="BO329" s="382"/>
      <c r="BP329" s="382"/>
      <c r="BQ329" s="382"/>
      <c r="BR329" s="382"/>
      <c r="BS329" s="382"/>
      <c r="BT329" s="382"/>
      <c r="BU329" s="382"/>
      <c r="BV329" s="382"/>
      <c r="BW329" s="382"/>
      <c r="BX329" s="382"/>
      <c r="BY329" s="382"/>
      <c r="BZ329" s="382"/>
      <c r="CA329" s="382"/>
      <c r="CB329" s="382"/>
      <c r="CC329" s="382"/>
      <c r="CD329" s="382"/>
      <c r="CE329" s="382"/>
      <c r="CF329" s="382"/>
      <c r="CG329" s="382"/>
      <c r="CH329" s="382"/>
      <c r="CI329" s="382"/>
      <c r="CJ329" s="382"/>
      <c r="CK329" s="382"/>
      <c r="CL329" s="382"/>
      <c r="CM329" s="382"/>
      <c r="CN329" s="382"/>
      <c r="CO329" s="382"/>
      <c r="CP329" s="382"/>
      <c r="CQ329" s="382"/>
      <c r="CR329" s="382"/>
      <c r="CS329" s="382"/>
      <c r="CT329" s="382"/>
      <c r="CU329" s="382"/>
      <c r="CV329" s="382"/>
      <c r="CW329" s="382"/>
      <c r="CX329" s="382"/>
      <c r="CY329" s="382"/>
      <c r="CZ329" s="382"/>
      <c r="DA329" s="690"/>
      <c r="DC329" s="382"/>
      <c r="DD329" s="382"/>
      <c r="DE329" s="382"/>
      <c r="DF329" s="382"/>
      <c r="DG329" s="382"/>
      <c r="DI329" s="382"/>
      <c r="DJ329" s="382"/>
      <c r="DK329" s="382"/>
      <c r="DL329" s="382"/>
      <c r="DM329" s="677"/>
      <c r="DO329" s="382"/>
      <c r="DP329" s="382"/>
      <c r="DQ329" s="382"/>
      <c r="DR329" s="382"/>
      <c r="DS329" s="677"/>
      <c r="DU329" s="382"/>
      <c r="DV329" s="382"/>
      <c r="DW329" s="382"/>
      <c r="DX329" s="382"/>
      <c r="DY329" s="745">
        <f t="shared" si="738"/>
        <v>0</v>
      </c>
      <c r="EA329" s="382"/>
      <c r="EB329" s="382"/>
      <c r="EC329" s="382"/>
      <c r="ED329" s="382"/>
      <c r="EE329" s="745">
        <f>EE330-EE328-EE327-EE326-EE325-EE322</f>
        <v>-68.98717272727265</v>
      </c>
      <c r="EG329" s="382"/>
      <c r="EH329" s="382"/>
      <c r="EI329" s="382"/>
      <c r="EJ329" s="382"/>
      <c r="EK329" s="483">
        <f t="shared" si="746"/>
        <v>0</v>
      </c>
      <c r="EL329" s="483">
        <f t="shared" si="746"/>
        <v>0</v>
      </c>
      <c r="EM329" s="482"/>
      <c r="FM329" s="482">
        <f t="shared" si="740"/>
        <v>-68.98717272727265</v>
      </c>
      <c r="FN329" s="370">
        <f t="shared" si="741"/>
        <v>0</v>
      </c>
      <c r="FO329" s="370">
        <f t="shared" si="741"/>
        <v>0</v>
      </c>
      <c r="FP329" s="482">
        <f t="shared" si="747"/>
        <v>0</v>
      </c>
      <c r="FQ329" s="482">
        <f t="shared" si="747"/>
        <v>0</v>
      </c>
      <c r="FR329" s="482">
        <f t="shared" si="747"/>
        <v>0</v>
      </c>
    </row>
    <row r="330" spans="2:174" ht="12" x14ac:dyDescent="0.25">
      <c r="B330" s="572" t="s">
        <v>712</v>
      </c>
      <c r="DG330" s="311"/>
      <c r="DY330" s="743">
        <f>SUM(DY322,DY325:DY329)</f>
        <v>3201</v>
      </c>
      <c r="EE330" s="743">
        <f>EE336-SUM(EE332:EE335)</f>
        <v>3327.4339999999993</v>
      </c>
      <c r="EK330" s="569">
        <f>SUM(EK322,EK325:EK329)</f>
        <v>3743.5</v>
      </c>
      <c r="EL330" s="569">
        <f t="shared" ref="EL330" si="748">SUM(EL322,EL325:EL329)</f>
        <v>7130.75</v>
      </c>
      <c r="EM330" s="571"/>
      <c r="FM330" s="571">
        <f t="shared" ref="FM330:FR330" si="749">SUM(FM322,FM325:FM329)</f>
        <v>3327.4339999999997</v>
      </c>
      <c r="FN330" s="571">
        <f t="shared" si="749"/>
        <v>3743.5</v>
      </c>
      <c r="FO330" s="571">
        <f t="shared" si="749"/>
        <v>7130.75</v>
      </c>
      <c r="FP330" s="571">
        <f t="shared" si="749"/>
        <v>4965.5</v>
      </c>
      <c r="FQ330" s="571">
        <f t="shared" si="749"/>
        <v>4940</v>
      </c>
      <c r="FR330" s="571">
        <f t="shared" si="749"/>
        <v>4887</v>
      </c>
    </row>
    <row r="331" spans="2:174" ht="12" x14ac:dyDescent="0.25">
      <c r="B331" s="572"/>
      <c r="DG331" s="311"/>
      <c r="DY331" s="743"/>
      <c r="EE331" s="743"/>
      <c r="EK331" s="569"/>
      <c r="EL331" s="569"/>
      <c r="EM331" s="571"/>
      <c r="EN331" s="879">
        <f>SUM(EK332:EK333)/SUM(EE332:EE333)-1</f>
        <v>4.2928660826032639E-2</v>
      </c>
      <c r="FP331" s="571"/>
      <c r="FQ331" s="571"/>
      <c r="FR331" s="571"/>
    </row>
    <row r="332" spans="2:174" x14ac:dyDescent="0.2">
      <c r="B332" s="325" t="s">
        <v>711</v>
      </c>
      <c r="DG332" s="311"/>
      <c r="DY332" s="746">
        <v>684</v>
      </c>
      <c r="EE332" s="694">
        <f>DY332*(1+EE361)</f>
        <v>752.40000000000009</v>
      </c>
      <c r="EK332" s="450">
        <f>EE332*(1+EK361)</f>
        <v>752.40000000000009</v>
      </c>
      <c r="EL332" s="450">
        <f>EK332*(1+EL361)</f>
        <v>752.40000000000009</v>
      </c>
      <c r="EM332" s="310"/>
      <c r="FM332" s="310">
        <f t="shared" ref="FM332:FM335" si="750">EE332</f>
        <v>752.40000000000009</v>
      </c>
      <c r="FN332" s="373">
        <f t="shared" ref="FN332:FO335" si="751">EK332</f>
        <v>752.40000000000009</v>
      </c>
      <c r="FO332" s="373">
        <f t="shared" si="751"/>
        <v>752.40000000000009</v>
      </c>
      <c r="FP332" s="310">
        <f>FO332*(1+FP361)</f>
        <v>752.40000000000009</v>
      </c>
      <c r="FQ332" s="310">
        <f>FP332*(1+FQ361)</f>
        <v>752.40000000000009</v>
      </c>
      <c r="FR332" s="310">
        <f>FQ332*(1+FR361)</f>
        <v>752.40000000000009</v>
      </c>
    </row>
    <row r="333" spans="2:174" x14ac:dyDescent="0.2">
      <c r="B333" s="325" t="s">
        <v>52</v>
      </c>
      <c r="DG333" s="311"/>
      <c r="DY333" s="746">
        <v>539</v>
      </c>
      <c r="EE333" s="694">
        <f>DY333*(1+EE362)</f>
        <v>565.95000000000005</v>
      </c>
      <c r="EK333" s="450">
        <f>EE333*(1+EK362)</f>
        <v>622.54500000000007</v>
      </c>
      <c r="EL333" s="450">
        <f t="shared" ref="EL333:EL335" si="752">EK333*(1+EL362)</f>
        <v>715.92675000000008</v>
      </c>
      <c r="EM333" s="310"/>
      <c r="FM333" s="310">
        <f t="shared" si="750"/>
        <v>565.95000000000005</v>
      </c>
      <c r="FN333" s="373">
        <f t="shared" si="751"/>
        <v>622.54500000000007</v>
      </c>
      <c r="FO333" s="373">
        <f t="shared" si="751"/>
        <v>715.92675000000008</v>
      </c>
      <c r="FP333" s="310">
        <f t="shared" ref="FP333:FR335" si="753">FO333*(1+FP362)</f>
        <v>823.31576250000001</v>
      </c>
      <c r="FQ333" s="310">
        <f t="shared" si="753"/>
        <v>823.31576250000001</v>
      </c>
      <c r="FR333" s="310">
        <f t="shared" si="753"/>
        <v>823.31576250000001</v>
      </c>
    </row>
    <row r="334" spans="2:174" x14ac:dyDescent="0.2">
      <c r="B334" s="325" t="s">
        <v>691</v>
      </c>
      <c r="DG334" s="311"/>
      <c r="DY334" s="746">
        <f>8982-DY335</f>
        <v>5770</v>
      </c>
      <c r="EE334" s="694">
        <f>8177-EE335</f>
        <v>5446.8</v>
      </c>
      <c r="EJ334" s="327">
        <f>(EK334+EK335)/EK8</f>
        <v>0.22569021138425691</v>
      </c>
      <c r="EK334" s="450">
        <f>EE334*(1+EK363)</f>
        <v>4629.78</v>
      </c>
      <c r="EL334" s="450">
        <f t="shared" si="752"/>
        <v>4444.5887999999995</v>
      </c>
      <c r="EM334" s="310"/>
      <c r="FM334" s="310">
        <f t="shared" si="750"/>
        <v>5446.8</v>
      </c>
      <c r="FN334" s="373">
        <f t="shared" si="751"/>
        <v>4629.78</v>
      </c>
      <c r="FO334" s="373">
        <f t="shared" si="751"/>
        <v>4444.5887999999995</v>
      </c>
      <c r="FP334" s="310">
        <f t="shared" si="753"/>
        <v>4222.3593599999995</v>
      </c>
      <c r="FQ334" s="310">
        <f t="shared" si="753"/>
        <v>4222.3593599999995</v>
      </c>
      <c r="FR334" s="310">
        <f t="shared" si="753"/>
        <v>4222.3593599999995</v>
      </c>
    </row>
    <row r="335" spans="2:174" x14ac:dyDescent="0.2">
      <c r="B335" s="325" t="s">
        <v>690</v>
      </c>
      <c r="DG335" s="311"/>
      <c r="DY335" s="746">
        <v>3212</v>
      </c>
      <c r="EE335" s="694">
        <f>DY335*(1+EE364)</f>
        <v>2730.2</v>
      </c>
      <c r="EJ335" s="495">
        <f>EK334+EK335</f>
        <v>6404.41</v>
      </c>
      <c r="EK335" s="450">
        <f>EE335*(1+EK364)</f>
        <v>1774.6299999999999</v>
      </c>
      <c r="EL335" s="450">
        <f t="shared" si="752"/>
        <v>2484.4819999999995</v>
      </c>
      <c r="EM335" s="310"/>
      <c r="FM335" s="310">
        <f t="shared" si="750"/>
        <v>2730.2</v>
      </c>
      <c r="FN335" s="373">
        <f t="shared" si="751"/>
        <v>1774.6299999999999</v>
      </c>
      <c r="FO335" s="373">
        <f t="shared" si="751"/>
        <v>2484.4819999999995</v>
      </c>
      <c r="FP335" s="310">
        <f t="shared" si="753"/>
        <v>2360.2578999999996</v>
      </c>
      <c r="FQ335" s="310">
        <f t="shared" si="753"/>
        <v>2360.2578999999996</v>
      </c>
      <c r="FR335" s="310">
        <f t="shared" si="753"/>
        <v>2360.2578999999996</v>
      </c>
    </row>
    <row r="336" spans="2:174" ht="12" x14ac:dyDescent="0.25">
      <c r="B336" s="590" t="s">
        <v>717</v>
      </c>
      <c r="C336" s="604"/>
      <c r="D336" s="604"/>
      <c r="E336" s="604"/>
      <c r="F336" s="604"/>
      <c r="G336" s="604"/>
      <c r="H336" s="604"/>
      <c r="I336" s="604"/>
      <c r="J336" s="604"/>
      <c r="K336" s="604"/>
      <c r="L336" s="604"/>
      <c r="M336" s="604"/>
      <c r="N336" s="604"/>
      <c r="O336" s="604"/>
      <c r="P336" s="604"/>
      <c r="Q336" s="604"/>
      <c r="R336" s="604"/>
      <c r="S336" s="604"/>
      <c r="T336" s="604"/>
      <c r="U336" s="604"/>
      <c r="V336" s="604"/>
      <c r="W336" s="604"/>
      <c r="X336" s="604"/>
      <c r="Y336" s="604"/>
      <c r="Z336" s="604"/>
      <c r="AA336" s="604"/>
      <c r="AB336" s="604"/>
      <c r="AC336" s="604"/>
      <c r="AD336" s="604"/>
      <c r="AE336" s="604"/>
      <c r="AF336" s="604"/>
      <c r="AG336" s="604"/>
      <c r="AH336" s="604"/>
      <c r="AI336" s="604"/>
      <c r="AJ336" s="604"/>
      <c r="AK336" s="604"/>
      <c r="AL336" s="604"/>
      <c r="AM336" s="604"/>
      <c r="AN336" s="604"/>
      <c r="AO336" s="604"/>
      <c r="AP336" s="604"/>
      <c r="AQ336" s="604"/>
      <c r="AR336" s="604"/>
      <c r="AS336" s="604"/>
      <c r="AT336" s="604"/>
      <c r="AU336" s="604"/>
      <c r="AV336" s="604"/>
      <c r="AW336" s="604"/>
      <c r="AX336" s="604"/>
      <c r="AY336" s="604"/>
      <c r="AZ336" s="604"/>
      <c r="BA336" s="604"/>
      <c r="BB336" s="604"/>
      <c r="BC336" s="604"/>
      <c r="BD336" s="604"/>
      <c r="BE336" s="604"/>
      <c r="BF336" s="604"/>
      <c r="BG336" s="604"/>
      <c r="BH336" s="604"/>
      <c r="BI336" s="604"/>
      <c r="BJ336" s="604"/>
      <c r="BK336" s="604"/>
      <c r="BL336" s="604"/>
      <c r="BM336" s="604"/>
      <c r="BN336" s="604"/>
      <c r="BO336" s="604"/>
      <c r="BP336" s="604"/>
      <c r="BQ336" s="604"/>
      <c r="BR336" s="604"/>
      <c r="BS336" s="604"/>
      <c r="BT336" s="604"/>
      <c r="BU336" s="604"/>
      <c r="BV336" s="604"/>
      <c r="BW336" s="604"/>
      <c r="BX336" s="604"/>
      <c r="BY336" s="604"/>
      <c r="BZ336" s="604"/>
      <c r="CA336" s="604"/>
      <c r="CB336" s="604"/>
      <c r="CC336" s="604"/>
      <c r="CD336" s="604"/>
      <c r="CE336" s="604"/>
      <c r="CF336" s="604"/>
      <c r="CG336" s="604"/>
      <c r="CH336" s="604"/>
      <c r="CI336" s="604"/>
      <c r="CJ336" s="604"/>
      <c r="CK336" s="604"/>
      <c r="CL336" s="604"/>
      <c r="CM336" s="604"/>
      <c r="CN336" s="604"/>
      <c r="CO336" s="604"/>
      <c r="CP336" s="604"/>
      <c r="CQ336" s="604"/>
      <c r="CR336" s="604"/>
      <c r="CS336" s="604"/>
      <c r="CT336" s="604"/>
      <c r="CU336" s="604"/>
      <c r="CV336" s="604"/>
      <c r="CW336" s="604"/>
      <c r="CX336" s="604"/>
      <c r="CY336" s="604"/>
      <c r="CZ336" s="604"/>
      <c r="DA336" s="605"/>
      <c r="DC336" s="604"/>
      <c r="DD336" s="604"/>
      <c r="DE336" s="604"/>
      <c r="DF336" s="604"/>
      <c r="DG336" s="604"/>
      <c r="DI336" s="604"/>
      <c r="DJ336" s="604"/>
      <c r="DK336" s="604"/>
      <c r="DL336" s="604"/>
      <c r="DM336" s="678"/>
      <c r="DO336" s="604"/>
      <c r="DP336" s="604"/>
      <c r="DQ336" s="604"/>
      <c r="DR336" s="604"/>
      <c r="DS336" s="678"/>
      <c r="DU336" s="591">
        <f>DU53+DU54</f>
        <v>2141.5860000000002</v>
      </c>
      <c r="DV336" s="591">
        <f>DV53+DV54</f>
        <v>3285.0209999999993</v>
      </c>
      <c r="DW336" s="591">
        <f>DW53+DW54</f>
        <v>3851.9</v>
      </c>
      <c r="DX336" s="591">
        <f>DX53+DX54</f>
        <v>4127.2219999999998</v>
      </c>
      <c r="DY336" s="747">
        <f>SUM(DT336:DX336)</f>
        <v>13405.728999999999</v>
      </c>
      <c r="DZ336" s="743"/>
      <c r="EA336" s="591">
        <f>EA53+EA54</f>
        <v>2525.7759999999998</v>
      </c>
      <c r="EB336" s="591">
        <f>EB53+EB54</f>
        <v>2909.9720000000002</v>
      </c>
      <c r="EC336" s="591">
        <f>EC53+EC54</f>
        <v>3443.3560000000002</v>
      </c>
      <c r="ED336" s="591">
        <f>ED53+ED54</f>
        <v>3943.6800000000007</v>
      </c>
      <c r="EE336" s="747">
        <f>SUM(EA336:ED336)</f>
        <v>12822.784</v>
      </c>
      <c r="EG336" s="591">
        <f>EG53+EG54</f>
        <v>2134.86</v>
      </c>
      <c r="EH336" s="621">
        <v>2650</v>
      </c>
      <c r="EI336" s="621">
        <v>3300</v>
      </c>
      <c r="EJ336" s="866">
        <f>EK336-SUM(EG336:EI336)</f>
        <v>3437.9949999999972</v>
      </c>
      <c r="EK336" s="592">
        <f>SUM(EK330:EK335)</f>
        <v>11522.854999999998</v>
      </c>
      <c r="EL336" s="592">
        <f>SUM(EL330:EL335)</f>
        <v>15528.14755</v>
      </c>
      <c r="EM336" s="591"/>
      <c r="FM336" s="591">
        <f t="shared" ref="FM336:FR336" si="754">SUM(FM330:FM335)</f>
        <v>12822.784</v>
      </c>
      <c r="FN336" s="591">
        <f t="shared" si="754"/>
        <v>11522.854999999998</v>
      </c>
      <c r="FO336" s="591">
        <f t="shared" si="754"/>
        <v>15528.14755</v>
      </c>
      <c r="FP336" s="591">
        <f t="shared" si="754"/>
        <v>13123.833022499999</v>
      </c>
      <c r="FQ336" s="591">
        <f t="shared" si="754"/>
        <v>13098.333022499999</v>
      </c>
      <c r="FR336" s="591">
        <f t="shared" si="754"/>
        <v>13045.333022499999</v>
      </c>
    </row>
    <row r="337" spans="2:174" ht="12" x14ac:dyDescent="0.25">
      <c r="B337" s="444"/>
      <c r="DG337" s="311"/>
      <c r="DU337" s="310">
        <f>DU54</f>
        <v>118.977</v>
      </c>
      <c r="DV337" s="310">
        <f>DV54</f>
        <v>47.608999999999995</v>
      </c>
      <c r="DW337" s="310">
        <f>DW54</f>
        <v>118.52</v>
      </c>
      <c r="DX337" s="310">
        <f>DX54</f>
        <v>284.63599999999997</v>
      </c>
      <c r="DY337" s="694">
        <f>DY54</f>
        <v>569.74199999999996</v>
      </c>
      <c r="DZ337" s="694"/>
      <c r="EA337" s="310">
        <f>EA54</f>
        <v>172.21199999999999</v>
      </c>
      <c r="EB337" s="310">
        <f>EB54</f>
        <v>111.92200000000001</v>
      </c>
      <c r="EC337" s="310">
        <f>EC54</f>
        <v>222.15200000000002</v>
      </c>
      <c r="ED337" s="310">
        <f>ED54</f>
        <v>303.36</v>
      </c>
      <c r="EE337" s="694">
        <f>EE54</f>
        <v>809.64600000000007</v>
      </c>
      <c r="EG337" s="310">
        <f>EG54</f>
        <v>125.58</v>
      </c>
      <c r="EH337" s="310">
        <f t="shared" ref="EH337:EL337" si="755">EH54</f>
        <v>150</v>
      </c>
      <c r="EI337" s="310">
        <f t="shared" si="755"/>
        <v>175</v>
      </c>
      <c r="EJ337" s="310">
        <f t="shared" si="755"/>
        <v>200</v>
      </c>
      <c r="EK337" s="450">
        <f t="shared" si="755"/>
        <v>650.57999999999993</v>
      </c>
      <c r="EL337" s="450">
        <f t="shared" si="755"/>
        <v>850</v>
      </c>
      <c r="EM337" s="310"/>
      <c r="FM337" s="310">
        <f t="shared" ref="FM337:FR337" si="756">FM54</f>
        <v>809.64600000000007</v>
      </c>
      <c r="FN337" s="310">
        <f t="shared" si="756"/>
        <v>650.57999999999993</v>
      </c>
      <c r="FO337" s="310">
        <f t="shared" si="756"/>
        <v>850</v>
      </c>
      <c r="FP337" s="310">
        <f t="shared" si="756"/>
        <v>880</v>
      </c>
      <c r="FQ337" s="310">
        <f t="shared" si="756"/>
        <v>100</v>
      </c>
      <c r="FR337" s="310">
        <f t="shared" si="756"/>
        <v>1100</v>
      </c>
    </row>
    <row r="338" spans="2:174" ht="12" x14ac:dyDescent="0.25">
      <c r="B338" s="444"/>
      <c r="DG338" s="311"/>
      <c r="DU338" s="571">
        <f>DU336-DU337</f>
        <v>2022.6090000000002</v>
      </c>
      <c r="DV338" s="571">
        <f>DV336-DV337</f>
        <v>3237.4119999999994</v>
      </c>
      <c r="DW338" s="571">
        <f t="shared" ref="DW338:EJ338" si="757">DW336-DW337</f>
        <v>3733.38</v>
      </c>
      <c r="DX338" s="571">
        <f t="shared" si="757"/>
        <v>3842.5859999999998</v>
      </c>
      <c r="DY338" s="743">
        <f t="shared" si="757"/>
        <v>12835.986999999999</v>
      </c>
      <c r="DZ338" s="743"/>
      <c r="EA338" s="571">
        <f t="shared" si="757"/>
        <v>2353.5639999999999</v>
      </c>
      <c r="EB338" s="571">
        <f t="shared" si="757"/>
        <v>2798.05</v>
      </c>
      <c r="EC338" s="571">
        <f t="shared" si="757"/>
        <v>3221.2040000000002</v>
      </c>
      <c r="ED338" s="571">
        <f t="shared" si="757"/>
        <v>3640.3200000000006</v>
      </c>
      <c r="EE338" s="743">
        <f t="shared" si="757"/>
        <v>12013.137999999999</v>
      </c>
      <c r="EG338" s="571">
        <f t="shared" ref="EG338" si="758">EG336-EG337</f>
        <v>2009.2800000000002</v>
      </c>
      <c r="EH338" s="571">
        <f t="shared" si="757"/>
        <v>2500</v>
      </c>
      <c r="EI338" s="571">
        <f t="shared" si="757"/>
        <v>3125</v>
      </c>
      <c r="EJ338" s="571">
        <f t="shared" si="757"/>
        <v>3237.9949999999972</v>
      </c>
      <c r="EK338" s="569">
        <f t="shared" ref="EK338" si="759">EK336-EK337</f>
        <v>10872.274999999998</v>
      </c>
      <c r="EL338" s="569">
        <f>EL336-EL337</f>
        <v>14678.14755</v>
      </c>
      <c r="EM338" s="571"/>
      <c r="FM338" s="571">
        <f t="shared" ref="FM338:FR338" si="760">FM336-FM337</f>
        <v>12013.137999999999</v>
      </c>
      <c r="FN338" s="571">
        <f t="shared" si="760"/>
        <v>10872.274999999998</v>
      </c>
      <c r="FO338" s="571">
        <f t="shared" si="760"/>
        <v>14678.14755</v>
      </c>
      <c r="FP338" s="571">
        <f t="shared" si="760"/>
        <v>12243.833022499999</v>
      </c>
      <c r="FQ338" s="571">
        <f t="shared" si="760"/>
        <v>12998.333022499999</v>
      </c>
      <c r="FR338" s="571">
        <f t="shared" si="760"/>
        <v>11945.333022499999</v>
      </c>
    </row>
    <row r="339" spans="2:174" ht="12" x14ac:dyDescent="0.25">
      <c r="DG339" s="311"/>
      <c r="DY339" s="743"/>
      <c r="EA339" s="310">
        <f>EA336-EA422</f>
        <v>975.86799999999994</v>
      </c>
      <c r="EB339" s="310">
        <f t="shared" ref="EB339:ED339" si="761">EB336-EB422</f>
        <v>1399.0250000000001</v>
      </c>
      <c r="EC339" s="310">
        <f t="shared" si="761"/>
        <v>1110.7600000000002</v>
      </c>
      <c r="ED339" s="310">
        <f t="shared" si="761"/>
        <v>1160.1310000000003</v>
      </c>
      <c r="EG339" s="310">
        <f>EG336-EG422</f>
        <v>2134.86</v>
      </c>
      <c r="FP339" s="311"/>
    </row>
    <row r="340" spans="2:174" ht="12" x14ac:dyDescent="0.25">
      <c r="B340" s="588" t="s">
        <v>700</v>
      </c>
      <c r="DG340" s="311"/>
      <c r="DY340" s="743"/>
      <c r="EA340" s="274">
        <f>EA339/EA141</f>
        <v>0.30357142857142855</v>
      </c>
      <c r="EB340" s="274">
        <f t="shared" ref="EB340:ED340" si="762">EB339/EB141</f>
        <v>0.5742822216238227</v>
      </c>
      <c r="EC340" s="274">
        <f t="shared" si="762"/>
        <v>0.63453145351095686</v>
      </c>
      <c r="ED340" s="274">
        <f t="shared" si="762"/>
        <v>0.38284108608991801</v>
      </c>
      <c r="EG340" s="274">
        <f>EG339/EG141</f>
        <v>0.62347333929103366</v>
      </c>
      <c r="FP340" s="311"/>
    </row>
    <row r="341" spans="2:174" x14ac:dyDescent="0.2">
      <c r="B341" s="311" t="s">
        <v>581</v>
      </c>
      <c r="DG341" s="311"/>
      <c r="DY341" s="748">
        <v>0.37811412009705958</v>
      </c>
      <c r="EE341" s="748">
        <v>0.55000000000000004</v>
      </c>
      <c r="EK341" s="865">
        <v>0.2</v>
      </c>
      <c r="EL341" s="759">
        <v>0.4</v>
      </c>
      <c r="FM341" s="855">
        <f t="shared" ref="FM341:FM347" si="763">EE341</f>
        <v>0.55000000000000004</v>
      </c>
      <c r="FN341" s="856">
        <f t="shared" ref="FN341:FO347" si="764">EK341</f>
        <v>0.2</v>
      </c>
      <c r="FO341" s="856">
        <f t="shared" si="764"/>
        <v>0.4</v>
      </c>
      <c r="FP341" s="670">
        <v>0.35</v>
      </c>
      <c r="FQ341" s="670">
        <v>0.35</v>
      </c>
      <c r="FR341" s="670">
        <v>0.35</v>
      </c>
    </row>
    <row r="342" spans="2:174" x14ac:dyDescent="0.2">
      <c r="B342" s="325" t="s">
        <v>687</v>
      </c>
      <c r="DG342" s="311"/>
      <c r="DY342" s="748">
        <v>8.902487367688372E-2</v>
      </c>
      <c r="EE342" s="748"/>
      <c r="EK342" s="865">
        <v>0.2</v>
      </c>
      <c r="EL342" s="759">
        <v>0.3</v>
      </c>
      <c r="FM342" s="855">
        <f t="shared" si="763"/>
        <v>0</v>
      </c>
      <c r="FN342" s="856">
        <f t="shared" si="764"/>
        <v>0.2</v>
      </c>
      <c r="FO342" s="856">
        <f t="shared" si="764"/>
        <v>0.3</v>
      </c>
      <c r="FP342" s="670">
        <v>0.25</v>
      </c>
      <c r="FQ342" s="670">
        <v>0.25</v>
      </c>
      <c r="FR342" s="670">
        <v>0.25</v>
      </c>
    </row>
    <row r="343" spans="2:174" x14ac:dyDescent="0.2">
      <c r="B343" s="325" t="s">
        <v>688</v>
      </c>
      <c r="DG343" s="311"/>
      <c r="DY343" s="748">
        <v>0.31209577143296091</v>
      </c>
      <c r="EE343" s="748">
        <v>0.2</v>
      </c>
      <c r="EK343" s="759">
        <v>0.2</v>
      </c>
      <c r="EL343" s="759">
        <v>0.25</v>
      </c>
      <c r="FM343" s="855">
        <f t="shared" si="763"/>
        <v>0.2</v>
      </c>
      <c r="FN343" s="856">
        <f t="shared" si="764"/>
        <v>0.2</v>
      </c>
      <c r="FO343" s="856">
        <f t="shared" si="764"/>
        <v>0.25</v>
      </c>
      <c r="FP343" s="670">
        <v>0.25</v>
      </c>
      <c r="FQ343" s="670">
        <v>0.25</v>
      </c>
      <c r="FR343" s="670">
        <v>0.25</v>
      </c>
    </row>
    <row r="344" spans="2:174" x14ac:dyDescent="0.2">
      <c r="B344" s="311" t="s">
        <v>582</v>
      </c>
      <c r="DG344" s="311"/>
      <c r="DY344" s="748">
        <v>0.24600858800924957</v>
      </c>
      <c r="EE344" s="748"/>
      <c r="EK344" s="759"/>
      <c r="EL344" s="759"/>
      <c r="FM344" s="855"/>
      <c r="FN344" s="856"/>
      <c r="FO344" s="856"/>
      <c r="FP344" s="670"/>
      <c r="FQ344" s="670"/>
      <c r="FR344" s="670"/>
    </row>
    <row r="345" spans="2:174" x14ac:dyDescent="0.2">
      <c r="B345" s="311" t="s">
        <v>583</v>
      </c>
      <c r="DG345" s="311"/>
      <c r="DY345" s="748">
        <v>0.28931828230678869</v>
      </c>
      <c r="EE345" s="748"/>
      <c r="EK345" s="759"/>
      <c r="EL345" s="759"/>
      <c r="FM345" s="855"/>
      <c r="FN345" s="856"/>
      <c r="FO345" s="856"/>
      <c r="FP345" s="670"/>
      <c r="FQ345" s="670"/>
      <c r="FR345" s="670"/>
    </row>
    <row r="346" spans="2:174" x14ac:dyDescent="0.2">
      <c r="B346" s="311" t="s">
        <v>585</v>
      </c>
      <c r="DG346" s="311"/>
      <c r="DY346" s="748">
        <v>0.5045612770920832</v>
      </c>
      <c r="EE346" s="748">
        <v>0.25</v>
      </c>
      <c r="EK346" s="759">
        <v>0.25</v>
      </c>
      <c r="EL346" s="759">
        <v>0.3</v>
      </c>
      <c r="FM346" s="855">
        <f t="shared" si="763"/>
        <v>0.25</v>
      </c>
      <c r="FN346" s="856">
        <f t="shared" si="764"/>
        <v>0.25</v>
      </c>
      <c r="FO346" s="856">
        <f t="shared" si="764"/>
        <v>0.3</v>
      </c>
      <c r="FP346" s="670">
        <v>0.2</v>
      </c>
      <c r="FQ346" s="670">
        <v>0.2</v>
      </c>
      <c r="FR346" s="670">
        <v>0.2</v>
      </c>
    </row>
    <row r="347" spans="2:174" x14ac:dyDescent="0.2">
      <c r="B347" s="311" t="s">
        <v>584</v>
      </c>
      <c r="DG347" s="311"/>
      <c r="DY347" s="748">
        <v>1.2662293881426114</v>
      </c>
      <c r="EE347" s="748">
        <v>0.9</v>
      </c>
      <c r="EK347" s="759">
        <v>0.3</v>
      </c>
      <c r="EL347" s="759">
        <v>0.3</v>
      </c>
      <c r="FM347" s="855">
        <f t="shared" si="763"/>
        <v>0.9</v>
      </c>
      <c r="FN347" s="856">
        <f t="shared" si="764"/>
        <v>0.3</v>
      </c>
      <c r="FO347" s="856">
        <f t="shared" si="764"/>
        <v>0.3</v>
      </c>
      <c r="FP347" s="670">
        <v>0.35</v>
      </c>
      <c r="FQ347" s="670">
        <v>0.35</v>
      </c>
      <c r="FR347" s="670">
        <v>0.35</v>
      </c>
    </row>
    <row r="348" spans="2:174" x14ac:dyDescent="0.2">
      <c r="B348" s="311" t="s">
        <v>164</v>
      </c>
      <c r="DG348" s="311"/>
      <c r="FP348" s="311"/>
    </row>
    <row r="349" spans="2:174" x14ac:dyDescent="0.2">
      <c r="DG349" s="311"/>
      <c r="FP349" s="311"/>
    </row>
    <row r="350" spans="2:174" x14ac:dyDescent="0.2">
      <c r="B350" s="588" t="s">
        <v>693</v>
      </c>
      <c r="DG350" s="311"/>
      <c r="FP350" s="311"/>
    </row>
    <row r="351" spans="2:174" x14ac:dyDescent="0.2">
      <c r="B351" s="311" t="s">
        <v>581</v>
      </c>
      <c r="DG351" s="311"/>
      <c r="EE351" s="399">
        <f>EE322/DY322-1</f>
        <v>-1.630487405953629E-2</v>
      </c>
      <c r="EK351" s="404">
        <f>EK322/EE322-1</f>
        <v>0.2849350017092569</v>
      </c>
      <c r="EL351" s="404">
        <f t="shared" ref="EL351:EL357" si="765">EL322/EK322-1</f>
        <v>2.0326086956521738</v>
      </c>
      <c r="FN351" s="468">
        <f t="shared" ref="FN351:FP357" si="766">FN322/FM322-1</f>
        <v>0.2849350017092569</v>
      </c>
      <c r="FO351" s="468">
        <f t="shared" si="766"/>
        <v>2.0326086956521738</v>
      </c>
      <c r="FP351" s="468">
        <f t="shared" si="766"/>
        <v>-0.42025089605734767</v>
      </c>
    </row>
    <row r="352" spans="2:174" x14ac:dyDescent="0.2">
      <c r="B352" s="325" t="s">
        <v>687</v>
      </c>
      <c r="DG352" s="311"/>
      <c r="EE352" s="399"/>
      <c r="EK352" s="404">
        <f t="shared" ref="EK352:EK353" si="767">EK323/EE323-1</f>
        <v>4.12</v>
      </c>
      <c r="EL352" s="404">
        <f t="shared" si="765"/>
        <v>0.65234375</v>
      </c>
      <c r="FN352" s="468">
        <f t="shared" si="766"/>
        <v>4.12</v>
      </c>
      <c r="FO352" s="468">
        <f t="shared" si="766"/>
        <v>0.65234375</v>
      </c>
      <c r="FP352" s="468">
        <f t="shared" si="766"/>
        <v>0.18498817966903069</v>
      </c>
    </row>
    <row r="353" spans="2:174" x14ac:dyDescent="0.2">
      <c r="B353" s="325" t="s">
        <v>688</v>
      </c>
      <c r="DG353" s="311"/>
      <c r="EE353" s="399"/>
      <c r="EK353" s="404">
        <f t="shared" si="767"/>
        <v>0.6070413796858618</v>
      </c>
      <c r="EL353" s="404">
        <f t="shared" si="765"/>
        <v>0.1991469816272966</v>
      </c>
      <c r="FN353" s="468">
        <f t="shared" si="766"/>
        <v>0.6070413796858618</v>
      </c>
      <c r="FO353" s="468">
        <f t="shared" si="766"/>
        <v>0.1991469816272966</v>
      </c>
      <c r="FP353" s="468">
        <f t="shared" si="766"/>
        <v>-0.16005471956224349</v>
      </c>
    </row>
    <row r="354" spans="2:174" x14ac:dyDescent="0.2">
      <c r="B354" s="311" t="s">
        <v>582</v>
      </c>
      <c r="DG354" s="311"/>
      <c r="EE354" s="399">
        <f>EE325/DY325-1</f>
        <v>0.14196791443850287</v>
      </c>
      <c r="EK354" s="404">
        <f>EK325/EE325-1</f>
        <v>0.94214294088795358</v>
      </c>
      <c r="EL354" s="404">
        <f t="shared" si="765"/>
        <v>0.31311394891944988</v>
      </c>
      <c r="FN354" s="468">
        <f t="shared" si="766"/>
        <v>0.94214294088795358</v>
      </c>
      <c r="FO354" s="468">
        <f t="shared" si="766"/>
        <v>0.31311394891944988</v>
      </c>
      <c r="FP354" s="468">
        <f t="shared" si="766"/>
        <v>-5.0869646530764867E-2</v>
      </c>
    </row>
    <row r="355" spans="2:174" x14ac:dyDescent="0.2">
      <c r="B355" s="311" t="s">
        <v>583</v>
      </c>
      <c r="DG355" s="311"/>
      <c r="EE355" s="399">
        <f>EE326/DY326-1</f>
        <v>3.9260969976905313E-2</v>
      </c>
      <c r="EK355" s="404">
        <f>EK326/EE326-1</f>
        <v>-0.11111111111111116</v>
      </c>
      <c r="EL355" s="404">
        <f t="shared" si="765"/>
        <v>0</v>
      </c>
      <c r="FN355" s="468">
        <f t="shared" si="766"/>
        <v>-0.11111111111111116</v>
      </c>
      <c r="FO355" s="468">
        <f t="shared" si="766"/>
        <v>0</v>
      </c>
      <c r="FP355" s="468">
        <f t="shared" si="766"/>
        <v>0</v>
      </c>
    </row>
    <row r="356" spans="2:174" x14ac:dyDescent="0.2">
      <c r="B356" s="311" t="s">
        <v>585</v>
      </c>
      <c r="DG356" s="311"/>
      <c r="EE356" s="399">
        <f>EE327/DY327-1</f>
        <v>-0.10708833333333323</v>
      </c>
      <c r="EK356" s="404">
        <f>EK327/EE327-1</f>
        <v>0.22598573919813236</v>
      </c>
      <c r="EL356" s="404">
        <f t="shared" si="765"/>
        <v>2.975778546712804E-2</v>
      </c>
      <c r="FN356" s="468">
        <f t="shared" si="766"/>
        <v>0.22598573919813236</v>
      </c>
      <c r="FO356" s="468">
        <f t="shared" si="766"/>
        <v>2.975778546712804E-2</v>
      </c>
      <c r="FP356" s="468">
        <f t="shared" si="766"/>
        <v>-0.33467741935483875</v>
      </c>
    </row>
    <row r="357" spans="2:174" x14ac:dyDescent="0.2">
      <c r="B357" s="311" t="s">
        <v>584</v>
      </c>
      <c r="DG357" s="311"/>
      <c r="EE357" s="399">
        <f>EE328/DY328-1</f>
        <v>0.31833470899470906</v>
      </c>
      <c r="EK357" s="404">
        <f>EK328/EE328-1</f>
        <v>-0.62073364481067705</v>
      </c>
      <c r="EL357" s="404">
        <f t="shared" si="765"/>
        <v>1.361904761904762</v>
      </c>
      <c r="FN357" s="468">
        <f t="shared" si="766"/>
        <v>-0.62073364481067705</v>
      </c>
      <c r="FO357" s="468">
        <f t="shared" si="766"/>
        <v>1.361904761904762</v>
      </c>
      <c r="FP357" s="468">
        <f t="shared" si="766"/>
        <v>-0.27788978494623651</v>
      </c>
    </row>
    <row r="358" spans="2:174" x14ac:dyDescent="0.2">
      <c r="B358" s="382" t="s">
        <v>164</v>
      </c>
      <c r="C358" s="382"/>
      <c r="D358" s="382"/>
      <c r="E358" s="382"/>
      <c r="F358" s="382"/>
      <c r="G358" s="382"/>
      <c r="H358" s="382"/>
      <c r="I358" s="382"/>
      <c r="J358" s="382"/>
      <c r="K358" s="382"/>
      <c r="L358" s="382"/>
      <c r="M358" s="382"/>
      <c r="N358" s="382"/>
      <c r="O358" s="382"/>
      <c r="P358" s="382"/>
      <c r="Q358" s="382"/>
      <c r="R358" s="382"/>
      <c r="S358" s="382"/>
      <c r="T358" s="382"/>
      <c r="U358" s="382"/>
      <c r="V358" s="382"/>
      <c r="W358" s="382"/>
      <c r="X358" s="382"/>
      <c r="Y358" s="382"/>
      <c r="Z358" s="382"/>
      <c r="AA358" s="382"/>
      <c r="AB358" s="382"/>
      <c r="AC358" s="382"/>
      <c r="AD358" s="382"/>
      <c r="AE358" s="382"/>
      <c r="AF358" s="382"/>
      <c r="AG358" s="382"/>
      <c r="AH358" s="382"/>
      <c r="AI358" s="382"/>
      <c r="AJ358" s="382"/>
      <c r="AK358" s="382"/>
      <c r="AL358" s="382"/>
      <c r="AM358" s="382"/>
      <c r="AN358" s="382"/>
      <c r="AO358" s="382"/>
      <c r="AP358" s="382"/>
      <c r="AQ358" s="382"/>
      <c r="AR358" s="382"/>
      <c r="AS358" s="382"/>
      <c r="AT358" s="382"/>
      <c r="AU358" s="382"/>
      <c r="AV358" s="382"/>
      <c r="AW358" s="382"/>
      <c r="AX358" s="382"/>
      <c r="AY358" s="382"/>
      <c r="AZ358" s="382"/>
      <c r="BA358" s="382"/>
      <c r="BB358" s="382"/>
      <c r="BC358" s="382"/>
      <c r="BD358" s="382"/>
      <c r="BE358" s="382"/>
      <c r="BF358" s="382"/>
      <c r="BG358" s="382"/>
      <c r="BH358" s="382"/>
      <c r="BI358" s="382"/>
      <c r="BJ358" s="382"/>
      <c r="BK358" s="382"/>
      <c r="BL358" s="382"/>
      <c r="BM358" s="382"/>
      <c r="BN358" s="382"/>
      <c r="BO358" s="382"/>
      <c r="BP358" s="382"/>
      <c r="BQ358" s="382"/>
      <c r="BR358" s="382"/>
      <c r="BS358" s="382"/>
      <c r="BT358" s="382"/>
      <c r="BU358" s="382"/>
      <c r="BV358" s="382"/>
      <c r="BW358" s="382"/>
      <c r="BX358" s="382"/>
      <c r="BY358" s="382"/>
      <c r="BZ358" s="382"/>
      <c r="CA358" s="382"/>
      <c r="CB358" s="382"/>
      <c r="CC358" s="382"/>
      <c r="CD358" s="382"/>
      <c r="CE358" s="382"/>
      <c r="CF358" s="382"/>
      <c r="CG358" s="382"/>
      <c r="CH358" s="382"/>
      <c r="CI358" s="382"/>
      <c r="CJ358" s="382"/>
      <c r="CK358" s="382"/>
      <c r="CL358" s="382"/>
      <c r="CM358" s="382"/>
      <c r="CN358" s="382"/>
      <c r="CO358" s="382"/>
      <c r="CP358" s="382"/>
      <c r="CQ358" s="382"/>
      <c r="CR358" s="382"/>
      <c r="CS358" s="382"/>
      <c r="CT358" s="382"/>
      <c r="CU358" s="382"/>
      <c r="CV358" s="382"/>
      <c r="CW358" s="382"/>
      <c r="CX358" s="382"/>
      <c r="CY358" s="382"/>
      <c r="CZ358" s="382"/>
      <c r="DA358" s="690"/>
      <c r="DC358" s="382"/>
      <c r="DD358" s="382"/>
      <c r="DE358" s="382"/>
      <c r="DF358" s="382"/>
      <c r="DG358" s="382"/>
      <c r="DI358" s="382"/>
      <c r="DJ358" s="382"/>
      <c r="DK358" s="382"/>
      <c r="DL358" s="382"/>
      <c r="DM358" s="677"/>
      <c r="DO358" s="382"/>
      <c r="DP358" s="382"/>
      <c r="DQ358" s="382"/>
      <c r="DR358" s="382"/>
      <c r="DS358" s="677"/>
      <c r="DU358" s="382"/>
      <c r="DV358" s="382"/>
      <c r="DW358" s="382"/>
      <c r="DX358" s="382"/>
      <c r="DY358" s="677"/>
      <c r="EA358" s="382"/>
      <c r="EB358" s="382"/>
      <c r="EC358" s="382"/>
      <c r="ED358" s="382"/>
      <c r="EE358" s="765"/>
      <c r="EG358" s="382"/>
      <c r="EH358" s="382"/>
      <c r="EI358" s="382"/>
      <c r="EJ358" s="382"/>
      <c r="EK358" s="637"/>
      <c r="EL358" s="637"/>
      <c r="FN358" s="383"/>
      <c r="FO358" s="383"/>
      <c r="FP358" s="383"/>
    </row>
    <row r="359" spans="2:174" ht="12" x14ac:dyDescent="0.25">
      <c r="B359" s="572" t="s">
        <v>686</v>
      </c>
      <c r="DG359" s="311"/>
      <c r="EE359" s="766">
        <f>EE330/DY330-1</f>
        <v>3.9498281786941369E-2</v>
      </c>
      <c r="EK359" s="681">
        <f>EK330/EE330-1</f>
        <v>0.12504109773477134</v>
      </c>
      <c r="EL359" s="681">
        <f>EL330/EK330-1</f>
        <v>0.90483504741552023</v>
      </c>
      <c r="FN359" s="672">
        <f>FN330/FM330-1</f>
        <v>0.12504109773477112</v>
      </c>
      <c r="FO359" s="672">
        <f>FO330/FN330-1</f>
        <v>0.90483504741552023</v>
      </c>
      <c r="FP359" s="672">
        <f>FP330/FO330-1</f>
        <v>-0.3036496862181397</v>
      </c>
    </row>
    <row r="360" spans="2:174" ht="12" x14ac:dyDescent="0.25">
      <c r="B360" s="572"/>
      <c r="DG360" s="311"/>
      <c r="EE360" s="766"/>
      <c r="EK360" s="681"/>
      <c r="FP360" s="311"/>
    </row>
    <row r="361" spans="2:174" x14ac:dyDescent="0.2">
      <c r="B361" s="325" t="s">
        <v>689</v>
      </c>
      <c r="DG361" s="311"/>
      <c r="EE361" s="767">
        <v>0.1</v>
      </c>
      <c r="EK361" s="864">
        <v>0</v>
      </c>
      <c r="EL361" s="762">
        <v>0</v>
      </c>
      <c r="FP361" s="671">
        <v>0</v>
      </c>
    </row>
    <row r="362" spans="2:174" x14ac:dyDescent="0.2">
      <c r="B362" s="325" t="s">
        <v>52</v>
      </c>
      <c r="DG362" s="311"/>
      <c r="EE362" s="767">
        <v>0.05</v>
      </c>
      <c r="EK362" s="762">
        <v>0.1</v>
      </c>
      <c r="EL362" s="762">
        <v>0.15</v>
      </c>
      <c r="FP362" s="671">
        <v>0.15</v>
      </c>
    </row>
    <row r="363" spans="2:174" x14ac:dyDescent="0.2">
      <c r="B363" s="325" t="s">
        <v>691</v>
      </c>
      <c r="DG363" s="311"/>
      <c r="EE363" s="736">
        <f>EE334/DY334-1</f>
        <v>-5.6013864818024284E-2</v>
      </c>
      <c r="EK363" s="767">
        <v>-0.15</v>
      </c>
      <c r="EL363" s="762">
        <v>-0.04</v>
      </c>
      <c r="FP363" s="671">
        <v>-0.05</v>
      </c>
    </row>
    <row r="364" spans="2:174" x14ac:dyDescent="0.2">
      <c r="B364" s="325" t="s">
        <v>690</v>
      </c>
      <c r="DG364" s="311"/>
      <c r="EE364" s="767">
        <v>-0.15</v>
      </c>
      <c r="EK364" s="762">
        <v>-0.35</v>
      </c>
      <c r="EL364" s="762">
        <v>0.4</v>
      </c>
      <c r="FP364" s="671">
        <v>-0.05</v>
      </c>
    </row>
    <row r="365" spans="2:174" ht="12" x14ac:dyDescent="0.25">
      <c r="B365" s="590" t="s">
        <v>717</v>
      </c>
      <c r="C365" s="590"/>
      <c r="D365" s="590"/>
      <c r="E365" s="590"/>
      <c r="F365" s="590"/>
      <c r="G365" s="590"/>
      <c r="H365" s="590"/>
      <c r="I365" s="590"/>
      <c r="J365" s="590"/>
      <c r="K365" s="590"/>
      <c r="L365" s="590"/>
      <c r="M365" s="590"/>
      <c r="N365" s="590"/>
      <c r="O365" s="590"/>
      <c r="P365" s="590"/>
      <c r="Q365" s="590"/>
      <c r="R365" s="590"/>
      <c r="S365" s="590"/>
      <c r="T365" s="590"/>
      <c r="U365" s="590"/>
      <c r="V365" s="590"/>
      <c r="W365" s="590"/>
      <c r="X365" s="590"/>
      <c r="Y365" s="590"/>
      <c r="Z365" s="590"/>
      <c r="AA365" s="590"/>
      <c r="AB365" s="590"/>
      <c r="AC365" s="590"/>
      <c r="AD365" s="590"/>
      <c r="AE365" s="590"/>
      <c r="AF365" s="590"/>
      <c r="AG365" s="590"/>
      <c r="AH365" s="590"/>
      <c r="AI365" s="590"/>
      <c r="AJ365" s="590"/>
      <c r="AK365" s="590"/>
      <c r="AL365" s="590"/>
      <c r="AM365" s="590"/>
      <c r="AN365" s="590"/>
      <c r="AO365" s="590"/>
      <c r="AP365" s="590"/>
      <c r="AQ365" s="590"/>
      <c r="AR365" s="590"/>
      <c r="AS365" s="590"/>
      <c r="AT365" s="590"/>
      <c r="AU365" s="590"/>
      <c r="AV365" s="590"/>
      <c r="AW365" s="590"/>
      <c r="AX365" s="590"/>
      <c r="AY365" s="590"/>
      <c r="AZ365" s="590"/>
      <c r="BA365" s="590"/>
      <c r="BB365" s="590"/>
      <c r="BC365" s="590"/>
      <c r="BD365" s="590"/>
      <c r="BE365" s="590"/>
      <c r="BF365" s="590"/>
      <c r="BG365" s="590"/>
      <c r="BH365" s="590"/>
      <c r="BI365" s="590"/>
      <c r="BJ365" s="590"/>
      <c r="BK365" s="590"/>
      <c r="BL365" s="590"/>
      <c r="BM365" s="590"/>
      <c r="BN365" s="590"/>
      <c r="BO365" s="590"/>
      <c r="BP365" s="590"/>
      <c r="BQ365" s="590"/>
      <c r="BR365" s="590"/>
      <c r="BS365" s="590"/>
      <c r="BT365" s="590"/>
      <c r="BU365" s="590"/>
      <c r="BV365" s="590"/>
      <c r="BW365" s="590"/>
      <c r="BX365" s="590"/>
      <c r="BY365" s="590"/>
      <c r="BZ365" s="590"/>
      <c r="CA365" s="590"/>
      <c r="CB365" s="590"/>
      <c r="CC365" s="590"/>
      <c r="CD365" s="590"/>
      <c r="CE365" s="590"/>
      <c r="CF365" s="590"/>
      <c r="CG365" s="590"/>
      <c r="CH365" s="590"/>
      <c r="CI365" s="590"/>
      <c r="CJ365" s="590"/>
      <c r="CK365" s="590"/>
      <c r="CL365" s="590"/>
      <c r="CM365" s="590"/>
      <c r="CN365" s="590"/>
      <c r="CO365" s="590"/>
      <c r="CP365" s="590"/>
      <c r="CQ365" s="590"/>
      <c r="CR365" s="590"/>
      <c r="CS365" s="590"/>
      <c r="CT365" s="590"/>
      <c r="CU365" s="590"/>
      <c r="CV365" s="590"/>
      <c r="CW365" s="590"/>
      <c r="CX365" s="590"/>
      <c r="CY365" s="590"/>
      <c r="CZ365" s="590"/>
      <c r="DA365" s="607"/>
      <c r="DB365" s="744"/>
      <c r="DC365" s="590"/>
      <c r="DD365" s="590"/>
      <c r="DE365" s="590"/>
      <c r="DF365" s="590"/>
      <c r="DG365" s="590"/>
      <c r="DH365" s="744"/>
      <c r="DI365" s="590"/>
      <c r="DJ365" s="590"/>
      <c r="DK365" s="590"/>
      <c r="DL365" s="590"/>
      <c r="DM365" s="749"/>
      <c r="DN365" s="744"/>
      <c r="DO365" s="590"/>
      <c r="DP365" s="590"/>
      <c r="DQ365" s="590"/>
      <c r="DR365" s="590"/>
      <c r="DS365" s="749"/>
      <c r="DT365" s="744"/>
      <c r="DU365" s="590"/>
      <c r="DV365" s="590"/>
      <c r="DW365" s="590"/>
      <c r="DX365" s="590"/>
      <c r="DY365" s="749"/>
      <c r="DZ365" s="744"/>
      <c r="EA365" s="590"/>
      <c r="EB365" s="590"/>
      <c r="EC365" s="590"/>
      <c r="ED365" s="590"/>
      <c r="EE365" s="768">
        <f>EE336/DY336-1</f>
        <v>-4.3484766848561507E-2</v>
      </c>
      <c r="EF365" s="744"/>
      <c r="EG365" s="590"/>
      <c r="EH365" s="590"/>
      <c r="EI365" s="590"/>
      <c r="EJ365" s="590"/>
      <c r="EK365" s="763">
        <f>EK336/EE336-1</f>
        <v>-0.10137650294974965</v>
      </c>
      <c r="EL365" s="763">
        <f>EL336/EK336-1</f>
        <v>0.34759550042068588</v>
      </c>
      <c r="FP365" s="858">
        <f>FP336/FO336-1</f>
        <v>-0.15483588881147647</v>
      </c>
    </row>
    <row r="366" spans="2:174" ht="12" x14ac:dyDescent="0.25">
      <c r="B366" s="444"/>
      <c r="DG366" s="311"/>
      <c r="FP366" s="311"/>
    </row>
    <row r="367" spans="2:174" x14ac:dyDescent="0.2">
      <c r="B367" s="311" t="s">
        <v>702</v>
      </c>
      <c r="DG367" s="311"/>
      <c r="DU367" s="653">
        <v>59</v>
      </c>
      <c r="DV367" s="653">
        <v>92</v>
      </c>
      <c r="DW367" s="653">
        <v>105</v>
      </c>
      <c r="DX367" s="653">
        <v>118</v>
      </c>
      <c r="DZ367" s="754"/>
      <c r="EA367" s="653">
        <v>63</v>
      </c>
      <c r="EB367" s="653">
        <v>65</v>
      </c>
      <c r="EC367" s="653">
        <v>63</v>
      </c>
      <c r="ED367" s="653">
        <v>88</v>
      </c>
      <c r="EG367" s="653">
        <v>63</v>
      </c>
      <c r="EH367" s="653">
        <f t="shared" ref="EH367:EL367" si="768">EH336/EH368</f>
        <v>66.25</v>
      </c>
      <c r="EI367" s="653">
        <f t="shared" si="768"/>
        <v>82.5</v>
      </c>
      <c r="EJ367" s="653">
        <f t="shared" si="768"/>
        <v>85.949874999999935</v>
      </c>
      <c r="EL367" s="760">
        <f t="shared" si="768"/>
        <v>388.20368874999997</v>
      </c>
      <c r="FP367" s="653">
        <f t="shared" ref="FP367:FR367" si="769">FP336/FP368</f>
        <v>328.09582556249995</v>
      </c>
      <c r="FQ367" s="653">
        <f t="shared" si="769"/>
        <v>327.45832556249997</v>
      </c>
      <c r="FR367" s="653">
        <f t="shared" si="769"/>
        <v>326.13332556249998</v>
      </c>
    </row>
    <row r="368" spans="2:174" x14ac:dyDescent="0.2">
      <c r="B368" s="311" t="s">
        <v>703</v>
      </c>
      <c r="DG368" s="311"/>
      <c r="DU368" s="653">
        <f>DU336/DU367</f>
        <v>36.298067796610177</v>
      </c>
      <c r="DV368" s="653">
        <f>DV336/DV367</f>
        <v>35.706749999999992</v>
      </c>
      <c r="DW368" s="653">
        <f>DW336/DW367</f>
        <v>36.684761904761906</v>
      </c>
      <c r="DX368" s="653">
        <f>DX336/DX367</f>
        <v>34.976457627118641</v>
      </c>
      <c r="DZ368" s="754"/>
      <c r="EA368" s="653">
        <f>EA336/EA367</f>
        <v>40.091682539682537</v>
      </c>
      <c r="EB368" s="653">
        <f>EB336/EB367</f>
        <v>44.768800000000006</v>
      </c>
      <c r="EC368" s="653">
        <f>EC336/EC367</f>
        <v>54.656444444444446</v>
      </c>
      <c r="ED368" s="653">
        <f>ED336/ED367</f>
        <v>44.81454545454546</v>
      </c>
      <c r="EG368" s="653">
        <f>EG336/EG367</f>
        <v>33.88666666666667</v>
      </c>
      <c r="EH368" s="356">
        <v>40</v>
      </c>
      <c r="EI368" s="356">
        <v>40</v>
      </c>
      <c r="EJ368" s="356">
        <v>40</v>
      </c>
      <c r="EL368" s="535">
        <v>40</v>
      </c>
      <c r="FP368" s="356">
        <v>40</v>
      </c>
      <c r="FQ368" s="356">
        <v>40</v>
      </c>
      <c r="FR368" s="356">
        <v>40</v>
      </c>
    </row>
    <row r="369" spans="1:172" x14ac:dyDescent="0.2">
      <c r="DG369" s="311"/>
      <c r="FP369" s="311"/>
    </row>
    <row r="370" spans="1:172" x14ac:dyDescent="0.2">
      <c r="B370" s="311" t="s">
        <v>735</v>
      </c>
      <c r="DG370" s="311"/>
      <c r="DY370" s="694">
        <f>SUM(DY322:DY323,DY326,DY329,DY332)</f>
        <v>2186</v>
      </c>
      <c r="EE370" s="694">
        <f>SUM(EE322:EE323,EE326,EE329,EE332)</f>
        <v>2185.7981606060603</v>
      </c>
      <c r="EK370" s="450">
        <f>SUM(EK322:EK323,EK326,EK329,EK332)</f>
        <v>2696.4</v>
      </c>
      <c r="EL370" s="450">
        <f>SUM(EL322:EL323,EL326,EL329,EL332)</f>
        <v>5481.4</v>
      </c>
      <c r="FP370" s="311"/>
    </row>
    <row r="371" spans="1:172" x14ac:dyDescent="0.2">
      <c r="B371" s="325" t="s">
        <v>714</v>
      </c>
      <c r="DG371" s="311"/>
      <c r="FP371" s="311"/>
    </row>
    <row r="372" spans="1:172" x14ac:dyDescent="0.2">
      <c r="B372" s="311" t="s">
        <v>734</v>
      </c>
      <c r="DG372" s="311"/>
      <c r="DY372" s="694">
        <f>SUM(DY324,DY327:DY328,DY333)</f>
        <v>2238</v>
      </c>
      <c r="EE372" s="694">
        <f>SUM(EE324,EE327:EE328,EE333)</f>
        <v>2459.9858393939394</v>
      </c>
      <c r="EK372" s="450">
        <f>SUM(EK324,EK327:EK328,EK333)</f>
        <v>2422.0450000000001</v>
      </c>
      <c r="EL372" s="450">
        <f>SUM(EL324,EL327:EL328,EL333)</f>
        <v>3117.6767500000001</v>
      </c>
      <c r="FP372" s="311"/>
    </row>
    <row r="373" spans="1:172" x14ac:dyDescent="0.2">
      <c r="B373" s="325" t="s">
        <v>714</v>
      </c>
      <c r="DG373" s="311"/>
      <c r="FP373" s="311"/>
    </row>
    <row r="374" spans="1:172" x14ac:dyDescent="0.2">
      <c r="B374" s="311" t="s">
        <v>50</v>
      </c>
      <c r="DG374" s="311"/>
      <c r="DY374" s="694">
        <f>SUM(DY334:DY335)</f>
        <v>8982</v>
      </c>
      <c r="EE374" s="694">
        <f>SUM(EE334:EE335)</f>
        <v>8177</v>
      </c>
      <c r="EK374" s="450">
        <f>SUM(EK334:EK335)</f>
        <v>6404.41</v>
      </c>
      <c r="EL374" s="450">
        <f>SUM(EL334:EL335)</f>
        <v>6929.0707999999995</v>
      </c>
      <c r="FP374" s="311"/>
    </row>
    <row r="375" spans="1:172" x14ac:dyDescent="0.2">
      <c r="B375" s="325" t="s">
        <v>714</v>
      </c>
      <c r="DG375" s="311"/>
      <c r="FP375" s="311"/>
    </row>
    <row r="376" spans="1:172" x14ac:dyDescent="0.2">
      <c r="B376" s="311" t="s">
        <v>733</v>
      </c>
      <c r="DG376" s="311"/>
      <c r="DY376" s="399">
        <f>DY374/DY8</f>
        <v>0.41261076683495118</v>
      </c>
      <c r="DZ376" s="741"/>
      <c r="EA376" s="478"/>
      <c r="EB376" s="478"/>
      <c r="EC376" s="478"/>
      <c r="ED376" s="478"/>
      <c r="EE376" s="399">
        <f>EE374/EE8</f>
        <v>0.33410557196732898</v>
      </c>
      <c r="EF376" s="741"/>
      <c r="EG376" s="478"/>
      <c r="EH376" s="478"/>
      <c r="EI376" s="478"/>
      <c r="EJ376" s="478"/>
      <c r="EK376" s="399">
        <f>EK374/EK8</f>
        <v>0.22569021138425691</v>
      </c>
      <c r="EL376" s="399">
        <f>EL374/EL8</f>
        <v>0.18498167296583248</v>
      </c>
      <c r="FP376" s="311"/>
    </row>
    <row r="377" spans="1:172" x14ac:dyDescent="0.2">
      <c r="B377" s="311" t="s">
        <v>692</v>
      </c>
      <c r="DG377" s="311"/>
      <c r="FP377" s="311"/>
    </row>
    <row r="378" spans="1:172" x14ac:dyDescent="0.2">
      <c r="DG378" s="311"/>
      <c r="FP378" s="311"/>
    </row>
    <row r="379" spans="1:172" ht="12" x14ac:dyDescent="0.25">
      <c r="B379" s="561" t="s">
        <v>716</v>
      </c>
      <c r="C379" s="561"/>
      <c r="D379" s="561"/>
      <c r="E379" s="561"/>
      <c r="F379" s="561"/>
      <c r="G379" s="561"/>
      <c r="H379" s="561"/>
      <c r="I379" s="561"/>
      <c r="J379" s="561"/>
      <c r="K379" s="561"/>
      <c r="L379" s="561"/>
      <c r="M379" s="561"/>
      <c r="N379" s="561"/>
      <c r="O379" s="561"/>
      <c r="P379" s="561"/>
      <c r="Q379" s="561"/>
      <c r="R379" s="561"/>
      <c r="S379" s="561"/>
      <c r="T379" s="561"/>
      <c r="U379" s="561"/>
      <c r="V379" s="561"/>
      <c r="W379" s="561"/>
      <c r="X379" s="561"/>
      <c r="Y379" s="561"/>
      <c r="Z379" s="561"/>
      <c r="AA379" s="561"/>
      <c r="AB379" s="561"/>
      <c r="AC379" s="561"/>
      <c r="AD379" s="561"/>
      <c r="AE379" s="561"/>
      <c r="AF379" s="561"/>
      <c r="AG379" s="561"/>
      <c r="AH379" s="561"/>
      <c r="AI379" s="561"/>
      <c r="AJ379" s="561"/>
      <c r="AK379" s="561"/>
      <c r="AL379" s="561"/>
      <c r="AM379" s="561"/>
      <c r="AN379" s="561"/>
      <c r="AO379" s="561"/>
      <c r="AP379" s="561"/>
      <c r="AQ379" s="561"/>
      <c r="AR379" s="561"/>
      <c r="AS379" s="561"/>
      <c r="AT379" s="561"/>
      <c r="AU379" s="561"/>
      <c r="AV379" s="561"/>
      <c r="AW379" s="561"/>
      <c r="AX379" s="561"/>
      <c r="AY379" s="561"/>
      <c r="AZ379" s="561"/>
      <c r="BA379" s="561"/>
      <c r="BB379" s="561"/>
      <c r="BC379" s="561"/>
      <c r="BD379" s="561"/>
      <c r="BE379" s="561"/>
      <c r="BF379" s="561"/>
      <c r="BG379" s="561"/>
      <c r="BH379" s="561"/>
      <c r="BI379" s="561"/>
      <c r="BJ379" s="561"/>
      <c r="BK379" s="561"/>
      <c r="BL379" s="561"/>
      <c r="BM379" s="561"/>
      <c r="BN379" s="561"/>
      <c r="BO379" s="561"/>
      <c r="BP379" s="561"/>
      <c r="BQ379" s="561"/>
      <c r="BR379" s="561"/>
      <c r="BS379" s="561"/>
      <c r="BT379" s="561"/>
      <c r="BU379" s="561"/>
      <c r="BV379" s="561"/>
      <c r="BW379" s="561"/>
      <c r="BX379" s="561"/>
      <c r="BY379" s="561"/>
      <c r="BZ379" s="561"/>
      <c r="CA379" s="561"/>
      <c r="CB379" s="561"/>
      <c r="CC379" s="561"/>
      <c r="CD379" s="561"/>
      <c r="CE379" s="561"/>
      <c r="CF379" s="561"/>
      <c r="CG379" s="561"/>
      <c r="CH379" s="561"/>
      <c r="CI379" s="561"/>
      <c r="CJ379" s="561"/>
      <c r="CK379" s="561"/>
      <c r="CL379" s="561"/>
      <c r="CM379" s="561"/>
      <c r="CN379" s="561"/>
      <c r="CO379" s="561"/>
      <c r="CP379" s="561"/>
      <c r="CQ379" s="561"/>
      <c r="CR379" s="561"/>
      <c r="CS379" s="561"/>
      <c r="CT379" s="561"/>
      <c r="CU379" s="561"/>
      <c r="CV379" s="561"/>
      <c r="CW379" s="561"/>
      <c r="CX379" s="561"/>
      <c r="CY379" s="561"/>
      <c r="CZ379" s="561"/>
      <c r="DA379" s="757"/>
      <c r="DB379" s="738"/>
      <c r="DC379" s="561"/>
      <c r="DD379" s="561"/>
      <c r="DE379" s="561"/>
      <c r="DF379" s="561"/>
      <c r="DG379" s="561"/>
      <c r="DH379" s="738"/>
      <c r="DI379" s="561"/>
      <c r="DJ379" s="561"/>
      <c r="DK379" s="561"/>
      <c r="DL379" s="561"/>
      <c r="DM379" s="738"/>
      <c r="DN379" s="738"/>
      <c r="DO379" s="662"/>
      <c r="DP379" s="662"/>
      <c r="DQ379" s="662"/>
      <c r="DR379" s="662"/>
      <c r="DS379" s="739"/>
      <c r="DT379" s="739"/>
      <c r="DU379" s="662"/>
      <c r="DV379" s="662"/>
      <c r="DW379" s="662"/>
      <c r="DX379" s="662"/>
      <c r="DY379" s="739"/>
      <c r="DZ379" s="739"/>
      <c r="EA379" s="662"/>
      <c r="EB379" s="662"/>
      <c r="EC379" s="662"/>
      <c r="ED379" s="662"/>
      <c r="EE379" s="739"/>
      <c r="EF379" s="739"/>
      <c r="EG379" s="662"/>
      <c r="EH379" s="662"/>
      <c r="EI379" s="662"/>
      <c r="EJ379" s="662"/>
      <c r="EK379" s="758"/>
      <c r="EL379" s="758"/>
      <c r="FP379" s="662"/>
    </row>
    <row r="380" spans="1:172" ht="12" x14ac:dyDescent="0.25">
      <c r="A380" s="631"/>
      <c r="D380" s="445"/>
      <c r="E380" s="480"/>
      <c r="F380" s="480"/>
      <c r="H380" s="481"/>
      <c r="J380" s="445"/>
      <c r="K380" s="481"/>
      <c r="L380" s="481"/>
      <c r="M380" s="481"/>
      <c r="N380" s="481"/>
      <c r="P380" s="445"/>
      <c r="Q380" s="481"/>
      <c r="R380" s="481"/>
      <c r="S380" s="481"/>
      <c r="T380" s="481"/>
      <c r="U380" s="458"/>
      <c r="V380" s="458"/>
      <c r="W380" s="481"/>
      <c r="X380" s="481"/>
      <c r="Y380" s="481"/>
      <c r="Z380" s="458"/>
      <c r="AA380" s="458"/>
      <c r="AB380" s="458"/>
      <c r="AC380" s="481"/>
      <c r="AD380" s="481"/>
      <c r="AE380" s="481"/>
      <c r="AF380" s="458"/>
      <c r="AG380" s="458"/>
      <c r="AI380" s="458"/>
      <c r="AJ380" s="458"/>
      <c r="AK380" s="458"/>
      <c r="AL380" s="458"/>
      <c r="AS380" s="458"/>
      <c r="DY380" s="750"/>
      <c r="FP380" s="311"/>
    </row>
    <row r="381" spans="1:172" ht="12" x14ac:dyDescent="0.25">
      <c r="A381" s="631"/>
      <c r="B381" s="325" t="s">
        <v>706</v>
      </c>
      <c r="D381" s="445"/>
      <c r="E381" s="480"/>
      <c r="F381" s="480"/>
      <c r="H381" s="481"/>
      <c r="J381" s="445"/>
      <c r="K381" s="481"/>
      <c r="L381" s="481"/>
      <c r="M381" s="481"/>
      <c r="N381" s="481"/>
      <c r="P381" s="445"/>
      <c r="Q381" s="481"/>
      <c r="R381" s="481"/>
      <c r="S381" s="481"/>
      <c r="T381" s="481"/>
      <c r="U381" s="458"/>
      <c r="V381" s="458"/>
      <c r="W381" s="481"/>
      <c r="X381" s="481"/>
      <c r="Y381" s="481"/>
      <c r="Z381" s="458"/>
      <c r="AA381" s="458"/>
      <c r="AB381" s="458"/>
      <c r="AC381" s="481"/>
      <c r="AD381" s="481"/>
      <c r="AE381" s="481"/>
      <c r="AF381" s="458"/>
      <c r="AG381" s="458"/>
      <c r="AI381" s="458"/>
      <c r="AJ381" s="458"/>
      <c r="AK381" s="458"/>
      <c r="AL381" s="458"/>
      <c r="AS381" s="458"/>
      <c r="DY381" s="750">
        <f>SUM(DY173,DY286,DY324)</f>
        <v>1719.4951666666666</v>
      </c>
      <c r="EE381" s="750">
        <f>SUM(EE173,EE286,EE324)</f>
        <v>2844.9796363636365</v>
      </c>
      <c r="EK381" s="502">
        <f>SUM(EK173,EK286,EK324)</f>
        <v>4572</v>
      </c>
      <c r="EL381" s="502">
        <f>SUM(EL173,EL286,EL324)</f>
        <v>4568.75</v>
      </c>
      <c r="FL381" s="481">
        <f>DY381</f>
        <v>1719.4951666666666</v>
      </c>
      <c r="FM381" s="481">
        <f>EE381</f>
        <v>2844.9796363636365</v>
      </c>
      <c r="FN381" s="481">
        <f>EK381</f>
        <v>4572</v>
      </c>
      <c r="FO381" s="481">
        <f>EL381</f>
        <v>4568.75</v>
      </c>
      <c r="FP381" s="481">
        <f>SUM(FP173,FP286,FP324)</f>
        <v>3837.5</v>
      </c>
    </row>
    <row r="382" spans="1:172" ht="12" x14ac:dyDescent="0.25">
      <c r="A382" s="631"/>
      <c r="B382" s="325" t="s">
        <v>585</v>
      </c>
      <c r="D382" s="445"/>
      <c r="E382" s="480"/>
      <c r="F382" s="480"/>
      <c r="H382" s="481"/>
      <c r="J382" s="445"/>
      <c r="K382" s="481"/>
      <c r="L382" s="481"/>
      <c r="M382" s="481"/>
      <c r="N382" s="481"/>
      <c r="P382" s="445"/>
      <c r="Q382" s="481"/>
      <c r="R382" s="481"/>
      <c r="S382" s="481"/>
      <c r="T382" s="481"/>
      <c r="U382" s="458"/>
      <c r="V382" s="458"/>
      <c r="W382" s="481"/>
      <c r="X382" s="481"/>
      <c r="Y382" s="481"/>
      <c r="Z382" s="458"/>
      <c r="AA382" s="458"/>
      <c r="AB382" s="458"/>
      <c r="AC382" s="481"/>
      <c r="AD382" s="481"/>
      <c r="AE382" s="481"/>
      <c r="AF382" s="458"/>
      <c r="AG382" s="458"/>
      <c r="AI382" s="458"/>
      <c r="AJ382" s="458"/>
      <c r="AK382" s="458"/>
      <c r="AL382" s="458"/>
      <c r="AS382" s="458"/>
      <c r="DY382" s="750">
        <f>SUM(DY176,DY233,DY277,DY327)</f>
        <v>1968.0670871212119</v>
      </c>
      <c r="EE382" s="750">
        <f>SUM(EE176,EE233,EE289,EE327)</f>
        <v>2946.6084999999998</v>
      </c>
      <c r="EK382" s="502">
        <f>SUM(EK176,EK233,EK289,EK327)</f>
        <v>3612.5</v>
      </c>
      <c r="EL382" s="502">
        <f>SUM(EL176,EL233,EL289,EL327)</f>
        <v>3224</v>
      </c>
      <c r="FL382" s="481">
        <f t="shared" ref="FL382:FL387" si="770">DY382</f>
        <v>1968.0670871212119</v>
      </c>
      <c r="FM382" s="481">
        <f t="shared" ref="FM382:FM387" si="771">EE382</f>
        <v>2946.6084999999998</v>
      </c>
      <c r="FN382" s="481">
        <f t="shared" ref="FN382:FN387" si="772">EK382</f>
        <v>3612.5</v>
      </c>
      <c r="FO382" s="481">
        <f t="shared" ref="FO382:FO387" si="773">EL382</f>
        <v>3224</v>
      </c>
      <c r="FP382" s="481">
        <f>SUM(FP176,FP233,FP289,FP327)</f>
        <v>2970</v>
      </c>
    </row>
    <row r="383" spans="1:172" ht="12" x14ac:dyDescent="0.25">
      <c r="A383" s="631"/>
      <c r="B383" s="325" t="s">
        <v>584</v>
      </c>
      <c r="D383" s="445"/>
      <c r="E383" s="480"/>
      <c r="F383" s="480"/>
      <c r="H383" s="481"/>
      <c r="J383" s="445"/>
      <c r="K383" s="481"/>
      <c r="L383" s="481"/>
      <c r="M383" s="481"/>
      <c r="N383" s="481"/>
      <c r="P383" s="445"/>
      <c r="Q383" s="481"/>
      <c r="R383" s="481"/>
      <c r="S383" s="481"/>
      <c r="T383" s="481"/>
      <c r="U383" s="458"/>
      <c r="V383" s="458"/>
      <c r="W383" s="481"/>
      <c r="X383" s="481"/>
      <c r="Y383" s="481"/>
      <c r="Z383" s="458"/>
      <c r="AA383" s="458"/>
      <c r="AB383" s="458"/>
      <c r="AC383" s="481"/>
      <c r="AD383" s="481"/>
      <c r="AE383" s="481"/>
      <c r="AF383" s="458"/>
      <c r="AG383" s="458"/>
      <c r="AI383" s="458"/>
      <c r="AJ383" s="458"/>
      <c r="AK383" s="458"/>
      <c r="AL383" s="458"/>
      <c r="AS383" s="458"/>
      <c r="DY383" s="732">
        <f>SUM(DY177,DY234,DY278,DY328)</f>
        <v>1127.5401818181817</v>
      </c>
      <c r="EE383" s="732">
        <f>SUM(EE177,EE234,EE290,EE328)</f>
        <v>1784.0352</v>
      </c>
      <c r="EK383" s="501">
        <f>SUM(EK177,EK234,EK290,EK328)</f>
        <v>1365</v>
      </c>
      <c r="EL383" s="501">
        <f>SUM(EL177,EL234,EL290,EL328)</f>
        <v>3224</v>
      </c>
      <c r="EM383" s="452"/>
      <c r="FL383" s="452">
        <f t="shared" si="770"/>
        <v>1127.5401818181817</v>
      </c>
      <c r="FM383" s="452">
        <f t="shared" si="771"/>
        <v>1784.0352</v>
      </c>
      <c r="FN383" s="452">
        <f t="shared" si="772"/>
        <v>1365</v>
      </c>
      <c r="FO383" s="452">
        <f t="shared" si="773"/>
        <v>3224</v>
      </c>
      <c r="FP383" s="452">
        <f>SUM(FP177,FP234,FP290,FP328)</f>
        <v>2072.25</v>
      </c>
    </row>
    <row r="384" spans="1:172" ht="12" x14ac:dyDescent="0.25">
      <c r="A384" s="631"/>
      <c r="B384" s="325" t="s">
        <v>690</v>
      </c>
      <c r="D384" s="445"/>
      <c r="E384" s="480"/>
      <c r="F384" s="480"/>
      <c r="H384" s="481"/>
      <c r="J384" s="445"/>
      <c r="K384" s="481"/>
      <c r="L384" s="481"/>
      <c r="M384" s="481"/>
      <c r="N384" s="481"/>
      <c r="P384" s="445"/>
      <c r="Q384" s="481"/>
      <c r="R384" s="481"/>
      <c r="S384" s="481"/>
      <c r="T384" s="481"/>
      <c r="U384" s="458"/>
      <c r="V384" s="458"/>
      <c r="W384" s="481"/>
      <c r="X384" s="481"/>
      <c r="Y384" s="481"/>
      <c r="Z384" s="458"/>
      <c r="AA384" s="458"/>
      <c r="AB384" s="458"/>
      <c r="AC384" s="481"/>
      <c r="AD384" s="481"/>
      <c r="AE384" s="481"/>
      <c r="AF384" s="458"/>
      <c r="AG384" s="458"/>
      <c r="AI384" s="458"/>
      <c r="AJ384" s="458"/>
      <c r="AK384" s="458"/>
      <c r="AL384" s="458"/>
      <c r="AS384" s="458"/>
      <c r="DS384" s="746">
        <v>1500</v>
      </c>
      <c r="DY384" s="750">
        <f>DY335</f>
        <v>3212</v>
      </c>
      <c r="EE384" s="750">
        <f>EE335</f>
        <v>2730.2</v>
      </c>
      <c r="EK384" s="502">
        <f>EK335</f>
        <v>1774.6299999999999</v>
      </c>
      <c r="EL384" s="502">
        <f>EL335</f>
        <v>2484.4819999999995</v>
      </c>
      <c r="FL384" s="481">
        <f t="shared" si="770"/>
        <v>3212</v>
      </c>
      <c r="FM384" s="481">
        <f t="shared" si="771"/>
        <v>2730.2</v>
      </c>
      <c r="FN384" s="481">
        <f t="shared" si="772"/>
        <v>1774.6299999999999</v>
      </c>
      <c r="FO384" s="481">
        <f t="shared" si="773"/>
        <v>2484.4819999999995</v>
      </c>
      <c r="FP384" s="481">
        <f>FP335</f>
        <v>2360.2578999999996</v>
      </c>
    </row>
    <row r="385" spans="1:180" ht="12" x14ac:dyDescent="0.25">
      <c r="A385" s="631"/>
      <c r="B385" s="381" t="s">
        <v>52</v>
      </c>
      <c r="C385" s="382"/>
      <c r="D385" s="664"/>
      <c r="E385" s="665"/>
      <c r="F385" s="665"/>
      <c r="G385" s="382"/>
      <c r="H385" s="504"/>
      <c r="I385" s="382"/>
      <c r="J385" s="664"/>
      <c r="K385" s="504"/>
      <c r="L385" s="504"/>
      <c r="M385" s="504"/>
      <c r="N385" s="504"/>
      <c r="O385" s="382"/>
      <c r="P385" s="664"/>
      <c r="Q385" s="504"/>
      <c r="R385" s="504"/>
      <c r="S385" s="504"/>
      <c r="T385" s="504"/>
      <c r="U385" s="509"/>
      <c r="V385" s="509"/>
      <c r="W385" s="504"/>
      <c r="X385" s="504"/>
      <c r="Y385" s="504"/>
      <c r="Z385" s="509"/>
      <c r="AA385" s="509"/>
      <c r="AB385" s="509"/>
      <c r="AC385" s="504"/>
      <c r="AD385" s="504"/>
      <c r="AE385" s="504"/>
      <c r="AF385" s="509"/>
      <c r="AG385" s="509"/>
      <c r="AH385" s="382"/>
      <c r="AI385" s="509"/>
      <c r="AJ385" s="509"/>
      <c r="AK385" s="509"/>
      <c r="AL385" s="509"/>
      <c r="AM385" s="382"/>
      <c r="AN385" s="382"/>
      <c r="AO385" s="382"/>
      <c r="AP385" s="382"/>
      <c r="AQ385" s="382"/>
      <c r="AR385" s="382"/>
      <c r="AS385" s="509"/>
      <c r="AT385" s="382"/>
      <c r="AU385" s="382"/>
      <c r="AV385" s="382"/>
      <c r="AW385" s="382"/>
      <c r="AX385" s="382"/>
      <c r="AY385" s="382"/>
      <c r="AZ385" s="382"/>
      <c r="BA385" s="382"/>
      <c r="BB385" s="382"/>
      <c r="BC385" s="382"/>
      <c r="BD385" s="382"/>
      <c r="BE385" s="382"/>
      <c r="BF385" s="382"/>
      <c r="BG385" s="382"/>
      <c r="BH385" s="382"/>
      <c r="BI385" s="382"/>
      <c r="BJ385" s="382"/>
      <c r="BK385" s="382"/>
      <c r="BL385" s="382"/>
      <c r="BM385" s="382"/>
      <c r="BN385" s="382"/>
      <c r="BO385" s="382"/>
      <c r="BP385" s="382"/>
      <c r="BQ385" s="382"/>
      <c r="BR385" s="382"/>
      <c r="BS385" s="382"/>
      <c r="BT385" s="382"/>
      <c r="BU385" s="382"/>
      <c r="BV385" s="382"/>
      <c r="BW385" s="382"/>
      <c r="BX385" s="382"/>
      <c r="BY385" s="382"/>
      <c r="BZ385" s="382"/>
      <c r="CA385" s="382"/>
      <c r="CB385" s="382"/>
      <c r="CC385" s="382"/>
      <c r="CD385" s="382"/>
      <c r="CE385" s="382"/>
      <c r="CF385" s="382"/>
      <c r="CG385" s="382"/>
      <c r="CH385" s="382"/>
      <c r="CI385" s="382"/>
      <c r="CJ385" s="382"/>
      <c r="CK385" s="382"/>
      <c r="CL385" s="382"/>
      <c r="CM385" s="382"/>
      <c r="CN385" s="382"/>
      <c r="CO385" s="382"/>
      <c r="CP385" s="382"/>
      <c r="CQ385" s="382"/>
      <c r="CR385" s="382"/>
      <c r="CS385" s="382"/>
      <c r="CT385" s="382"/>
      <c r="CU385" s="382"/>
      <c r="CV385" s="382"/>
      <c r="CW385" s="382"/>
      <c r="CX385" s="382"/>
      <c r="CY385" s="382"/>
      <c r="CZ385" s="382"/>
      <c r="DA385" s="690"/>
      <c r="DC385" s="382"/>
      <c r="DD385" s="382"/>
      <c r="DE385" s="382"/>
      <c r="DF385" s="382"/>
      <c r="DG385" s="677"/>
      <c r="DI385" s="382"/>
      <c r="DJ385" s="382"/>
      <c r="DK385" s="382"/>
      <c r="DL385" s="382"/>
      <c r="DM385" s="677"/>
      <c r="DO385" s="382"/>
      <c r="DP385" s="382"/>
      <c r="DQ385" s="382"/>
      <c r="DR385" s="382"/>
      <c r="DS385" s="677"/>
      <c r="DU385" s="382"/>
      <c r="DV385" s="382"/>
      <c r="DW385" s="382"/>
      <c r="DX385" s="382"/>
      <c r="DY385" s="751">
        <f>DY333</f>
        <v>539</v>
      </c>
      <c r="EA385" s="382"/>
      <c r="EB385" s="382"/>
      <c r="EC385" s="382"/>
      <c r="ED385" s="382"/>
      <c r="EE385" s="751">
        <f>EE333</f>
        <v>565.95000000000005</v>
      </c>
      <c r="EG385" s="382"/>
      <c r="EH385" s="382"/>
      <c r="EI385" s="382"/>
      <c r="EJ385" s="382"/>
      <c r="EK385" s="505">
        <f>EK333</f>
        <v>622.54500000000007</v>
      </c>
      <c r="EL385" s="505">
        <f>EL333</f>
        <v>715.92675000000008</v>
      </c>
      <c r="FL385" s="504">
        <f t="shared" si="770"/>
        <v>539</v>
      </c>
      <c r="FM385" s="504">
        <f t="shared" si="771"/>
        <v>565.95000000000005</v>
      </c>
      <c r="FN385" s="504">
        <f t="shared" si="772"/>
        <v>622.54500000000007</v>
      </c>
      <c r="FO385" s="504">
        <f t="shared" si="773"/>
        <v>715.92675000000008</v>
      </c>
      <c r="FP385" s="504">
        <f>FP333</f>
        <v>823.31576250000001</v>
      </c>
    </row>
    <row r="386" spans="1:180" ht="12" x14ac:dyDescent="0.25">
      <c r="A386" s="631"/>
      <c r="B386" s="444" t="s">
        <v>707</v>
      </c>
      <c r="D386" s="445"/>
      <c r="E386" s="480"/>
      <c r="F386" s="480"/>
      <c r="H386" s="481"/>
      <c r="J386" s="445"/>
      <c r="K386" s="481"/>
      <c r="L386" s="481"/>
      <c r="M386" s="481"/>
      <c r="N386" s="481"/>
      <c r="P386" s="445"/>
      <c r="Q386" s="481"/>
      <c r="R386" s="481"/>
      <c r="S386" s="481"/>
      <c r="T386" s="481"/>
      <c r="U386" s="458"/>
      <c r="V386" s="458"/>
      <c r="W386" s="481"/>
      <c r="X386" s="481"/>
      <c r="Y386" s="481"/>
      <c r="Z386" s="458"/>
      <c r="AA386" s="458"/>
      <c r="AB386" s="458"/>
      <c r="AC386" s="481"/>
      <c r="AD386" s="481"/>
      <c r="AE386" s="481"/>
      <c r="AF386" s="458"/>
      <c r="AG386" s="458"/>
      <c r="AI386" s="458"/>
      <c r="AJ386" s="458"/>
      <c r="AK386" s="458"/>
      <c r="AL386" s="458"/>
      <c r="AS386" s="458"/>
      <c r="DY386" s="752">
        <f>SUM(DY381:DY385)</f>
        <v>8566.1024356060607</v>
      </c>
      <c r="EE386" s="752">
        <f>SUM(EE381:EE385)</f>
        <v>10871.773336363636</v>
      </c>
      <c r="EK386" s="673">
        <f>SUM(EK381:EK385)</f>
        <v>11946.674999999999</v>
      </c>
      <c r="EL386" s="673">
        <f>SUM(EL381:EL385)</f>
        <v>14217.158750000001</v>
      </c>
      <c r="FL386" s="657">
        <f t="shared" si="770"/>
        <v>8566.1024356060607</v>
      </c>
      <c r="FM386" s="657">
        <f t="shared" si="771"/>
        <v>10871.773336363636</v>
      </c>
      <c r="FN386" s="657">
        <f t="shared" si="772"/>
        <v>11946.674999999999</v>
      </c>
      <c r="FO386" s="657">
        <f t="shared" si="773"/>
        <v>14217.158750000001</v>
      </c>
      <c r="FP386" s="657">
        <f>SUM(FP381:FP385)</f>
        <v>12063.323662500001</v>
      </c>
    </row>
    <row r="387" spans="1:180" ht="12" x14ac:dyDescent="0.25">
      <c r="A387" s="631"/>
      <c r="B387" s="325" t="s">
        <v>714</v>
      </c>
      <c r="D387" s="445"/>
      <c r="E387" s="480"/>
      <c r="F387" s="480"/>
      <c r="H387" s="481"/>
      <c r="J387" s="445"/>
      <c r="K387" s="481"/>
      <c r="L387" s="481"/>
      <c r="M387" s="481"/>
      <c r="N387" s="481"/>
      <c r="P387" s="445"/>
      <c r="Q387" s="481"/>
      <c r="R387" s="481"/>
      <c r="S387" s="481"/>
      <c r="T387" s="481"/>
      <c r="U387" s="458"/>
      <c r="V387" s="458"/>
      <c r="W387" s="481"/>
      <c r="X387" s="481"/>
      <c r="Y387" s="481"/>
      <c r="Z387" s="458"/>
      <c r="AA387" s="458"/>
      <c r="AB387" s="458"/>
      <c r="AC387" s="481"/>
      <c r="AD387" s="481"/>
      <c r="AE387" s="481"/>
      <c r="AF387" s="458"/>
      <c r="AG387" s="458"/>
      <c r="AI387" s="458"/>
      <c r="AJ387" s="458"/>
      <c r="AK387" s="458"/>
      <c r="AL387" s="458"/>
      <c r="AS387" s="458"/>
      <c r="DY387" s="824"/>
      <c r="EE387" s="399">
        <f>EE386/DY386-1</f>
        <v>0.26916219110032702</v>
      </c>
      <c r="EK387" s="404">
        <f>EK386/EE386-1</f>
        <v>9.8870867739769608E-2</v>
      </c>
      <c r="EL387" s="404">
        <f>EL386/EK386-1</f>
        <v>0.19005152061138353</v>
      </c>
      <c r="FL387" s="468">
        <f t="shared" si="770"/>
        <v>0</v>
      </c>
      <c r="FM387" s="468">
        <f t="shared" si="771"/>
        <v>0.26916219110032702</v>
      </c>
      <c r="FN387" s="468">
        <f t="shared" si="772"/>
        <v>9.8870867739769608E-2</v>
      </c>
      <c r="FO387" s="468">
        <f t="shared" si="773"/>
        <v>0.19005152061138353</v>
      </c>
      <c r="FP387" s="468">
        <f>FP386/FO386-1</f>
        <v>-0.15149546582224105</v>
      </c>
    </row>
    <row r="388" spans="1:180" ht="12" x14ac:dyDescent="0.25">
      <c r="B388" s="448"/>
      <c r="D388" s="445"/>
      <c r="E388" s="480"/>
      <c r="F388" s="480"/>
      <c r="H388" s="481"/>
      <c r="J388" s="445"/>
      <c r="K388" s="481"/>
      <c r="L388" s="481"/>
      <c r="M388" s="481"/>
      <c r="N388" s="481"/>
      <c r="P388" s="445"/>
      <c r="Q388" s="481"/>
      <c r="R388" s="481"/>
      <c r="S388" s="481"/>
      <c r="T388" s="481"/>
      <c r="U388" s="458"/>
      <c r="V388" s="458"/>
      <c r="W388" s="481"/>
      <c r="X388" s="481"/>
      <c r="Y388" s="481"/>
      <c r="Z388" s="458"/>
      <c r="AA388" s="458"/>
      <c r="AB388" s="458"/>
      <c r="AC388" s="481"/>
      <c r="AD388" s="481"/>
      <c r="AE388" s="481"/>
      <c r="AF388" s="481"/>
      <c r="AG388" s="481"/>
      <c r="AI388" s="481"/>
      <c r="AJ388" s="481"/>
      <c r="AK388" s="481"/>
      <c r="AL388" s="481"/>
      <c r="AM388" s="481"/>
      <c r="AO388" s="481"/>
      <c r="AP388" s="481"/>
      <c r="AQ388" s="481"/>
      <c r="AR388" s="481"/>
      <c r="AS388" s="481"/>
      <c r="AU388" s="481"/>
      <c r="AV388" s="481"/>
      <c r="AW388" s="481"/>
      <c r="AX388" s="481"/>
      <c r="AY388" s="481"/>
      <c r="BA388" s="481"/>
      <c r="BB388" s="481"/>
      <c r="BC388" s="481"/>
      <c r="BD388" s="481"/>
      <c r="BE388" s="481"/>
      <c r="BG388" s="481"/>
      <c r="BH388" s="481"/>
      <c r="BI388" s="481"/>
      <c r="BJ388" s="481"/>
      <c r="BK388" s="481"/>
      <c r="BM388" s="481"/>
      <c r="BN388" s="481"/>
      <c r="BO388" s="481"/>
      <c r="BP388" s="481"/>
      <c r="BQ388" s="481"/>
      <c r="BS388" s="481"/>
      <c r="BT388" s="481"/>
      <c r="BU388" s="481"/>
      <c r="BV388" s="481"/>
      <c r="BW388" s="481"/>
      <c r="BY388" s="481"/>
      <c r="BZ388" s="481"/>
      <c r="CA388" s="481"/>
      <c r="CB388" s="481"/>
      <c r="CC388" s="481"/>
      <c r="CE388" s="481"/>
      <c r="CF388" s="481"/>
      <c r="CG388" s="481"/>
      <c r="CH388" s="481"/>
      <c r="CI388" s="481"/>
      <c r="CK388" s="481"/>
      <c r="CL388" s="481"/>
      <c r="CM388" s="481"/>
      <c r="CN388" s="481"/>
      <c r="CO388" s="481"/>
      <c r="CQ388" s="481"/>
      <c r="CR388" s="481"/>
      <c r="CS388" s="481"/>
      <c r="CT388" s="481"/>
      <c r="CU388" s="481"/>
      <c r="CW388" s="481"/>
      <c r="CX388" s="481"/>
      <c r="CY388" s="481"/>
      <c r="CZ388" s="481"/>
      <c r="DA388" s="502"/>
      <c r="DC388" s="481"/>
      <c r="DD388" s="481"/>
      <c r="DE388" s="481"/>
      <c r="DF388" s="481"/>
      <c r="DG388" s="481"/>
      <c r="DI388" s="481"/>
      <c r="DJ388" s="481"/>
      <c r="DK388" s="481"/>
      <c r="DL388" s="481"/>
      <c r="DM388" s="750"/>
      <c r="DO388" s="481"/>
      <c r="DP388" s="481"/>
      <c r="DQ388" s="481"/>
      <c r="DR388" s="481"/>
      <c r="DS388" s="750"/>
      <c r="DT388" s="750"/>
      <c r="DU388" s="481"/>
      <c r="DV388" s="481"/>
      <c r="DW388" s="481"/>
      <c r="DX388" s="481"/>
      <c r="DY388" s="750"/>
      <c r="EA388" s="481"/>
      <c r="EB388" s="481"/>
      <c r="FE388" s="481"/>
      <c r="FF388" s="481"/>
      <c r="FP388" s="311"/>
    </row>
    <row r="389" spans="1:180" ht="12" x14ac:dyDescent="0.25">
      <c r="B389" s="316" t="s">
        <v>581</v>
      </c>
      <c r="D389" s="445"/>
      <c r="E389" s="480"/>
      <c r="F389" s="480"/>
      <c r="H389" s="481"/>
      <c r="J389" s="445"/>
      <c r="K389" s="481"/>
      <c r="L389" s="481"/>
      <c r="M389" s="481"/>
      <c r="N389" s="481"/>
      <c r="P389" s="445"/>
      <c r="Q389" s="481"/>
      <c r="R389" s="481"/>
      <c r="S389" s="481"/>
      <c r="T389" s="481"/>
      <c r="U389" s="458"/>
      <c r="V389" s="458"/>
      <c r="W389" s="481"/>
      <c r="X389" s="481"/>
      <c r="Y389" s="481"/>
      <c r="Z389" s="458"/>
      <c r="AA389" s="458"/>
      <c r="AB389" s="458"/>
      <c r="AC389" s="481"/>
      <c r="AD389" s="481"/>
      <c r="AE389" s="481"/>
      <c r="AF389" s="481"/>
      <c r="AG389" s="481"/>
      <c r="AI389" s="481"/>
      <c r="AJ389" s="481"/>
      <c r="AK389" s="481"/>
      <c r="AL389" s="481"/>
      <c r="AM389" s="481"/>
      <c r="AO389" s="481"/>
      <c r="AP389" s="481"/>
      <c r="AQ389" s="481"/>
      <c r="AR389" s="481"/>
      <c r="AS389" s="481"/>
      <c r="AU389" s="481"/>
      <c r="AV389" s="481"/>
      <c r="AW389" s="481"/>
      <c r="AX389" s="481"/>
      <c r="AY389" s="481"/>
      <c r="BA389" s="481"/>
      <c r="BB389" s="481"/>
      <c r="BC389" s="481"/>
      <c r="BD389" s="481"/>
      <c r="BE389" s="481"/>
      <c r="BG389" s="481"/>
      <c r="BH389" s="481"/>
      <c r="BI389" s="481"/>
      <c r="BJ389" s="481"/>
      <c r="BK389" s="481"/>
      <c r="BM389" s="481"/>
      <c r="BN389" s="481"/>
      <c r="BO389" s="481"/>
      <c r="BP389" s="481"/>
      <c r="BQ389" s="481"/>
      <c r="BS389" s="481"/>
      <c r="BT389" s="481"/>
      <c r="BU389" s="481"/>
      <c r="BV389" s="481"/>
      <c r="BW389" s="481"/>
      <c r="BY389" s="481"/>
      <c r="BZ389" s="481"/>
      <c r="CA389" s="481"/>
      <c r="CB389" s="481"/>
      <c r="CC389" s="481"/>
      <c r="CE389" s="481"/>
      <c r="CF389" s="481"/>
      <c r="CG389" s="481"/>
      <c r="CH389" s="481"/>
      <c r="CI389" s="481"/>
      <c r="CK389" s="481"/>
      <c r="CL389" s="481"/>
      <c r="CM389" s="481"/>
      <c r="CN389" s="481"/>
      <c r="CO389" s="481"/>
      <c r="CQ389" s="481"/>
      <c r="CR389" s="481"/>
      <c r="CS389" s="481"/>
      <c r="CT389" s="481"/>
      <c r="CU389" s="481"/>
      <c r="CW389" s="481"/>
      <c r="CX389" s="481"/>
      <c r="CY389" s="481"/>
      <c r="CZ389" s="481"/>
      <c r="DA389" s="502"/>
      <c r="DC389" s="481"/>
      <c r="DD389" s="481"/>
      <c r="DE389" s="481"/>
      <c r="DF389" s="481"/>
      <c r="DG389" s="481"/>
      <c r="DI389" s="481"/>
      <c r="DJ389" s="481"/>
      <c r="DK389" s="481"/>
      <c r="DL389" s="481"/>
      <c r="DM389" s="750"/>
      <c r="DO389" s="481"/>
      <c r="DP389" s="481"/>
      <c r="DQ389" s="481"/>
      <c r="DR389" s="481"/>
      <c r="DS389" s="750"/>
      <c r="DT389" s="750"/>
      <c r="DU389" s="481"/>
      <c r="DV389" s="481"/>
      <c r="DW389" s="481"/>
      <c r="DX389" s="481"/>
      <c r="DY389" s="750">
        <f>SUM(DY171,DY230,DY272,DY322)</f>
        <v>3713.9535757575759</v>
      </c>
      <c r="EA389" s="481"/>
      <c r="EB389" s="481"/>
      <c r="EE389" s="750">
        <f>SUM(EE171,EE230,EE284,EE322)</f>
        <v>5634.28</v>
      </c>
      <c r="EK389" s="502">
        <f>SUM(EK171,EK230,EK284,EK322)</f>
        <v>7728</v>
      </c>
      <c r="EL389" s="502">
        <f>SUM(EL171,EL230,EL284,EL322)</f>
        <v>13671</v>
      </c>
      <c r="FE389" s="481"/>
      <c r="FF389" s="481"/>
      <c r="FL389" s="481">
        <f>DY389</f>
        <v>3713.9535757575759</v>
      </c>
      <c r="FM389" s="481">
        <f>EE389</f>
        <v>5634.28</v>
      </c>
      <c r="FN389" s="481">
        <f>EK389</f>
        <v>7728</v>
      </c>
      <c r="FO389" s="481">
        <f>EL389</f>
        <v>13671</v>
      </c>
      <c r="FP389" s="481">
        <f>SUM(FP171,FP230,FP284,FP322)</f>
        <v>8734.5</v>
      </c>
      <c r="FU389" s="311" t="s">
        <v>668</v>
      </c>
      <c r="FV389" s="311" t="s">
        <v>612</v>
      </c>
      <c r="FW389" s="311" t="s">
        <v>667</v>
      </c>
      <c r="FX389" s="311" t="s">
        <v>677</v>
      </c>
    </row>
    <row r="390" spans="1:180" ht="12" x14ac:dyDescent="0.25">
      <c r="B390" s="316" t="s">
        <v>687</v>
      </c>
      <c r="D390" s="445"/>
      <c r="E390" s="480"/>
      <c r="F390" s="480"/>
      <c r="H390" s="481"/>
      <c r="J390" s="445"/>
      <c r="K390" s="481"/>
      <c r="L390" s="481"/>
      <c r="M390" s="481"/>
      <c r="N390" s="481"/>
      <c r="P390" s="445"/>
      <c r="Q390" s="481"/>
      <c r="R390" s="481"/>
      <c r="S390" s="481"/>
      <c r="T390" s="481"/>
      <c r="U390" s="458"/>
      <c r="V390" s="458"/>
      <c r="W390" s="481"/>
      <c r="X390" s="481"/>
      <c r="Y390" s="481"/>
      <c r="Z390" s="458"/>
      <c r="AA390" s="458"/>
      <c r="AB390" s="458"/>
      <c r="AC390" s="481"/>
      <c r="AD390" s="481"/>
      <c r="AE390" s="481"/>
      <c r="AF390" s="481"/>
      <c r="AG390" s="481"/>
      <c r="AI390" s="481"/>
      <c r="AJ390" s="481"/>
      <c r="AK390" s="481"/>
      <c r="AL390" s="481"/>
      <c r="AM390" s="481"/>
      <c r="AO390" s="481"/>
      <c r="AP390" s="481"/>
      <c r="AQ390" s="481"/>
      <c r="AR390" s="481"/>
      <c r="AS390" s="481"/>
      <c r="AU390" s="481"/>
      <c r="AV390" s="481"/>
      <c r="AW390" s="481"/>
      <c r="AX390" s="481"/>
      <c r="AY390" s="481"/>
      <c r="BA390" s="481"/>
      <c r="BB390" s="481"/>
      <c r="BC390" s="481"/>
      <c r="BD390" s="481"/>
      <c r="BE390" s="481"/>
      <c r="BG390" s="481"/>
      <c r="BH390" s="481"/>
      <c r="BI390" s="481"/>
      <c r="BJ390" s="481"/>
      <c r="BK390" s="481"/>
      <c r="BM390" s="481"/>
      <c r="BN390" s="481"/>
      <c r="BO390" s="481"/>
      <c r="BP390" s="481"/>
      <c r="BQ390" s="481"/>
      <c r="BS390" s="481"/>
      <c r="BT390" s="481"/>
      <c r="BU390" s="481"/>
      <c r="BV390" s="481"/>
      <c r="BW390" s="481"/>
      <c r="BY390" s="481"/>
      <c r="BZ390" s="481"/>
      <c r="CA390" s="481"/>
      <c r="CB390" s="481"/>
      <c r="CC390" s="481"/>
      <c r="CE390" s="481"/>
      <c r="CF390" s="481"/>
      <c r="CG390" s="481"/>
      <c r="CH390" s="481"/>
      <c r="CI390" s="481"/>
      <c r="CK390" s="481"/>
      <c r="CL390" s="481"/>
      <c r="CM390" s="481"/>
      <c r="CN390" s="481"/>
      <c r="CO390" s="481"/>
      <c r="CQ390" s="481"/>
      <c r="CR390" s="481"/>
      <c r="CS390" s="481"/>
      <c r="CT390" s="481"/>
      <c r="CU390" s="481"/>
      <c r="CW390" s="481"/>
      <c r="CX390" s="481"/>
      <c r="CY390" s="481"/>
      <c r="CZ390" s="481"/>
      <c r="DA390" s="502"/>
      <c r="DC390" s="481"/>
      <c r="DD390" s="481"/>
      <c r="DE390" s="481"/>
      <c r="DF390" s="481"/>
      <c r="DG390" s="481"/>
      <c r="DI390" s="481"/>
      <c r="DJ390" s="481"/>
      <c r="DK390" s="481"/>
      <c r="DL390" s="481"/>
      <c r="DM390" s="750"/>
      <c r="DO390" s="481"/>
      <c r="DP390" s="481"/>
      <c r="DQ390" s="481"/>
      <c r="DR390" s="481"/>
      <c r="DS390" s="750"/>
      <c r="DT390" s="750"/>
      <c r="DU390" s="481"/>
      <c r="DV390" s="481"/>
      <c r="DW390" s="481"/>
      <c r="DX390" s="481"/>
      <c r="DY390" s="750">
        <f>SUM(DY172,DY231,DY273,DY323)</f>
        <v>611.6407857142857</v>
      </c>
      <c r="EA390" s="481"/>
      <c r="EB390" s="481"/>
      <c r="EE390" s="750">
        <f>SUM(EE172,EE231,EE285,EE323)</f>
        <v>50</v>
      </c>
      <c r="EK390" s="502">
        <f>SUM(EK172,EK231,EK285,EK323)</f>
        <v>1536</v>
      </c>
      <c r="EL390" s="502">
        <f>SUM(EL172,EL231,EL285,EL323)</f>
        <v>1833</v>
      </c>
      <c r="FE390" s="481"/>
      <c r="FF390" s="481"/>
      <c r="FL390" s="481">
        <f t="shared" ref="FL390:FL392" si="774">DY390</f>
        <v>611.6407857142857</v>
      </c>
      <c r="FM390" s="481">
        <f t="shared" ref="FM390:FM392" si="775">EE390</f>
        <v>50</v>
      </c>
      <c r="FN390" s="481">
        <f t="shared" ref="FN390:FN392" si="776">EK390</f>
        <v>1536</v>
      </c>
      <c r="FO390" s="481">
        <f t="shared" ref="FO390:FO392" si="777">EL390</f>
        <v>1833</v>
      </c>
      <c r="FP390" s="481">
        <f>SUM(FP172,FP231,FP285,FP323)</f>
        <v>2506.25</v>
      </c>
      <c r="FT390" s="311" t="s">
        <v>581</v>
      </c>
      <c r="FU390" s="495">
        <f>FL389</f>
        <v>3713.9535757575759</v>
      </c>
      <c r="FV390" s="495">
        <f t="shared" ref="FV390:FX390" si="778">FM389</f>
        <v>5634.28</v>
      </c>
      <c r="FW390" s="495">
        <f t="shared" si="778"/>
        <v>7728</v>
      </c>
      <c r="FX390" s="495">
        <f t="shared" si="778"/>
        <v>13671</v>
      </c>
    </row>
    <row r="391" spans="1:180" ht="12" x14ac:dyDescent="0.25">
      <c r="B391" s="316" t="s">
        <v>583</v>
      </c>
      <c r="D391" s="445"/>
      <c r="E391" s="480"/>
      <c r="F391" s="480"/>
      <c r="H391" s="481"/>
      <c r="J391" s="445"/>
      <c r="K391" s="481"/>
      <c r="L391" s="481"/>
      <c r="M391" s="481"/>
      <c r="N391" s="481"/>
      <c r="P391" s="445"/>
      <c r="Q391" s="481"/>
      <c r="R391" s="481"/>
      <c r="S391" s="481"/>
      <c r="T391" s="481"/>
      <c r="U391" s="458"/>
      <c r="V391" s="458"/>
      <c r="W391" s="481"/>
      <c r="X391" s="481"/>
      <c r="Y391" s="481"/>
      <c r="Z391" s="458"/>
      <c r="AA391" s="458"/>
      <c r="AB391" s="458"/>
      <c r="AC391" s="481"/>
      <c r="AD391" s="481"/>
      <c r="AE391" s="481"/>
      <c r="AF391" s="481"/>
      <c r="AG391" s="481"/>
      <c r="AI391" s="481"/>
      <c r="AJ391" s="481"/>
      <c r="AK391" s="481"/>
      <c r="AL391" s="481"/>
      <c r="AM391" s="481"/>
      <c r="AO391" s="481"/>
      <c r="AP391" s="481"/>
      <c r="AQ391" s="481"/>
      <c r="AR391" s="481"/>
      <c r="AS391" s="481"/>
      <c r="AU391" s="481"/>
      <c r="AV391" s="481"/>
      <c r="AW391" s="481"/>
      <c r="AX391" s="481"/>
      <c r="AY391" s="481"/>
      <c r="BA391" s="481"/>
      <c r="BB391" s="481"/>
      <c r="BC391" s="481"/>
      <c r="BD391" s="481"/>
      <c r="BE391" s="481"/>
      <c r="BG391" s="481"/>
      <c r="BH391" s="481"/>
      <c r="BI391" s="481"/>
      <c r="BJ391" s="481"/>
      <c r="BK391" s="481"/>
      <c r="BM391" s="481"/>
      <c r="BN391" s="481"/>
      <c r="BO391" s="481"/>
      <c r="BP391" s="481"/>
      <c r="BQ391" s="481"/>
      <c r="BS391" s="481"/>
      <c r="BT391" s="481"/>
      <c r="BU391" s="481"/>
      <c r="BV391" s="481"/>
      <c r="BW391" s="481"/>
      <c r="BY391" s="481"/>
      <c r="BZ391" s="481"/>
      <c r="CA391" s="481"/>
      <c r="CB391" s="481"/>
      <c r="CC391" s="481"/>
      <c r="CE391" s="481"/>
      <c r="CF391" s="481"/>
      <c r="CG391" s="481"/>
      <c r="CH391" s="481"/>
      <c r="CI391" s="481"/>
      <c r="CK391" s="481"/>
      <c r="CL391" s="481"/>
      <c r="CM391" s="481"/>
      <c r="CN391" s="481"/>
      <c r="CO391" s="481"/>
      <c r="CQ391" s="481"/>
      <c r="CR391" s="481"/>
      <c r="CS391" s="481"/>
      <c r="CT391" s="481"/>
      <c r="CU391" s="481"/>
      <c r="CW391" s="481"/>
      <c r="CX391" s="481"/>
      <c r="CY391" s="481"/>
      <c r="CZ391" s="481"/>
      <c r="DA391" s="502"/>
      <c r="DC391" s="481"/>
      <c r="DD391" s="481"/>
      <c r="DE391" s="481"/>
      <c r="DF391" s="481"/>
      <c r="DG391" s="481"/>
      <c r="DI391" s="481"/>
      <c r="DJ391" s="481"/>
      <c r="DK391" s="481"/>
      <c r="DL391" s="481"/>
      <c r="DM391" s="750"/>
      <c r="DO391" s="481"/>
      <c r="DP391" s="481"/>
      <c r="DQ391" s="481"/>
      <c r="DR391" s="481"/>
      <c r="DS391" s="750"/>
      <c r="DT391" s="750"/>
      <c r="DU391" s="481"/>
      <c r="DV391" s="481"/>
      <c r="DW391" s="481"/>
      <c r="DX391" s="481"/>
      <c r="DY391" s="750">
        <f>SUM(DY175,DY232,DY288,DY326)</f>
        <v>2429.6216325757578</v>
      </c>
      <c r="EA391" s="481"/>
      <c r="EB391" s="481"/>
      <c r="EE391" s="750">
        <f>SUM(EE175,EE232,EE288,EE326)</f>
        <v>1152.8448000000001</v>
      </c>
      <c r="EK391" s="502">
        <f>SUM(EK175,EK232,EK288,EK326)</f>
        <v>1350</v>
      </c>
      <c r="EL391" s="502">
        <f>SUM(EL175,EL232,EL288,EL326)</f>
        <v>2540</v>
      </c>
      <c r="FE391" s="481"/>
      <c r="FF391" s="481"/>
      <c r="FL391" s="452">
        <f t="shared" si="774"/>
        <v>2429.6216325757578</v>
      </c>
      <c r="FM391" s="452">
        <f t="shared" si="775"/>
        <v>1152.8448000000001</v>
      </c>
      <c r="FN391" s="452">
        <f t="shared" si="776"/>
        <v>1350</v>
      </c>
      <c r="FO391" s="452">
        <f t="shared" si="777"/>
        <v>2540</v>
      </c>
      <c r="FP391" s="481">
        <f>SUM(FP175,FP232,FP288,FP326)</f>
        <v>2060</v>
      </c>
      <c r="FT391" s="311" t="s">
        <v>732</v>
      </c>
      <c r="FU391" s="495">
        <f>SUM(FL390:FL392)</f>
        <v>3041.2624182900436</v>
      </c>
      <c r="FV391" s="495">
        <f t="shared" ref="FV391:FX391" si="779">SUM(FM390:FM392)</f>
        <v>1452.8448000000001</v>
      </c>
      <c r="FW391" s="495">
        <f t="shared" si="779"/>
        <v>3116</v>
      </c>
      <c r="FX391" s="495">
        <f t="shared" si="779"/>
        <v>4373</v>
      </c>
    </row>
    <row r="392" spans="1:180" ht="12" x14ac:dyDescent="0.25">
      <c r="B392" s="325" t="s">
        <v>164</v>
      </c>
      <c r="D392" s="445"/>
      <c r="E392" s="480"/>
      <c r="F392" s="480"/>
      <c r="H392" s="481"/>
      <c r="J392" s="445"/>
      <c r="K392" s="481"/>
      <c r="L392" s="481"/>
      <c r="M392" s="481"/>
      <c r="N392" s="481"/>
      <c r="P392" s="445"/>
      <c r="Q392" s="481"/>
      <c r="R392" s="481"/>
      <c r="S392" s="481"/>
      <c r="T392" s="481"/>
      <c r="U392" s="458"/>
      <c r="V392" s="458"/>
      <c r="W392" s="481"/>
      <c r="X392" s="481"/>
      <c r="Y392" s="481"/>
      <c r="Z392" s="458"/>
      <c r="AA392" s="458"/>
      <c r="AB392" s="458"/>
      <c r="AC392" s="481"/>
      <c r="AD392" s="481"/>
      <c r="AE392" s="481"/>
      <c r="AF392" s="481"/>
      <c r="AG392" s="481"/>
      <c r="AI392" s="481"/>
      <c r="AJ392" s="481"/>
      <c r="AK392" s="481"/>
      <c r="AL392" s="481"/>
      <c r="AM392" s="481"/>
      <c r="AO392" s="481"/>
      <c r="AP392" s="481"/>
      <c r="AQ392" s="481"/>
      <c r="AR392" s="481"/>
      <c r="AS392" s="481"/>
      <c r="AU392" s="481"/>
      <c r="AV392" s="481"/>
      <c r="AW392" s="481"/>
      <c r="AX392" s="481"/>
      <c r="AY392" s="481"/>
      <c r="BA392" s="481"/>
      <c r="BB392" s="481"/>
      <c r="BC392" s="481"/>
      <c r="BD392" s="481"/>
      <c r="BE392" s="481"/>
      <c r="BG392" s="481"/>
      <c r="BH392" s="481"/>
      <c r="BI392" s="481"/>
      <c r="BJ392" s="481"/>
      <c r="BK392" s="481"/>
      <c r="BM392" s="481"/>
      <c r="BN392" s="481"/>
      <c r="BO392" s="481"/>
      <c r="BP392" s="481"/>
      <c r="BQ392" s="481"/>
      <c r="BS392" s="481"/>
      <c r="BT392" s="481"/>
      <c r="BU392" s="481"/>
      <c r="BV392" s="481"/>
      <c r="BW392" s="481"/>
      <c r="BY392" s="481"/>
      <c r="BZ392" s="481"/>
      <c r="CA392" s="481"/>
      <c r="CB392" s="481"/>
      <c r="CC392" s="481"/>
      <c r="CE392" s="481"/>
      <c r="CF392" s="481"/>
      <c r="CG392" s="481"/>
      <c r="CH392" s="481"/>
      <c r="CI392" s="481"/>
      <c r="CK392" s="481"/>
      <c r="CL392" s="481"/>
      <c r="CM392" s="481"/>
      <c r="CN392" s="481"/>
      <c r="CO392" s="481"/>
      <c r="CQ392" s="481"/>
      <c r="CR392" s="481"/>
      <c r="CS392" s="481"/>
      <c r="CT392" s="481"/>
      <c r="CU392" s="481"/>
      <c r="CW392" s="481"/>
      <c r="CX392" s="481"/>
      <c r="CY392" s="481"/>
      <c r="CZ392" s="481"/>
      <c r="DA392" s="502"/>
      <c r="DC392" s="481"/>
      <c r="DD392" s="481"/>
      <c r="DE392" s="481"/>
      <c r="DF392" s="481"/>
      <c r="DG392" s="481"/>
      <c r="DI392" s="481"/>
      <c r="DJ392" s="481"/>
      <c r="DK392" s="481"/>
      <c r="DL392" s="481"/>
      <c r="DM392" s="750"/>
      <c r="DO392" s="481"/>
      <c r="DP392" s="481"/>
      <c r="DQ392" s="481"/>
      <c r="DR392" s="481"/>
      <c r="DS392" s="750"/>
      <c r="DT392" s="750"/>
      <c r="DU392" s="481"/>
      <c r="DV392" s="481"/>
      <c r="DW392" s="481"/>
      <c r="DX392" s="481"/>
      <c r="DY392" s="750"/>
      <c r="EA392" s="481"/>
      <c r="EB392" s="481"/>
      <c r="EE392" s="750">
        <f>EE178+EE235+EE291</f>
        <v>250</v>
      </c>
      <c r="EK392" s="502">
        <f>EK178+EK235+EK291</f>
        <v>230</v>
      </c>
      <c r="EL392" s="502">
        <f>EL178+EL235+EL291</f>
        <v>0</v>
      </c>
      <c r="FE392" s="481"/>
      <c r="FF392" s="481"/>
      <c r="FL392" s="481">
        <f t="shared" si="774"/>
        <v>0</v>
      </c>
      <c r="FM392" s="481">
        <f t="shared" si="775"/>
        <v>250</v>
      </c>
      <c r="FN392" s="481">
        <f t="shared" si="776"/>
        <v>230</v>
      </c>
      <c r="FO392" s="481">
        <f t="shared" si="777"/>
        <v>0</v>
      </c>
      <c r="FP392" s="481">
        <f>FP178+FP235+FP291</f>
        <v>0</v>
      </c>
      <c r="FT392" s="311" t="s">
        <v>738</v>
      </c>
      <c r="FX392" s="311">
        <v>3000</v>
      </c>
    </row>
    <row r="393" spans="1:180" ht="12" x14ac:dyDescent="0.25">
      <c r="B393" s="316" t="s">
        <v>689</v>
      </c>
      <c r="D393" s="445"/>
      <c r="E393" s="480"/>
      <c r="F393" s="480"/>
      <c r="H393" s="481"/>
      <c r="J393" s="445"/>
      <c r="K393" s="481"/>
      <c r="L393" s="481"/>
      <c r="M393" s="481"/>
      <c r="N393" s="481"/>
      <c r="P393" s="445"/>
      <c r="Q393" s="481"/>
      <c r="R393" s="481"/>
      <c r="S393" s="481"/>
      <c r="T393" s="481"/>
      <c r="U393" s="458"/>
      <c r="V393" s="458"/>
      <c r="W393" s="481"/>
      <c r="X393" s="481"/>
      <c r="Y393" s="481"/>
      <c r="Z393" s="458"/>
      <c r="AA393" s="458"/>
      <c r="AB393" s="458"/>
      <c r="AC393" s="481"/>
      <c r="AD393" s="481"/>
      <c r="AE393" s="481"/>
      <c r="AF393" s="481"/>
      <c r="AG393" s="481"/>
      <c r="AI393" s="481"/>
      <c r="AJ393" s="481"/>
      <c r="AK393" s="481"/>
      <c r="AL393" s="481"/>
      <c r="AM393" s="481"/>
      <c r="AO393" s="481"/>
      <c r="AP393" s="481"/>
      <c r="AQ393" s="481"/>
      <c r="AR393" s="481"/>
      <c r="AS393" s="481"/>
      <c r="AU393" s="481"/>
      <c r="AV393" s="481"/>
      <c r="AW393" s="481"/>
      <c r="AX393" s="481"/>
      <c r="AY393" s="481"/>
      <c r="BA393" s="481"/>
      <c r="BB393" s="481"/>
      <c r="BC393" s="481"/>
      <c r="BD393" s="481"/>
      <c r="BE393" s="481"/>
      <c r="BG393" s="481"/>
      <c r="BH393" s="481"/>
      <c r="BI393" s="481"/>
      <c r="BJ393" s="481"/>
      <c r="BK393" s="481"/>
      <c r="BM393" s="481"/>
      <c r="BN393" s="481"/>
      <c r="BO393" s="481"/>
      <c r="BP393" s="481"/>
      <c r="BQ393" s="481"/>
      <c r="BS393" s="481"/>
      <c r="BT393" s="481"/>
      <c r="BU393" s="481"/>
      <c r="BV393" s="481"/>
      <c r="BW393" s="481"/>
      <c r="BY393" s="481"/>
      <c r="BZ393" s="481"/>
      <c r="CA393" s="481"/>
      <c r="CB393" s="481"/>
      <c r="CC393" s="481"/>
      <c r="CE393" s="481"/>
      <c r="CF393" s="481"/>
      <c r="CG393" s="481"/>
      <c r="CH393" s="481"/>
      <c r="CI393" s="481"/>
      <c r="CK393" s="481"/>
      <c r="CL393" s="481"/>
      <c r="CM393" s="481"/>
      <c r="CN393" s="481"/>
      <c r="CO393" s="481"/>
      <c r="CQ393" s="481"/>
      <c r="CR393" s="481"/>
      <c r="CS393" s="481"/>
      <c r="CT393" s="481"/>
      <c r="CU393" s="481"/>
      <c r="CW393" s="481"/>
      <c r="CX393" s="481"/>
      <c r="CY393" s="481"/>
      <c r="CZ393" s="481"/>
      <c r="DA393" s="502"/>
      <c r="DC393" s="481"/>
      <c r="DD393" s="481"/>
      <c r="DE393" s="481"/>
      <c r="DF393" s="481"/>
      <c r="DG393" s="481"/>
      <c r="DI393" s="481"/>
      <c r="DJ393" s="481"/>
      <c r="DK393" s="481"/>
      <c r="DL393" s="481"/>
      <c r="DM393" s="750"/>
      <c r="DO393" s="481"/>
      <c r="DP393" s="481"/>
      <c r="DQ393" s="481"/>
      <c r="DR393" s="481"/>
      <c r="DS393" s="750"/>
      <c r="DT393" s="750"/>
      <c r="DU393" s="481"/>
      <c r="DV393" s="481"/>
      <c r="DW393" s="481"/>
      <c r="DX393" s="481"/>
      <c r="DY393" s="732">
        <f>DY332</f>
        <v>684</v>
      </c>
      <c r="EA393" s="481"/>
      <c r="EB393" s="481"/>
      <c r="EE393" s="732">
        <f>EE332</f>
        <v>752.40000000000009</v>
      </c>
      <c r="EK393" s="501">
        <f>EK332</f>
        <v>752.40000000000009</v>
      </c>
      <c r="EL393" s="501">
        <f>EL332</f>
        <v>752.40000000000009</v>
      </c>
      <c r="FE393" s="481"/>
      <c r="FF393" s="481"/>
      <c r="FL393" s="481">
        <f t="shared" ref="FL393:FL396" si="780">DY393</f>
        <v>684</v>
      </c>
      <c r="FM393" s="481">
        <f t="shared" ref="FM393:FM396" si="781">EE393</f>
        <v>752.40000000000009</v>
      </c>
      <c r="FN393" s="481">
        <f t="shared" ref="FN393:FN396" si="782">EK393</f>
        <v>752.40000000000009</v>
      </c>
      <c r="FO393" s="481">
        <f t="shared" ref="FO393:FO396" si="783">EL393</f>
        <v>752.40000000000009</v>
      </c>
      <c r="FP393" s="452">
        <f>FP332</f>
        <v>752.40000000000009</v>
      </c>
      <c r="FU393" s="311">
        <f t="shared" ref="FU393:FW393" si="784">FU391/SUM(FU390:FU391)</f>
        <v>0.45020950047635216</v>
      </c>
      <c r="FV393" s="311">
        <f t="shared" si="784"/>
        <v>0.20499777286269888</v>
      </c>
      <c r="FW393" s="311">
        <f t="shared" si="784"/>
        <v>0.28734784212467723</v>
      </c>
      <c r="FX393" s="311">
        <f>FX391/SUM(FX390:FX391)</f>
        <v>0.24235202837508313</v>
      </c>
    </row>
    <row r="394" spans="1:180" ht="12" x14ac:dyDescent="0.25">
      <c r="B394" s="315" t="s">
        <v>691</v>
      </c>
      <c r="C394" s="382"/>
      <c r="D394" s="664"/>
      <c r="E394" s="665"/>
      <c r="F394" s="665"/>
      <c r="G394" s="382"/>
      <c r="H394" s="504"/>
      <c r="I394" s="382"/>
      <c r="J394" s="664"/>
      <c r="K394" s="504"/>
      <c r="L394" s="504"/>
      <c r="M394" s="504"/>
      <c r="N394" s="504"/>
      <c r="O394" s="382"/>
      <c r="P394" s="664"/>
      <c r="Q394" s="504"/>
      <c r="R394" s="504"/>
      <c r="S394" s="504"/>
      <c r="T394" s="504"/>
      <c r="U394" s="509"/>
      <c r="V394" s="509"/>
      <c r="W394" s="504"/>
      <c r="X394" s="504"/>
      <c r="Y394" s="504"/>
      <c r="Z394" s="509"/>
      <c r="AA394" s="509"/>
      <c r="AB394" s="509"/>
      <c r="AC394" s="504"/>
      <c r="AD394" s="504"/>
      <c r="AE394" s="504"/>
      <c r="AF394" s="504"/>
      <c r="AG394" s="504"/>
      <c r="AH394" s="382"/>
      <c r="AI394" s="504"/>
      <c r="AJ394" s="504"/>
      <c r="AK394" s="504"/>
      <c r="AL394" s="504"/>
      <c r="AM394" s="504"/>
      <c r="AN394" s="382"/>
      <c r="AO394" s="504"/>
      <c r="AP394" s="504"/>
      <c r="AQ394" s="504"/>
      <c r="AR394" s="504"/>
      <c r="AS394" s="504"/>
      <c r="AT394" s="382"/>
      <c r="AU394" s="504"/>
      <c r="AV394" s="504"/>
      <c r="AW394" s="504"/>
      <c r="AX394" s="504"/>
      <c r="AY394" s="504"/>
      <c r="AZ394" s="382"/>
      <c r="BA394" s="504"/>
      <c r="BB394" s="504"/>
      <c r="BC394" s="504"/>
      <c r="BD394" s="504"/>
      <c r="BE394" s="504"/>
      <c r="BF394" s="382"/>
      <c r="BG394" s="504"/>
      <c r="BH394" s="504"/>
      <c r="BI394" s="504"/>
      <c r="BJ394" s="504"/>
      <c r="BK394" s="504"/>
      <c r="BL394" s="382"/>
      <c r="BM394" s="504"/>
      <c r="BN394" s="504"/>
      <c r="BO394" s="504"/>
      <c r="BP394" s="504"/>
      <c r="BQ394" s="504"/>
      <c r="BR394" s="382"/>
      <c r="BS394" s="504"/>
      <c r="BT394" s="504"/>
      <c r="BU394" s="504"/>
      <c r="BV394" s="504"/>
      <c r="BW394" s="504"/>
      <c r="BX394" s="382"/>
      <c r="BY394" s="504"/>
      <c r="BZ394" s="504"/>
      <c r="CA394" s="504"/>
      <c r="CB394" s="504"/>
      <c r="CC394" s="504"/>
      <c r="CD394" s="382"/>
      <c r="CE394" s="504"/>
      <c r="CF394" s="504"/>
      <c r="CG394" s="504"/>
      <c r="CH394" s="504"/>
      <c r="CI394" s="504"/>
      <c r="CJ394" s="382"/>
      <c r="CK394" s="504"/>
      <c r="CL394" s="504"/>
      <c r="CM394" s="504"/>
      <c r="CN394" s="504"/>
      <c r="CO394" s="504"/>
      <c r="CP394" s="382"/>
      <c r="CQ394" s="504"/>
      <c r="CR394" s="504"/>
      <c r="CS394" s="504"/>
      <c r="CT394" s="504"/>
      <c r="CU394" s="504"/>
      <c r="CV394" s="382"/>
      <c r="CW394" s="504"/>
      <c r="CX394" s="504"/>
      <c r="CY394" s="504"/>
      <c r="CZ394" s="504"/>
      <c r="DA394" s="505"/>
      <c r="DC394" s="504"/>
      <c r="DD394" s="504"/>
      <c r="DE394" s="504"/>
      <c r="DF394" s="504"/>
      <c r="DG394" s="504"/>
      <c r="DI394" s="504"/>
      <c r="DJ394" s="504"/>
      <c r="DK394" s="504"/>
      <c r="DL394" s="504"/>
      <c r="DM394" s="751"/>
      <c r="DO394" s="504"/>
      <c r="DP394" s="504"/>
      <c r="DQ394" s="504"/>
      <c r="DR394" s="504"/>
      <c r="DS394" s="751">
        <f>DS417*DS404-DS384</f>
        <v>4362.4702778286774</v>
      </c>
      <c r="DT394" s="750"/>
      <c r="DU394" s="504"/>
      <c r="DV394" s="504"/>
      <c r="DW394" s="504"/>
      <c r="DX394" s="504"/>
      <c r="DY394" s="751">
        <f>DY334</f>
        <v>5770</v>
      </c>
      <c r="EA394" s="504"/>
      <c r="EB394" s="504"/>
      <c r="EC394" s="382"/>
      <c r="ED394" s="382"/>
      <c r="EE394" s="751">
        <f>EE334</f>
        <v>5446.8</v>
      </c>
      <c r="EG394" s="382"/>
      <c r="EH394" s="382"/>
      <c r="EI394" s="382"/>
      <c r="EJ394" s="382"/>
      <c r="EK394" s="505">
        <f>EK334</f>
        <v>4629.78</v>
      </c>
      <c r="EL394" s="505">
        <f>EL334</f>
        <v>4444.5887999999995</v>
      </c>
      <c r="FE394" s="481"/>
      <c r="FF394" s="481"/>
      <c r="FL394" s="504">
        <f t="shared" si="780"/>
        <v>5770</v>
      </c>
      <c r="FM394" s="504">
        <f t="shared" si="781"/>
        <v>5446.8</v>
      </c>
      <c r="FN394" s="504">
        <f t="shared" si="782"/>
        <v>4629.78</v>
      </c>
      <c r="FO394" s="504">
        <f t="shared" si="783"/>
        <v>4444.5887999999995</v>
      </c>
      <c r="FP394" s="504">
        <f>FP334</f>
        <v>4222.3593599999995</v>
      </c>
    </row>
    <row r="395" spans="1:180" ht="12" x14ac:dyDescent="0.25">
      <c r="B395" s="444" t="s">
        <v>709</v>
      </c>
      <c r="D395" s="445"/>
      <c r="E395" s="480"/>
      <c r="F395" s="480"/>
      <c r="H395" s="481"/>
      <c r="J395" s="445"/>
      <c r="K395" s="481"/>
      <c r="L395" s="481"/>
      <c r="M395" s="481"/>
      <c r="N395" s="481"/>
      <c r="P395" s="445"/>
      <c r="Q395" s="481"/>
      <c r="R395" s="481"/>
      <c r="S395" s="481"/>
      <c r="T395" s="481"/>
      <c r="U395" s="458"/>
      <c r="V395" s="458"/>
      <c r="W395" s="481"/>
      <c r="X395" s="481"/>
      <c r="Y395" s="481"/>
      <c r="Z395" s="458"/>
      <c r="AA395" s="458"/>
      <c r="AB395" s="458"/>
      <c r="AC395" s="481"/>
      <c r="AD395" s="481"/>
      <c r="AE395" s="481"/>
      <c r="AF395" s="481"/>
      <c r="AG395" s="481"/>
      <c r="AI395" s="481"/>
      <c r="AJ395" s="481"/>
      <c r="AK395" s="481"/>
      <c r="AL395" s="481"/>
      <c r="AM395" s="481"/>
      <c r="AO395" s="481"/>
      <c r="AP395" s="481"/>
      <c r="AQ395" s="481"/>
      <c r="AR395" s="481"/>
      <c r="AS395" s="481"/>
      <c r="AU395" s="481"/>
      <c r="AV395" s="481"/>
      <c r="AW395" s="481"/>
      <c r="AX395" s="481"/>
      <c r="AY395" s="481"/>
      <c r="BA395" s="481"/>
      <c r="BB395" s="481"/>
      <c r="BC395" s="481"/>
      <c r="BD395" s="481"/>
      <c r="BE395" s="481"/>
      <c r="BG395" s="481"/>
      <c r="BH395" s="481"/>
      <c r="BI395" s="481"/>
      <c r="BJ395" s="481"/>
      <c r="BK395" s="481"/>
      <c r="BM395" s="481"/>
      <c r="BN395" s="481"/>
      <c r="BO395" s="481"/>
      <c r="BP395" s="481"/>
      <c r="BQ395" s="481"/>
      <c r="BS395" s="481"/>
      <c r="BT395" s="481"/>
      <c r="BU395" s="481"/>
      <c r="BV395" s="481"/>
      <c r="BW395" s="481"/>
      <c r="BY395" s="481"/>
      <c r="BZ395" s="481"/>
      <c r="CA395" s="481"/>
      <c r="CB395" s="481"/>
      <c r="CC395" s="481"/>
      <c r="CE395" s="481"/>
      <c r="CF395" s="481"/>
      <c r="CG395" s="481"/>
      <c r="CH395" s="481"/>
      <c r="CI395" s="481"/>
      <c r="CK395" s="481"/>
      <c r="CL395" s="481"/>
      <c r="CM395" s="481"/>
      <c r="CN395" s="481"/>
      <c r="CO395" s="481"/>
      <c r="CQ395" s="481"/>
      <c r="CR395" s="481"/>
      <c r="CS395" s="481"/>
      <c r="CT395" s="481"/>
      <c r="CU395" s="481"/>
      <c r="CW395" s="481"/>
      <c r="CX395" s="481"/>
      <c r="CY395" s="481"/>
      <c r="CZ395" s="481"/>
      <c r="DA395" s="502"/>
      <c r="DC395" s="481"/>
      <c r="DD395" s="481"/>
      <c r="DE395" s="481"/>
      <c r="DF395" s="481"/>
      <c r="DG395" s="481"/>
      <c r="DI395" s="481"/>
      <c r="DJ395" s="481"/>
      <c r="DK395" s="481"/>
      <c r="DL395" s="481"/>
      <c r="DM395" s="750"/>
      <c r="DO395" s="481"/>
      <c r="DP395" s="481"/>
      <c r="DQ395" s="481"/>
      <c r="DR395" s="481"/>
      <c r="DS395" s="750"/>
      <c r="DT395" s="750"/>
      <c r="DU395" s="481"/>
      <c r="DV395" s="481"/>
      <c r="DW395" s="481"/>
      <c r="DX395" s="481"/>
      <c r="DY395" s="752">
        <f>SUM(DY389:DY394)</f>
        <v>13209.215994047619</v>
      </c>
      <c r="EA395" s="481"/>
      <c r="EB395" s="481"/>
      <c r="EE395" s="752">
        <f>SUM(EE389:EE394)</f>
        <v>13286.324799999999</v>
      </c>
      <c r="EK395" s="673">
        <f>SUM(EK389:EK394)</f>
        <v>16226.18</v>
      </c>
      <c r="EL395" s="673">
        <f>SUM(EL389:EL394)</f>
        <v>23240.988799999999</v>
      </c>
      <c r="FE395" s="481"/>
      <c r="FF395" s="481"/>
      <c r="FL395" s="657">
        <f t="shared" si="780"/>
        <v>13209.215994047619</v>
      </c>
      <c r="FM395" s="657">
        <f t="shared" si="781"/>
        <v>13286.324799999999</v>
      </c>
      <c r="FN395" s="657">
        <f t="shared" si="782"/>
        <v>16226.18</v>
      </c>
      <c r="FO395" s="657">
        <f t="shared" si="783"/>
        <v>23240.988799999999</v>
      </c>
      <c r="FP395" s="657">
        <f>SUM(FP389:FP394)</f>
        <v>18275.50936</v>
      </c>
    </row>
    <row r="396" spans="1:180" ht="12" x14ac:dyDescent="0.25">
      <c r="B396" s="325" t="s">
        <v>714</v>
      </c>
      <c r="D396" s="445"/>
      <c r="E396" s="480"/>
      <c r="F396" s="480"/>
      <c r="H396" s="481"/>
      <c r="J396" s="445"/>
      <c r="K396" s="481"/>
      <c r="L396" s="481"/>
      <c r="M396" s="481"/>
      <c r="N396" s="481"/>
      <c r="P396" s="445"/>
      <c r="Q396" s="481"/>
      <c r="R396" s="481"/>
      <c r="S396" s="481"/>
      <c r="T396" s="481"/>
      <c r="U396" s="458"/>
      <c r="V396" s="458"/>
      <c r="W396" s="481"/>
      <c r="X396" s="481"/>
      <c r="Y396" s="481"/>
      <c r="Z396" s="458"/>
      <c r="AA396" s="458"/>
      <c r="AB396" s="458"/>
      <c r="AC396" s="481"/>
      <c r="AD396" s="481"/>
      <c r="AE396" s="481"/>
      <c r="AF396" s="481"/>
      <c r="AG396" s="481"/>
      <c r="AI396" s="481"/>
      <c r="AJ396" s="481"/>
      <c r="AK396" s="481"/>
      <c r="AL396" s="481"/>
      <c r="AM396" s="481"/>
      <c r="AO396" s="481"/>
      <c r="AP396" s="481"/>
      <c r="AQ396" s="481"/>
      <c r="AR396" s="481"/>
      <c r="AS396" s="481"/>
      <c r="AU396" s="481"/>
      <c r="AV396" s="481"/>
      <c r="AW396" s="481"/>
      <c r="AX396" s="481"/>
      <c r="AY396" s="481"/>
      <c r="BA396" s="481"/>
      <c r="BB396" s="481"/>
      <c r="BC396" s="481"/>
      <c r="BD396" s="481"/>
      <c r="BE396" s="481"/>
      <c r="BG396" s="481"/>
      <c r="BH396" s="481"/>
      <c r="BI396" s="481"/>
      <c r="BJ396" s="481"/>
      <c r="BK396" s="481"/>
      <c r="BM396" s="481"/>
      <c r="BN396" s="481"/>
      <c r="BO396" s="481"/>
      <c r="BP396" s="481"/>
      <c r="BQ396" s="481"/>
      <c r="BS396" s="481"/>
      <c r="BT396" s="481"/>
      <c r="BU396" s="481"/>
      <c r="BV396" s="481"/>
      <c r="BW396" s="481"/>
      <c r="BY396" s="481"/>
      <c r="BZ396" s="481"/>
      <c r="CA396" s="481"/>
      <c r="CB396" s="481"/>
      <c r="CC396" s="481"/>
      <c r="CE396" s="481"/>
      <c r="CF396" s="481"/>
      <c r="CG396" s="481"/>
      <c r="CH396" s="481"/>
      <c r="CI396" s="481"/>
      <c r="CK396" s="481"/>
      <c r="CL396" s="481"/>
      <c r="CM396" s="481"/>
      <c r="CN396" s="481"/>
      <c r="CO396" s="481"/>
      <c r="CQ396" s="481"/>
      <c r="CR396" s="481"/>
      <c r="CS396" s="481"/>
      <c r="CT396" s="481"/>
      <c r="CU396" s="481"/>
      <c r="CW396" s="481"/>
      <c r="CX396" s="481"/>
      <c r="CY396" s="481"/>
      <c r="CZ396" s="481"/>
      <c r="DA396" s="502"/>
      <c r="DC396" s="481"/>
      <c r="DD396" s="481"/>
      <c r="DE396" s="481"/>
      <c r="DF396" s="481"/>
      <c r="DG396" s="481"/>
      <c r="DI396" s="481"/>
      <c r="DJ396" s="481"/>
      <c r="DK396" s="481"/>
      <c r="DL396" s="481"/>
      <c r="DM396" s="750"/>
      <c r="DO396" s="481"/>
      <c r="DP396" s="481"/>
      <c r="DQ396" s="481"/>
      <c r="DR396" s="481"/>
      <c r="DS396" s="750"/>
      <c r="DT396" s="750"/>
      <c r="DU396" s="481"/>
      <c r="DV396" s="481"/>
      <c r="DW396" s="481"/>
      <c r="DX396" s="481"/>
      <c r="DY396" s="752"/>
      <c r="EA396" s="481"/>
      <c r="EB396" s="481"/>
      <c r="EE396" s="399">
        <f>EE395/DY395-1</f>
        <v>5.8375005743811492E-3</v>
      </c>
      <c r="EK396" s="404">
        <f>EK395/EE395-1</f>
        <v>0.22126925573880318</v>
      </c>
      <c r="EL396" s="404">
        <f>EL395/EK395-1</f>
        <v>0.43231424771572846</v>
      </c>
      <c r="FE396" s="481"/>
      <c r="FF396" s="481"/>
      <c r="FL396" s="468">
        <f t="shared" si="780"/>
        <v>0</v>
      </c>
      <c r="FM396" s="468">
        <f t="shared" si="781"/>
        <v>5.8375005743811492E-3</v>
      </c>
      <c r="FN396" s="468">
        <f t="shared" si="782"/>
        <v>0.22126925573880318</v>
      </c>
      <c r="FO396" s="468">
        <f t="shared" si="783"/>
        <v>0.43231424771572846</v>
      </c>
      <c r="FP396" s="468">
        <f>FP395/FO395-1</f>
        <v>-0.21365181502088237</v>
      </c>
    </row>
    <row r="397" spans="1:180" ht="12" x14ac:dyDescent="0.25">
      <c r="B397" s="448"/>
      <c r="D397" s="445"/>
      <c r="E397" s="480"/>
      <c r="F397" s="480"/>
      <c r="H397" s="481"/>
      <c r="J397" s="445"/>
      <c r="K397" s="481"/>
      <c r="L397" s="481"/>
      <c r="M397" s="481"/>
      <c r="N397" s="481"/>
      <c r="P397" s="445"/>
      <c r="Q397" s="481"/>
      <c r="R397" s="481"/>
      <c r="S397" s="481"/>
      <c r="T397" s="481"/>
      <c r="U397" s="458"/>
      <c r="V397" s="458"/>
      <c r="W397" s="481"/>
      <c r="X397" s="481"/>
      <c r="Y397" s="481"/>
      <c r="Z397" s="458"/>
      <c r="AA397" s="458"/>
      <c r="AB397" s="458"/>
      <c r="AC397" s="481"/>
      <c r="AD397" s="481"/>
      <c r="AE397" s="481"/>
      <c r="AF397" s="481"/>
      <c r="AG397" s="481"/>
      <c r="AI397" s="481"/>
      <c r="AJ397" s="481"/>
      <c r="AK397" s="481"/>
      <c r="AL397" s="481"/>
      <c r="AM397" s="481"/>
      <c r="AO397" s="481"/>
      <c r="AP397" s="481"/>
      <c r="AQ397" s="481"/>
      <c r="AR397" s="481"/>
      <c r="AS397" s="481"/>
      <c r="AU397" s="481"/>
      <c r="AV397" s="481"/>
      <c r="AW397" s="481"/>
      <c r="AX397" s="481"/>
      <c r="AY397" s="481"/>
      <c r="BA397" s="481"/>
      <c r="BB397" s="481"/>
      <c r="BC397" s="481"/>
      <c r="BD397" s="481"/>
      <c r="BE397" s="481"/>
      <c r="BG397" s="481"/>
      <c r="BH397" s="481"/>
      <c r="BI397" s="481"/>
      <c r="BJ397" s="481"/>
      <c r="BK397" s="481"/>
      <c r="BM397" s="481"/>
      <c r="BN397" s="481"/>
      <c r="BO397" s="481"/>
      <c r="BP397" s="481"/>
      <c r="BQ397" s="481"/>
      <c r="BS397" s="481"/>
      <c r="BT397" s="481"/>
      <c r="BU397" s="481"/>
      <c r="BV397" s="481"/>
      <c r="BW397" s="481"/>
      <c r="BY397" s="481"/>
      <c r="BZ397" s="481"/>
      <c r="CA397" s="481"/>
      <c r="CB397" s="481"/>
      <c r="CC397" s="481"/>
      <c r="CE397" s="481"/>
      <c r="CF397" s="481"/>
      <c r="CG397" s="481"/>
      <c r="CH397" s="481"/>
      <c r="CI397" s="481"/>
      <c r="CK397" s="481"/>
      <c r="CL397" s="481"/>
      <c r="CM397" s="481"/>
      <c r="CN397" s="481"/>
      <c r="CO397" s="481"/>
      <c r="CQ397" s="481"/>
      <c r="CR397" s="481"/>
      <c r="CS397" s="481"/>
      <c r="CT397" s="481"/>
      <c r="CU397" s="481"/>
      <c r="CW397" s="481"/>
      <c r="CX397" s="481"/>
      <c r="CY397" s="481"/>
      <c r="CZ397" s="481"/>
      <c r="DA397" s="502"/>
      <c r="DC397" s="481"/>
      <c r="DD397" s="481"/>
      <c r="DE397" s="481"/>
      <c r="DF397" s="481"/>
      <c r="DG397" s="481"/>
      <c r="DI397" s="481"/>
      <c r="DJ397" s="481"/>
      <c r="DK397" s="481"/>
      <c r="DL397" s="481"/>
      <c r="DM397" s="750"/>
      <c r="DO397" s="481"/>
      <c r="DP397" s="481"/>
      <c r="DQ397" s="481"/>
      <c r="DR397" s="481"/>
      <c r="DS397" s="750"/>
      <c r="DT397" s="750"/>
      <c r="DU397" s="481"/>
      <c r="DV397" s="481"/>
      <c r="DW397" s="481"/>
      <c r="DX397" s="481"/>
      <c r="DY397" s="750"/>
      <c r="EA397" s="481"/>
      <c r="EB397" s="481"/>
      <c r="FE397" s="481"/>
      <c r="FF397" s="481"/>
      <c r="FP397" s="311"/>
    </row>
    <row r="398" spans="1:180" ht="12" x14ac:dyDescent="0.25">
      <c r="B398" s="539" t="s">
        <v>736</v>
      </c>
      <c r="D398" s="445"/>
      <c r="E398" s="480"/>
      <c r="F398" s="480"/>
      <c r="H398" s="481"/>
      <c r="J398" s="445"/>
      <c r="K398" s="481"/>
      <c r="L398" s="481"/>
      <c r="M398" s="481"/>
      <c r="N398" s="481"/>
      <c r="P398" s="445"/>
      <c r="Q398" s="481"/>
      <c r="R398" s="481"/>
      <c r="S398" s="481"/>
      <c r="T398" s="481"/>
      <c r="U398" s="458"/>
      <c r="V398" s="458"/>
      <c r="W398" s="481"/>
      <c r="X398" s="481"/>
      <c r="Y398" s="481"/>
      <c r="Z398" s="458"/>
      <c r="AA398" s="458"/>
      <c r="AB398" s="458"/>
      <c r="AC398" s="481"/>
      <c r="AD398" s="481"/>
      <c r="AE398" s="481"/>
      <c r="AF398" s="481"/>
      <c r="AG398" s="481"/>
      <c r="AI398" s="481"/>
      <c r="AJ398" s="481"/>
      <c r="AK398" s="481"/>
      <c r="AL398" s="481"/>
      <c r="AM398" s="481"/>
      <c r="AO398" s="481"/>
      <c r="AP398" s="481"/>
      <c r="AQ398" s="481"/>
      <c r="AR398" s="481"/>
      <c r="AS398" s="481"/>
      <c r="AU398" s="481"/>
      <c r="AV398" s="481"/>
      <c r="AW398" s="481"/>
      <c r="AX398" s="481"/>
      <c r="AY398" s="481"/>
      <c r="BA398" s="481"/>
      <c r="BB398" s="481"/>
      <c r="BC398" s="481"/>
      <c r="BD398" s="481"/>
      <c r="BE398" s="481"/>
      <c r="BG398" s="481"/>
      <c r="BH398" s="481"/>
      <c r="BI398" s="481"/>
      <c r="BJ398" s="481"/>
      <c r="BK398" s="481"/>
      <c r="BM398" s="481"/>
      <c r="BN398" s="481"/>
      <c r="BO398" s="481"/>
      <c r="BP398" s="481"/>
      <c r="BQ398" s="481"/>
      <c r="BS398" s="481"/>
      <c r="BT398" s="481"/>
      <c r="BU398" s="481"/>
      <c r="BV398" s="481"/>
      <c r="BW398" s="481"/>
      <c r="BY398" s="481"/>
      <c r="BZ398" s="481"/>
      <c r="CA398" s="481"/>
      <c r="CB398" s="481"/>
      <c r="CC398" s="481"/>
      <c r="CE398" s="481"/>
      <c r="CF398" s="481"/>
      <c r="CG398" s="481"/>
      <c r="CH398" s="481"/>
      <c r="CI398" s="481"/>
      <c r="CK398" s="481"/>
      <c r="CL398" s="481"/>
      <c r="CM398" s="481"/>
      <c r="CN398" s="481"/>
      <c r="CO398" s="481"/>
      <c r="CQ398" s="481"/>
      <c r="CR398" s="481"/>
      <c r="CS398" s="481"/>
      <c r="CT398" s="481"/>
      <c r="CU398" s="481"/>
      <c r="CW398" s="481"/>
      <c r="CX398" s="481"/>
      <c r="CY398" s="481"/>
      <c r="CZ398" s="481"/>
      <c r="DA398" s="502"/>
      <c r="DC398" s="481"/>
      <c r="DD398" s="481"/>
      <c r="DE398" s="481"/>
      <c r="DF398" s="481"/>
      <c r="DG398" s="481"/>
      <c r="DI398" s="481"/>
      <c r="DJ398" s="481"/>
      <c r="DK398" s="481"/>
      <c r="DL398" s="481"/>
      <c r="DM398" s="750"/>
      <c r="DO398" s="481"/>
      <c r="DP398" s="481"/>
      <c r="DQ398" s="481"/>
      <c r="DR398" s="481"/>
      <c r="DS398" s="694"/>
      <c r="DT398" s="750"/>
      <c r="DU398" s="481"/>
      <c r="DV398" s="481"/>
      <c r="DW398" s="481"/>
      <c r="DX398" s="481"/>
      <c r="DY398" s="694">
        <f>SUM(DY381:DY383)</f>
        <v>4815.1024356060607</v>
      </c>
      <c r="EA398" s="481"/>
      <c r="EB398" s="481"/>
      <c r="EE398" s="694">
        <f>SUM(EE381:EE383)</f>
        <v>7575.6233363636366</v>
      </c>
      <c r="EK398" s="450">
        <f>SUM(EK381:EK383)</f>
        <v>9549.5</v>
      </c>
      <c r="EL398" s="450">
        <f>SUM(EL381:EL383)</f>
        <v>11016.75</v>
      </c>
      <c r="FE398" s="481"/>
      <c r="FF398" s="481"/>
      <c r="FP398" s="311"/>
    </row>
    <row r="399" spans="1:180" ht="12" x14ac:dyDescent="0.25">
      <c r="B399" s="539" t="s">
        <v>52</v>
      </c>
      <c r="D399" s="445"/>
      <c r="E399" s="480"/>
      <c r="F399" s="480"/>
      <c r="H399" s="481"/>
      <c r="J399" s="445"/>
      <c r="K399" s="481"/>
      <c r="L399" s="481"/>
      <c r="M399" s="481"/>
      <c r="N399" s="481"/>
      <c r="P399" s="445"/>
      <c r="Q399" s="481"/>
      <c r="R399" s="481"/>
      <c r="S399" s="481"/>
      <c r="T399" s="481"/>
      <c r="U399" s="458"/>
      <c r="V399" s="458"/>
      <c r="W399" s="481"/>
      <c r="X399" s="481"/>
      <c r="Y399" s="481"/>
      <c r="Z399" s="458"/>
      <c r="AA399" s="458"/>
      <c r="AB399" s="458"/>
      <c r="AC399" s="481"/>
      <c r="AD399" s="481"/>
      <c r="AE399" s="481"/>
      <c r="AF399" s="481"/>
      <c r="AG399" s="481"/>
      <c r="AI399" s="481"/>
      <c r="AJ399" s="481"/>
      <c r="AK399" s="481"/>
      <c r="AL399" s="481"/>
      <c r="AM399" s="481"/>
      <c r="AO399" s="481"/>
      <c r="AP399" s="481"/>
      <c r="AQ399" s="481"/>
      <c r="AR399" s="481"/>
      <c r="AS399" s="481"/>
      <c r="AU399" s="481"/>
      <c r="AV399" s="481"/>
      <c r="AW399" s="481"/>
      <c r="AX399" s="481"/>
      <c r="AY399" s="481"/>
      <c r="BA399" s="481"/>
      <c r="BB399" s="481"/>
      <c r="BC399" s="481"/>
      <c r="BD399" s="481"/>
      <c r="BE399" s="481"/>
      <c r="BG399" s="481"/>
      <c r="BH399" s="481"/>
      <c r="BI399" s="481"/>
      <c r="BJ399" s="481"/>
      <c r="BK399" s="481"/>
      <c r="BM399" s="481"/>
      <c r="BN399" s="481"/>
      <c r="BO399" s="481"/>
      <c r="BP399" s="481"/>
      <c r="BQ399" s="481"/>
      <c r="BS399" s="481"/>
      <c r="BT399" s="481"/>
      <c r="BU399" s="481"/>
      <c r="BV399" s="481"/>
      <c r="BW399" s="481"/>
      <c r="BY399" s="481"/>
      <c r="BZ399" s="481"/>
      <c r="CA399" s="481"/>
      <c r="CB399" s="481"/>
      <c r="CC399" s="481"/>
      <c r="CE399" s="481"/>
      <c r="CF399" s="481"/>
      <c r="CG399" s="481"/>
      <c r="CH399" s="481"/>
      <c r="CI399" s="481"/>
      <c r="CK399" s="481"/>
      <c r="CL399" s="481"/>
      <c r="CM399" s="481"/>
      <c r="CN399" s="481"/>
      <c r="CO399" s="481"/>
      <c r="CQ399" s="481"/>
      <c r="CR399" s="481"/>
      <c r="CS399" s="481"/>
      <c r="CT399" s="481"/>
      <c r="CU399" s="481"/>
      <c r="CW399" s="481"/>
      <c r="CX399" s="481"/>
      <c r="CY399" s="481"/>
      <c r="CZ399" s="481"/>
      <c r="DA399" s="502"/>
      <c r="DC399" s="481"/>
      <c r="DD399" s="481"/>
      <c r="DE399" s="481"/>
      <c r="DF399" s="481"/>
      <c r="DG399" s="481"/>
      <c r="DI399" s="481"/>
      <c r="DJ399" s="481"/>
      <c r="DK399" s="481"/>
      <c r="DL399" s="481"/>
      <c r="DM399" s="750"/>
      <c r="DO399" s="481"/>
      <c r="DP399" s="481"/>
      <c r="DQ399" s="481"/>
      <c r="DR399" s="481"/>
      <c r="DS399" s="694"/>
      <c r="DT399" s="750"/>
      <c r="DU399" s="481"/>
      <c r="DV399" s="481"/>
      <c r="DW399" s="481"/>
      <c r="DX399" s="481"/>
      <c r="DY399" s="694">
        <f>DY385</f>
        <v>539</v>
      </c>
      <c r="EA399" s="481"/>
      <c r="EB399" s="481"/>
      <c r="EE399" s="694">
        <f>EE385</f>
        <v>565.95000000000005</v>
      </c>
      <c r="EK399" s="450">
        <f>EK385</f>
        <v>622.54500000000007</v>
      </c>
      <c r="EL399" s="450">
        <f>EL385</f>
        <v>715.92675000000008</v>
      </c>
      <c r="FE399" s="481"/>
      <c r="FF399" s="481"/>
      <c r="FP399" s="311"/>
    </row>
    <row r="400" spans="1:180" ht="12" x14ac:dyDescent="0.25">
      <c r="B400" s="663" t="s">
        <v>737</v>
      </c>
      <c r="C400" s="382"/>
      <c r="D400" s="664"/>
      <c r="E400" s="665"/>
      <c r="F400" s="665"/>
      <c r="G400" s="382"/>
      <c r="H400" s="504"/>
      <c r="I400" s="382"/>
      <c r="J400" s="664"/>
      <c r="K400" s="504"/>
      <c r="L400" s="504"/>
      <c r="M400" s="504"/>
      <c r="N400" s="504"/>
      <c r="O400" s="382"/>
      <c r="P400" s="664"/>
      <c r="Q400" s="504"/>
      <c r="R400" s="504"/>
      <c r="S400" s="504"/>
      <c r="T400" s="504"/>
      <c r="U400" s="509"/>
      <c r="V400" s="509"/>
      <c r="W400" s="504"/>
      <c r="X400" s="504"/>
      <c r="Y400" s="504"/>
      <c r="Z400" s="509"/>
      <c r="AA400" s="509"/>
      <c r="AB400" s="509"/>
      <c r="AC400" s="504"/>
      <c r="AD400" s="504"/>
      <c r="AE400" s="504"/>
      <c r="AF400" s="504"/>
      <c r="AG400" s="504"/>
      <c r="AH400" s="382"/>
      <c r="AI400" s="504"/>
      <c r="AJ400" s="504"/>
      <c r="AK400" s="504"/>
      <c r="AL400" s="504"/>
      <c r="AM400" s="504"/>
      <c r="AN400" s="382"/>
      <c r="AO400" s="504"/>
      <c r="AP400" s="504"/>
      <c r="AQ400" s="504"/>
      <c r="AR400" s="504"/>
      <c r="AS400" s="504"/>
      <c r="AT400" s="382"/>
      <c r="AU400" s="504"/>
      <c r="AV400" s="504"/>
      <c r="AW400" s="504"/>
      <c r="AX400" s="504"/>
      <c r="AY400" s="504"/>
      <c r="AZ400" s="382"/>
      <c r="BA400" s="504"/>
      <c r="BB400" s="504"/>
      <c r="BC400" s="504"/>
      <c r="BD400" s="504"/>
      <c r="BE400" s="504"/>
      <c r="BF400" s="382"/>
      <c r="BG400" s="504"/>
      <c r="BH400" s="504"/>
      <c r="BI400" s="504"/>
      <c r="BJ400" s="504"/>
      <c r="BK400" s="504"/>
      <c r="BL400" s="382"/>
      <c r="BM400" s="504"/>
      <c r="BN400" s="504"/>
      <c r="BO400" s="504"/>
      <c r="BP400" s="504"/>
      <c r="BQ400" s="504"/>
      <c r="BR400" s="382"/>
      <c r="BS400" s="504"/>
      <c r="BT400" s="504"/>
      <c r="BU400" s="504"/>
      <c r="BV400" s="504"/>
      <c r="BW400" s="504"/>
      <c r="BX400" s="382"/>
      <c r="BY400" s="504"/>
      <c r="BZ400" s="504"/>
      <c r="CA400" s="504"/>
      <c r="CB400" s="504"/>
      <c r="CC400" s="504"/>
      <c r="CD400" s="382"/>
      <c r="CE400" s="504"/>
      <c r="CF400" s="504"/>
      <c r="CG400" s="504"/>
      <c r="CH400" s="504"/>
      <c r="CI400" s="504"/>
      <c r="CJ400" s="382"/>
      <c r="CK400" s="504"/>
      <c r="CL400" s="504"/>
      <c r="CM400" s="504"/>
      <c r="CN400" s="504"/>
      <c r="CO400" s="504"/>
      <c r="CP400" s="382"/>
      <c r="CQ400" s="504"/>
      <c r="CR400" s="504"/>
      <c r="CS400" s="504"/>
      <c r="CT400" s="504"/>
      <c r="CU400" s="504"/>
      <c r="CV400" s="382"/>
      <c r="CW400" s="504"/>
      <c r="CX400" s="504"/>
      <c r="CY400" s="504"/>
      <c r="CZ400" s="504"/>
      <c r="DA400" s="505"/>
      <c r="DC400" s="504"/>
      <c r="DD400" s="504"/>
      <c r="DE400" s="504"/>
      <c r="DF400" s="504"/>
      <c r="DG400" s="504"/>
      <c r="DI400" s="504"/>
      <c r="DJ400" s="504"/>
      <c r="DK400" s="504"/>
      <c r="DL400" s="504"/>
      <c r="DM400" s="751"/>
      <c r="DO400" s="504"/>
      <c r="DP400" s="504"/>
      <c r="DQ400" s="504"/>
      <c r="DR400" s="504"/>
      <c r="DS400" s="751"/>
      <c r="DT400" s="750"/>
      <c r="DU400" s="504"/>
      <c r="DV400" s="504"/>
      <c r="DW400" s="504"/>
      <c r="DX400" s="504"/>
      <c r="DY400" s="745">
        <f>DY384</f>
        <v>3212</v>
      </c>
      <c r="EA400" s="504"/>
      <c r="EB400" s="504"/>
      <c r="EC400" s="382"/>
      <c r="ED400" s="382"/>
      <c r="EE400" s="745">
        <f>EE384</f>
        <v>2730.2</v>
      </c>
      <c r="EG400" s="382"/>
      <c r="EH400" s="382"/>
      <c r="EI400" s="382"/>
      <c r="EJ400" s="382"/>
      <c r="EK400" s="483">
        <f>EK384</f>
        <v>1774.6299999999999</v>
      </c>
      <c r="EL400" s="483">
        <f>EL384</f>
        <v>2484.4819999999995</v>
      </c>
      <c r="FE400" s="481"/>
      <c r="FF400" s="481"/>
      <c r="FP400" s="311"/>
    </row>
    <row r="401" spans="2:172" ht="12" x14ac:dyDescent="0.25">
      <c r="B401" s="316" t="s">
        <v>708</v>
      </c>
      <c r="D401" s="445"/>
      <c r="E401" s="480"/>
      <c r="F401" s="480"/>
      <c r="H401" s="481"/>
      <c r="J401" s="445"/>
      <c r="K401" s="481"/>
      <c r="L401" s="481"/>
      <c r="M401" s="481"/>
      <c r="N401" s="481"/>
      <c r="P401" s="445"/>
      <c r="Q401" s="481"/>
      <c r="R401" s="481"/>
      <c r="S401" s="481"/>
      <c r="T401" s="481"/>
      <c r="U401" s="458"/>
      <c r="V401" s="458"/>
      <c r="W401" s="481"/>
      <c r="X401" s="481"/>
      <c r="Y401" s="481"/>
      <c r="Z401" s="458"/>
      <c r="AA401" s="458"/>
      <c r="AB401" s="458"/>
      <c r="AC401" s="481"/>
      <c r="AD401" s="481"/>
      <c r="AE401" s="481"/>
      <c r="AF401" s="481"/>
      <c r="AG401" s="481"/>
      <c r="AI401" s="481"/>
      <c r="AJ401" s="481"/>
      <c r="AK401" s="481"/>
      <c r="AL401" s="481"/>
      <c r="AM401" s="481"/>
      <c r="AO401" s="481"/>
      <c r="AP401" s="481"/>
      <c r="AQ401" s="481"/>
      <c r="AR401" s="481"/>
      <c r="AS401" s="481"/>
      <c r="AU401" s="481"/>
      <c r="AV401" s="481"/>
      <c r="AW401" s="481"/>
      <c r="AX401" s="481"/>
      <c r="AY401" s="481"/>
      <c r="BA401" s="481"/>
      <c r="BB401" s="481"/>
      <c r="BC401" s="481"/>
      <c r="BD401" s="481"/>
      <c r="BE401" s="481"/>
      <c r="BG401" s="481"/>
      <c r="BH401" s="481"/>
      <c r="BI401" s="481"/>
      <c r="BJ401" s="481"/>
      <c r="BK401" s="481"/>
      <c r="BM401" s="481"/>
      <c r="BN401" s="481"/>
      <c r="BO401" s="481"/>
      <c r="BP401" s="481"/>
      <c r="BQ401" s="481"/>
      <c r="BS401" s="481"/>
      <c r="BT401" s="481"/>
      <c r="BU401" s="481"/>
      <c r="BV401" s="481"/>
      <c r="BW401" s="481"/>
      <c r="BY401" s="481"/>
      <c r="BZ401" s="481"/>
      <c r="CA401" s="481"/>
      <c r="CB401" s="481"/>
      <c r="CC401" s="481"/>
      <c r="CE401" s="481">
        <f t="shared" ref="CE401:CH402" si="785">CE407*CE$55</f>
        <v>571.42599999999993</v>
      </c>
      <c r="CF401" s="481">
        <f t="shared" si="785"/>
        <v>747.41399999999999</v>
      </c>
      <c r="CG401" s="481">
        <f t="shared" si="785"/>
        <v>582.048</v>
      </c>
      <c r="CH401" s="481">
        <f t="shared" si="785"/>
        <v>1036.0970000000002</v>
      </c>
      <c r="CI401" s="481">
        <f>CH401+CG401+CF401+CE401</f>
        <v>2936.9850000000001</v>
      </c>
      <c r="CK401" s="481">
        <f t="shared" ref="CK401:CN402" si="786">CK407*CK$55</f>
        <v>1234.098</v>
      </c>
      <c r="CL401" s="481">
        <f t="shared" si="786"/>
        <v>1126.71</v>
      </c>
      <c r="CM401" s="481">
        <f t="shared" si="786"/>
        <v>1206.7479999999998</v>
      </c>
      <c r="CN401" s="481">
        <f t="shared" si="786"/>
        <v>969.72000000000014</v>
      </c>
      <c r="CO401" s="481">
        <f>SUM(CK401:CN401)</f>
        <v>4537.2759999999998</v>
      </c>
      <c r="CQ401" s="481">
        <f t="shared" ref="CQ401:CT402" si="787">CQ407*CQ$55</f>
        <v>675.6</v>
      </c>
      <c r="CR401" s="481">
        <f t="shared" si="787"/>
        <v>721.81200000000001</v>
      </c>
      <c r="CS401" s="481">
        <f t="shared" si="787"/>
        <v>488.37599999999998</v>
      </c>
      <c r="CT401" s="481">
        <f t="shared" si="787"/>
        <v>532.21900000000005</v>
      </c>
      <c r="CU401" s="481">
        <f>SUM(CQ401:CT401)</f>
        <v>2418.0070000000001</v>
      </c>
      <c r="CW401" s="481">
        <f t="shared" ref="CW401:CZ402" si="788">CW407*CW$55</f>
        <v>427.68</v>
      </c>
      <c r="CX401" s="481">
        <f t="shared" si="788"/>
        <v>926.66800000000001</v>
      </c>
      <c r="CY401" s="481">
        <f t="shared" si="788"/>
        <v>650.07599999999991</v>
      </c>
      <c r="CZ401" s="481">
        <f t="shared" si="788"/>
        <v>895.52400000000011</v>
      </c>
      <c r="DA401" s="502">
        <f>SUM(CW401:CZ401)</f>
        <v>2899.9480000000003</v>
      </c>
      <c r="DC401" s="481">
        <f t="shared" ref="DC401:DF402" si="789">DC407*DC$55</f>
        <v>688.33600000000001</v>
      </c>
      <c r="DD401" s="481">
        <f t="shared" si="789"/>
        <v>825.88800000000003</v>
      </c>
      <c r="DE401" s="481">
        <f t="shared" si="789"/>
        <v>1603.3290000000002</v>
      </c>
      <c r="DF401" s="481">
        <f t="shared" si="789"/>
        <v>935.06399999999996</v>
      </c>
      <c r="DG401" s="750">
        <f>SUM(DC401:DF401)</f>
        <v>4052.6170000000002</v>
      </c>
      <c r="DI401" s="481">
        <f t="shared" ref="DI401:DL402" si="790">DI407*DI$55</f>
        <v>1143.5999999999999</v>
      </c>
      <c r="DJ401" s="481">
        <f t="shared" si="790"/>
        <v>1200.7449999999999</v>
      </c>
      <c r="DK401" s="481">
        <f t="shared" si="790"/>
        <v>1361.5039999999999</v>
      </c>
      <c r="DL401" s="481">
        <f t="shared" si="790"/>
        <v>1709.2439999999999</v>
      </c>
      <c r="DM401" s="750">
        <f>SUM(DI401:DL401)</f>
        <v>5415.0929999999998</v>
      </c>
      <c r="DO401" s="481">
        <f t="shared" ref="DO401:DR402" si="791">DO407*DO$55</f>
        <v>1602.54</v>
      </c>
      <c r="DP401" s="481">
        <f t="shared" si="791"/>
        <v>896.97600000000011</v>
      </c>
      <c r="DQ401" s="481">
        <f t="shared" si="791"/>
        <v>1273.9679999999998</v>
      </c>
      <c r="DR401" s="481">
        <f t="shared" si="791"/>
        <v>2102.5250000000001</v>
      </c>
      <c r="DS401" s="750">
        <f>SUM(DO401:DR401)</f>
        <v>5876.009</v>
      </c>
      <c r="DT401" s="750"/>
      <c r="DU401" s="481">
        <f t="shared" ref="DU401:DX402" si="792">DU407*DU$55</f>
        <v>1467.383</v>
      </c>
      <c r="DV401" s="481">
        <f t="shared" si="792"/>
        <v>2190.0140000000001</v>
      </c>
      <c r="DW401" s="481">
        <f t="shared" si="792"/>
        <v>2133.36</v>
      </c>
      <c r="DX401" s="481">
        <f t="shared" si="792"/>
        <v>2775.201</v>
      </c>
      <c r="DY401" s="750">
        <f>SUM(DU401:DX401)</f>
        <v>8565.9579999999987</v>
      </c>
      <c r="EA401" s="481">
        <f>EA407*EA$55</f>
        <v>2410.9679999999998</v>
      </c>
      <c r="EB401" s="481">
        <f>EB407*EB$55</f>
        <v>1734.7910000000002</v>
      </c>
      <c r="EE401" s="750">
        <f>EE386</f>
        <v>10871.773336363636</v>
      </c>
      <c r="EK401" s="502">
        <f>EK386</f>
        <v>11946.674999999999</v>
      </c>
      <c r="EL401" s="502">
        <f>EL386</f>
        <v>14217.158750000001</v>
      </c>
      <c r="FE401" s="481"/>
      <c r="FF401" s="481"/>
      <c r="FL401" s="481">
        <f t="shared" ref="FL401:FL402" si="793">DY401</f>
        <v>8565.9579999999987</v>
      </c>
      <c r="FM401" s="481">
        <f t="shared" ref="FM401:FM402" si="794">EE401</f>
        <v>10871.773336363636</v>
      </c>
      <c r="FN401" s="481">
        <f t="shared" ref="FN401:FN402" si="795">EK401</f>
        <v>11946.674999999999</v>
      </c>
      <c r="FO401" s="481">
        <f t="shared" ref="FO401:FO402" si="796">EL401</f>
        <v>14217.158750000001</v>
      </c>
      <c r="FP401" s="481">
        <f>FP386</f>
        <v>12063.323662500001</v>
      </c>
    </row>
    <row r="402" spans="2:172" ht="12" x14ac:dyDescent="0.25">
      <c r="B402" s="315" t="s">
        <v>710</v>
      </c>
      <c r="C402" s="382"/>
      <c r="D402" s="664"/>
      <c r="E402" s="665"/>
      <c r="F402" s="665"/>
      <c r="G402" s="382"/>
      <c r="H402" s="504"/>
      <c r="I402" s="382"/>
      <c r="J402" s="664"/>
      <c r="K402" s="504"/>
      <c r="L402" s="504"/>
      <c r="M402" s="504"/>
      <c r="N402" s="504"/>
      <c r="O402" s="382"/>
      <c r="P402" s="664"/>
      <c r="Q402" s="504"/>
      <c r="R402" s="504"/>
      <c r="S402" s="504"/>
      <c r="T402" s="504"/>
      <c r="U402" s="509"/>
      <c r="V402" s="509"/>
      <c r="W402" s="504"/>
      <c r="X402" s="504"/>
      <c r="Y402" s="504"/>
      <c r="Z402" s="509"/>
      <c r="AA402" s="509"/>
      <c r="AB402" s="509"/>
      <c r="AC402" s="504"/>
      <c r="AD402" s="504"/>
      <c r="AE402" s="504"/>
      <c r="AF402" s="504"/>
      <c r="AG402" s="504"/>
      <c r="AH402" s="382"/>
      <c r="AI402" s="504"/>
      <c r="AJ402" s="504"/>
      <c r="AK402" s="504"/>
      <c r="AL402" s="504"/>
      <c r="AM402" s="504"/>
      <c r="AN402" s="382"/>
      <c r="AO402" s="504"/>
      <c r="AP402" s="504"/>
      <c r="AQ402" s="504"/>
      <c r="AR402" s="504"/>
      <c r="AS402" s="504"/>
      <c r="AT402" s="382"/>
      <c r="AU402" s="504"/>
      <c r="AV402" s="504"/>
      <c r="AW402" s="504"/>
      <c r="AX402" s="504"/>
      <c r="AY402" s="504"/>
      <c r="AZ402" s="382"/>
      <c r="BA402" s="504"/>
      <c r="BB402" s="504"/>
      <c r="BC402" s="504"/>
      <c r="BD402" s="504"/>
      <c r="BE402" s="504"/>
      <c r="BF402" s="382"/>
      <c r="BG402" s="504"/>
      <c r="BH402" s="504"/>
      <c r="BI402" s="504"/>
      <c r="BJ402" s="504"/>
      <c r="BK402" s="504"/>
      <c r="BL402" s="691"/>
      <c r="BM402" s="504"/>
      <c r="BN402" s="504"/>
      <c r="BO402" s="504"/>
      <c r="BP402" s="504"/>
      <c r="BQ402" s="504"/>
      <c r="BR402" s="382"/>
      <c r="BS402" s="504"/>
      <c r="BT402" s="504"/>
      <c r="BU402" s="504"/>
      <c r="BV402" s="504"/>
      <c r="BW402" s="504"/>
      <c r="BX402" s="382"/>
      <c r="BY402" s="504"/>
      <c r="BZ402" s="504"/>
      <c r="CA402" s="504"/>
      <c r="CB402" s="504"/>
      <c r="CC402" s="504"/>
      <c r="CD402" s="382"/>
      <c r="CE402" s="504">
        <f t="shared" si="785"/>
        <v>158.054</v>
      </c>
      <c r="CF402" s="504">
        <f t="shared" si="785"/>
        <v>124.56899999999999</v>
      </c>
      <c r="CG402" s="504">
        <f t="shared" si="785"/>
        <v>509.29200000000009</v>
      </c>
      <c r="CH402" s="504">
        <f t="shared" si="785"/>
        <v>351.88200000000001</v>
      </c>
      <c r="CI402" s="504">
        <f>CH402+CG402+CF402+CE402</f>
        <v>1143.797</v>
      </c>
      <c r="CJ402" s="382"/>
      <c r="CK402" s="692">
        <f t="shared" si="786"/>
        <v>433.60200000000003</v>
      </c>
      <c r="CL402" s="692">
        <f t="shared" si="786"/>
        <v>959.79</v>
      </c>
      <c r="CM402" s="692">
        <f t="shared" si="786"/>
        <v>873.85200000000009</v>
      </c>
      <c r="CN402" s="692">
        <f t="shared" si="786"/>
        <v>1454.5800000000002</v>
      </c>
      <c r="CO402" s="692">
        <f>SUM(CK402:CN402)</f>
        <v>3721.8240000000005</v>
      </c>
      <c r="CP402" s="382"/>
      <c r="CQ402" s="693">
        <f t="shared" si="787"/>
        <v>1013.4</v>
      </c>
      <c r="CR402" s="693">
        <f t="shared" si="787"/>
        <v>1128.9880000000001</v>
      </c>
      <c r="CS402" s="693">
        <f t="shared" si="787"/>
        <v>1837.2239999999999</v>
      </c>
      <c r="CT402" s="693">
        <f t="shared" si="787"/>
        <v>2598.4809999999998</v>
      </c>
      <c r="CU402" s="693">
        <f>SUM(CQ402:CT402)</f>
        <v>6578.0929999999998</v>
      </c>
      <c r="CV402" s="382"/>
      <c r="CW402" s="693">
        <f t="shared" si="788"/>
        <v>1156.32</v>
      </c>
      <c r="CX402" s="693">
        <f t="shared" si="788"/>
        <v>1511.932</v>
      </c>
      <c r="CY402" s="693">
        <f t="shared" si="788"/>
        <v>2445.5239999999999</v>
      </c>
      <c r="CZ402" s="693">
        <f t="shared" si="788"/>
        <v>2302.7759999999998</v>
      </c>
      <c r="DA402" s="632">
        <f>SUM(CW402:CZ402)</f>
        <v>7416.5519999999997</v>
      </c>
      <c r="DC402" s="693">
        <f t="shared" si="789"/>
        <v>2440.4640000000004</v>
      </c>
      <c r="DD402" s="693">
        <f t="shared" si="789"/>
        <v>2123.712</v>
      </c>
      <c r="DE402" s="693">
        <f t="shared" si="789"/>
        <v>2507.7710000000002</v>
      </c>
      <c r="DF402" s="693">
        <f t="shared" si="789"/>
        <v>2528.136</v>
      </c>
      <c r="DG402" s="693">
        <f>SUM(DC402:DF402)</f>
        <v>9600.0830000000005</v>
      </c>
      <c r="DI402" s="693">
        <f t="shared" si="790"/>
        <v>1143.5999999999999</v>
      </c>
      <c r="DJ402" s="693">
        <f t="shared" si="790"/>
        <v>2939.7549999999997</v>
      </c>
      <c r="DK402" s="693">
        <f t="shared" si="790"/>
        <v>2893.1959999999995</v>
      </c>
      <c r="DL402" s="693">
        <f t="shared" si="790"/>
        <v>3038.6559999999999</v>
      </c>
      <c r="DM402" s="633">
        <f>SUM(DI402:DL402)</f>
        <v>10015.206999999999</v>
      </c>
      <c r="DO402" s="693">
        <f t="shared" si="791"/>
        <v>3739.2599999999998</v>
      </c>
      <c r="DP402" s="693">
        <f t="shared" si="791"/>
        <v>4709.1239999999998</v>
      </c>
      <c r="DQ402" s="693">
        <f t="shared" si="791"/>
        <v>4034.232</v>
      </c>
      <c r="DR402" s="693">
        <f t="shared" si="791"/>
        <v>3579.9749999999999</v>
      </c>
      <c r="DS402" s="633">
        <f>SUM(DO402:DR402)</f>
        <v>16062.591</v>
      </c>
      <c r="DT402" s="754"/>
      <c r="DU402" s="693">
        <f t="shared" si="792"/>
        <v>2498.5170000000003</v>
      </c>
      <c r="DV402" s="693">
        <f t="shared" si="792"/>
        <v>2570.886</v>
      </c>
      <c r="DW402" s="693">
        <f t="shared" si="792"/>
        <v>3792.64</v>
      </c>
      <c r="DX402" s="693">
        <f t="shared" si="792"/>
        <v>4340.6989999999996</v>
      </c>
      <c r="DY402" s="633">
        <f>SUM(DU402:DX402)</f>
        <v>13202.741999999998</v>
      </c>
      <c r="EA402" s="693">
        <f>EA408*EA$55</f>
        <v>3329.4319999999993</v>
      </c>
      <c r="EB402" s="693">
        <f>EB408*EB$55</f>
        <v>3861.3089999999997</v>
      </c>
      <c r="EC402" s="382"/>
      <c r="ED402" s="382"/>
      <c r="EE402" s="745">
        <f>EE395</f>
        <v>13286.324799999999</v>
      </c>
      <c r="EG402" s="382"/>
      <c r="EH402" s="382"/>
      <c r="EI402" s="382"/>
      <c r="EJ402" s="382"/>
      <c r="EK402" s="483">
        <f>EK395</f>
        <v>16226.18</v>
      </c>
      <c r="EL402" s="483">
        <f>EL395</f>
        <v>23240.988799999999</v>
      </c>
      <c r="FE402" s="481"/>
      <c r="FF402" s="481"/>
      <c r="FL402" s="310">
        <f t="shared" si="793"/>
        <v>13202.741999999998</v>
      </c>
      <c r="FM402" s="310">
        <f t="shared" si="794"/>
        <v>13286.324799999999</v>
      </c>
      <c r="FN402" s="310">
        <f t="shared" si="795"/>
        <v>16226.18</v>
      </c>
      <c r="FO402" s="310">
        <f t="shared" si="796"/>
        <v>23240.988799999999</v>
      </c>
      <c r="FP402" s="310">
        <f>FP395</f>
        <v>18275.50936</v>
      </c>
    </row>
    <row r="403" spans="2:172" ht="12" hidden="1" outlineLevel="1" x14ac:dyDescent="0.25">
      <c r="B403" s="448"/>
      <c r="D403" s="445"/>
      <c r="E403" s="480"/>
      <c r="F403" s="480"/>
      <c r="H403" s="481"/>
      <c r="J403" s="445"/>
      <c r="K403" s="481"/>
      <c r="L403" s="481"/>
      <c r="M403" s="481"/>
      <c r="N403" s="481"/>
      <c r="P403" s="445"/>
      <c r="Q403" s="481"/>
      <c r="R403" s="481"/>
      <c r="S403" s="481"/>
      <c r="T403" s="481"/>
      <c r="U403" s="458"/>
      <c r="V403" s="458"/>
      <c r="W403" s="481"/>
      <c r="X403" s="481"/>
      <c r="Y403" s="481"/>
      <c r="Z403" s="458"/>
      <c r="AA403" s="458"/>
      <c r="AB403" s="458"/>
      <c r="AC403" s="479"/>
      <c r="AD403" s="479"/>
      <c r="AE403" s="479"/>
      <c r="AF403" s="479"/>
      <c r="AG403" s="479"/>
      <c r="AI403" s="479"/>
      <c r="AJ403" s="479"/>
      <c r="AK403" s="479"/>
      <c r="AL403" s="479"/>
      <c r="AM403" s="479"/>
      <c r="AO403" s="479"/>
      <c r="AP403" s="479"/>
      <c r="AQ403" s="479"/>
      <c r="AR403" s="479"/>
      <c r="AS403" s="479"/>
      <c r="AT403" s="479"/>
      <c r="AU403" s="479"/>
      <c r="AV403" s="479"/>
      <c r="AW403" s="479"/>
      <c r="AX403" s="479"/>
      <c r="AY403" s="479"/>
      <c r="AZ403" s="274"/>
      <c r="BA403" s="479"/>
      <c r="BB403" s="479"/>
      <c r="BC403" s="479"/>
      <c r="BD403" s="479"/>
      <c r="BE403" s="479"/>
      <c r="BF403" s="274"/>
      <c r="BG403" s="479"/>
      <c r="BH403" s="479"/>
      <c r="BI403" s="479"/>
      <c r="BJ403" s="479"/>
      <c r="BK403" s="479"/>
      <c r="BL403" s="274"/>
      <c r="BM403" s="479"/>
      <c r="BN403" s="479"/>
      <c r="BO403" s="479"/>
      <c r="BP403" s="479"/>
      <c r="BQ403" s="479"/>
      <c r="BS403" s="479"/>
      <c r="BT403" s="479"/>
      <c r="BU403" s="479"/>
      <c r="BV403" s="479"/>
      <c r="BW403" s="479"/>
      <c r="BY403" s="479"/>
      <c r="BZ403" s="479"/>
      <c r="CA403" s="479"/>
      <c r="CB403" s="479"/>
      <c r="CC403" s="479"/>
      <c r="CE403" s="479">
        <f>CE417*CE$55</f>
        <v>486.32</v>
      </c>
      <c r="CF403" s="479">
        <f>CF417*CF$55</f>
        <v>512.11699999999996</v>
      </c>
      <c r="CG403" s="479">
        <f>CG417*CG$55</f>
        <v>727.56000000000006</v>
      </c>
      <c r="CH403" s="479">
        <f>CH417*CH$55</f>
        <v>566.92099999999994</v>
      </c>
      <c r="CI403" s="479">
        <f>CH403+CG403+CF403+CE403</f>
        <v>2292.9180000000001</v>
      </c>
      <c r="CK403" s="632"/>
      <c r="CL403" s="632"/>
      <c r="CM403" s="632"/>
      <c r="CN403" s="632"/>
      <c r="CO403" s="632"/>
      <c r="CQ403" s="653"/>
      <c r="CR403" s="653"/>
      <c r="CS403" s="653"/>
      <c r="CT403" s="653"/>
      <c r="CU403" s="653"/>
      <c r="CW403" s="653"/>
      <c r="CX403" s="653"/>
      <c r="CY403" s="653"/>
      <c r="CZ403" s="653"/>
      <c r="DA403" s="760"/>
      <c r="DC403" s="653"/>
      <c r="DD403" s="653"/>
      <c r="DE403" s="653"/>
      <c r="DF403" s="653"/>
      <c r="DG403" s="653"/>
      <c r="DI403" s="653"/>
      <c r="DJ403" s="653"/>
      <c r="DK403" s="653"/>
      <c r="DL403" s="653"/>
      <c r="DM403" s="754"/>
      <c r="DO403" s="653"/>
      <c r="DP403" s="653"/>
      <c r="DQ403" s="653"/>
      <c r="DR403" s="653"/>
      <c r="DS403" s="754"/>
      <c r="DT403" s="754"/>
      <c r="DU403" s="653"/>
      <c r="DV403" s="653"/>
      <c r="DW403" s="653"/>
      <c r="DX403" s="653"/>
      <c r="EA403" s="653"/>
      <c r="EB403" s="653"/>
      <c r="EE403" s="741"/>
      <c r="EK403" s="578"/>
      <c r="EL403" s="578"/>
      <c r="FE403" s="479"/>
      <c r="FF403" s="479"/>
      <c r="FL403" s="478"/>
      <c r="FM403" s="478"/>
      <c r="FN403" s="478"/>
      <c r="FO403" s="478"/>
      <c r="FP403" s="478"/>
    </row>
    <row r="404" spans="2:172" ht="12" collapsed="1" x14ac:dyDescent="0.25">
      <c r="B404" s="444" t="s">
        <v>715</v>
      </c>
      <c r="D404" s="445"/>
      <c r="E404" s="480"/>
      <c r="F404" s="480"/>
      <c r="H404" s="481"/>
      <c r="J404" s="445"/>
      <c r="K404" s="481"/>
      <c r="L404" s="481"/>
      <c r="M404" s="481"/>
      <c r="N404" s="481"/>
      <c r="P404" s="445"/>
      <c r="Q404" s="481"/>
      <c r="R404" s="481"/>
      <c r="S404" s="481"/>
      <c r="T404" s="481"/>
      <c r="U404" s="458"/>
      <c r="V404" s="458"/>
      <c r="W404" s="481"/>
      <c r="X404" s="481"/>
      <c r="Y404" s="481"/>
      <c r="Z404" s="458"/>
      <c r="AA404" s="458"/>
      <c r="AB404" s="458"/>
      <c r="AC404" s="457"/>
      <c r="AD404" s="457"/>
      <c r="AE404" s="457"/>
      <c r="AF404" s="457"/>
      <c r="AG404" s="457"/>
      <c r="AI404" s="457"/>
      <c r="AJ404" s="457"/>
      <c r="AK404" s="457"/>
      <c r="AL404" s="457"/>
      <c r="AM404" s="457"/>
      <c r="AO404" s="457"/>
      <c r="AP404" s="457"/>
      <c r="AQ404" s="457"/>
      <c r="AR404" s="457"/>
      <c r="AS404" s="457"/>
      <c r="AT404" s="457"/>
      <c r="AU404" s="457"/>
      <c r="AV404" s="457"/>
      <c r="AW404" s="457"/>
      <c r="AX404" s="457"/>
      <c r="AY404" s="457"/>
      <c r="AZ404" s="274"/>
      <c r="BA404" s="457"/>
      <c r="BB404" s="457"/>
      <c r="BC404" s="457"/>
      <c r="BD404" s="457"/>
      <c r="BE404" s="457"/>
      <c r="BF404" s="274"/>
      <c r="BG404" s="457"/>
      <c r="BH404" s="457"/>
      <c r="BI404" s="457"/>
      <c r="BJ404" s="457"/>
      <c r="BK404" s="457"/>
      <c r="BL404" s="274"/>
      <c r="BM404" s="457"/>
      <c r="BN404" s="457"/>
      <c r="BO404" s="457"/>
      <c r="BP404" s="457"/>
      <c r="BQ404" s="457"/>
      <c r="BS404" s="457"/>
      <c r="BT404" s="457"/>
      <c r="BU404" s="457"/>
      <c r="BV404" s="457"/>
      <c r="BW404" s="457"/>
      <c r="BY404" s="457"/>
      <c r="BZ404" s="457"/>
      <c r="CA404" s="457"/>
      <c r="CB404" s="457"/>
      <c r="CC404" s="457"/>
      <c r="CE404" s="457">
        <f>CE401+CE402+CE403</f>
        <v>1215.8</v>
      </c>
      <c r="CF404" s="457">
        <f>CF401+CF402+CF403</f>
        <v>1384.1</v>
      </c>
      <c r="CG404" s="457">
        <f>CG401+CG402+CG403</f>
        <v>1818.9</v>
      </c>
      <c r="CH404" s="457">
        <f>CH401+CH402+CH403</f>
        <v>1954.9</v>
      </c>
      <c r="CI404" s="457">
        <f>CI401+CI402+CI403</f>
        <v>6373.7000000000007</v>
      </c>
      <c r="CK404" s="457">
        <f>CK401+CK402+CK403</f>
        <v>1667.7</v>
      </c>
      <c r="CL404" s="457">
        <f>CL401+CL402+CL403</f>
        <v>2086.5</v>
      </c>
      <c r="CM404" s="457">
        <f>CM401+CM402+CM403</f>
        <v>2080.6</v>
      </c>
      <c r="CN404" s="457">
        <f>CN401+CN402+CN403</f>
        <v>2424.3000000000002</v>
      </c>
      <c r="CO404" s="457">
        <f>CO401+CO402+CO403</f>
        <v>8259.1</v>
      </c>
      <c r="CQ404" s="457">
        <f>CQ401+CQ402+CQ403</f>
        <v>1689</v>
      </c>
      <c r="CR404" s="457">
        <f>CR401+CR402+CR403</f>
        <v>1850.8000000000002</v>
      </c>
      <c r="CS404" s="457">
        <f>CS401+CS402+CS403</f>
        <v>2325.6</v>
      </c>
      <c r="CT404" s="457">
        <f>CT401+CT402+CT403</f>
        <v>3130.7</v>
      </c>
      <c r="CU404" s="457">
        <f>CU401+CU402+CU403</f>
        <v>8996.1</v>
      </c>
      <c r="CW404" s="457">
        <f>CW401+CW402+CW403</f>
        <v>1584</v>
      </c>
      <c r="CX404" s="457">
        <f>CX401+CX402+CX403</f>
        <v>2438.6</v>
      </c>
      <c r="CY404" s="457">
        <f>CY401+CY402+CY403</f>
        <v>3095.6</v>
      </c>
      <c r="CZ404" s="457">
        <f>CZ401+CZ402+CZ403</f>
        <v>3198.3</v>
      </c>
      <c r="DA404" s="459">
        <f>DA401+DA402+DA403</f>
        <v>10316.5</v>
      </c>
      <c r="DC404" s="457">
        <f>DC401+DC402+DC403</f>
        <v>3128.8</v>
      </c>
      <c r="DD404" s="457">
        <f>DD401+DD402+DD403</f>
        <v>2949.6</v>
      </c>
      <c r="DE404" s="457">
        <f>DE401+DE402+DE403</f>
        <v>4111.1000000000004</v>
      </c>
      <c r="DF404" s="457">
        <f>DF401+DF402+DF403</f>
        <v>3463.2</v>
      </c>
      <c r="DG404" s="734">
        <f>DG401+DG402+DG403</f>
        <v>13652.7</v>
      </c>
      <c r="DI404" s="457">
        <f>DI401+DI402+DI403</f>
        <v>2287.1999999999998</v>
      </c>
      <c r="DJ404" s="457">
        <f>DJ401+DJ402+DJ403</f>
        <v>4140.5</v>
      </c>
      <c r="DK404" s="457">
        <f>DK401+DK402+DK403</f>
        <v>4254.6999999999989</v>
      </c>
      <c r="DL404" s="457">
        <f>DL401+DL402+DL403</f>
        <v>4747.8999999999996</v>
      </c>
      <c r="DM404" s="734">
        <f>DM401+DM402+DM403</f>
        <v>15430.3</v>
      </c>
      <c r="DO404" s="457">
        <f>DO401+DO402+DO403</f>
        <v>5341.7999999999993</v>
      </c>
      <c r="DP404" s="457">
        <f>DP401+DP402+DP403</f>
        <v>5606.1</v>
      </c>
      <c r="DQ404" s="457">
        <f>DQ401+DQ402+DQ403</f>
        <v>5308.2</v>
      </c>
      <c r="DR404" s="457">
        <f>DR401+DR402+DR403</f>
        <v>5682.5</v>
      </c>
      <c r="DS404" s="734">
        <f>DS401+DS402+DS403</f>
        <v>21938.6</v>
      </c>
      <c r="DT404" s="734"/>
      <c r="DU404" s="457">
        <f>DU401+DU402+DU403</f>
        <v>3965.9000000000005</v>
      </c>
      <c r="DV404" s="457">
        <f>DV401+DV402+DV403</f>
        <v>4760.8999999999996</v>
      </c>
      <c r="DW404" s="457">
        <f>DW401+DW402+DW403</f>
        <v>5926</v>
      </c>
      <c r="DX404" s="457">
        <f>DX401+DX402+DX403</f>
        <v>7115.9</v>
      </c>
      <c r="DY404" s="734">
        <f>DY401+DY402</f>
        <v>21768.699999999997</v>
      </c>
      <c r="EA404" s="457">
        <f>EA401+EA402+EA403</f>
        <v>5740.4</v>
      </c>
      <c r="EB404" s="457">
        <f>EB401+EB402+EB403</f>
        <v>5596.1</v>
      </c>
      <c r="EE404" s="743">
        <f>SUM(EE386,EE395)</f>
        <v>24158.098136363635</v>
      </c>
      <c r="EK404" s="569">
        <f>SUM(EK386,EK395)</f>
        <v>28172.855</v>
      </c>
      <c r="EL404" s="569">
        <f>SUM(EL386,EL395)</f>
        <v>37458.147550000002</v>
      </c>
      <c r="FE404" s="457"/>
      <c r="FF404" s="457"/>
      <c r="FL404" s="571">
        <f t="shared" ref="FL404:FL408" si="797">DY404</f>
        <v>21768.699999999997</v>
      </c>
      <c r="FM404" s="571">
        <f t="shared" ref="FM404:FM408" si="798">EE404</f>
        <v>24158.098136363635</v>
      </c>
      <c r="FN404" s="571">
        <f t="shared" ref="FN404:FN408" si="799">EK404</f>
        <v>28172.855</v>
      </c>
      <c r="FO404" s="571">
        <f t="shared" ref="FO404:FO408" si="800">EL404</f>
        <v>37458.147550000002</v>
      </c>
      <c r="FP404" s="571">
        <f>SUM(FP386,FP395)</f>
        <v>30338.833022500003</v>
      </c>
    </row>
    <row r="405" spans="2:172" ht="12" x14ac:dyDescent="0.25">
      <c r="B405" s="325" t="s">
        <v>714</v>
      </c>
      <c r="D405" s="445"/>
      <c r="E405" s="480"/>
      <c r="F405" s="480"/>
      <c r="H405" s="481"/>
      <c r="J405" s="445"/>
      <c r="K405" s="481"/>
      <c r="L405" s="481"/>
      <c r="M405" s="481"/>
      <c r="N405" s="481"/>
      <c r="P405" s="445"/>
      <c r="Q405" s="481"/>
      <c r="R405" s="481"/>
      <c r="S405" s="481"/>
      <c r="T405" s="481"/>
      <c r="U405" s="458"/>
      <c r="V405" s="458"/>
      <c r="W405" s="481"/>
      <c r="X405" s="481"/>
      <c r="Y405" s="481"/>
      <c r="Z405" s="458"/>
      <c r="AA405" s="458"/>
      <c r="AB405" s="458"/>
      <c r="AC405" s="481"/>
      <c r="AD405" s="481"/>
      <c r="AE405" s="481"/>
      <c r="AF405" s="481"/>
      <c r="AG405" s="481"/>
      <c r="AI405" s="481"/>
      <c r="AJ405" s="481"/>
      <c r="AK405" s="481"/>
      <c r="AL405" s="481"/>
      <c r="AM405" s="481"/>
      <c r="AO405" s="481"/>
      <c r="AP405" s="481"/>
      <c r="AQ405" s="481"/>
      <c r="AR405" s="481"/>
      <c r="AS405" s="481"/>
      <c r="AU405" s="481"/>
      <c r="AV405" s="481"/>
      <c r="AW405" s="481"/>
      <c r="AX405" s="481"/>
      <c r="AY405" s="481"/>
      <c r="BA405" s="481"/>
      <c r="BB405" s="481"/>
      <c r="BC405" s="481"/>
      <c r="BD405" s="481"/>
      <c r="BE405" s="481"/>
      <c r="BG405" s="481"/>
      <c r="BH405" s="481"/>
      <c r="BI405" s="481"/>
      <c r="BJ405" s="481"/>
      <c r="BK405" s="481"/>
      <c r="BM405" s="481"/>
      <c r="BN405" s="481"/>
      <c r="BO405" s="481"/>
      <c r="BP405" s="481"/>
      <c r="BQ405" s="481"/>
      <c r="BS405" s="481"/>
      <c r="BT405" s="481"/>
      <c r="BU405" s="481"/>
      <c r="BV405" s="481"/>
      <c r="BW405" s="481"/>
      <c r="BY405" s="481"/>
      <c r="BZ405" s="481"/>
      <c r="CA405" s="481"/>
      <c r="CB405" s="481"/>
      <c r="CC405" s="481"/>
      <c r="CE405" s="481"/>
      <c r="CF405" s="481"/>
      <c r="CG405" s="481"/>
      <c r="CH405" s="481"/>
      <c r="CI405" s="481"/>
      <c r="CK405" s="481"/>
      <c r="CL405" s="481"/>
      <c r="CM405" s="481"/>
      <c r="CN405" s="481"/>
      <c r="CO405" s="481"/>
      <c r="CQ405" s="481"/>
      <c r="CR405" s="481"/>
      <c r="CS405" s="481"/>
      <c r="CT405" s="481"/>
      <c r="CU405" s="481"/>
      <c r="CW405" s="481"/>
      <c r="CX405" s="481"/>
      <c r="CY405" s="481"/>
      <c r="CZ405" s="481"/>
      <c r="DA405" s="502"/>
      <c r="DC405" s="481"/>
      <c r="DD405" s="481"/>
      <c r="DE405" s="481"/>
      <c r="DF405" s="481"/>
      <c r="DG405" s="481"/>
      <c r="DI405" s="481"/>
      <c r="DJ405" s="481"/>
      <c r="DK405" s="481"/>
      <c r="DL405" s="481"/>
      <c r="DM405" s="750"/>
      <c r="DO405" s="481"/>
      <c r="DP405" s="481"/>
      <c r="DQ405" s="481"/>
      <c r="DR405" s="481"/>
      <c r="DS405" s="750"/>
      <c r="DT405" s="750"/>
      <c r="DU405" s="481"/>
      <c r="DV405" s="481"/>
      <c r="DW405" s="481"/>
      <c r="DX405" s="481"/>
      <c r="DY405" s="752"/>
      <c r="EA405" s="481"/>
      <c r="EB405" s="481"/>
      <c r="EE405" s="399">
        <f>EE404/DY404-1</f>
        <v>0.10976301462024085</v>
      </c>
      <c r="EK405" s="404">
        <f>EK404/EE404-1</f>
        <v>0.16618679338806097</v>
      </c>
      <c r="EL405" s="404">
        <f>EL404/EK404-1</f>
        <v>0.32958294606634664</v>
      </c>
      <c r="FE405" s="457"/>
      <c r="FF405" s="457"/>
      <c r="FL405" s="468">
        <f t="shared" si="797"/>
        <v>0</v>
      </c>
      <c r="FM405" s="468">
        <f t="shared" si="798"/>
        <v>0.10976301462024085</v>
      </c>
      <c r="FN405" s="468">
        <f t="shared" si="799"/>
        <v>0.16618679338806097</v>
      </c>
      <c r="FO405" s="468">
        <f t="shared" si="800"/>
        <v>0.32958294606634664</v>
      </c>
      <c r="FP405" s="468">
        <f>FP404/FO404-1</f>
        <v>-0.19006050734348179</v>
      </c>
    </row>
    <row r="406" spans="2:172" ht="12" x14ac:dyDescent="0.25">
      <c r="B406" s="325"/>
      <c r="D406" s="445"/>
      <c r="E406" s="480"/>
      <c r="F406" s="480"/>
      <c r="H406" s="481"/>
      <c r="J406" s="445"/>
      <c r="K406" s="481"/>
      <c r="L406" s="481"/>
      <c r="M406" s="481"/>
      <c r="N406" s="481"/>
      <c r="P406" s="445"/>
      <c r="Q406" s="481"/>
      <c r="R406" s="481"/>
      <c r="S406" s="481"/>
      <c r="T406" s="481"/>
      <c r="U406" s="458"/>
      <c r="V406" s="458"/>
      <c r="W406" s="481"/>
      <c r="X406" s="481"/>
      <c r="Y406" s="481"/>
      <c r="Z406" s="458"/>
      <c r="AA406" s="458"/>
      <c r="AB406" s="458"/>
      <c r="AC406" s="481"/>
      <c r="AD406" s="481"/>
      <c r="AE406" s="481"/>
      <c r="AF406" s="481"/>
      <c r="AG406" s="481"/>
      <c r="AI406" s="481"/>
      <c r="AJ406" s="481"/>
      <c r="AK406" s="481"/>
      <c r="AL406" s="481"/>
      <c r="AM406" s="481"/>
      <c r="AO406" s="481"/>
      <c r="AP406" s="481"/>
      <c r="AQ406" s="481"/>
      <c r="AR406" s="481"/>
      <c r="AS406" s="481"/>
      <c r="AU406" s="481"/>
      <c r="AV406" s="481"/>
      <c r="AW406" s="481"/>
      <c r="AX406" s="481"/>
      <c r="AY406" s="481"/>
      <c r="BA406" s="481"/>
      <c r="BB406" s="481"/>
      <c r="BC406" s="481"/>
      <c r="BD406" s="481"/>
      <c r="BE406" s="481"/>
      <c r="BG406" s="481"/>
      <c r="BH406" s="481"/>
      <c r="BI406" s="481"/>
      <c r="BJ406" s="481"/>
      <c r="BK406" s="481"/>
      <c r="BM406" s="481"/>
      <c r="BN406" s="481"/>
      <c r="BO406" s="481"/>
      <c r="BP406" s="481"/>
      <c r="BQ406" s="481"/>
      <c r="BS406" s="481"/>
      <c r="BT406" s="481"/>
      <c r="BU406" s="481"/>
      <c r="BV406" s="481"/>
      <c r="BW406" s="481"/>
      <c r="BY406" s="481"/>
      <c r="BZ406" s="481"/>
      <c r="CA406" s="481"/>
      <c r="CB406" s="481"/>
      <c r="CC406" s="481"/>
      <c r="CE406" s="481"/>
      <c r="CF406" s="481"/>
      <c r="CG406" s="481"/>
      <c r="CH406" s="481"/>
      <c r="CI406" s="481"/>
      <c r="CK406" s="481"/>
      <c r="CL406" s="481"/>
      <c r="CM406" s="481"/>
      <c r="CN406" s="481"/>
      <c r="CO406" s="481"/>
      <c r="CQ406" s="481"/>
      <c r="CR406" s="481"/>
      <c r="CS406" s="481"/>
      <c r="CT406" s="481"/>
      <c r="CU406" s="481"/>
      <c r="CW406" s="481"/>
      <c r="CX406" s="481"/>
      <c r="CY406" s="481"/>
      <c r="CZ406" s="481"/>
      <c r="DA406" s="502"/>
      <c r="DC406" s="481"/>
      <c r="DD406" s="481"/>
      <c r="DE406" s="481"/>
      <c r="DF406" s="481"/>
      <c r="DG406" s="481"/>
      <c r="DI406" s="481"/>
      <c r="DJ406" s="481"/>
      <c r="DK406" s="481"/>
      <c r="DL406" s="481"/>
      <c r="DM406" s="750"/>
      <c r="DO406" s="481"/>
      <c r="DP406" s="481"/>
      <c r="DQ406" s="481"/>
      <c r="DR406" s="481"/>
      <c r="DS406" s="750"/>
      <c r="DT406" s="750"/>
      <c r="DU406" s="481"/>
      <c r="DV406" s="481"/>
      <c r="DW406" s="481"/>
      <c r="DX406" s="481"/>
      <c r="DY406" s="752"/>
      <c r="EA406" s="481"/>
      <c r="EB406" s="481"/>
      <c r="EE406" s="399"/>
      <c r="EK406" s="404"/>
      <c r="EL406" s="404"/>
      <c r="FE406" s="457"/>
      <c r="FF406" s="457"/>
      <c r="FL406" s="468"/>
      <c r="FM406" s="468"/>
      <c r="FN406" s="468"/>
      <c r="FO406" s="468"/>
      <c r="FP406" s="468"/>
    </row>
    <row r="407" spans="2:172" ht="12" x14ac:dyDescent="0.25">
      <c r="B407" s="316" t="s">
        <v>51</v>
      </c>
      <c r="D407" s="445"/>
      <c r="E407" s="480"/>
      <c r="F407" s="480"/>
      <c r="H407" s="481"/>
      <c r="J407" s="445"/>
      <c r="K407" s="481"/>
      <c r="L407" s="481"/>
      <c r="M407" s="481"/>
      <c r="N407" s="481"/>
      <c r="P407" s="445"/>
      <c r="Q407" s="481"/>
      <c r="R407" s="481"/>
      <c r="S407" s="481"/>
      <c r="T407" s="481"/>
      <c r="U407" s="458"/>
      <c r="V407" s="458"/>
      <c r="W407" s="481"/>
      <c r="X407" s="481"/>
      <c r="Y407" s="481"/>
      <c r="Z407" s="458"/>
      <c r="AA407" s="458"/>
      <c r="AB407" s="458"/>
      <c r="AC407" s="514"/>
      <c r="AD407" s="514"/>
      <c r="AE407" s="514"/>
      <c r="AF407" s="514"/>
      <c r="AG407" s="458"/>
      <c r="AI407" s="514"/>
      <c r="AJ407" s="514"/>
      <c r="AK407" s="514"/>
      <c r="AL407" s="514"/>
      <c r="AO407" s="513"/>
      <c r="AP407" s="274"/>
      <c r="AQ407" s="274"/>
      <c r="AR407" s="274"/>
      <c r="AS407" s="274"/>
      <c r="AU407" s="274"/>
      <c r="AV407" s="274"/>
      <c r="AW407" s="274"/>
      <c r="AX407" s="274"/>
      <c r="AY407" s="274"/>
      <c r="BA407" s="274"/>
      <c r="BB407" s="274"/>
      <c r="BC407" s="513"/>
      <c r="BD407" s="513"/>
      <c r="BE407" s="274"/>
      <c r="BG407" s="471"/>
      <c r="BH407" s="471"/>
      <c r="BI407" s="471"/>
      <c r="BJ407" s="471"/>
      <c r="BK407" s="471"/>
      <c r="BL407" s="22"/>
      <c r="BM407" s="471"/>
      <c r="BN407" s="471"/>
      <c r="BO407" s="471"/>
      <c r="BP407" s="471"/>
      <c r="BQ407" s="471"/>
      <c r="BR407" s="22"/>
      <c r="BS407" s="471"/>
      <c r="BT407" s="471"/>
      <c r="BU407" s="471"/>
      <c r="BV407" s="471"/>
      <c r="BW407" s="274"/>
      <c r="BY407" s="471"/>
      <c r="BZ407" s="471"/>
      <c r="CA407" s="471"/>
      <c r="CB407" s="471"/>
      <c r="CC407" s="471"/>
      <c r="CD407" s="22"/>
      <c r="CE407" s="471">
        <v>0.47</v>
      </c>
      <c r="CF407" s="471">
        <v>0.54</v>
      </c>
      <c r="CG407" s="471">
        <v>0.32</v>
      </c>
      <c r="CH407" s="471">
        <v>0.53</v>
      </c>
      <c r="CI407" s="471">
        <f>CI401/CI$404</f>
        <v>0.46079749595996045</v>
      </c>
      <c r="CK407" s="471">
        <v>0.74</v>
      </c>
      <c r="CL407" s="471">
        <v>0.54</v>
      </c>
      <c r="CM407" s="471">
        <v>0.57999999999999996</v>
      </c>
      <c r="CN407" s="471">
        <v>0.4</v>
      </c>
      <c r="CO407" s="274">
        <f>CO401/CO$404</f>
        <v>0.54936688016854129</v>
      </c>
      <c r="CQ407" s="471">
        <v>0.4</v>
      </c>
      <c r="CR407" s="471">
        <v>0.39</v>
      </c>
      <c r="CS407" s="471">
        <v>0.21</v>
      </c>
      <c r="CT407" s="471">
        <v>0.17</v>
      </c>
      <c r="CU407" s="274">
        <f>CU401/CU$404</f>
        <v>0.26878391747535041</v>
      </c>
      <c r="CW407" s="471">
        <v>0.27</v>
      </c>
      <c r="CX407" s="471">
        <v>0.38</v>
      </c>
      <c r="CY407" s="471">
        <v>0.21</v>
      </c>
      <c r="CZ407" s="471">
        <v>0.28000000000000003</v>
      </c>
      <c r="DA407" s="404">
        <f>DA401/DA$404</f>
        <v>0.28109804681820388</v>
      </c>
      <c r="DC407" s="471">
        <v>0.22</v>
      </c>
      <c r="DD407" s="471">
        <v>0.28000000000000003</v>
      </c>
      <c r="DE407" s="471">
        <v>0.39</v>
      </c>
      <c r="DF407" s="471">
        <v>0.27</v>
      </c>
      <c r="DG407" s="399">
        <f>DG401/DG$404</f>
        <v>0.29683630344181006</v>
      </c>
      <c r="DI407" s="471">
        <v>0.5</v>
      </c>
      <c r="DJ407" s="471">
        <v>0.28999999999999998</v>
      </c>
      <c r="DK407" s="471">
        <v>0.32</v>
      </c>
      <c r="DL407" s="471">
        <v>0.36</v>
      </c>
      <c r="DM407" s="399">
        <f>DM401/DM$404</f>
        <v>0.35093893184189551</v>
      </c>
      <c r="DO407" s="471">
        <v>0.3</v>
      </c>
      <c r="DP407" s="471">
        <v>0.16</v>
      </c>
      <c r="DQ407" s="471">
        <v>0.24</v>
      </c>
      <c r="DR407" s="471">
        <v>0.37</v>
      </c>
      <c r="DS407" s="399">
        <f>DS401/DS$404</f>
        <v>0.2678388320129817</v>
      </c>
      <c r="DT407" s="399"/>
      <c r="DU407" s="471">
        <v>0.37</v>
      </c>
      <c r="DV407" s="471">
        <v>0.46</v>
      </c>
      <c r="DW407" s="471">
        <v>0.36</v>
      </c>
      <c r="DX407" s="471">
        <v>0.39</v>
      </c>
      <c r="DY407" s="399">
        <f>DY401/DY$404</f>
        <v>0.39349883089022314</v>
      </c>
      <c r="EA407" s="471">
        <v>0.42</v>
      </c>
      <c r="EB407" s="471">
        <v>0.31</v>
      </c>
      <c r="EE407" s="399">
        <f>EE401/EE404</f>
        <v>0.4500260440617655</v>
      </c>
      <c r="EK407" s="404">
        <f>EK401/EK404</f>
        <v>0.42404914233931917</v>
      </c>
      <c r="EL407" s="404">
        <f>EL401/EL404</f>
        <v>0.37954783351265858</v>
      </c>
      <c r="FE407" s="274"/>
      <c r="FF407" s="274"/>
      <c r="FL407" s="468">
        <f t="shared" si="797"/>
        <v>0.39349883089022314</v>
      </c>
      <c r="FM407" s="468">
        <f t="shared" si="798"/>
        <v>0.4500260440617655</v>
      </c>
      <c r="FN407" s="468">
        <f t="shared" si="799"/>
        <v>0.42404914233931917</v>
      </c>
      <c r="FO407" s="468">
        <f t="shared" si="800"/>
        <v>0.37954783351265858</v>
      </c>
      <c r="FP407" s="468">
        <f>FP401/FP404</f>
        <v>0.39761989703274192</v>
      </c>
    </row>
    <row r="408" spans="2:172" ht="12" x14ac:dyDescent="0.25">
      <c r="B408" s="316" t="s">
        <v>701</v>
      </c>
      <c r="D408" s="445"/>
      <c r="E408" s="480"/>
      <c r="F408" s="480"/>
      <c r="H408" s="481"/>
      <c r="J408" s="445"/>
      <c r="K408" s="481"/>
      <c r="L408" s="481"/>
      <c r="M408" s="481"/>
      <c r="N408" s="481"/>
      <c r="P408" s="445"/>
      <c r="Q408" s="481"/>
      <c r="R408" s="481"/>
      <c r="S408" s="481"/>
      <c r="T408" s="481"/>
      <c r="U408" s="458"/>
      <c r="V408" s="458"/>
      <c r="W408" s="481"/>
      <c r="X408" s="481"/>
      <c r="Y408" s="481"/>
      <c r="Z408" s="458"/>
      <c r="AA408" s="458"/>
      <c r="AB408" s="458"/>
      <c r="AC408" s="514"/>
      <c r="AD408" s="514"/>
      <c r="AE408" s="514"/>
      <c r="AF408" s="514"/>
      <c r="AG408" s="458"/>
      <c r="AI408" s="514"/>
      <c r="AJ408" s="514"/>
      <c r="AK408" s="514"/>
      <c r="AL408" s="514"/>
      <c r="AO408" s="513"/>
      <c r="AP408" s="513"/>
      <c r="AQ408" s="513"/>
      <c r="AR408" s="513"/>
      <c r="AS408" s="274"/>
      <c r="AU408" s="513"/>
      <c r="AV408" s="513"/>
      <c r="AW408" s="513"/>
      <c r="AX408" s="513"/>
      <c r="AY408" s="274"/>
      <c r="BA408" s="513"/>
      <c r="BB408" s="513"/>
      <c r="BC408" s="513"/>
      <c r="BD408" s="513"/>
      <c r="BE408" s="274"/>
      <c r="BG408" s="471"/>
      <c r="BH408" s="471"/>
      <c r="BI408" s="471"/>
      <c r="BJ408" s="471"/>
      <c r="BK408" s="471"/>
      <c r="BL408" s="22"/>
      <c r="BM408" s="471"/>
      <c r="BN408" s="471"/>
      <c r="BO408" s="471"/>
      <c r="BP408" s="471"/>
      <c r="BQ408" s="471"/>
      <c r="BR408" s="22"/>
      <c r="BS408" s="471"/>
      <c r="BT408" s="471"/>
      <c r="BU408" s="471"/>
      <c r="BV408" s="471"/>
      <c r="BW408" s="274"/>
      <c r="BY408" s="471"/>
      <c r="BZ408" s="471"/>
      <c r="CA408" s="471"/>
      <c r="CB408" s="471"/>
      <c r="CC408" s="471"/>
      <c r="CD408" s="22"/>
      <c r="CE408" s="471">
        <v>0.13</v>
      </c>
      <c r="CF408" s="471">
        <v>0.09</v>
      </c>
      <c r="CG408" s="471">
        <v>0.28000000000000003</v>
      </c>
      <c r="CH408" s="471">
        <v>0.18</v>
      </c>
      <c r="CI408" s="471">
        <f>CI402/CI$404</f>
        <v>0.17945573214930102</v>
      </c>
      <c r="CK408" s="634">
        <v>0.26</v>
      </c>
      <c r="CL408" s="634">
        <v>0.45999999999999996</v>
      </c>
      <c r="CM408" s="634">
        <v>0.42000000000000004</v>
      </c>
      <c r="CN408" s="634">
        <v>0.6</v>
      </c>
      <c r="CO408" s="635">
        <f>CO402/CO$404</f>
        <v>0.45063311983145865</v>
      </c>
      <c r="CQ408" s="470">
        <v>0.6</v>
      </c>
      <c r="CR408" s="470">
        <v>0.61</v>
      </c>
      <c r="CS408" s="470">
        <v>0.79</v>
      </c>
      <c r="CT408" s="470">
        <v>0.83</v>
      </c>
      <c r="CU408" s="499">
        <f>CU402/CU$404</f>
        <v>0.73121608252464954</v>
      </c>
      <c r="CV408" s="413"/>
      <c r="CW408" s="470">
        <v>0.73</v>
      </c>
      <c r="CX408" s="470">
        <v>0.62</v>
      </c>
      <c r="CY408" s="470">
        <v>0.79</v>
      </c>
      <c r="CZ408" s="470">
        <v>0.72</v>
      </c>
      <c r="DA408" s="676">
        <f>DA402/DA$404</f>
        <v>0.71890195318179617</v>
      </c>
      <c r="DB408" s="828"/>
      <c r="DC408" s="470">
        <v>0.78</v>
      </c>
      <c r="DD408" s="470">
        <v>0.72</v>
      </c>
      <c r="DE408" s="470">
        <v>0.61</v>
      </c>
      <c r="DF408" s="470">
        <v>0.73</v>
      </c>
      <c r="DG408" s="499">
        <f>DG402/DG$404</f>
        <v>0.70316369655819</v>
      </c>
      <c r="DH408" s="828"/>
      <c r="DI408" s="470">
        <v>0.5</v>
      </c>
      <c r="DJ408" s="470">
        <v>0.71</v>
      </c>
      <c r="DK408" s="470">
        <v>0.67999999999999994</v>
      </c>
      <c r="DL408" s="470">
        <v>0.64</v>
      </c>
      <c r="DM408" s="753">
        <f>DM402/DM$404</f>
        <v>0.64906106815810449</v>
      </c>
      <c r="DN408" s="828"/>
      <c r="DO408" s="470">
        <v>0.7</v>
      </c>
      <c r="DP408" s="470">
        <v>0.84</v>
      </c>
      <c r="DQ408" s="470">
        <v>0.76</v>
      </c>
      <c r="DR408" s="470">
        <v>0.63</v>
      </c>
      <c r="DS408" s="753">
        <f>DS402/DS$404</f>
        <v>0.73216116798701836</v>
      </c>
      <c r="DT408" s="753"/>
      <c r="DU408" s="470">
        <v>0.63</v>
      </c>
      <c r="DV408" s="470">
        <v>0.54</v>
      </c>
      <c r="DW408" s="470">
        <v>0.64</v>
      </c>
      <c r="DX408" s="470">
        <v>0.61</v>
      </c>
      <c r="DY408" s="753">
        <f>DY402/DY$404</f>
        <v>0.60650116910977692</v>
      </c>
      <c r="DZ408" s="828"/>
      <c r="EA408" s="470">
        <v>0.57999999999999996</v>
      </c>
      <c r="EB408" s="470">
        <v>0.69</v>
      </c>
      <c r="EE408" s="399">
        <f>EE402/EE404</f>
        <v>0.5499739559382345</v>
      </c>
      <c r="EK408" s="404">
        <f>EK402/EK404</f>
        <v>0.57595085766068088</v>
      </c>
      <c r="EL408" s="404">
        <f>EL402/EL404</f>
        <v>0.62045216648734136</v>
      </c>
      <c r="FE408" s="274"/>
      <c r="FF408" s="274"/>
      <c r="FL408" s="468">
        <f t="shared" si="797"/>
        <v>0.60650116910977692</v>
      </c>
      <c r="FM408" s="468">
        <f t="shared" si="798"/>
        <v>0.5499739559382345</v>
      </c>
      <c r="FN408" s="468">
        <f t="shared" si="799"/>
        <v>0.57595085766068088</v>
      </c>
      <c r="FO408" s="468">
        <f t="shared" si="800"/>
        <v>0.62045216648734136</v>
      </c>
      <c r="FP408" s="468">
        <f>FP402/FP404</f>
        <v>0.60238010296725808</v>
      </c>
    </row>
    <row r="409" spans="2:172" ht="12" x14ac:dyDescent="0.25">
      <c r="B409" s="316"/>
      <c r="D409" s="445"/>
      <c r="E409" s="480"/>
      <c r="F409" s="480"/>
      <c r="H409" s="481"/>
      <c r="J409" s="445"/>
      <c r="K409" s="481"/>
      <c r="L409" s="481"/>
      <c r="M409" s="481"/>
      <c r="N409" s="481"/>
      <c r="P409" s="445"/>
      <c r="Q409" s="481"/>
      <c r="R409" s="481"/>
      <c r="S409" s="481"/>
      <c r="T409" s="481"/>
      <c r="U409" s="458"/>
      <c r="V409" s="458"/>
      <c r="W409" s="481"/>
      <c r="X409" s="481"/>
      <c r="Y409" s="481"/>
      <c r="Z409" s="458"/>
      <c r="AA409" s="458"/>
      <c r="AB409" s="458"/>
      <c r="AC409" s="514"/>
      <c r="AD409" s="514"/>
      <c r="AE409" s="514"/>
      <c r="AF409" s="514"/>
      <c r="AG409" s="458"/>
      <c r="AI409" s="514"/>
      <c r="AJ409" s="514"/>
      <c r="AK409" s="514"/>
      <c r="AL409" s="514"/>
      <c r="AO409" s="513"/>
      <c r="AP409" s="513"/>
      <c r="AQ409" s="513"/>
      <c r="AR409" s="513"/>
      <c r="AS409" s="274"/>
      <c r="AU409" s="513"/>
      <c r="AV409" s="513"/>
      <c r="AW409" s="513"/>
      <c r="AX409" s="513"/>
      <c r="AY409" s="274"/>
      <c r="BA409" s="513"/>
      <c r="BB409" s="513"/>
      <c r="BC409" s="513"/>
      <c r="BD409" s="513"/>
      <c r="BE409" s="274"/>
      <c r="BG409" s="471"/>
      <c r="BH409" s="471"/>
      <c r="BI409" s="471"/>
      <c r="BJ409" s="471"/>
      <c r="BK409" s="471"/>
      <c r="BL409" s="22"/>
      <c r="BM409" s="471"/>
      <c r="BN409" s="471"/>
      <c r="BO409" s="471"/>
      <c r="BP409" s="471"/>
      <c r="BQ409" s="471"/>
      <c r="BR409" s="22"/>
      <c r="BS409" s="471"/>
      <c r="BT409" s="471"/>
      <c r="BU409" s="471"/>
      <c r="BV409" s="471"/>
      <c r="BW409" s="274"/>
      <c r="BY409" s="471"/>
      <c r="BZ409" s="471"/>
      <c r="CA409" s="471"/>
      <c r="CB409" s="471"/>
      <c r="CC409" s="471"/>
      <c r="CD409" s="22"/>
      <c r="CE409" s="471"/>
      <c r="CF409" s="471"/>
      <c r="CG409" s="471"/>
      <c r="CH409" s="471"/>
      <c r="CI409" s="471"/>
      <c r="CK409" s="469"/>
      <c r="CL409" s="469"/>
      <c r="CM409" s="469"/>
      <c r="CN409" s="469"/>
      <c r="CO409" s="404"/>
      <c r="CQ409" s="470"/>
      <c r="CR409" s="470"/>
      <c r="CS409" s="470"/>
      <c r="CT409" s="470"/>
      <c r="CU409" s="499"/>
      <c r="CV409" s="413"/>
      <c r="CW409" s="470"/>
      <c r="CX409" s="470"/>
      <c r="CY409" s="470"/>
      <c r="CZ409" s="470"/>
      <c r="DA409" s="676"/>
      <c r="DB409" s="828"/>
      <c r="DC409" s="470"/>
      <c r="DD409" s="470"/>
      <c r="DE409" s="470"/>
      <c r="DF409" s="470"/>
      <c r="DG409" s="499"/>
      <c r="DH409" s="828"/>
      <c r="DI409" s="470"/>
      <c r="DJ409" s="470"/>
      <c r="DK409" s="470"/>
      <c r="DL409" s="470"/>
      <c r="DM409" s="753"/>
      <c r="DN409" s="828"/>
      <c r="DO409" s="470"/>
      <c r="DP409" s="470"/>
      <c r="DQ409" s="470"/>
      <c r="DR409" s="470"/>
      <c r="DS409" s="753"/>
      <c r="DT409" s="753"/>
      <c r="DU409" s="470"/>
      <c r="DV409" s="470"/>
      <c r="DW409" s="470"/>
      <c r="DX409" s="470"/>
      <c r="DY409" s="735"/>
      <c r="DZ409" s="828"/>
      <c r="EA409" s="470"/>
      <c r="EB409" s="470"/>
      <c r="EE409" s="735"/>
      <c r="EK409" s="511">
        <f>EK404-EK8</f>
        <v>-204.13999999999578</v>
      </c>
      <c r="EL409" s="511">
        <f>EL404-EL8</f>
        <v>0</v>
      </c>
      <c r="FE409" s="274"/>
      <c r="FF409" s="274"/>
      <c r="FP409" s="307">
        <f>FP404-FP8</f>
        <v>0</v>
      </c>
    </row>
    <row r="410" spans="2:172" ht="12" x14ac:dyDescent="0.25">
      <c r="B410" s="316"/>
      <c r="D410" s="445"/>
      <c r="E410" s="480"/>
      <c r="F410" s="480"/>
      <c r="H410" s="481"/>
      <c r="J410" s="445"/>
      <c r="K410" s="481"/>
      <c r="L410" s="481"/>
      <c r="M410" s="481"/>
      <c r="N410" s="481"/>
      <c r="P410" s="445"/>
      <c r="Q410" s="481"/>
      <c r="R410" s="481"/>
      <c r="S410" s="481"/>
      <c r="T410" s="481"/>
      <c r="U410" s="458"/>
      <c r="V410" s="458"/>
      <c r="W410" s="481"/>
      <c r="X410" s="481"/>
      <c r="Y410" s="481"/>
      <c r="Z410" s="458"/>
      <c r="AA410" s="458"/>
      <c r="AB410" s="458"/>
      <c r="AC410" s="514"/>
      <c r="AD410" s="514"/>
      <c r="AE410" s="514"/>
      <c r="AF410" s="514"/>
      <c r="AG410" s="458"/>
      <c r="AI410" s="514"/>
      <c r="AJ410" s="514"/>
      <c r="AK410" s="514"/>
      <c r="AL410" s="514"/>
      <c r="AO410" s="513"/>
      <c r="AP410" s="513"/>
      <c r="AQ410" s="513"/>
      <c r="AR410" s="513"/>
      <c r="AS410" s="274"/>
      <c r="AU410" s="513"/>
      <c r="AV410" s="513"/>
      <c r="AW410" s="513"/>
      <c r="AX410" s="513"/>
      <c r="AY410" s="274"/>
      <c r="BA410" s="513"/>
      <c r="BB410" s="513"/>
      <c r="BC410" s="513"/>
      <c r="BD410" s="513"/>
      <c r="BE410" s="274"/>
      <c r="BG410" s="471"/>
      <c r="BH410" s="471"/>
      <c r="BI410" s="471"/>
      <c r="BJ410" s="471"/>
      <c r="BK410" s="471"/>
      <c r="BL410" s="22"/>
      <c r="BM410" s="471"/>
      <c r="BN410" s="471"/>
      <c r="BO410" s="471"/>
      <c r="BP410" s="471"/>
      <c r="BQ410" s="471"/>
      <c r="BR410" s="22"/>
      <c r="BS410" s="471"/>
      <c r="BT410" s="471"/>
      <c r="BU410" s="471"/>
      <c r="BV410" s="471"/>
      <c r="BW410" s="274"/>
      <c r="BY410" s="471"/>
      <c r="BZ410" s="471"/>
      <c r="CA410" s="471"/>
      <c r="CB410" s="471"/>
      <c r="CC410" s="471"/>
      <c r="CD410" s="22"/>
      <c r="CE410" s="471"/>
      <c r="CF410" s="471"/>
      <c r="CG410" s="471"/>
      <c r="CH410" s="471"/>
      <c r="CI410" s="471"/>
      <c r="CK410" s="469"/>
      <c r="CL410" s="469"/>
      <c r="CM410" s="469"/>
      <c r="CN410" s="469"/>
      <c r="CO410" s="404"/>
      <c r="CQ410" s="470"/>
      <c r="CR410" s="470"/>
      <c r="CS410" s="470"/>
      <c r="CT410" s="470"/>
      <c r="CU410" s="499"/>
      <c r="CV410" s="413"/>
      <c r="CW410" s="470"/>
      <c r="CX410" s="470"/>
      <c r="CY410" s="470"/>
      <c r="CZ410" s="470"/>
      <c r="DA410" s="676"/>
      <c r="DB410" s="828"/>
      <c r="DC410" s="470"/>
      <c r="DD410" s="470"/>
      <c r="DE410" s="470"/>
      <c r="DF410" s="470"/>
      <c r="DG410" s="499"/>
      <c r="DH410" s="828"/>
      <c r="DI410" s="470"/>
      <c r="DJ410" s="470"/>
      <c r="DK410" s="470"/>
      <c r="DL410" s="470"/>
      <c r="DM410" s="753"/>
      <c r="DN410" s="828"/>
      <c r="DO410" s="470"/>
      <c r="DP410" s="470"/>
      <c r="DQ410" s="470"/>
      <c r="DR410" s="470"/>
      <c r="DS410" s="753"/>
      <c r="DT410" s="753"/>
      <c r="DU410" s="470"/>
      <c r="DV410" s="470"/>
      <c r="DW410" s="470"/>
      <c r="DX410" s="470"/>
      <c r="DY410" s="753"/>
      <c r="DZ410" s="828"/>
      <c r="EA410" s="470"/>
      <c r="EB410" s="470"/>
      <c r="EE410" s="735"/>
      <c r="EK410" s="511"/>
      <c r="EL410" s="511"/>
      <c r="FE410" s="274"/>
      <c r="FF410" s="274"/>
      <c r="FP410" s="307"/>
    </row>
    <row r="411" spans="2:172" ht="12" x14ac:dyDescent="0.25">
      <c r="B411" s="862" t="s">
        <v>753</v>
      </c>
      <c r="D411" s="445"/>
      <c r="E411" s="480"/>
      <c r="F411" s="480"/>
      <c r="H411" s="481"/>
      <c r="J411" s="445"/>
      <c r="K411" s="481"/>
      <c r="L411" s="481"/>
      <c r="M411" s="481"/>
      <c r="N411" s="481"/>
      <c r="P411" s="445"/>
      <c r="Q411" s="481"/>
      <c r="R411" s="481"/>
      <c r="S411" s="481"/>
      <c r="T411" s="481"/>
      <c r="U411" s="458"/>
      <c r="V411" s="458"/>
      <c r="W411" s="481"/>
      <c r="X411" s="481"/>
      <c r="Y411" s="481"/>
      <c r="Z411" s="458"/>
      <c r="AA411" s="458"/>
      <c r="AB411" s="458"/>
      <c r="AC411" s="514"/>
      <c r="AD411" s="514"/>
      <c r="AE411" s="514"/>
      <c r="AF411" s="514"/>
      <c r="AG411" s="458"/>
      <c r="AI411" s="514"/>
      <c r="AJ411" s="514"/>
      <c r="AK411" s="514"/>
      <c r="AL411" s="514"/>
      <c r="AO411" s="513"/>
      <c r="AP411" s="513"/>
      <c r="AQ411" s="513"/>
      <c r="AR411" s="513"/>
      <c r="AS411" s="274"/>
      <c r="AU411" s="513"/>
      <c r="AV411" s="513"/>
      <c r="AW411" s="513"/>
      <c r="AX411" s="513"/>
      <c r="AY411" s="274"/>
      <c r="BA411" s="513"/>
      <c r="BB411" s="513"/>
      <c r="BC411" s="513"/>
      <c r="BD411" s="513"/>
      <c r="BE411" s="274"/>
      <c r="BG411" s="471"/>
      <c r="BH411" s="471"/>
      <c r="BI411" s="471"/>
      <c r="BJ411" s="471"/>
      <c r="BK411" s="471"/>
      <c r="BL411" s="22"/>
      <c r="BM411" s="471"/>
      <c r="BN411" s="471"/>
      <c r="BO411" s="471"/>
      <c r="BP411" s="471"/>
      <c r="BQ411" s="471"/>
      <c r="BR411" s="22"/>
      <c r="BS411" s="471"/>
      <c r="BT411" s="471"/>
      <c r="BU411" s="471"/>
      <c r="BV411" s="471"/>
      <c r="BW411" s="274"/>
      <c r="BY411" s="471"/>
      <c r="BZ411" s="471"/>
      <c r="CA411" s="471"/>
      <c r="CB411" s="471"/>
      <c r="CC411" s="471"/>
      <c r="CD411" s="22"/>
      <c r="CE411" s="471"/>
      <c r="CF411" s="471"/>
      <c r="CG411" s="471"/>
      <c r="CH411" s="471"/>
      <c r="CI411" s="471"/>
      <c r="CK411" s="469"/>
      <c r="CL411" s="469"/>
      <c r="CM411" s="469"/>
      <c r="CN411" s="469"/>
      <c r="CO411" s="404"/>
      <c r="CQ411" s="470"/>
      <c r="CR411" s="470"/>
      <c r="CS411" s="470"/>
      <c r="CT411" s="470"/>
      <c r="CU411" s="499"/>
      <c r="CV411" s="413"/>
      <c r="CW411" s="470"/>
      <c r="CX411" s="470"/>
      <c r="CY411" s="470"/>
      <c r="CZ411" s="470"/>
      <c r="DA411" s="676"/>
      <c r="DB411" s="828"/>
      <c r="DC411" s="470"/>
      <c r="DD411" s="470"/>
      <c r="DE411" s="470"/>
      <c r="DF411" s="470"/>
      <c r="DG411" s="499"/>
      <c r="DH411" s="828"/>
      <c r="DI411" s="470"/>
      <c r="DJ411" s="470"/>
      <c r="DK411" s="470"/>
      <c r="DL411" s="470"/>
      <c r="DM411" s="753"/>
      <c r="DN411" s="828"/>
      <c r="DO411" s="470"/>
      <c r="DP411" s="470"/>
      <c r="DQ411" s="470"/>
      <c r="DR411" s="470"/>
      <c r="DS411" s="753"/>
      <c r="DT411" s="753"/>
      <c r="DU411" s="470"/>
      <c r="DV411" s="470"/>
      <c r="DW411" s="470"/>
      <c r="DX411" s="470"/>
      <c r="DY411" s="753"/>
      <c r="DZ411" s="828"/>
      <c r="EA411" s="470"/>
      <c r="EB411" s="470"/>
      <c r="EE411" s="735"/>
      <c r="EK411" s="511"/>
      <c r="EL411" s="511"/>
      <c r="FE411" s="274"/>
      <c r="FF411" s="274"/>
      <c r="FP411" s="307"/>
    </row>
    <row r="412" spans="2:172" ht="12" x14ac:dyDescent="0.25">
      <c r="B412" s="316" t="s">
        <v>581</v>
      </c>
      <c r="C412" s="444"/>
      <c r="D412" s="445"/>
      <c r="E412" s="480"/>
      <c r="F412" s="480"/>
      <c r="G412" s="444"/>
      <c r="H412" s="657"/>
      <c r="I412" s="444"/>
      <c r="J412" s="445"/>
      <c r="K412" s="657"/>
      <c r="L412" s="657"/>
      <c r="M412" s="657"/>
      <c r="N412" s="657"/>
      <c r="O412" s="444"/>
      <c r="P412" s="445"/>
      <c r="Q412" s="657"/>
      <c r="R412" s="657"/>
      <c r="S412" s="657"/>
      <c r="T412" s="657"/>
      <c r="U412" s="458"/>
      <c r="V412" s="458"/>
      <c r="W412" s="657"/>
      <c r="X412" s="657"/>
      <c r="Y412" s="657"/>
      <c r="Z412" s="458"/>
      <c r="AA412" s="458"/>
      <c r="AB412" s="458"/>
      <c r="AC412" s="684"/>
      <c r="AD412" s="684"/>
      <c r="AE412" s="684"/>
      <c r="AF412" s="684"/>
      <c r="AG412" s="458"/>
      <c r="AH412" s="444"/>
      <c r="AI412" s="684"/>
      <c r="AJ412" s="684"/>
      <c r="AK412" s="684"/>
      <c r="AL412" s="684"/>
      <c r="AM412" s="444"/>
      <c r="AN412" s="444"/>
      <c r="AO412" s="685"/>
      <c r="AP412" s="685"/>
      <c r="AQ412" s="685"/>
      <c r="AR412" s="685"/>
      <c r="AS412" s="680"/>
      <c r="AT412" s="444"/>
      <c r="AU412" s="685"/>
      <c r="AV412" s="685"/>
      <c r="AW412" s="685"/>
      <c r="AX412" s="685"/>
      <c r="AY412" s="680"/>
      <c r="AZ412" s="444"/>
      <c r="BA412" s="685"/>
      <c r="BB412" s="685"/>
      <c r="BC412" s="685"/>
      <c r="BD412" s="685"/>
      <c r="BE412" s="680"/>
      <c r="BF412" s="444"/>
      <c r="BG412" s="453"/>
      <c r="BH412" s="453"/>
      <c r="BI412" s="453"/>
      <c r="BJ412" s="453"/>
      <c r="BK412" s="453"/>
      <c r="BL412" s="455"/>
      <c r="BM412" s="453"/>
      <c r="BN412" s="453"/>
      <c r="BO412" s="453"/>
      <c r="BP412" s="453"/>
      <c r="BQ412" s="453"/>
      <c r="BR412" s="455"/>
      <c r="BS412" s="453"/>
      <c r="BT412" s="453"/>
      <c r="BU412" s="453"/>
      <c r="BV412" s="453"/>
      <c r="BW412" s="680"/>
      <c r="BX412" s="444"/>
      <c r="BY412" s="453"/>
      <c r="BZ412" s="453"/>
      <c r="CA412" s="453"/>
      <c r="CB412" s="453"/>
      <c r="CC412" s="453"/>
      <c r="CD412" s="455"/>
      <c r="CE412" s="453"/>
      <c r="CF412" s="453"/>
      <c r="CG412" s="453"/>
      <c r="CH412" s="453"/>
      <c r="CI412" s="453"/>
      <c r="CJ412" s="444"/>
      <c r="CK412" s="472"/>
      <c r="CL412" s="472"/>
      <c r="CM412" s="472"/>
      <c r="CN412" s="472"/>
      <c r="CO412" s="681"/>
      <c r="CP412" s="444"/>
      <c r="CQ412" s="473"/>
      <c r="CR412" s="473"/>
      <c r="CS412" s="473"/>
      <c r="CT412" s="473"/>
      <c r="CU412" s="686"/>
      <c r="CV412" s="572"/>
      <c r="CW412" s="473"/>
      <c r="CX412" s="473"/>
      <c r="CY412" s="473"/>
      <c r="CZ412" s="473"/>
      <c r="DA412" s="773"/>
      <c r="DB412" s="832"/>
      <c r="DC412" s="473"/>
      <c r="DD412" s="473"/>
      <c r="DE412" s="473"/>
      <c r="DF412" s="473"/>
      <c r="DG412" s="686"/>
      <c r="DH412" s="832"/>
      <c r="DI412" s="473"/>
      <c r="DJ412" s="473"/>
      <c r="DK412" s="473"/>
      <c r="DL412" s="473"/>
      <c r="DM412" s="775"/>
      <c r="DN412" s="832"/>
      <c r="DO412" s="473"/>
      <c r="DP412" s="473"/>
      <c r="DQ412" s="473"/>
      <c r="DR412" s="473"/>
      <c r="DS412" s="775"/>
      <c r="DT412" s="775"/>
      <c r="DU412" s="473"/>
      <c r="DV412" s="473"/>
      <c r="DW412" s="473"/>
      <c r="DX412" s="473"/>
      <c r="DY412" s="753">
        <f>DY389/DY$404</f>
        <v>0.17060980103348278</v>
      </c>
      <c r="DZ412" s="832"/>
      <c r="EA412" s="473"/>
      <c r="EB412" s="473"/>
      <c r="EC412" s="444"/>
      <c r="ED412" s="444"/>
      <c r="EE412" s="753">
        <f>EE389/EE$404</f>
        <v>0.23322531302739763</v>
      </c>
      <c r="EF412" s="744"/>
      <c r="EG412" s="444"/>
      <c r="EH412" s="444"/>
      <c r="EI412" s="444"/>
      <c r="EJ412" s="444"/>
      <c r="EK412" s="676">
        <f>EK389/EK$404</f>
        <v>0.27430659760964943</v>
      </c>
      <c r="EL412" s="676">
        <f>EL389/EL$404</f>
        <v>0.36496732738189025</v>
      </c>
      <c r="FE412" s="274"/>
      <c r="FF412" s="274"/>
      <c r="FP412" s="571"/>
    </row>
    <row r="413" spans="2:172" ht="12" x14ac:dyDescent="0.25">
      <c r="B413" s="316" t="s">
        <v>582</v>
      </c>
      <c r="C413" s="444"/>
      <c r="D413" s="445"/>
      <c r="E413" s="480"/>
      <c r="F413" s="480"/>
      <c r="G413" s="444"/>
      <c r="H413" s="657"/>
      <c r="I413" s="444"/>
      <c r="J413" s="445"/>
      <c r="K413" s="657"/>
      <c r="L413" s="657"/>
      <c r="M413" s="657"/>
      <c r="N413" s="657"/>
      <c r="O413" s="444"/>
      <c r="P413" s="445"/>
      <c r="Q413" s="657"/>
      <c r="R413" s="657"/>
      <c r="S413" s="657"/>
      <c r="T413" s="657"/>
      <c r="U413" s="458"/>
      <c r="V413" s="458"/>
      <c r="W413" s="657"/>
      <c r="X413" s="657"/>
      <c r="Y413" s="657"/>
      <c r="Z413" s="458"/>
      <c r="AA413" s="458"/>
      <c r="AB413" s="458"/>
      <c r="AC413" s="684"/>
      <c r="AD413" s="684"/>
      <c r="AE413" s="684"/>
      <c r="AF413" s="684"/>
      <c r="AG413" s="458"/>
      <c r="AH413" s="444"/>
      <c r="AI413" s="684"/>
      <c r="AJ413" s="684"/>
      <c r="AK413" s="684"/>
      <c r="AL413" s="684"/>
      <c r="AM413" s="444"/>
      <c r="AN413" s="444"/>
      <c r="AO413" s="685"/>
      <c r="AP413" s="685"/>
      <c r="AQ413" s="685"/>
      <c r="AR413" s="685"/>
      <c r="AS413" s="680"/>
      <c r="AT413" s="444"/>
      <c r="AU413" s="685"/>
      <c r="AV413" s="685"/>
      <c r="AW413" s="685"/>
      <c r="AX413" s="685"/>
      <c r="AY413" s="680"/>
      <c r="AZ413" s="444"/>
      <c r="BA413" s="685"/>
      <c r="BB413" s="685"/>
      <c r="BC413" s="685"/>
      <c r="BD413" s="685"/>
      <c r="BE413" s="680"/>
      <c r="BF413" s="444"/>
      <c r="BG413" s="453"/>
      <c r="BH413" s="453"/>
      <c r="BI413" s="453"/>
      <c r="BJ413" s="453"/>
      <c r="BK413" s="453"/>
      <c r="BL413" s="455"/>
      <c r="BM413" s="453"/>
      <c r="BN413" s="453"/>
      <c r="BO413" s="453"/>
      <c r="BP413" s="453"/>
      <c r="BQ413" s="453"/>
      <c r="BR413" s="455"/>
      <c r="BS413" s="453"/>
      <c r="BT413" s="453"/>
      <c r="BU413" s="453"/>
      <c r="BV413" s="453"/>
      <c r="BW413" s="680"/>
      <c r="BX413" s="444"/>
      <c r="BY413" s="453"/>
      <c r="BZ413" s="453"/>
      <c r="CA413" s="453"/>
      <c r="CB413" s="453"/>
      <c r="CC413" s="453"/>
      <c r="CD413" s="455"/>
      <c r="CE413" s="453"/>
      <c r="CF413" s="453"/>
      <c r="CG413" s="453"/>
      <c r="CH413" s="453"/>
      <c r="CI413" s="453"/>
      <c r="CJ413" s="444"/>
      <c r="CK413" s="472"/>
      <c r="CL413" s="472"/>
      <c r="CM413" s="472"/>
      <c r="CN413" s="472"/>
      <c r="CO413" s="681"/>
      <c r="CP413" s="444"/>
      <c r="CQ413" s="473"/>
      <c r="CR413" s="473"/>
      <c r="CS413" s="473"/>
      <c r="CT413" s="473"/>
      <c r="CU413" s="686"/>
      <c r="CV413" s="572"/>
      <c r="CW413" s="473"/>
      <c r="CX413" s="473"/>
      <c r="CY413" s="473"/>
      <c r="CZ413" s="473"/>
      <c r="DA413" s="773"/>
      <c r="DB413" s="832"/>
      <c r="DC413" s="473"/>
      <c r="DD413" s="473"/>
      <c r="DE413" s="473"/>
      <c r="DF413" s="473"/>
      <c r="DG413" s="686"/>
      <c r="DH413" s="832"/>
      <c r="DI413" s="473"/>
      <c r="DJ413" s="473"/>
      <c r="DK413" s="473"/>
      <c r="DL413" s="473"/>
      <c r="DM413" s="775"/>
      <c r="DN413" s="832"/>
      <c r="DO413" s="473"/>
      <c r="DP413" s="473"/>
      <c r="DQ413" s="473"/>
      <c r="DR413" s="473"/>
      <c r="DS413" s="775"/>
      <c r="DT413" s="775"/>
      <c r="DU413" s="473"/>
      <c r="DV413" s="473"/>
      <c r="DW413" s="473"/>
      <c r="DX413" s="473"/>
      <c r="DY413" s="753">
        <f>SUM(DY381,DY390)/DY$404</f>
        <v>0.10708659462351691</v>
      </c>
      <c r="DZ413" s="832"/>
      <c r="EA413" s="473"/>
      <c r="EB413" s="473"/>
      <c r="EC413" s="444"/>
      <c r="ED413" s="444"/>
      <c r="EE413" s="753">
        <f>SUM(EE381,EE390)/EE$404</f>
        <v>0.1198347494087711</v>
      </c>
      <c r="EF413" s="744"/>
      <c r="EG413" s="444"/>
      <c r="EH413" s="444"/>
      <c r="EI413" s="444"/>
      <c r="EJ413" s="444"/>
      <c r="EK413" s="676">
        <f>SUM(EK381,EK390)/EK$404</f>
        <v>0.21680443817284403</v>
      </c>
      <c r="EL413" s="676">
        <f>SUM(EL381,EL390)/EL$404</f>
        <v>0.17090407344503078</v>
      </c>
      <c r="FE413" s="274"/>
      <c r="FF413" s="274"/>
      <c r="FP413" s="571"/>
    </row>
    <row r="414" spans="2:172" ht="12" x14ac:dyDescent="0.25">
      <c r="B414" s="316" t="s">
        <v>583</v>
      </c>
      <c r="C414" s="444"/>
      <c r="D414" s="445"/>
      <c r="E414" s="480"/>
      <c r="F414" s="480"/>
      <c r="G414" s="444"/>
      <c r="H414" s="657"/>
      <c r="I414" s="444"/>
      <c r="J414" s="445"/>
      <c r="K414" s="657"/>
      <c r="L414" s="657"/>
      <c r="M414" s="657"/>
      <c r="N414" s="657"/>
      <c r="O414" s="444"/>
      <c r="P414" s="445"/>
      <c r="Q414" s="657"/>
      <c r="R414" s="657"/>
      <c r="S414" s="657"/>
      <c r="T414" s="657"/>
      <c r="U414" s="458"/>
      <c r="V414" s="458"/>
      <c r="W414" s="657"/>
      <c r="X414" s="657"/>
      <c r="Y414" s="657"/>
      <c r="Z414" s="458"/>
      <c r="AA414" s="458"/>
      <c r="AB414" s="458"/>
      <c r="AC414" s="684"/>
      <c r="AD414" s="684"/>
      <c r="AE414" s="684"/>
      <c r="AF414" s="684"/>
      <c r="AG414" s="458"/>
      <c r="AH414" s="444"/>
      <c r="AI414" s="684"/>
      <c r="AJ414" s="684"/>
      <c r="AK414" s="684"/>
      <c r="AL414" s="684"/>
      <c r="AM414" s="444"/>
      <c r="AN414" s="444"/>
      <c r="AO414" s="685"/>
      <c r="AP414" s="685"/>
      <c r="AQ414" s="685"/>
      <c r="AR414" s="685"/>
      <c r="AS414" s="680"/>
      <c r="AT414" s="444"/>
      <c r="AU414" s="685"/>
      <c r="AV414" s="685"/>
      <c r="AW414" s="685"/>
      <c r="AX414" s="685"/>
      <c r="AY414" s="680"/>
      <c r="AZ414" s="444"/>
      <c r="BA414" s="685"/>
      <c r="BB414" s="685"/>
      <c r="BC414" s="685"/>
      <c r="BD414" s="685"/>
      <c r="BE414" s="680"/>
      <c r="BF414" s="444"/>
      <c r="BG414" s="453"/>
      <c r="BH414" s="453"/>
      <c r="BI414" s="453"/>
      <c r="BJ414" s="453"/>
      <c r="BK414" s="453"/>
      <c r="BL414" s="455"/>
      <c r="BM414" s="453"/>
      <c r="BN414" s="453"/>
      <c r="BO414" s="453"/>
      <c r="BP414" s="453"/>
      <c r="BQ414" s="453"/>
      <c r="BR414" s="455"/>
      <c r="BS414" s="453"/>
      <c r="BT414" s="453"/>
      <c r="BU414" s="453"/>
      <c r="BV414" s="453"/>
      <c r="BW414" s="680"/>
      <c r="BX414" s="444"/>
      <c r="BY414" s="453"/>
      <c r="BZ414" s="453"/>
      <c r="CA414" s="453"/>
      <c r="CB414" s="453"/>
      <c r="CC414" s="453"/>
      <c r="CD414" s="455"/>
      <c r="CE414" s="453"/>
      <c r="CF414" s="453"/>
      <c r="CG414" s="453"/>
      <c r="CH414" s="453"/>
      <c r="CI414" s="453"/>
      <c r="CJ414" s="444"/>
      <c r="CK414" s="472"/>
      <c r="CL414" s="472"/>
      <c r="CM414" s="472"/>
      <c r="CN414" s="472"/>
      <c r="CO414" s="681"/>
      <c r="CP414" s="444"/>
      <c r="CQ414" s="473"/>
      <c r="CR414" s="473"/>
      <c r="CS414" s="473"/>
      <c r="CT414" s="473"/>
      <c r="CU414" s="686"/>
      <c r="CV414" s="572"/>
      <c r="CW414" s="473"/>
      <c r="CX414" s="473"/>
      <c r="CY414" s="473"/>
      <c r="CZ414" s="473"/>
      <c r="DA414" s="773"/>
      <c r="DB414" s="832"/>
      <c r="DC414" s="473"/>
      <c r="DD414" s="473"/>
      <c r="DE414" s="473"/>
      <c r="DF414" s="473"/>
      <c r="DG414" s="686"/>
      <c r="DH414" s="832"/>
      <c r="DI414" s="473"/>
      <c r="DJ414" s="473"/>
      <c r="DK414" s="473"/>
      <c r="DL414" s="473"/>
      <c r="DM414" s="775"/>
      <c r="DN414" s="832"/>
      <c r="DO414" s="473"/>
      <c r="DP414" s="473"/>
      <c r="DQ414" s="473"/>
      <c r="DR414" s="473"/>
      <c r="DS414" s="775"/>
      <c r="DT414" s="775"/>
      <c r="DU414" s="473"/>
      <c r="DV414" s="473"/>
      <c r="DW414" s="473"/>
      <c r="DX414" s="473"/>
      <c r="DY414" s="753">
        <f>DY391/DY$404</f>
        <v>0.11161078211265524</v>
      </c>
      <c r="DZ414" s="832"/>
      <c r="EA414" s="473"/>
      <c r="EB414" s="473"/>
      <c r="EC414" s="444"/>
      <c r="ED414" s="444"/>
      <c r="EE414" s="753">
        <f>EE391/EE$404</f>
        <v>4.7720842654608513E-2</v>
      </c>
      <c r="EF414" s="744"/>
      <c r="EG414" s="444"/>
      <c r="EH414" s="444"/>
      <c r="EI414" s="444"/>
      <c r="EJ414" s="444"/>
      <c r="EK414" s="676">
        <f>EK391/EK$404</f>
        <v>4.7918466197337826E-2</v>
      </c>
      <c r="EL414" s="676">
        <f>EL391/EL$404</f>
        <v>6.7809012621607864E-2</v>
      </c>
      <c r="FE414" s="274"/>
      <c r="FF414" s="274"/>
      <c r="FP414" s="571"/>
    </row>
    <row r="415" spans="2:172" ht="12" x14ac:dyDescent="0.25">
      <c r="B415" s="316" t="s">
        <v>726</v>
      </c>
      <c r="C415" s="444"/>
      <c r="D415" s="445"/>
      <c r="E415" s="480"/>
      <c r="F415" s="480"/>
      <c r="G415" s="444"/>
      <c r="H415" s="657"/>
      <c r="I415" s="444"/>
      <c r="J415" s="445"/>
      <c r="K415" s="657"/>
      <c r="L415" s="657"/>
      <c r="M415" s="657"/>
      <c r="N415" s="657"/>
      <c r="O415" s="444"/>
      <c r="P415" s="445"/>
      <c r="Q415" s="657"/>
      <c r="R415" s="657"/>
      <c r="S415" s="657"/>
      <c r="T415" s="657"/>
      <c r="U415" s="458"/>
      <c r="V415" s="458"/>
      <c r="W415" s="657"/>
      <c r="X415" s="657"/>
      <c r="Y415" s="657"/>
      <c r="Z415" s="458"/>
      <c r="AA415" s="458"/>
      <c r="AB415" s="458"/>
      <c r="AC415" s="684"/>
      <c r="AD415" s="684"/>
      <c r="AE415" s="684"/>
      <c r="AF415" s="684"/>
      <c r="AG415" s="458"/>
      <c r="AH415" s="444"/>
      <c r="AI415" s="684"/>
      <c r="AJ415" s="684"/>
      <c r="AK415" s="684"/>
      <c r="AL415" s="684"/>
      <c r="AM415" s="444"/>
      <c r="AN415" s="444"/>
      <c r="AO415" s="685"/>
      <c r="AP415" s="685"/>
      <c r="AQ415" s="685"/>
      <c r="AR415" s="685"/>
      <c r="AS415" s="680"/>
      <c r="AT415" s="444"/>
      <c r="AU415" s="685"/>
      <c r="AV415" s="685"/>
      <c r="AW415" s="685"/>
      <c r="AX415" s="685"/>
      <c r="AY415" s="680"/>
      <c r="AZ415" s="444"/>
      <c r="BA415" s="685"/>
      <c r="BB415" s="685"/>
      <c r="BC415" s="685"/>
      <c r="BD415" s="685"/>
      <c r="BE415" s="680"/>
      <c r="BF415" s="444"/>
      <c r="BG415" s="453"/>
      <c r="BH415" s="453"/>
      <c r="BI415" s="453"/>
      <c r="BJ415" s="453"/>
      <c r="BK415" s="453"/>
      <c r="BL415" s="455"/>
      <c r="BM415" s="453"/>
      <c r="BN415" s="453"/>
      <c r="BO415" s="453"/>
      <c r="BP415" s="453"/>
      <c r="BQ415" s="453"/>
      <c r="BR415" s="455"/>
      <c r="BS415" s="453"/>
      <c r="BT415" s="453"/>
      <c r="BU415" s="453"/>
      <c r="BV415" s="453"/>
      <c r="BW415" s="680"/>
      <c r="BX415" s="444"/>
      <c r="BY415" s="453"/>
      <c r="BZ415" s="453"/>
      <c r="CA415" s="453"/>
      <c r="CB415" s="453"/>
      <c r="CC415" s="453"/>
      <c r="CD415" s="455"/>
      <c r="CE415" s="453"/>
      <c r="CF415" s="453"/>
      <c r="CG415" s="453"/>
      <c r="CH415" s="453"/>
      <c r="CI415" s="453"/>
      <c r="CJ415" s="444"/>
      <c r="CK415" s="472"/>
      <c r="CL415" s="472"/>
      <c r="CM415" s="472"/>
      <c r="CN415" s="472"/>
      <c r="CO415" s="681"/>
      <c r="CP415" s="444"/>
      <c r="CQ415" s="473"/>
      <c r="CR415" s="473"/>
      <c r="CS415" s="473"/>
      <c r="CT415" s="473"/>
      <c r="CU415" s="686"/>
      <c r="CV415" s="572"/>
      <c r="CW415" s="473"/>
      <c r="CX415" s="473"/>
      <c r="CY415" s="473"/>
      <c r="CZ415" s="473"/>
      <c r="DA415" s="773"/>
      <c r="DB415" s="832"/>
      <c r="DC415" s="473"/>
      <c r="DD415" s="473"/>
      <c r="DE415" s="473"/>
      <c r="DF415" s="473"/>
      <c r="DG415" s="686"/>
      <c r="DH415" s="832"/>
      <c r="DI415" s="473"/>
      <c r="DJ415" s="473"/>
      <c r="DK415" s="473"/>
      <c r="DL415" s="473"/>
      <c r="DM415" s="775"/>
      <c r="DN415" s="832"/>
      <c r="DO415" s="473"/>
      <c r="DP415" s="473"/>
      <c r="DQ415" s="473"/>
      <c r="DR415" s="473"/>
      <c r="DS415" s="775"/>
      <c r="DT415" s="775"/>
      <c r="DU415" s="473"/>
      <c r="DV415" s="473"/>
      <c r="DW415" s="473"/>
      <c r="DX415" s="473"/>
      <c r="DY415" s="753">
        <f>DY382/DY$404</f>
        <v>9.0408112892419484E-2</v>
      </c>
      <c r="DZ415" s="832"/>
      <c r="EA415" s="473"/>
      <c r="EB415" s="473"/>
      <c r="EC415" s="444"/>
      <c r="ED415" s="444"/>
      <c r="EE415" s="753">
        <f>EE382/EE$404</f>
        <v>0.12197187391852918</v>
      </c>
      <c r="EF415" s="744"/>
      <c r="EG415" s="444"/>
      <c r="EH415" s="444"/>
      <c r="EI415" s="444"/>
      <c r="EJ415" s="444"/>
      <c r="EK415" s="676">
        <f>EK382/EK$404</f>
        <v>0.12822626602806142</v>
      </c>
      <c r="EL415" s="676">
        <f>EL382/EL$404</f>
        <v>8.6069392398450309E-2</v>
      </c>
      <c r="FE415" s="274"/>
      <c r="FF415" s="274"/>
      <c r="FP415" s="571"/>
    </row>
    <row r="416" spans="2:172" ht="12" x14ac:dyDescent="0.25">
      <c r="B416" s="316" t="s">
        <v>584</v>
      </c>
      <c r="C416" s="444"/>
      <c r="D416" s="445"/>
      <c r="E416" s="480"/>
      <c r="F416" s="480"/>
      <c r="G416" s="444"/>
      <c r="H416" s="657"/>
      <c r="I416" s="444"/>
      <c r="J416" s="445"/>
      <c r="K416" s="657"/>
      <c r="L416" s="657"/>
      <c r="M416" s="657"/>
      <c r="N416" s="657"/>
      <c r="O416" s="444"/>
      <c r="P416" s="445"/>
      <c r="Q416" s="657"/>
      <c r="R416" s="657"/>
      <c r="S416" s="657"/>
      <c r="T416" s="657"/>
      <c r="U416" s="458"/>
      <c r="V416" s="458"/>
      <c r="W416" s="657"/>
      <c r="X416" s="657"/>
      <c r="Y416" s="657"/>
      <c r="Z416" s="458"/>
      <c r="AA416" s="458"/>
      <c r="AB416" s="458"/>
      <c r="AC416" s="684"/>
      <c r="AD416" s="684"/>
      <c r="AE416" s="684"/>
      <c r="AF416" s="684"/>
      <c r="AG416" s="458"/>
      <c r="AH416" s="444"/>
      <c r="AI416" s="684"/>
      <c r="AJ416" s="684"/>
      <c r="AK416" s="684"/>
      <c r="AL416" s="684"/>
      <c r="AM416" s="444"/>
      <c r="AN416" s="444"/>
      <c r="AO416" s="685"/>
      <c r="AP416" s="685"/>
      <c r="AQ416" s="685"/>
      <c r="AR416" s="685"/>
      <c r="AS416" s="680"/>
      <c r="AT416" s="444"/>
      <c r="AU416" s="685"/>
      <c r="AV416" s="685"/>
      <c r="AW416" s="685"/>
      <c r="AX416" s="685"/>
      <c r="AY416" s="680"/>
      <c r="AZ416" s="444"/>
      <c r="BA416" s="685"/>
      <c r="BB416" s="685"/>
      <c r="BC416" s="685"/>
      <c r="BD416" s="685"/>
      <c r="BE416" s="680"/>
      <c r="BF416" s="444"/>
      <c r="BG416" s="453"/>
      <c r="BH416" s="453"/>
      <c r="BI416" s="453"/>
      <c r="BJ416" s="453"/>
      <c r="BK416" s="453"/>
      <c r="BL416" s="455"/>
      <c r="BM416" s="453"/>
      <c r="BN416" s="453"/>
      <c r="BO416" s="453"/>
      <c r="BP416" s="453"/>
      <c r="BQ416" s="453"/>
      <c r="BR416" s="455"/>
      <c r="BS416" s="453"/>
      <c r="BT416" s="453"/>
      <c r="BU416" s="453"/>
      <c r="BV416" s="453"/>
      <c r="BW416" s="680"/>
      <c r="BX416" s="444"/>
      <c r="BY416" s="453"/>
      <c r="BZ416" s="453"/>
      <c r="CA416" s="453"/>
      <c r="CB416" s="453"/>
      <c r="CC416" s="453"/>
      <c r="CD416" s="455"/>
      <c r="CE416" s="453"/>
      <c r="CF416" s="453"/>
      <c r="CG416" s="453"/>
      <c r="CH416" s="453"/>
      <c r="CI416" s="453"/>
      <c r="CJ416" s="444"/>
      <c r="CK416" s="472"/>
      <c r="CL416" s="472"/>
      <c r="CM416" s="472"/>
      <c r="CN416" s="472"/>
      <c r="CO416" s="681"/>
      <c r="CP416" s="444"/>
      <c r="CQ416" s="473"/>
      <c r="CR416" s="473"/>
      <c r="CS416" s="473"/>
      <c r="CT416" s="473"/>
      <c r="CU416" s="686"/>
      <c r="CV416" s="572"/>
      <c r="CW416" s="473"/>
      <c r="CX416" s="473"/>
      <c r="CY416" s="473"/>
      <c r="CZ416" s="473"/>
      <c r="DA416" s="773"/>
      <c r="DB416" s="832"/>
      <c r="DC416" s="473"/>
      <c r="DD416" s="473"/>
      <c r="DE416" s="473"/>
      <c r="DF416" s="473"/>
      <c r="DG416" s="686"/>
      <c r="DH416" s="832"/>
      <c r="DI416" s="473"/>
      <c r="DJ416" s="473"/>
      <c r="DK416" s="473"/>
      <c r="DL416" s="473"/>
      <c r="DM416" s="775"/>
      <c r="DN416" s="832"/>
      <c r="DO416" s="473"/>
      <c r="DP416" s="473"/>
      <c r="DQ416" s="473"/>
      <c r="DR416" s="473"/>
      <c r="DS416" s="775"/>
      <c r="DT416" s="775"/>
      <c r="DU416" s="473"/>
      <c r="DV416" s="473"/>
      <c r="DW416" s="473"/>
      <c r="DX416" s="473"/>
      <c r="DY416" s="753">
        <f>DY383/DY$404</f>
        <v>5.179639490728348E-2</v>
      </c>
      <c r="DZ416" s="832"/>
      <c r="EA416" s="473"/>
      <c r="EB416" s="473"/>
      <c r="EC416" s="444"/>
      <c r="ED416" s="444"/>
      <c r="EE416" s="753">
        <f>EE383/EE$404</f>
        <v>7.3848329861472259E-2</v>
      </c>
      <c r="EF416" s="744"/>
      <c r="EG416" s="444"/>
      <c r="EH416" s="444"/>
      <c r="EI416" s="444"/>
      <c r="EJ416" s="444"/>
      <c r="EK416" s="676">
        <f>EK383/EK$404</f>
        <v>4.8450893599530469E-2</v>
      </c>
      <c r="EL416" s="676">
        <f>EL383/EL$404</f>
        <v>8.6069392398450309E-2</v>
      </c>
      <c r="FE416" s="274"/>
      <c r="FF416" s="274"/>
      <c r="FP416" s="571"/>
    </row>
    <row r="417" spans="2:172" ht="12" x14ac:dyDescent="0.25">
      <c r="B417" s="316" t="s">
        <v>50</v>
      </c>
      <c r="D417" s="445"/>
      <c r="E417" s="480"/>
      <c r="F417" s="480"/>
      <c r="H417" s="481"/>
      <c r="J417" s="445"/>
      <c r="K417" s="481"/>
      <c r="L417" s="481"/>
      <c r="M417" s="481"/>
      <c r="N417" s="481"/>
      <c r="P417" s="445"/>
      <c r="Q417" s="481"/>
      <c r="R417" s="481"/>
      <c r="S417" s="481"/>
      <c r="T417" s="481"/>
      <c r="U417" s="458"/>
      <c r="V417" s="458"/>
      <c r="W417" s="481"/>
      <c r="X417" s="481"/>
      <c r="Y417" s="481"/>
      <c r="Z417" s="458"/>
      <c r="AA417" s="458"/>
      <c r="AB417" s="458"/>
      <c r="AC417" s="514"/>
      <c r="AD417" s="514"/>
      <c r="AE417" s="514"/>
      <c r="AF417" s="514"/>
      <c r="AG417" s="458"/>
      <c r="AI417" s="514"/>
      <c r="AJ417" s="514"/>
      <c r="AK417" s="514"/>
      <c r="AL417" s="514"/>
      <c r="AO417" s="513"/>
      <c r="AP417" s="513"/>
      <c r="AQ417" s="513"/>
      <c r="AR417" s="513"/>
      <c r="AS417" s="274"/>
      <c r="AU417" s="513"/>
      <c r="AV417" s="513"/>
      <c r="AW417" s="513"/>
      <c r="AX417" s="513"/>
      <c r="AY417" s="274"/>
      <c r="BA417" s="513"/>
      <c r="BB417" s="513"/>
      <c r="BC417" s="513"/>
      <c r="BD417" s="513"/>
      <c r="BE417" s="274"/>
      <c r="BG417" s="471"/>
      <c r="BH417" s="471"/>
      <c r="BI417" s="471"/>
      <c r="BJ417" s="471"/>
      <c r="BK417" s="471"/>
      <c r="BL417" s="22"/>
      <c r="BM417" s="471"/>
      <c r="BN417" s="471"/>
      <c r="BO417" s="471"/>
      <c r="BP417" s="471"/>
      <c r="BQ417" s="471"/>
      <c r="BR417" s="22"/>
      <c r="BS417" s="471"/>
      <c r="BT417" s="471"/>
      <c r="BU417" s="471"/>
      <c r="BV417" s="471"/>
      <c r="BW417" s="274"/>
      <c r="BY417" s="471"/>
      <c r="BZ417" s="471"/>
      <c r="CA417" s="471"/>
      <c r="CB417" s="471"/>
      <c r="CC417" s="471"/>
      <c r="CD417" s="22"/>
      <c r="CE417" s="471">
        <v>0.4</v>
      </c>
      <c r="CF417" s="471">
        <v>0.37</v>
      </c>
      <c r="CG417" s="471">
        <v>0.4</v>
      </c>
      <c r="CH417" s="471">
        <v>0.28999999999999998</v>
      </c>
      <c r="CI417" s="471">
        <f>CI403/CI$404</f>
        <v>0.3597467718907385</v>
      </c>
      <c r="CK417" s="636"/>
      <c r="CL417" s="636"/>
      <c r="CM417" s="636"/>
      <c r="CN417" s="636"/>
      <c r="CO417" s="637"/>
      <c r="CQ417" s="652"/>
      <c r="CR417" s="652"/>
      <c r="CS417" s="652"/>
      <c r="CT417" s="652"/>
      <c r="CU417" s="499"/>
      <c r="CV417" s="413"/>
      <c r="CW417" s="652"/>
      <c r="CX417" s="652"/>
      <c r="CY417" s="652"/>
      <c r="CZ417" s="652"/>
      <c r="DA417" s="676"/>
      <c r="DB417" s="828"/>
      <c r="DC417" s="652"/>
      <c r="DD417" s="652"/>
      <c r="DE417" s="652"/>
      <c r="DF417" s="652"/>
      <c r="DG417" s="499">
        <v>0.15702482970775655</v>
      </c>
      <c r="DH417" s="828"/>
      <c r="DI417" s="652"/>
      <c r="DJ417" s="652"/>
      <c r="DK417" s="652"/>
      <c r="DL417" s="652"/>
      <c r="DM417" s="753">
        <v>0.14628021515131875</v>
      </c>
      <c r="DN417" s="828"/>
      <c r="DO417" s="652"/>
      <c r="DP417" s="652"/>
      <c r="DQ417" s="652"/>
      <c r="DR417" s="652"/>
      <c r="DS417" s="753">
        <v>0.2672217132282223</v>
      </c>
      <c r="DT417" s="753"/>
      <c r="DU417" s="652"/>
      <c r="DV417" s="652"/>
      <c r="DW417" s="652"/>
      <c r="DX417" s="652"/>
      <c r="DY417" s="753">
        <f>SUM(DY384,DY394)/DY$404</f>
        <v>0.41261076683495118</v>
      </c>
      <c r="DZ417" s="753"/>
      <c r="EA417" s="499"/>
      <c r="EB417" s="499"/>
      <c r="EC417" s="499"/>
      <c r="ED417" s="499"/>
      <c r="EE417" s="753">
        <f>SUM(EE384,EE394)/EE$404</f>
        <v>0.33847863163084374</v>
      </c>
      <c r="EF417" s="753"/>
      <c r="EG417" s="499"/>
      <c r="EH417" s="499"/>
      <c r="EI417" s="499"/>
      <c r="EJ417" s="499"/>
      <c r="EK417" s="676">
        <f>SUM(EK384,EK394)/EK$404</f>
        <v>0.22732555859177211</v>
      </c>
      <c r="EL417" s="676">
        <f>SUM(EL384,EL394)/EL$404</f>
        <v>0.18498167296583248</v>
      </c>
      <c r="FE417" s="274"/>
      <c r="FF417" s="274"/>
      <c r="FI417" s="274">
        <f t="shared" ref="FI417" si="801">DG417</f>
        <v>0.15702482970775655</v>
      </c>
      <c r="FJ417" s="274">
        <f t="shared" ref="FJ417" si="802">DM417</f>
        <v>0.14628021515131875</v>
      </c>
      <c r="FK417" s="274">
        <f t="shared" ref="FK417" si="803">DS417</f>
        <v>0.2672217132282223</v>
      </c>
      <c r="FL417" s="274">
        <f t="shared" ref="FL417" si="804">DY417</f>
        <v>0.41261076683495118</v>
      </c>
      <c r="FM417" s="274">
        <f t="shared" ref="FM417" si="805">EE417</f>
        <v>0.33847863163084374</v>
      </c>
      <c r="FN417" s="274">
        <f t="shared" ref="FN417" si="806">EK417</f>
        <v>0.22732555859177211</v>
      </c>
      <c r="FO417" s="274">
        <f t="shared" ref="FO417" si="807">EL417</f>
        <v>0.18498167296583248</v>
      </c>
      <c r="FP417" s="274"/>
    </row>
    <row r="418" spans="2:172" x14ac:dyDescent="0.2">
      <c r="B418" s="316" t="s">
        <v>164</v>
      </c>
      <c r="D418" s="487"/>
      <c r="E418" s="863"/>
      <c r="F418" s="863"/>
      <c r="H418" s="481"/>
      <c r="J418" s="487"/>
      <c r="K418" s="481"/>
      <c r="L418" s="481"/>
      <c r="M418" s="481"/>
      <c r="N418" s="481"/>
      <c r="P418" s="487"/>
      <c r="Q418" s="481"/>
      <c r="R418" s="481"/>
      <c r="S418" s="481"/>
      <c r="T418" s="481"/>
      <c r="U418" s="488"/>
      <c r="V418" s="488"/>
      <c r="W418" s="481"/>
      <c r="X418" s="481"/>
      <c r="Y418" s="481"/>
      <c r="Z418" s="488"/>
      <c r="AA418" s="488"/>
      <c r="AB418" s="488"/>
      <c r="AC418" s="274"/>
      <c r="AD418" s="481"/>
      <c r="AE418" s="481"/>
      <c r="AF418" s="488"/>
      <c r="AG418" s="488"/>
      <c r="AI418" s="488"/>
      <c r="AJ418" s="488"/>
      <c r="AK418" s="488"/>
      <c r="AL418" s="488"/>
      <c r="AS418" s="488"/>
      <c r="DG418" s="311"/>
      <c r="DY418" s="753">
        <f>1-SUM(DY412:DY417)</f>
        <v>5.5877547595690968E-2</v>
      </c>
      <c r="EE418" s="753">
        <f>1-SUM(EE412:EE417)</f>
        <v>6.4920259498377542E-2</v>
      </c>
      <c r="EK418" s="676">
        <f>1-SUM(EK412:EK417)</f>
        <v>5.6967779800804585E-2</v>
      </c>
      <c r="EL418" s="753">
        <f>1-SUM(EL412:EL417)</f>
        <v>3.9199128788737991E-2</v>
      </c>
      <c r="EM418" s="828"/>
      <c r="FI418" s="274"/>
      <c r="FJ418" s="274"/>
      <c r="FK418" s="274"/>
      <c r="FP418" s="311"/>
    </row>
    <row r="419" spans="2:172" ht="12" x14ac:dyDescent="0.25">
      <c r="D419" s="445"/>
      <c r="E419" s="480"/>
      <c r="F419" s="480"/>
      <c r="H419" s="481"/>
      <c r="J419" s="445"/>
      <c r="K419" s="481"/>
      <c r="L419" s="481"/>
      <c r="M419" s="481"/>
      <c r="N419" s="481"/>
      <c r="P419" s="445"/>
      <c r="Q419" s="481"/>
      <c r="R419" s="481"/>
      <c r="S419" s="481"/>
      <c r="T419" s="481"/>
      <c r="U419" s="458"/>
      <c r="V419" s="458"/>
      <c r="W419" s="481"/>
      <c r="X419" s="481"/>
      <c r="Y419" s="481"/>
      <c r="Z419" s="458"/>
      <c r="AA419" s="458"/>
      <c r="AB419" s="458"/>
      <c r="AC419" s="274"/>
      <c r="AD419" s="481"/>
      <c r="AE419" s="481"/>
      <c r="AF419" s="458"/>
      <c r="AG419" s="458"/>
      <c r="AI419" s="458"/>
      <c r="AJ419" s="458"/>
      <c r="AK419" s="458"/>
      <c r="AL419" s="458"/>
      <c r="AS419" s="458"/>
      <c r="DG419" s="311"/>
      <c r="DY419" s="754"/>
      <c r="EL419" s="403"/>
      <c r="EM419" s="828"/>
      <c r="FP419" s="311"/>
    </row>
    <row r="420" spans="2:172" ht="12" x14ac:dyDescent="0.25">
      <c r="B420" s="561" t="s">
        <v>757</v>
      </c>
      <c r="C420" s="561"/>
      <c r="D420" s="561"/>
      <c r="E420" s="561"/>
      <c r="F420" s="561"/>
      <c r="G420" s="561"/>
      <c r="H420" s="561"/>
      <c r="I420" s="561"/>
      <c r="J420" s="561"/>
      <c r="K420" s="561"/>
      <c r="L420" s="561"/>
      <c r="M420" s="561"/>
      <c r="N420" s="561"/>
      <c r="O420" s="561"/>
      <c r="P420" s="561"/>
      <c r="Q420" s="561"/>
      <c r="R420" s="561"/>
      <c r="S420" s="561"/>
      <c r="T420" s="561"/>
      <c r="U420" s="561"/>
      <c r="V420" s="561"/>
      <c r="W420" s="561"/>
      <c r="X420" s="561"/>
      <c r="Y420" s="561"/>
      <c r="Z420" s="561"/>
      <c r="AA420" s="561"/>
      <c r="AB420" s="561"/>
      <c r="AC420" s="561"/>
      <c r="AD420" s="561"/>
      <c r="AE420" s="561"/>
      <c r="AF420" s="561"/>
      <c r="AG420" s="561"/>
      <c r="AH420" s="561"/>
      <c r="AI420" s="561"/>
      <c r="AJ420" s="561"/>
      <c r="AK420" s="561"/>
      <c r="AL420" s="561"/>
      <c r="AM420" s="561"/>
      <c r="AN420" s="561"/>
      <c r="AO420" s="561"/>
      <c r="AP420" s="561"/>
      <c r="AQ420" s="561"/>
      <c r="AR420" s="561"/>
      <c r="AS420" s="561"/>
      <c r="AT420" s="561"/>
      <c r="AU420" s="561"/>
      <c r="AV420" s="561"/>
      <c r="AW420" s="561"/>
      <c r="AX420" s="561"/>
      <c r="AY420" s="561"/>
      <c r="AZ420" s="561"/>
      <c r="BA420" s="561"/>
      <c r="BB420" s="561"/>
      <c r="BC420" s="561"/>
      <c r="BD420" s="561"/>
      <c r="BE420" s="561"/>
      <c r="BF420" s="561"/>
      <c r="BG420" s="561"/>
      <c r="BH420" s="561"/>
      <c r="BI420" s="561"/>
      <c r="BJ420" s="561"/>
      <c r="BK420" s="561"/>
      <c r="BL420" s="561"/>
      <c r="BM420" s="561"/>
      <c r="BN420" s="561"/>
      <c r="BO420" s="561"/>
      <c r="BP420" s="561"/>
      <c r="BQ420" s="561"/>
      <c r="BR420" s="561"/>
      <c r="BS420" s="561"/>
      <c r="BT420" s="561"/>
      <c r="BU420" s="561"/>
      <c r="BV420" s="561"/>
      <c r="BW420" s="561"/>
      <c r="BX420" s="561"/>
      <c r="BY420" s="561"/>
      <c r="BZ420" s="561"/>
      <c r="CA420" s="561"/>
      <c r="CB420" s="561"/>
      <c r="CC420" s="561"/>
      <c r="CD420" s="561"/>
      <c r="CE420" s="561"/>
      <c r="CF420" s="561"/>
      <c r="CG420" s="561"/>
      <c r="CH420" s="561"/>
      <c r="CI420" s="561"/>
      <c r="CJ420" s="561"/>
      <c r="CK420" s="561"/>
      <c r="CL420" s="561"/>
      <c r="CM420" s="561"/>
      <c r="CN420" s="561"/>
      <c r="CO420" s="561"/>
      <c r="CP420" s="561"/>
      <c r="CQ420" s="561"/>
      <c r="CR420" s="561"/>
      <c r="CS420" s="561"/>
      <c r="CT420" s="561"/>
      <c r="CU420" s="561"/>
      <c r="CV420" s="561"/>
      <c r="CW420" s="561"/>
      <c r="CX420" s="561"/>
      <c r="CY420" s="561"/>
      <c r="CZ420" s="561"/>
      <c r="DA420" s="757"/>
      <c r="DB420" s="738"/>
      <c r="DC420" s="561"/>
      <c r="DD420" s="561"/>
      <c r="DE420" s="561"/>
      <c r="DF420" s="561"/>
      <c r="DG420" s="561"/>
      <c r="DH420" s="738"/>
      <c r="DI420" s="561"/>
      <c r="DJ420" s="561"/>
      <c r="DK420" s="561"/>
      <c r="DL420" s="561"/>
      <c r="DM420" s="738"/>
      <c r="DN420" s="738"/>
      <c r="DO420" s="662"/>
      <c r="DP420" s="662"/>
      <c r="DQ420" s="662"/>
      <c r="DR420" s="662"/>
      <c r="DS420" s="739"/>
      <c r="DT420" s="739"/>
      <c r="DU420" s="662"/>
      <c r="DV420" s="662"/>
      <c r="DW420" s="662"/>
      <c r="DX420" s="662"/>
      <c r="DY420" s="739"/>
      <c r="DZ420" s="739"/>
      <c r="EA420" s="662"/>
      <c r="EB420" s="662"/>
      <c r="EC420" s="662"/>
      <c r="ED420" s="662"/>
      <c r="EE420" s="739"/>
      <c r="EF420" s="739"/>
      <c r="EG420" s="662"/>
      <c r="EH420" s="662"/>
      <c r="EI420" s="662"/>
      <c r="EJ420" s="662"/>
      <c r="EK420" s="758"/>
      <c r="EL420" s="758"/>
      <c r="EM420" s="828"/>
      <c r="FP420" s="311"/>
    </row>
    <row r="421" spans="2:172" ht="12" x14ac:dyDescent="0.25">
      <c r="D421" s="445"/>
      <c r="E421" s="480"/>
      <c r="F421" s="480"/>
      <c r="H421" s="481"/>
      <c r="J421" s="445"/>
      <c r="K421" s="481"/>
      <c r="L421" s="481"/>
      <c r="M421" s="481"/>
      <c r="N421" s="481"/>
      <c r="P421" s="445"/>
      <c r="Q421" s="481"/>
      <c r="R421" s="481"/>
      <c r="S421" s="481"/>
      <c r="T421" s="481"/>
      <c r="U421" s="458"/>
      <c r="V421" s="458"/>
      <c r="W421" s="481"/>
      <c r="X421" s="481"/>
      <c r="Y421" s="481"/>
      <c r="Z421" s="458"/>
      <c r="AA421" s="458"/>
      <c r="AB421" s="458"/>
      <c r="AC421" s="274"/>
      <c r="AD421" s="481"/>
      <c r="AE421" s="481"/>
      <c r="AF421" s="458"/>
      <c r="AG421" s="458"/>
      <c r="AI421" s="458"/>
      <c r="AJ421" s="458"/>
      <c r="AK421" s="458"/>
      <c r="AL421" s="458"/>
      <c r="AS421" s="458"/>
      <c r="DG421" s="311"/>
      <c r="DY421" s="754"/>
      <c r="EK421" s="403"/>
      <c r="EL421" s="403"/>
      <c r="EM421" s="828"/>
      <c r="FP421" s="311"/>
    </row>
    <row r="422" spans="2:172" ht="12" x14ac:dyDescent="0.25">
      <c r="B422" s="325" t="s">
        <v>747</v>
      </c>
      <c r="D422" s="445"/>
      <c r="E422" s="480"/>
      <c r="F422" s="480"/>
      <c r="H422" s="481"/>
      <c r="J422" s="445"/>
      <c r="K422" s="481"/>
      <c r="L422" s="481"/>
      <c r="M422" s="481"/>
      <c r="N422" s="481"/>
      <c r="P422" s="445"/>
      <c r="Q422" s="481"/>
      <c r="R422" s="481"/>
      <c r="S422" s="481"/>
      <c r="T422" s="481"/>
      <c r="U422" s="458"/>
      <c r="V422" s="458"/>
      <c r="W422" s="481"/>
      <c r="X422" s="481"/>
      <c r="Y422" s="481"/>
      <c r="Z422" s="458"/>
      <c r="AA422" s="458"/>
      <c r="AB422" s="458"/>
      <c r="AC422" s="274"/>
      <c r="AD422" s="481"/>
      <c r="AE422" s="481"/>
      <c r="AF422" s="458"/>
      <c r="AG422" s="458"/>
      <c r="AI422" s="458"/>
      <c r="AJ422" s="458"/>
      <c r="AK422" s="458"/>
      <c r="AL422" s="458"/>
      <c r="AS422" s="458"/>
      <c r="DM422" s="694">
        <v>2257.2139999999999</v>
      </c>
      <c r="DN422" s="741"/>
      <c r="DO422" s="478"/>
      <c r="DP422" s="478"/>
      <c r="DQ422" s="478"/>
      <c r="DR422" s="478"/>
      <c r="DS422" s="694">
        <v>5862.5050000000001</v>
      </c>
      <c r="DY422" s="694">
        <f>DY394+DY400</f>
        <v>8982</v>
      </c>
      <c r="EA422" s="310">
        <f>EA430*EA8</f>
        <v>1549.9079999999999</v>
      </c>
      <c r="EB422" s="310">
        <f t="shared" ref="EB422:EC422" si="808">EB430*EB8</f>
        <v>1510.9470000000001</v>
      </c>
      <c r="EC422" s="310">
        <f t="shared" si="808"/>
        <v>2332.596</v>
      </c>
      <c r="ED422" s="310">
        <f>EE422-EC422-EB422-EA422</f>
        <v>2783.5490000000004</v>
      </c>
      <c r="EE422" s="694">
        <f>EE394+EE400</f>
        <v>8177</v>
      </c>
      <c r="EF422" s="824"/>
      <c r="EK422" s="694">
        <f>EK394+EK400</f>
        <v>6404.41</v>
      </c>
      <c r="EL422" s="694">
        <f>EL394+EL400</f>
        <v>6929.0707999999995</v>
      </c>
      <c r="EM422" s="894"/>
      <c r="FI422" s="310">
        <f t="shared" ref="FI422:FO422" si="809">FI417*FI8</f>
        <v>2143.8128925510882</v>
      </c>
      <c r="FJ422" s="310">
        <f t="shared" si="809"/>
        <v>2257.1476038493938</v>
      </c>
      <c r="FK422" s="310">
        <f t="shared" si="809"/>
        <v>5862.4702778286783</v>
      </c>
      <c r="FL422" s="310">
        <f t="shared" si="809"/>
        <v>8982</v>
      </c>
      <c r="FM422" s="310">
        <f t="shared" si="809"/>
        <v>8284.0275741227579</v>
      </c>
      <c r="FN422" s="310">
        <f t="shared" si="809"/>
        <v>6450.8162395309237</v>
      </c>
      <c r="FO422" s="310">
        <f t="shared" si="809"/>
        <v>6929.0707999999995</v>
      </c>
      <c r="FP422" s="311"/>
    </row>
    <row r="423" spans="2:172" x14ac:dyDescent="0.2">
      <c r="B423" s="325" t="s">
        <v>748</v>
      </c>
      <c r="DY423" s="694">
        <v>1221</v>
      </c>
      <c r="EE423" s="746">
        <f>DY423*1.1</f>
        <v>1343.1000000000001</v>
      </c>
      <c r="EK423" s="746">
        <f>EE423*1.05</f>
        <v>1410.2550000000001</v>
      </c>
      <c r="EL423" s="746">
        <f>EK423*1.05</f>
        <v>1480.7677500000002</v>
      </c>
      <c r="EM423" s="828"/>
      <c r="FP423" s="311"/>
    </row>
    <row r="424" spans="2:172" ht="12" x14ac:dyDescent="0.25">
      <c r="B424" s="444" t="s">
        <v>749</v>
      </c>
      <c r="DS424" s="311"/>
      <c r="DY424" s="743">
        <f>SUM(DY422:DY423)</f>
        <v>10203</v>
      </c>
      <c r="EE424" s="743">
        <v>9519.7000000000007</v>
      </c>
      <c r="EK424" s="743">
        <f>SUM(EK422:EK423)</f>
        <v>7814.665</v>
      </c>
      <c r="EL424" s="743">
        <f>SUM(EL422:EL423)</f>
        <v>8409.8385500000004</v>
      </c>
      <c r="EM424" s="828"/>
      <c r="FP424" s="311"/>
    </row>
    <row r="425" spans="2:172" ht="12" x14ac:dyDescent="0.25">
      <c r="B425" s="444"/>
      <c r="DY425" s="743"/>
      <c r="EE425" s="743"/>
      <c r="EK425" s="743"/>
      <c r="EL425" s="743"/>
      <c r="EM425" s="828"/>
      <c r="FP425" s="311"/>
    </row>
    <row r="426" spans="2:172" x14ac:dyDescent="0.2">
      <c r="B426" s="325" t="s">
        <v>754</v>
      </c>
      <c r="DS426" s="399">
        <f>DS422/DM422-1</f>
        <v>1.5972304796975387</v>
      </c>
      <c r="DY426" s="399">
        <f>DY422/DS422-1</f>
        <v>0.53210956749717053</v>
      </c>
      <c r="EE426" s="399">
        <f>EE422/DY422-1</f>
        <v>-8.9623691828100593E-2</v>
      </c>
      <c r="EK426" s="399">
        <f>EK422/EE422-1</f>
        <v>-0.21677754677754679</v>
      </c>
      <c r="EL426" s="399">
        <f>EL422/EK422-1</f>
        <v>8.1921800759164443E-2</v>
      </c>
      <c r="EM426" s="828"/>
      <c r="FP426" s="311"/>
    </row>
    <row r="427" spans="2:172" ht="12" x14ac:dyDescent="0.25">
      <c r="B427" s="325" t="s">
        <v>755</v>
      </c>
      <c r="DY427" s="743"/>
      <c r="EE427" s="399">
        <f>EE423/DY423-1</f>
        <v>0.10000000000000009</v>
      </c>
      <c r="EK427" s="399">
        <f>EK423/EE423-1</f>
        <v>5.0000000000000044E-2</v>
      </c>
      <c r="EL427" s="399">
        <f>EL423/EK423-1</f>
        <v>5.0000000000000044E-2</v>
      </c>
      <c r="EM427" s="828"/>
      <c r="FP427" s="311"/>
    </row>
    <row r="428" spans="2:172" ht="12" x14ac:dyDescent="0.25">
      <c r="B428" s="296" t="s">
        <v>756</v>
      </c>
      <c r="DY428" s="743"/>
      <c r="EE428" s="399">
        <f>EE424/DY424-1</f>
        <v>-6.6970498872880424E-2</v>
      </c>
      <c r="EK428" s="399">
        <f>EK424/EE424-1</f>
        <v>-0.17910595922140415</v>
      </c>
      <c r="EL428" s="399">
        <f>EL424/EK424-1</f>
        <v>7.6161108633575614E-2</v>
      </c>
      <c r="EM428" s="828"/>
      <c r="FP428" s="311"/>
    </row>
    <row r="429" spans="2:172" ht="12" x14ac:dyDescent="0.25">
      <c r="B429" s="444"/>
      <c r="DY429" s="743"/>
      <c r="EE429" s="743"/>
      <c r="EK429" s="743"/>
      <c r="EL429" s="743"/>
      <c r="EM429" s="828"/>
      <c r="FP429" s="311"/>
    </row>
    <row r="430" spans="2:172" x14ac:dyDescent="0.2">
      <c r="B430" s="325" t="s">
        <v>750</v>
      </c>
      <c r="DY430" s="399">
        <f>DY422/DY404</f>
        <v>0.41261076683495118</v>
      </c>
      <c r="EA430" s="895">
        <v>0.27</v>
      </c>
      <c r="EB430" s="895">
        <v>0.27</v>
      </c>
      <c r="EC430" s="895">
        <v>0.42</v>
      </c>
      <c r="ED430" s="895">
        <f>ED422/ED8</f>
        <v>0.36702914029535871</v>
      </c>
      <c r="EE430" s="399">
        <f>EE422/EE404</f>
        <v>0.33847863163084374</v>
      </c>
      <c r="EK430" s="399">
        <f>EK422/EK404</f>
        <v>0.22732555859177211</v>
      </c>
      <c r="EL430" s="399">
        <f>EL422/EL404</f>
        <v>0.18498167296583248</v>
      </c>
      <c r="EM430" s="828"/>
      <c r="FP430" s="311"/>
    </row>
    <row r="431" spans="2:172" x14ac:dyDescent="0.2">
      <c r="B431" s="325" t="s">
        <v>751</v>
      </c>
      <c r="DY431" s="399">
        <f>DY423/DY9</f>
        <v>0.18801392011333187</v>
      </c>
      <c r="EE431" s="399">
        <f>EE423/EE9</f>
        <v>0.16393462632279171</v>
      </c>
      <c r="EK431" s="399">
        <f>EK423/EK9</f>
        <v>0.15169578125336147</v>
      </c>
      <c r="EL431" s="399">
        <f>EL423/EL9</f>
        <v>0.14030659572855278</v>
      </c>
      <c r="EM431" s="828"/>
      <c r="FP431" s="311"/>
    </row>
    <row r="432" spans="2:172" x14ac:dyDescent="0.2">
      <c r="B432" s="296" t="s">
        <v>752</v>
      </c>
      <c r="DY432" s="404">
        <f>DY424/DY10</f>
        <v>0.36100329407102599</v>
      </c>
      <c r="EE432" s="404">
        <f>EE424/EE10</f>
        <v>0.2914146299652251</v>
      </c>
      <c r="EK432" s="404">
        <f>EK424/EK10</f>
        <v>0.2074308278782527</v>
      </c>
      <c r="EL432" s="404">
        <f>EL424/EL10</f>
        <v>0.17516137084924399</v>
      </c>
      <c r="EM432" s="828"/>
      <c r="FP432" s="311"/>
    </row>
    <row r="433" spans="1:174" x14ac:dyDescent="0.2">
      <c r="FP433" s="311"/>
    </row>
    <row r="434" spans="1:174" ht="12" x14ac:dyDescent="0.25">
      <c r="A434" s="638" t="s">
        <v>650</v>
      </c>
      <c r="B434" s="639"/>
      <c r="C434" s="639"/>
      <c r="D434" s="639"/>
      <c r="DO434" s="640" t="str">
        <f>DO$3</f>
        <v>1Q23</v>
      </c>
      <c r="DP434" s="640" t="str">
        <f>DP$3</f>
        <v>2Q23</v>
      </c>
      <c r="DQ434" s="640" t="str">
        <f>DQ$3</f>
        <v>3Q23</v>
      </c>
      <c r="DR434" s="640" t="str">
        <f>DR$3</f>
        <v>4Q23</v>
      </c>
      <c r="DS434" s="815">
        <f>DS$3</f>
        <v>2023</v>
      </c>
      <c r="DT434" s="815"/>
      <c r="DU434" s="640" t="str">
        <f>DU$3</f>
        <v>1Q24</v>
      </c>
      <c r="DV434" s="640" t="str">
        <f>DV$3</f>
        <v>2Q24</v>
      </c>
      <c r="DW434" s="640" t="str">
        <f>DW$3</f>
        <v>3Q24</v>
      </c>
      <c r="DX434" s="640" t="str">
        <f>DX$3</f>
        <v>4Q24</v>
      </c>
      <c r="DY434" s="815">
        <f>DY$3</f>
        <v>2024</v>
      </c>
      <c r="DZ434" s="815"/>
      <c r="EA434" s="640" t="str">
        <f>EA$3</f>
        <v>1Q25</v>
      </c>
      <c r="EB434" s="640" t="str">
        <f>EB$3</f>
        <v>2Q25</v>
      </c>
      <c r="EC434" s="640" t="str">
        <f>EC$3</f>
        <v>3Q25</v>
      </c>
      <c r="ED434" s="640" t="str">
        <f>ED$3</f>
        <v>4Q25</v>
      </c>
      <c r="EE434" s="815">
        <f>EE$3</f>
        <v>2025</v>
      </c>
      <c r="EF434" s="815"/>
      <c r="EG434" s="640" t="str">
        <f t="shared" ref="EG434:EL434" si="810">EG$3</f>
        <v>1Q26</v>
      </c>
      <c r="EH434" s="640" t="str">
        <f t="shared" si="810"/>
        <v>2Q26e</v>
      </c>
      <c r="EI434" s="640" t="str">
        <f t="shared" si="810"/>
        <v>3Q26e</v>
      </c>
      <c r="EJ434" s="640" t="str">
        <f t="shared" si="810"/>
        <v>4Q26e</v>
      </c>
      <c r="EK434" s="641" t="str">
        <f t="shared" si="810"/>
        <v>2026e</v>
      </c>
      <c r="EL434" s="641" t="str">
        <f t="shared" si="810"/>
        <v>2027e</v>
      </c>
      <c r="EM434" s="476"/>
      <c r="FA434" s="640">
        <f t="shared" ref="FA434:FR434" si="811">FA$3</f>
        <v>2013</v>
      </c>
      <c r="FB434" s="640">
        <f t="shared" si="811"/>
        <v>2014</v>
      </c>
      <c r="FC434" s="640">
        <f t="shared" si="811"/>
        <v>2015</v>
      </c>
      <c r="FD434" s="640">
        <f t="shared" si="811"/>
        <v>2016</v>
      </c>
      <c r="FE434" s="640">
        <f t="shared" si="811"/>
        <v>2017</v>
      </c>
      <c r="FF434" s="640">
        <f t="shared" si="811"/>
        <v>2018</v>
      </c>
      <c r="FG434" s="640">
        <f t="shared" si="811"/>
        <v>2019</v>
      </c>
      <c r="FH434" s="640">
        <f t="shared" si="811"/>
        <v>2020</v>
      </c>
      <c r="FI434" s="640">
        <f t="shared" si="811"/>
        <v>2021</v>
      </c>
      <c r="FJ434" s="640">
        <f t="shared" si="811"/>
        <v>2022</v>
      </c>
      <c r="FK434" s="640">
        <f t="shared" si="811"/>
        <v>2023</v>
      </c>
      <c r="FL434" s="640">
        <f t="shared" si="811"/>
        <v>2024</v>
      </c>
      <c r="FM434" s="640" t="str">
        <f t="shared" si="811"/>
        <v>2025e</v>
      </c>
      <c r="FN434" s="640" t="str">
        <f t="shared" si="811"/>
        <v>2026e</v>
      </c>
      <c r="FO434" s="640" t="str">
        <f t="shared" si="811"/>
        <v>2027e</v>
      </c>
      <c r="FP434" s="640" t="str">
        <f t="shared" si="811"/>
        <v>2028e</v>
      </c>
      <c r="FQ434" s="640" t="str">
        <f t="shared" si="811"/>
        <v>2029e</v>
      </c>
      <c r="FR434" s="640" t="str">
        <f t="shared" si="811"/>
        <v>2030e</v>
      </c>
    </row>
    <row r="435" spans="1:174" outlineLevel="1" x14ac:dyDescent="0.2">
      <c r="FP435" s="311"/>
    </row>
    <row r="436" spans="1:174" ht="12" outlineLevel="1" x14ac:dyDescent="0.25">
      <c r="B436" s="583" t="s">
        <v>623</v>
      </c>
      <c r="C436" s="584"/>
      <c r="D436" s="584"/>
      <c r="DO436" s="584"/>
      <c r="DP436" s="584"/>
      <c r="DQ436" s="584"/>
      <c r="DR436" s="584"/>
      <c r="DS436" s="816"/>
      <c r="DT436" s="738"/>
      <c r="DU436" s="584"/>
      <c r="DV436" s="584"/>
      <c r="DW436" s="584"/>
      <c r="DX436" s="584"/>
      <c r="DY436" s="816"/>
      <c r="DZ436" s="738"/>
      <c r="EA436" s="584"/>
      <c r="EB436" s="584"/>
      <c r="EC436" s="584"/>
      <c r="ED436" s="584"/>
      <c r="EE436" s="816"/>
      <c r="EF436" s="738"/>
      <c r="EG436" s="584"/>
      <c r="EH436" s="584"/>
      <c r="EI436" s="584"/>
      <c r="EJ436" s="584"/>
      <c r="EK436" s="585"/>
      <c r="EL436" s="585"/>
      <c r="FP436" s="311"/>
    </row>
    <row r="437" spans="1:174" outlineLevel="1" x14ac:dyDescent="0.2">
      <c r="B437" s="311" t="s">
        <v>581</v>
      </c>
      <c r="C437" s="322" t="s">
        <v>617</v>
      </c>
      <c r="DR437" s="328">
        <f t="shared" ref="DR437:DS443" si="812">DR239+DR296</f>
        <v>1</v>
      </c>
      <c r="DS437" s="798">
        <f t="shared" si="812"/>
        <v>1</v>
      </c>
      <c r="DU437" s="328">
        <f t="shared" ref="DU437:DY443" si="813">DU239+DU296</f>
        <v>1</v>
      </c>
      <c r="DV437" s="328">
        <f t="shared" si="813"/>
        <v>1</v>
      </c>
      <c r="DW437" s="328">
        <f t="shared" si="813"/>
        <v>1</v>
      </c>
      <c r="DX437" s="328">
        <f t="shared" si="813"/>
        <v>1</v>
      </c>
      <c r="DY437" s="798">
        <f t="shared" si="813"/>
        <v>1</v>
      </c>
      <c r="EA437" s="328">
        <f t="shared" ref="EA437:EE443" si="814">EA239+EA296</f>
        <v>1</v>
      </c>
      <c r="EB437" s="328">
        <f t="shared" si="814"/>
        <v>1</v>
      </c>
      <c r="EC437" s="328">
        <f t="shared" si="814"/>
        <v>0</v>
      </c>
      <c r="ED437" s="328">
        <f t="shared" si="814"/>
        <v>0</v>
      </c>
      <c r="EE437" s="798">
        <f t="shared" si="814"/>
        <v>0</v>
      </c>
      <c r="EG437" s="328">
        <f t="shared" ref="EG437:EL443" si="815">EG239+EG296</f>
        <v>0</v>
      </c>
      <c r="EH437" s="328">
        <f t="shared" si="815"/>
        <v>0</v>
      </c>
      <c r="EI437" s="328">
        <f t="shared" si="815"/>
        <v>1</v>
      </c>
      <c r="EJ437" s="328">
        <f t="shared" si="815"/>
        <v>4</v>
      </c>
      <c r="EK437" s="424">
        <f t="shared" si="815"/>
        <v>4</v>
      </c>
      <c r="EL437" s="424">
        <f t="shared" si="815"/>
        <v>7</v>
      </c>
      <c r="EM437" s="451"/>
      <c r="FK437" s="328">
        <f t="shared" ref="FK437:FK442" si="816">DS437</f>
        <v>1</v>
      </c>
      <c r="FL437" s="328">
        <f t="shared" ref="FL437:FL442" si="817">DY437</f>
        <v>1</v>
      </c>
      <c r="FM437" s="328">
        <f t="shared" ref="FM437:FM442" si="818">EE437</f>
        <v>0</v>
      </c>
      <c r="FN437" s="642">
        <f t="shared" ref="FN437:FO442" si="819">EK437</f>
        <v>4</v>
      </c>
      <c r="FO437" s="642">
        <f t="shared" si="819"/>
        <v>7</v>
      </c>
      <c r="FP437" s="328">
        <f t="shared" ref="FP437:FR443" si="820">FP239+FP296</f>
        <v>3</v>
      </c>
      <c r="FQ437" s="328">
        <f t="shared" si="820"/>
        <v>5</v>
      </c>
      <c r="FR437" s="328">
        <f t="shared" si="820"/>
        <v>2</v>
      </c>
    </row>
    <row r="438" spans="1:174" outlineLevel="1" x14ac:dyDescent="0.2">
      <c r="B438" s="311" t="s">
        <v>582</v>
      </c>
      <c r="C438" s="322" t="s">
        <v>617</v>
      </c>
      <c r="DR438" s="328">
        <f t="shared" si="812"/>
        <v>4</v>
      </c>
      <c r="DS438" s="798">
        <f t="shared" si="812"/>
        <v>4</v>
      </c>
      <c r="DU438" s="328">
        <f t="shared" si="813"/>
        <v>4</v>
      </c>
      <c r="DV438" s="328">
        <f t="shared" si="813"/>
        <v>4</v>
      </c>
      <c r="DW438" s="328">
        <f t="shared" si="813"/>
        <v>4</v>
      </c>
      <c r="DX438" s="328">
        <f t="shared" si="813"/>
        <v>4</v>
      </c>
      <c r="DY438" s="798">
        <f t="shared" si="813"/>
        <v>4</v>
      </c>
      <c r="EA438" s="328">
        <f t="shared" si="814"/>
        <v>4</v>
      </c>
      <c r="EB438" s="328">
        <f t="shared" si="814"/>
        <v>4</v>
      </c>
      <c r="EC438" s="328">
        <f t="shared" si="814"/>
        <v>4</v>
      </c>
      <c r="ED438" s="328">
        <f t="shared" si="814"/>
        <v>2</v>
      </c>
      <c r="EE438" s="798">
        <f t="shared" si="814"/>
        <v>2</v>
      </c>
      <c r="EG438" s="328">
        <f t="shared" si="815"/>
        <v>2</v>
      </c>
      <c r="EH438" s="328">
        <f t="shared" si="815"/>
        <v>2</v>
      </c>
      <c r="EI438" s="328">
        <f t="shared" si="815"/>
        <v>2</v>
      </c>
      <c r="EJ438" s="328">
        <f t="shared" si="815"/>
        <v>1</v>
      </c>
      <c r="EK438" s="424">
        <f t="shared" si="815"/>
        <v>1</v>
      </c>
      <c r="EL438" s="424">
        <f t="shared" si="815"/>
        <v>3</v>
      </c>
      <c r="EM438" s="451"/>
      <c r="FK438" s="328">
        <f t="shared" si="816"/>
        <v>4</v>
      </c>
      <c r="FL438" s="328">
        <f t="shared" si="817"/>
        <v>4</v>
      </c>
      <c r="FM438" s="328">
        <f t="shared" si="818"/>
        <v>2</v>
      </c>
      <c r="FN438" s="642">
        <f t="shared" si="819"/>
        <v>1</v>
      </c>
      <c r="FO438" s="642">
        <f t="shared" si="819"/>
        <v>3</v>
      </c>
      <c r="FP438" s="328">
        <f t="shared" si="820"/>
        <v>0</v>
      </c>
      <c r="FQ438" s="328">
        <f t="shared" si="820"/>
        <v>7</v>
      </c>
      <c r="FR438" s="328">
        <f t="shared" si="820"/>
        <v>5</v>
      </c>
    </row>
    <row r="439" spans="1:174" outlineLevel="1" x14ac:dyDescent="0.2">
      <c r="B439" s="311" t="s">
        <v>583</v>
      </c>
      <c r="C439" s="322" t="s">
        <v>617</v>
      </c>
      <c r="DR439" s="328">
        <f t="shared" si="812"/>
        <v>7</v>
      </c>
      <c r="DS439" s="798">
        <f t="shared" si="812"/>
        <v>7</v>
      </c>
      <c r="DU439" s="328">
        <f t="shared" si="813"/>
        <v>7</v>
      </c>
      <c r="DV439" s="328">
        <f t="shared" si="813"/>
        <v>7</v>
      </c>
      <c r="DW439" s="328">
        <f t="shared" si="813"/>
        <v>7</v>
      </c>
      <c r="DX439" s="328">
        <f t="shared" si="813"/>
        <v>5</v>
      </c>
      <c r="DY439" s="798">
        <f t="shared" si="813"/>
        <v>5</v>
      </c>
      <c r="EA439" s="328">
        <f t="shared" si="814"/>
        <v>5</v>
      </c>
      <c r="EB439" s="328">
        <f t="shared" si="814"/>
        <v>5</v>
      </c>
      <c r="EC439" s="328">
        <f t="shared" si="814"/>
        <v>5</v>
      </c>
      <c r="ED439" s="328">
        <f t="shared" si="814"/>
        <v>5</v>
      </c>
      <c r="EE439" s="798">
        <f t="shared" si="814"/>
        <v>5</v>
      </c>
      <c r="EG439" s="328">
        <f t="shared" si="815"/>
        <v>4</v>
      </c>
      <c r="EH439" s="328">
        <f t="shared" si="815"/>
        <v>4</v>
      </c>
      <c r="EI439" s="328">
        <f t="shared" si="815"/>
        <v>3</v>
      </c>
      <c r="EJ439" s="328">
        <f t="shared" si="815"/>
        <v>3</v>
      </c>
      <c r="EK439" s="424">
        <f t="shared" si="815"/>
        <v>3</v>
      </c>
      <c r="EL439" s="424">
        <f t="shared" si="815"/>
        <v>1</v>
      </c>
      <c r="EM439" s="451"/>
      <c r="FK439" s="328">
        <f t="shared" si="816"/>
        <v>7</v>
      </c>
      <c r="FL439" s="328">
        <f t="shared" si="817"/>
        <v>5</v>
      </c>
      <c r="FM439" s="328">
        <f t="shared" si="818"/>
        <v>5</v>
      </c>
      <c r="FN439" s="642">
        <f t="shared" si="819"/>
        <v>3</v>
      </c>
      <c r="FO439" s="642">
        <f t="shared" si="819"/>
        <v>1</v>
      </c>
      <c r="FP439" s="328">
        <f t="shared" si="820"/>
        <v>-2</v>
      </c>
      <c r="FQ439" s="328">
        <f t="shared" si="820"/>
        <v>-2</v>
      </c>
      <c r="FR439" s="328">
        <f t="shared" si="820"/>
        <v>-3</v>
      </c>
    </row>
    <row r="440" spans="1:174" outlineLevel="1" x14ac:dyDescent="0.2">
      <c r="B440" s="311" t="s">
        <v>585</v>
      </c>
      <c r="C440" s="322" t="s">
        <v>617</v>
      </c>
      <c r="DR440" s="328">
        <f t="shared" si="812"/>
        <v>2</v>
      </c>
      <c r="DS440" s="798">
        <f t="shared" si="812"/>
        <v>2</v>
      </c>
      <c r="DU440" s="328">
        <f t="shared" si="813"/>
        <v>2</v>
      </c>
      <c r="DV440" s="328">
        <f t="shared" si="813"/>
        <v>3</v>
      </c>
      <c r="DW440" s="328">
        <f t="shared" si="813"/>
        <v>3</v>
      </c>
      <c r="DX440" s="328">
        <f t="shared" si="813"/>
        <v>3</v>
      </c>
      <c r="DY440" s="798">
        <f t="shared" si="813"/>
        <v>3</v>
      </c>
      <c r="EA440" s="328">
        <f t="shared" si="814"/>
        <v>3</v>
      </c>
      <c r="EB440" s="328">
        <f t="shared" si="814"/>
        <v>3</v>
      </c>
      <c r="EC440" s="328">
        <f t="shared" si="814"/>
        <v>3</v>
      </c>
      <c r="ED440" s="328">
        <f t="shared" si="814"/>
        <v>2</v>
      </c>
      <c r="EE440" s="798">
        <f t="shared" si="814"/>
        <v>2</v>
      </c>
      <c r="EG440" s="328">
        <f t="shared" si="815"/>
        <v>2</v>
      </c>
      <c r="EH440" s="328">
        <f t="shared" si="815"/>
        <v>2</v>
      </c>
      <c r="EI440" s="328">
        <f t="shared" si="815"/>
        <v>2</v>
      </c>
      <c r="EJ440" s="328">
        <f t="shared" si="815"/>
        <v>2</v>
      </c>
      <c r="EK440" s="424">
        <f t="shared" si="815"/>
        <v>2</v>
      </c>
      <c r="EL440" s="424">
        <f t="shared" si="815"/>
        <v>3</v>
      </c>
      <c r="EM440" s="451"/>
      <c r="FK440" s="328">
        <f t="shared" si="816"/>
        <v>2</v>
      </c>
      <c r="FL440" s="328">
        <f t="shared" si="817"/>
        <v>3</v>
      </c>
      <c r="FM440" s="328">
        <f t="shared" si="818"/>
        <v>2</v>
      </c>
      <c r="FN440" s="642">
        <f t="shared" si="819"/>
        <v>2</v>
      </c>
      <c r="FO440" s="642">
        <f t="shared" si="819"/>
        <v>3</v>
      </c>
      <c r="FP440" s="328">
        <f t="shared" si="820"/>
        <v>1</v>
      </c>
      <c r="FQ440" s="328">
        <f t="shared" si="820"/>
        <v>0</v>
      </c>
      <c r="FR440" s="328">
        <f t="shared" si="820"/>
        <v>0</v>
      </c>
    </row>
    <row r="441" spans="1:174" outlineLevel="1" x14ac:dyDescent="0.2">
      <c r="B441" s="311" t="s">
        <v>584</v>
      </c>
      <c r="C441" s="322" t="s">
        <v>617</v>
      </c>
      <c r="DR441" s="328">
        <f t="shared" si="812"/>
        <v>2</v>
      </c>
      <c r="DS441" s="798">
        <f t="shared" si="812"/>
        <v>2</v>
      </c>
      <c r="DU441" s="328">
        <f t="shared" si="813"/>
        <v>2</v>
      </c>
      <c r="DV441" s="328">
        <f t="shared" si="813"/>
        <v>2</v>
      </c>
      <c r="DW441" s="328">
        <f t="shared" si="813"/>
        <v>2</v>
      </c>
      <c r="DX441" s="328">
        <f t="shared" si="813"/>
        <v>2</v>
      </c>
      <c r="DY441" s="798">
        <f t="shared" si="813"/>
        <v>2</v>
      </c>
      <c r="EA441" s="328">
        <f t="shared" si="814"/>
        <v>2</v>
      </c>
      <c r="EB441" s="328">
        <f t="shared" si="814"/>
        <v>2</v>
      </c>
      <c r="EC441" s="328">
        <f t="shared" si="814"/>
        <v>2</v>
      </c>
      <c r="ED441" s="328">
        <f t="shared" si="814"/>
        <v>1</v>
      </c>
      <c r="EE441" s="798">
        <f t="shared" si="814"/>
        <v>1</v>
      </c>
      <c r="EG441" s="328">
        <f t="shared" si="815"/>
        <v>0</v>
      </c>
      <c r="EH441" s="328">
        <f t="shared" si="815"/>
        <v>0</v>
      </c>
      <c r="EI441" s="328">
        <f t="shared" si="815"/>
        <v>0</v>
      </c>
      <c r="EJ441" s="328">
        <f t="shared" si="815"/>
        <v>1</v>
      </c>
      <c r="EK441" s="424">
        <f t="shared" si="815"/>
        <v>1</v>
      </c>
      <c r="EL441" s="424">
        <f t="shared" si="815"/>
        <v>2</v>
      </c>
      <c r="EM441" s="451"/>
      <c r="FK441" s="328">
        <f t="shared" si="816"/>
        <v>2</v>
      </c>
      <c r="FL441" s="328">
        <f t="shared" si="817"/>
        <v>2</v>
      </c>
      <c r="FM441" s="328">
        <f t="shared" si="818"/>
        <v>1</v>
      </c>
      <c r="FN441" s="642">
        <f t="shared" si="819"/>
        <v>1</v>
      </c>
      <c r="FO441" s="642">
        <f t="shared" si="819"/>
        <v>2</v>
      </c>
      <c r="FP441" s="328">
        <f t="shared" si="820"/>
        <v>1</v>
      </c>
      <c r="FQ441" s="328">
        <f t="shared" si="820"/>
        <v>1</v>
      </c>
      <c r="FR441" s="328">
        <f t="shared" si="820"/>
        <v>1</v>
      </c>
    </row>
    <row r="442" spans="1:174" outlineLevel="1" x14ac:dyDescent="0.2">
      <c r="B442" s="382" t="s">
        <v>164</v>
      </c>
      <c r="C442" s="350" t="s">
        <v>617</v>
      </c>
      <c r="DR442" s="643">
        <f t="shared" si="812"/>
        <v>1</v>
      </c>
      <c r="DS442" s="817">
        <f t="shared" si="812"/>
        <v>1</v>
      </c>
      <c r="DU442" s="643">
        <f t="shared" si="813"/>
        <v>1</v>
      </c>
      <c r="DV442" s="643">
        <f t="shared" si="813"/>
        <v>1</v>
      </c>
      <c r="DW442" s="643">
        <f t="shared" si="813"/>
        <v>1</v>
      </c>
      <c r="DX442" s="643">
        <f t="shared" si="813"/>
        <v>1</v>
      </c>
      <c r="DY442" s="817">
        <f t="shared" si="813"/>
        <v>1</v>
      </c>
      <c r="EA442" s="643">
        <f t="shared" si="814"/>
        <v>1</v>
      </c>
      <c r="EB442" s="643">
        <f t="shared" si="814"/>
        <v>1</v>
      </c>
      <c r="EC442" s="643">
        <f t="shared" si="814"/>
        <v>1</v>
      </c>
      <c r="ED442" s="643">
        <f t="shared" si="814"/>
        <v>0</v>
      </c>
      <c r="EE442" s="817">
        <f t="shared" si="814"/>
        <v>0</v>
      </c>
      <c r="EG442" s="643">
        <f t="shared" si="815"/>
        <v>1</v>
      </c>
      <c r="EH442" s="643">
        <f t="shared" si="815"/>
        <v>1</v>
      </c>
      <c r="EI442" s="643">
        <f t="shared" si="815"/>
        <v>1</v>
      </c>
      <c r="EJ442" s="643">
        <f t="shared" si="815"/>
        <v>1</v>
      </c>
      <c r="EK442" s="644">
        <f t="shared" si="815"/>
        <v>1</v>
      </c>
      <c r="EL442" s="644">
        <f t="shared" si="815"/>
        <v>3</v>
      </c>
      <c r="EM442" s="451"/>
      <c r="FK442" s="328">
        <f t="shared" si="816"/>
        <v>1</v>
      </c>
      <c r="FL442" s="328">
        <f t="shared" si="817"/>
        <v>1</v>
      </c>
      <c r="FM442" s="328">
        <f t="shared" si="818"/>
        <v>0</v>
      </c>
      <c r="FN442" s="642">
        <f t="shared" si="819"/>
        <v>1</v>
      </c>
      <c r="FO442" s="642">
        <f t="shared" si="819"/>
        <v>3</v>
      </c>
      <c r="FP442" s="328">
        <f t="shared" si="820"/>
        <v>2</v>
      </c>
      <c r="FQ442" s="643">
        <f t="shared" si="820"/>
        <v>2</v>
      </c>
      <c r="FR442" s="643">
        <f t="shared" si="820"/>
        <v>2</v>
      </c>
    </row>
    <row r="443" spans="1:174" ht="12" outlineLevel="1" x14ac:dyDescent="0.25">
      <c r="B443" s="590" t="s">
        <v>249</v>
      </c>
      <c r="C443" s="351" t="s">
        <v>617</v>
      </c>
      <c r="DR443" s="645">
        <f t="shared" si="812"/>
        <v>17</v>
      </c>
      <c r="DS443" s="818">
        <f t="shared" si="812"/>
        <v>17</v>
      </c>
      <c r="DU443" s="645">
        <f t="shared" si="813"/>
        <v>17</v>
      </c>
      <c r="DV443" s="645">
        <f t="shared" si="813"/>
        <v>18</v>
      </c>
      <c r="DW443" s="645">
        <f t="shared" si="813"/>
        <v>18</v>
      </c>
      <c r="DX443" s="645">
        <f t="shared" si="813"/>
        <v>16</v>
      </c>
      <c r="DY443" s="818">
        <f t="shared" si="813"/>
        <v>16</v>
      </c>
      <c r="EA443" s="645">
        <f t="shared" si="814"/>
        <v>16</v>
      </c>
      <c r="EB443" s="645">
        <f t="shared" si="814"/>
        <v>16</v>
      </c>
      <c r="EC443" s="645">
        <f t="shared" si="814"/>
        <v>15</v>
      </c>
      <c r="ED443" s="645">
        <f t="shared" si="814"/>
        <v>10</v>
      </c>
      <c r="EE443" s="818">
        <f t="shared" si="814"/>
        <v>10</v>
      </c>
      <c r="EG443" s="645">
        <f t="shared" si="815"/>
        <v>9</v>
      </c>
      <c r="EH443" s="645">
        <f t="shared" si="815"/>
        <v>9</v>
      </c>
      <c r="EI443" s="645">
        <f t="shared" si="815"/>
        <v>9</v>
      </c>
      <c r="EJ443" s="645">
        <f t="shared" si="815"/>
        <v>12</v>
      </c>
      <c r="EK443" s="646">
        <f t="shared" si="815"/>
        <v>12</v>
      </c>
      <c r="EL443" s="646">
        <f t="shared" si="815"/>
        <v>19</v>
      </c>
      <c r="EM443" s="593"/>
      <c r="FK443" s="645">
        <f>FK245+FK302</f>
        <v>17</v>
      </c>
      <c r="FL443" s="645">
        <f>FL245+FL302</f>
        <v>16</v>
      </c>
      <c r="FM443" s="645">
        <f>FM245+FM302</f>
        <v>10</v>
      </c>
      <c r="FN443" s="645">
        <f>FN245+FN302</f>
        <v>12</v>
      </c>
      <c r="FO443" s="645">
        <f>FO245+FO302</f>
        <v>19</v>
      </c>
      <c r="FP443" s="857">
        <f t="shared" si="820"/>
        <v>5</v>
      </c>
      <c r="FQ443" s="645">
        <f t="shared" si="820"/>
        <v>13</v>
      </c>
      <c r="FR443" s="645">
        <f t="shared" si="820"/>
        <v>7</v>
      </c>
    </row>
    <row r="444" spans="1:174" outlineLevel="1" x14ac:dyDescent="0.2">
      <c r="B444" s="382"/>
      <c r="C444" s="368"/>
      <c r="DR444" s="647"/>
      <c r="DS444" s="819"/>
      <c r="DU444" s="647"/>
      <c r="DV444" s="647"/>
      <c r="DW444" s="647"/>
      <c r="DX444" s="647"/>
      <c r="DY444" s="819"/>
      <c r="EA444" s="647"/>
      <c r="EB444" s="647"/>
      <c r="EC444" s="647"/>
      <c r="ED444" s="647"/>
      <c r="EE444" s="819"/>
      <c r="EG444" s="647"/>
      <c r="EH444" s="647"/>
      <c r="EI444" s="647"/>
      <c r="EJ444" s="647"/>
      <c r="EK444" s="648"/>
      <c r="EL444" s="648"/>
      <c r="EM444" s="600"/>
      <c r="FK444" s="647"/>
      <c r="FL444" s="647"/>
      <c r="FM444" s="647"/>
      <c r="FN444" s="647"/>
      <c r="FO444" s="647"/>
      <c r="FP444" s="594"/>
      <c r="FQ444" s="647"/>
      <c r="FR444" s="647"/>
    </row>
    <row r="445" spans="1:174" outlineLevel="1" x14ac:dyDescent="0.2">
      <c r="B445" s="311" t="s">
        <v>581</v>
      </c>
      <c r="C445" s="322" t="s">
        <v>618</v>
      </c>
      <c r="DR445" s="328">
        <f t="shared" ref="DR445:DS450" si="821">DR248+DR306</f>
        <v>250</v>
      </c>
      <c r="DS445" s="798">
        <f t="shared" si="821"/>
        <v>250</v>
      </c>
      <c r="DU445" s="328">
        <f t="shared" ref="DU445:DY450" si="822">DU248+DU306</f>
        <v>250</v>
      </c>
      <c r="DV445" s="328">
        <f t="shared" si="822"/>
        <v>250</v>
      </c>
      <c r="DW445" s="328">
        <f t="shared" si="822"/>
        <v>250</v>
      </c>
      <c r="DX445" s="328">
        <f t="shared" si="822"/>
        <v>250</v>
      </c>
      <c r="DY445" s="798">
        <f t="shared" si="822"/>
        <v>250</v>
      </c>
      <c r="EA445" s="328">
        <f t="shared" ref="EA445:EE450" si="823">EA248+EA306</f>
        <v>250</v>
      </c>
      <c r="EB445" s="328">
        <f t="shared" si="823"/>
        <v>360</v>
      </c>
      <c r="EC445" s="328">
        <f t="shared" si="823"/>
        <v>0</v>
      </c>
      <c r="ED445" s="328">
        <f t="shared" si="823"/>
        <v>0</v>
      </c>
      <c r="EE445" s="798">
        <f t="shared" si="823"/>
        <v>0</v>
      </c>
      <c r="EG445" s="328">
        <f t="shared" ref="EG445:EL450" si="824">EG248+EG306</f>
        <v>0</v>
      </c>
      <c r="EH445" s="328">
        <f t="shared" si="824"/>
        <v>0</v>
      </c>
      <c r="EI445" s="328">
        <f t="shared" si="824"/>
        <v>360</v>
      </c>
      <c r="EJ445" s="328">
        <f t="shared" si="824"/>
        <v>1440</v>
      </c>
      <c r="EK445" s="424">
        <f t="shared" si="824"/>
        <v>1440</v>
      </c>
      <c r="EL445" s="424">
        <f t="shared" si="824"/>
        <v>2555</v>
      </c>
      <c r="EM445" s="451"/>
      <c r="FK445" s="328">
        <f t="shared" ref="FK445:FK450" si="825">DS445</f>
        <v>250</v>
      </c>
      <c r="FL445" s="328">
        <f t="shared" ref="FL445:FL450" si="826">DY445</f>
        <v>250</v>
      </c>
      <c r="FM445" s="328">
        <f t="shared" ref="FM445:FM450" si="827">EE445</f>
        <v>0</v>
      </c>
      <c r="FN445" s="642">
        <f t="shared" ref="FN445:FO450" si="828">EK445</f>
        <v>1440</v>
      </c>
      <c r="FO445" s="642">
        <f t="shared" si="828"/>
        <v>2555</v>
      </c>
      <c r="FP445" s="328">
        <f t="shared" ref="FP445:FR450" si="829">FP248+FP306</f>
        <v>1080</v>
      </c>
      <c r="FQ445" s="328">
        <f t="shared" si="829"/>
        <v>1900</v>
      </c>
      <c r="FR445" s="328">
        <f t="shared" si="829"/>
        <v>770</v>
      </c>
    </row>
    <row r="446" spans="1:174" outlineLevel="1" x14ac:dyDescent="0.2">
      <c r="B446" s="311" t="s">
        <v>582</v>
      </c>
      <c r="C446" s="322" t="s">
        <v>618</v>
      </c>
      <c r="DR446" s="328">
        <f t="shared" si="821"/>
        <v>1330</v>
      </c>
      <c r="DS446" s="798">
        <f t="shared" si="821"/>
        <v>1330</v>
      </c>
      <c r="DU446" s="328">
        <f t="shared" si="822"/>
        <v>1330</v>
      </c>
      <c r="DV446" s="328">
        <f t="shared" si="822"/>
        <v>1330</v>
      </c>
      <c r="DW446" s="328">
        <f t="shared" si="822"/>
        <v>1330</v>
      </c>
      <c r="DX446" s="328">
        <f t="shared" si="822"/>
        <v>1330</v>
      </c>
      <c r="DY446" s="798">
        <f t="shared" si="822"/>
        <v>1330</v>
      </c>
      <c r="EA446" s="328">
        <f t="shared" si="823"/>
        <v>1330</v>
      </c>
      <c r="EB446" s="328">
        <f t="shared" si="823"/>
        <v>1330</v>
      </c>
      <c r="EC446" s="328">
        <f t="shared" si="823"/>
        <v>1330</v>
      </c>
      <c r="ED446" s="328">
        <f t="shared" si="823"/>
        <v>720</v>
      </c>
      <c r="EE446" s="798">
        <f t="shared" si="823"/>
        <v>720</v>
      </c>
      <c r="EG446" s="328">
        <f t="shared" si="824"/>
        <v>720</v>
      </c>
      <c r="EH446" s="328">
        <f t="shared" si="824"/>
        <v>720</v>
      </c>
      <c r="EI446" s="328">
        <f t="shared" si="824"/>
        <v>720</v>
      </c>
      <c r="EJ446" s="328">
        <f t="shared" si="824"/>
        <v>360</v>
      </c>
      <c r="EK446" s="424">
        <f t="shared" si="824"/>
        <v>360</v>
      </c>
      <c r="EL446" s="424">
        <f t="shared" si="824"/>
        <v>1095</v>
      </c>
      <c r="EM446" s="451"/>
      <c r="FK446" s="328">
        <f t="shared" si="825"/>
        <v>1330</v>
      </c>
      <c r="FL446" s="328">
        <f t="shared" si="826"/>
        <v>1330</v>
      </c>
      <c r="FM446" s="328">
        <f t="shared" si="827"/>
        <v>720</v>
      </c>
      <c r="FN446" s="642">
        <f t="shared" si="828"/>
        <v>360</v>
      </c>
      <c r="FO446" s="642">
        <f t="shared" si="828"/>
        <v>1095</v>
      </c>
      <c r="FP446" s="328">
        <f t="shared" si="829"/>
        <v>0</v>
      </c>
      <c r="FQ446" s="328">
        <f t="shared" si="829"/>
        <v>2660</v>
      </c>
      <c r="FR446" s="328">
        <f t="shared" si="829"/>
        <v>1925</v>
      </c>
    </row>
    <row r="447" spans="1:174" outlineLevel="1" x14ac:dyDescent="0.2">
      <c r="B447" s="311" t="s">
        <v>583</v>
      </c>
      <c r="C447" s="322" t="s">
        <v>618</v>
      </c>
      <c r="DR447" s="328">
        <f t="shared" si="821"/>
        <v>2300</v>
      </c>
      <c r="DS447" s="798">
        <f t="shared" si="821"/>
        <v>2300</v>
      </c>
      <c r="DU447" s="328">
        <f t="shared" si="822"/>
        <v>2300</v>
      </c>
      <c r="DV447" s="328">
        <f t="shared" si="822"/>
        <v>2300</v>
      </c>
      <c r="DW447" s="328">
        <f t="shared" si="822"/>
        <v>2300</v>
      </c>
      <c r="DX447" s="328">
        <f t="shared" si="822"/>
        <v>1800</v>
      </c>
      <c r="DY447" s="798">
        <f t="shared" si="822"/>
        <v>1800</v>
      </c>
      <c r="EA447" s="328">
        <f t="shared" si="823"/>
        <v>1800</v>
      </c>
      <c r="EB447" s="328">
        <f t="shared" si="823"/>
        <v>1800</v>
      </c>
      <c r="EC447" s="328">
        <f t="shared" si="823"/>
        <v>1800</v>
      </c>
      <c r="ED447" s="328">
        <f t="shared" si="823"/>
        <v>1800</v>
      </c>
      <c r="EE447" s="798">
        <f t="shared" si="823"/>
        <v>1800</v>
      </c>
      <c r="EG447" s="328">
        <f t="shared" si="824"/>
        <v>1440</v>
      </c>
      <c r="EH447" s="328">
        <f t="shared" si="824"/>
        <v>1440</v>
      </c>
      <c r="EI447" s="328">
        <f t="shared" si="824"/>
        <v>1080</v>
      </c>
      <c r="EJ447" s="328">
        <f t="shared" si="824"/>
        <v>1080</v>
      </c>
      <c r="EK447" s="424">
        <f t="shared" si="824"/>
        <v>1080</v>
      </c>
      <c r="EL447" s="424">
        <f t="shared" si="824"/>
        <v>365</v>
      </c>
      <c r="EM447" s="451"/>
      <c r="FK447" s="328">
        <f t="shared" si="825"/>
        <v>2300</v>
      </c>
      <c r="FL447" s="328">
        <f t="shared" si="826"/>
        <v>1800</v>
      </c>
      <c r="FM447" s="328">
        <f t="shared" si="827"/>
        <v>1800</v>
      </c>
      <c r="FN447" s="642">
        <f t="shared" si="828"/>
        <v>1080</v>
      </c>
      <c r="FO447" s="642">
        <f t="shared" si="828"/>
        <v>365</v>
      </c>
      <c r="FP447" s="328">
        <f t="shared" si="829"/>
        <v>-720</v>
      </c>
      <c r="FQ447" s="328">
        <f t="shared" si="829"/>
        <v>-760</v>
      </c>
      <c r="FR447" s="328">
        <f t="shared" si="829"/>
        <v>-1155</v>
      </c>
    </row>
    <row r="448" spans="1:174" outlineLevel="1" x14ac:dyDescent="0.2">
      <c r="B448" s="311" t="s">
        <v>585</v>
      </c>
      <c r="C448" s="322" t="s">
        <v>618</v>
      </c>
      <c r="DR448" s="328">
        <f t="shared" si="821"/>
        <v>610</v>
      </c>
      <c r="DS448" s="798">
        <f t="shared" si="821"/>
        <v>610</v>
      </c>
      <c r="DU448" s="328">
        <f t="shared" si="822"/>
        <v>610</v>
      </c>
      <c r="DV448" s="328">
        <f t="shared" si="822"/>
        <v>970</v>
      </c>
      <c r="DW448" s="328">
        <f t="shared" si="822"/>
        <v>970</v>
      </c>
      <c r="DX448" s="328">
        <f t="shared" si="822"/>
        <v>970</v>
      </c>
      <c r="DY448" s="798">
        <f t="shared" si="822"/>
        <v>970</v>
      </c>
      <c r="EA448" s="328">
        <f t="shared" si="823"/>
        <v>970</v>
      </c>
      <c r="EB448" s="328">
        <f t="shared" si="823"/>
        <v>970</v>
      </c>
      <c r="EC448" s="328">
        <f t="shared" si="823"/>
        <v>970</v>
      </c>
      <c r="ED448" s="328">
        <f t="shared" si="823"/>
        <v>720</v>
      </c>
      <c r="EE448" s="798">
        <f t="shared" si="823"/>
        <v>720</v>
      </c>
      <c r="EG448" s="328">
        <f t="shared" si="824"/>
        <v>720</v>
      </c>
      <c r="EH448" s="328">
        <f t="shared" si="824"/>
        <v>720</v>
      </c>
      <c r="EI448" s="328">
        <f t="shared" si="824"/>
        <v>720</v>
      </c>
      <c r="EJ448" s="328">
        <f t="shared" si="824"/>
        <v>720</v>
      </c>
      <c r="EK448" s="424">
        <f t="shared" si="824"/>
        <v>720</v>
      </c>
      <c r="EL448" s="424">
        <f t="shared" si="824"/>
        <v>1095</v>
      </c>
      <c r="EM448" s="451"/>
      <c r="FK448" s="328">
        <f t="shared" si="825"/>
        <v>610</v>
      </c>
      <c r="FL448" s="328">
        <f t="shared" si="826"/>
        <v>970</v>
      </c>
      <c r="FM448" s="328">
        <f t="shared" si="827"/>
        <v>720</v>
      </c>
      <c r="FN448" s="642">
        <f t="shared" si="828"/>
        <v>720</v>
      </c>
      <c r="FO448" s="642">
        <f t="shared" si="828"/>
        <v>1095</v>
      </c>
      <c r="FP448" s="328">
        <f t="shared" si="829"/>
        <v>360</v>
      </c>
      <c r="FQ448" s="328">
        <f t="shared" si="829"/>
        <v>0</v>
      </c>
      <c r="FR448" s="328">
        <f t="shared" si="829"/>
        <v>0</v>
      </c>
    </row>
    <row r="449" spans="2:174" outlineLevel="1" x14ac:dyDescent="0.2">
      <c r="B449" s="311" t="s">
        <v>584</v>
      </c>
      <c r="C449" s="322" t="s">
        <v>618</v>
      </c>
      <c r="DR449" s="328">
        <f t="shared" si="821"/>
        <v>610</v>
      </c>
      <c r="DS449" s="798">
        <f t="shared" si="821"/>
        <v>610</v>
      </c>
      <c r="DU449" s="328">
        <f t="shared" si="822"/>
        <v>610</v>
      </c>
      <c r="DV449" s="328">
        <f t="shared" si="822"/>
        <v>610</v>
      </c>
      <c r="DW449" s="328">
        <f t="shared" si="822"/>
        <v>610</v>
      </c>
      <c r="DX449" s="328">
        <f t="shared" si="822"/>
        <v>610</v>
      </c>
      <c r="DY449" s="798">
        <f t="shared" si="822"/>
        <v>610</v>
      </c>
      <c r="EA449" s="328">
        <f t="shared" si="823"/>
        <v>610</v>
      </c>
      <c r="EB449" s="328">
        <f t="shared" si="823"/>
        <v>610</v>
      </c>
      <c r="EC449" s="328">
        <f t="shared" si="823"/>
        <v>610</v>
      </c>
      <c r="ED449" s="328">
        <f t="shared" si="823"/>
        <v>360</v>
      </c>
      <c r="EE449" s="798">
        <f t="shared" si="823"/>
        <v>360</v>
      </c>
      <c r="EG449" s="328">
        <f t="shared" si="824"/>
        <v>0</v>
      </c>
      <c r="EH449" s="328">
        <f t="shared" si="824"/>
        <v>0</v>
      </c>
      <c r="EI449" s="328">
        <f t="shared" si="824"/>
        <v>0</v>
      </c>
      <c r="EJ449" s="328">
        <f t="shared" si="824"/>
        <v>360</v>
      </c>
      <c r="EK449" s="424">
        <f t="shared" si="824"/>
        <v>360</v>
      </c>
      <c r="EL449" s="424">
        <f t="shared" si="824"/>
        <v>730</v>
      </c>
      <c r="EM449" s="451"/>
      <c r="FK449" s="328">
        <f t="shared" si="825"/>
        <v>610</v>
      </c>
      <c r="FL449" s="328">
        <f t="shared" si="826"/>
        <v>610</v>
      </c>
      <c r="FM449" s="328">
        <f t="shared" si="827"/>
        <v>360</v>
      </c>
      <c r="FN449" s="642">
        <f t="shared" si="828"/>
        <v>360</v>
      </c>
      <c r="FO449" s="642">
        <f t="shared" si="828"/>
        <v>730</v>
      </c>
      <c r="FP449" s="328">
        <f t="shared" si="829"/>
        <v>360</v>
      </c>
      <c r="FQ449" s="328">
        <f t="shared" si="829"/>
        <v>380</v>
      </c>
      <c r="FR449" s="328">
        <f t="shared" si="829"/>
        <v>385</v>
      </c>
    </row>
    <row r="450" spans="2:174" outlineLevel="1" x14ac:dyDescent="0.2">
      <c r="B450" s="311" t="s">
        <v>164</v>
      </c>
      <c r="C450" s="322" t="s">
        <v>618</v>
      </c>
      <c r="DR450" s="328">
        <f t="shared" si="821"/>
        <v>250</v>
      </c>
      <c r="DS450" s="798">
        <f t="shared" si="821"/>
        <v>250</v>
      </c>
      <c r="DU450" s="328">
        <f t="shared" si="822"/>
        <v>250</v>
      </c>
      <c r="DV450" s="328">
        <f t="shared" si="822"/>
        <v>250</v>
      </c>
      <c r="DW450" s="328">
        <f t="shared" si="822"/>
        <v>250</v>
      </c>
      <c r="DX450" s="328">
        <f t="shared" si="822"/>
        <v>250</v>
      </c>
      <c r="DY450" s="798">
        <f t="shared" si="822"/>
        <v>250</v>
      </c>
      <c r="EA450" s="328">
        <f t="shared" si="823"/>
        <v>250</v>
      </c>
      <c r="EB450" s="328">
        <f t="shared" si="823"/>
        <v>250</v>
      </c>
      <c r="EC450" s="328">
        <f t="shared" si="823"/>
        <v>250</v>
      </c>
      <c r="ED450" s="328">
        <f t="shared" si="823"/>
        <v>0</v>
      </c>
      <c r="EE450" s="798">
        <f t="shared" si="823"/>
        <v>0</v>
      </c>
      <c r="EG450" s="328">
        <f t="shared" si="824"/>
        <v>360</v>
      </c>
      <c r="EH450" s="328">
        <f t="shared" si="824"/>
        <v>360</v>
      </c>
      <c r="EI450" s="328">
        <f t="shared" si="824"/>
        <v>360</v>
      </c>
      <c r="EJ450" s="328">
        <f t="shared" si="824"/>
        <v>360</v>
      </c>
      <c r="EK450" s="424">
        <f t="shared" si="824"/>
        <v>360</v>
      </c>
      <c r="EL450" s="424">
        <f t="shared" si="824"/>
        <v>1095</v>
      </c>
      <c r="EM450" s="451"/>
      <c r="FK450" s="328">
        <f t="shared" si="825"/>
        <v>250</v>
      </c>
      <c r="FL450" s="328">
        <f t="shared" si="826"/>
        <v>250</v>
      </c>
      <c r="FM450" s="328">
        <f t="shared" si="827"/>
        <v>0</v>
      </c>
      <c r="FN450" s="642">
        <f t="shared" si="828"/>
        <v>360</v>
      </c>
      <c r="FO450" s="642">
        <f t="shared" si="828"/>
        <v>1095</v>
      </c>
      <c r="FP450" s="328">
        <f t="shared" si="829"/>
        <v>720</v>
      </c>
      <c r="FQ450" s="328">
        <f t="shared" si="829"/>
        <v>760</v>
      </c>
      <c r="FR450" s="328">
        <f t="shared" si="829"/>
        <v>770</v>
      </c>
    </row>
    <row r="451" spans="2:174" ht="12" outlineLevel="1" x14ac:dyDescent="0.25">
      <c r="B451" s="590" t="s">
        <v>249</v>
      </c>
      <c r="C451" s="351" t="s">
        <v>618</v>
      </c>
      <c r="DR451" s="645">
        <f>SUM(DR445:DR450)</f>
        <v>5350</v>
      </c>
      <c r="DS451" s="818">
        <f>SUM(DS445:DS450)</f>
        <v>5350</v>
      </c>
      <c r="DU451" s="645">
        <f>SUM(DU445:DU450)</f>
        <v>5350</v>
      </c>
      <c r="DV451" s="645">
        <f>SUM(DV445:DV450)</f>
        <v>5710</v>
      </c>
      <c r="DW451" s="645">
        <f>SUM(DW445:DW450)</f>
        <v>5710</v>
      </c>
      <c r="DX451" s="645">
        <f>SUM(DX445:DX450)</f>
        <v>5210</v>
      </c>
      <c r="DY451" s="818">
        <f>SUM(DY445:DY450)</f>
        <v>5210</v>
      </c>
      <c r="EA451" s="645">
        <f>SUM(EA445:EA450)</f>
        <v>5210</v>
      </c>
      <c r="EB451" s="645">
        <f>SUM(EB445:EB450)</f>
        <v>5320</v>
      </c>
      <c r="EC451" s="645">
        <f>SUM(EC445:EC450)</f>
        <v>4960</v>
      </c>
      <c r="ED451" s="645">
        <f>SUM(ED445:ED450)</f>
        <v>3600</v>
      </c>
      <c r="EE451" s="818">
        <f>SUM(EE445:EE450)</f>
        <v>3600</v>
      </c>
      <c r="EG451" s="645">
        <f t="shared" ref="EG451:EL451" si="830">SUM(EG445:EG450)</f>
        <v>3240</v>
      </c>
      <c r="EH451" s="645">
        <f t="shared" si="830"/>
        <v>3240</v>
      </c>
      <c r="EI451" s="645">
        <f t="shared" si="830"/>
        <v>3240</v>
      </c>
      <c r="EJ451" s="645">
        <f t="shared" si="830"/>
        <v>4320</v>
      </c>
      <c r="EK451" s="646">
        <f t="shared" si="830"/>
        <v>4320</v>
      </c>
      <c r="EL451" s="646">
        <f t="shared" si="830"/>
        <v>6935</v>
      </c>
      <c r="EM451" s="593"/>
      <c r="FK451" s="645">
        <f t="shared" ref="FK451:FR451" si="831">SUM(FK445:FK450)</f>
        <v>5350</v>
      </c>
      <c r="FL451" s="645">
        <f t="shared" si="831"/>
        <v>5210</v>
      </c>
      <c r="FM451" s="645">
        <f t="shared" si="831"/>
        <v>3600</v>
      </c>
      <c r="FN451" s="645">
        <f t="shared" si="831"/>
        <v>4320</v>
      </c>
      <c r="FO451" s="645">
        <f t="shared" si="831"/>
        <v>6935</v>
      </c>
      <c r="FP451" s="857">
        <f t="shared" si="831"/>
        <v>1800</v>
      </c>
      <c r="FQ451" s="645">
        <f t="shared" si="831"/>
        <v>4940</v>
      </c>
      <c r="FR451" s="645">
        <f t="shared" si="831"/>
        <v>2695</v>
      </c>
    </row>
    <row r="452" spans="2:174" outlineLevel="1" x14ac:dyDescent="0.2">
      <c r="C452" s="368"/>
      <c r="DR452" s="594"/>
      <c r="DS452" s="764"/>
      <c r="DU452" s="594"/>
      <c r="DV452" s="594"/>
      <c r="DW452" s="594"/>
      <c r="DX452" s="594"/>
      <c r="DY452" s="764"/>
      <c r="EA452" s="594"/>
      <c r="EB452" s="594"/>
      <c r="EC452" s="594"/>
      <c r="ED452" s="594"/>
      <c r="EE452" s="764"/>
      <c r="EG452" s="594"/>
      <c r="EH452" s="594"/>
      <c r="EI452" s="594"/>
      <c r="EJ452" s="594"/>
      <c r="EK452" s="595"/>
      <c r="EL452" s="595"/>
      <c r="EM452" s="600"/>
      <c r="FK452" s="594"/>
      <c r="FL452" s="594"/>
      <c r="FM452" s="594"/>
      <c r="FN452" s="594"/>
      <c r="FO452" s="594"/>
      <c r="FP452" s="594"/>
      <c r="FQ452" s="594"/>
      <c r="FR452" s="594"/>
    </row>
    <row r="453" spans="2:174" outlineLevel="1" x14ac:dyDescent="0.2">
      <c r="FP453" s="311"/>
    </row>
    <row r="454" spans="2:174" outlineLevel="1" x14ac:dyDescent="0.2">
      <c r="FP454" s="311"/>
    </row>
    <row r="455" spans="2:174" ht="12" outlineLevel="1" x14ac:dyDescent="0.25">
      <c r="B455" s="583" t="s">
        <v>616</v>
      </c>
      <c r="C455" s="583"/>
      <c r="D455" s="583"/>
      <c r="DO455" s="583"/>
      <c r="DP455" s="583"/>
      <c r="DQ455" s="583"/>
      <c r="DR455" s="583"/>
      <c r="DS455" s="820"/>
      <c r="DT455" s="738"/>
      <c r="DU455" s="583"/>
      <c r="DV455" s="583"/>
      <c r="DW455" s="583"/>
      <c r="DX455" s="583"/>
      <c r="DY455" s="820"/>
      <c r="DZ455" s="738"/>
      <c r="EA455" s="583"/>
      <c r="EB455" s="583"/>
      <c r="EC455" s="583"/>
      <c r="ED455" s="583"/>
      <c r="EE455" s="820"/>
      <c r="EF455" s="738"/>
      <c r="EG455" s="583"/>
      <c r="EH455" s="583"/>
      <c r="EI455" s="583"/>
      <c r="EJ455" s="583"/>
      <c r="EK455" s="649"/>
      <c r="EL455" s="649"/>
      <c r="FP455" s="311"/>
    </row>
    <row r="456" spans="2:174" outlineLevel="1" x14ac:dyDescent="0.2">
      <c r="B456" s="311" t="s">
        <v>581</v>
      </c>
      <c r="C456" s="322" t="s">
        <v>617</v>
      </c>
      <c r="DR456" s="310">
        <f t="shared" ref="DR456:DS461" si="832">DR182+DR437</f>
        <v>13</v>
      </c>
      <c r="DS456" s="694">
        <f t="shared" si="832"/>
        <v>13</v>
      </c>
      <c r="DU456" s="310">
        <f t="shared" ref="DU456:DY461" si="833">DU182+DU437</f>
        <v>13</v>
      </c>
      <c r="DV456" s="310">
        <f t="shared" si="833"/>
        <v>18</v>
      </c>
      <c r="DW456" s="310">
        <f t="shared" si="833"/>
        <v>19</v>
      </c>
      <c r="DX456" s="310">
        <f t="shared" si="833"/>
        <v>22</v>
      </c>
      <c r="DY456" s="694">
        <f t="shared" si="833"/>
        <v>22</v>
      </c>
      <c r="EA456" s="310">
        <f t="shared" ref="EA456:EE461" si="834">EA182+EA437</f>
        <v>18</v>
      </c>
      <c r="EB456" s="310">
        <f t="shared" si="834"/>
        <v>19</v>
      </c>
      <c r="EC456" s="310">
        <f t="shared" si="834"/>
        <v>21</v>
      </c>
      <c r="ED456" s="310">
        <f t="shared" si="834"/>
        <v>28</v>
      </c>
      <c r="EE456" s="694">
        <f t="shared" si="834"/>
        <v>28</v>
      </c>
      <c r="EG456" s="310">
        <f t="shared" ref="EG456:EL461" si="835">EG182+EG437</f>
        <v>33</v>
      </c>
      <c r="EH456" s="310">
        <f t="shared" si="835"/>
        <v>37</v>
      </c>
      <c r="EI456" s="310">
        <f t="shared" si="835"/>
        <v>36</v>
      </c>
      <c r="EJ456" s="310">
        <f t="shared" si="835"/>
        <v>33</v>
      </c>
      <c r="EK456" s="450">
        <f t="shared" si="835"/>
        <v>33</v>
      </c>
      <c r="EL456" s="450">
        <f t="shared" si="835"/>
        <v>21</v>
      </c>
      <c r="EM456" s="451"/>
      <c r="FK456" s="310">
        <f t="shared" ref="FK456:FK461" si="836">DS456</f>
        <v>13</v>
      </c>
      <c r="FL456" s="310">
        <f t="shared" ref="FL456:FL461" si="837">DY456</f>
        <v>22</v>
      </c>
      <c r="FM456" s="310">
        <f t="shared" ref="FM456:FM461" si="838">EE456</f>
        <v>28</v>
      </c>
      <c r="FN456" s="373">
        <f t="shared" ref="FN456:FO461" si="839">EK456</f>
        <v>33</v>
      </c>
      <c r="FO456" s="373">
        <f t="shared" si="839"/>
        <v>21</v>
      </c>
      <c r="FP456" s="310">
        <f t="shared" ref="FP456:FR461" si="840">FP182+FP437</f>
        <v>5</v>
      </c>
      <c r="FQ456" s="310">
        <f t="shared" si="840"/>
        <v>3</v>
      </c>
      <c r="FR456" s="310">
        <f t="shared" si="840"/>
        <v>-1</v>
      </c>
    </row>
    <row r="457" spans="2:174" outlineLevel="1" x14ac:dyDescent="0.2">
      <c r="B457" s="311" t="s">
        <v>582</v>
      </c>
      <c r="C457" s="322" t="s">
        <v>617</v>
      </c>
      <c r="DR457" s="310">
        <f t="shared" si="832"/>
        <v>32</v>
      </c>
      <c r="DS457" s="694">
        <f t="shared" si="832"/>
        <v>32</v>
      </c>
      <c r="DU457" s="310">
        <f t="shared" si="833"/>
        <v>31</v>
      </c>
      <c r="DV457" s="310">
        <f t="shared" si="833"/>
        <v>32</v>
      </c>
      <c r="DW457" s="310">
        <f t="shared" si="833"/>
        <v>30</v>
      </c>
      <c r="DX457" s="310">
        <f t="shared" si="833"/>
        <v>30</v>
      </c>
      <c r="DY457" s="694">
        <f t="shared" si="833"/>
        <v>30</v>
      </c>
      <c r="EA457" s="310">
        <f t="shared" si="834"/>
        <v>28</v>
      </c>
      <c r="EB457" s="310">
        <f t="shared" si="834"/>
        <v>25</v>
      </c>
      <c r="EC457" s="310">
        <f t="shared" si="834"/>
        <v>27</v>
      </c>
      <c r="ED457" s="310">
        <f t="shared" si="834"/>
        <v>35</v>
      </c>
      <c r="EE457" s="694">
        <f t="shared" si="834"/>
        <v>35</v>
      </c>
      <c r="EG457" s="310">
        <f t="shared" si="835"/>
        <v>35</v>
      </c>
      <c r="EH457" s="310">
        <f t="shared" si="835"/>
        <v>35</v>
      </c>
      <c r="EI457" s="310">
        <f t="shared" si="835"/>
        <v>33</v>
      </c>
      <c r="EJ457" s="310">
        <f t="shared" si="835"/>
        <v>28</v>
      </c>
      <c r="EK457" s="450">
        <f t="shared" si="835"/>
        <v>28</v>
      </c>
      <c r="EL457" s="450">
        <f t="shared" si="835"/>
        <v>15</v>
      </c>
      <c r="EM457" s="451"/>
      <c r="FK457" s="310">
        <f t="shared" si="836"/>
        <v>32</v>
      </c>
      <c r="FL457" s="310">
        <f t="shared" si="837"/>
        <v>30</v>
      </c>
      <c r="FM457" s="310">
        <f t="shared" si="838"/>
        <v>35</v>
      </c>
      <c r="FN457" s="373">
        <f t="shared" si="839"/>
        <v>28</v>
      </c>
      <c r="FO457" s="373">
        <f t="shared" si="839"/>
        <v>15</v>
      </c>
      <c r="FP457" s="310">
        <f t="shared" si="840"/>
        <v>-3</v>
      </c>
      <c r="FQ457" s="310">
        <f t="shared" si="840"/>
        <v>4</v>
      </c>
      <c r="FR457" s="310">
        <f t="shared" si="840"/>
        <v>2</v>
      </c>
    </row>
    <row r="458" spans="2:174" outlineLevel="1" x14ac:dyDescent="0.2">
      <c r="B458" s="311" t="s">
        <v>583</v>
      </c>
      <c r="C458" s="322" t="s">
        <v>617</v>
      </c>
      <c r="DR458" s="310">
        <f t="shared" si="832"/>
        <v>25</v>
      </c>
      <c r="DS458" s="694">
        <f t="shared" si="832"/>
        <v>25</v>
      </c>
      <c r="DU458" s="310">
        <f t="shared" si="833"/>
        <v>23</v>
      </c>
      <c r="DV458" s="310">
        <f t="shared" si="833"/>
        <v>22</v>
      </c>
      <c r="DW458" s="310">
        <f t="shared" si="833"/>
        <v>19</v>
      </c>
      <c r="DX458" s="310">
        <f t="shared" si="833"/>
        <v>15</v>
      </c>
      <c r="DY458" s="694">
        <f t="shared" si="833"/>
        <v>15</v>
      </c>
      <c r="EA458" s="310">
        <f t="shared" si="834"/>
        <v>13</v>
      </c>
      <c r="EB458" s="310">
        <f t="shared" si="834"/>
        <v>12</v>
      </c>
      <c r="EC458" s="310">
        <f t="shared" si="834"/>
        <v>12</v>
      </c>
      <c r="ED458" s="310">
        <f t="shared" si="834"/>
        <v>12</v>
      </c>
      <c r="EE458" s="694">
        <f t="shared" si="834"/>
        <v>12</v>
      </c>
      <c r="EG458" s="310">
        <f t="shared" si="835"/>
        <v>13</v>
      </c>
      <c r="EH458" s="310">
        <f t="shared" si="835"/>
        <v>15</v>
      </c>
      <c r="EI458" s="310">
        <f t="shared" si="835"/>
        <v>14</v>
      </c>
      <c r="EJ458" s="310">
        <f t="shared" si="835"/>
        <v>13</v>
      </c>
      <c r="EK458" s="450">
        <f t="shared" si="835"/>
        <v>13</v>
      </c>
      <c r="EL458" s="450">
        <f t="shared" si="835"/>
        <v>13</v>
      </c>
      <c r="EM458" s="451"/>
      <c r="FK458" s="310">
        <f t="shared" si="836"/>
        <v>25</v>
      </c>
      <c r="FL458" s="310">
        <f t="shared" si="837"/>
        <v>15</v>
      </c>
      <c r="FM458" s="310">
        <f t="shared" si="838"/>
        <v>12</v>
      </c>
      <c r="FN458" s="373">
        <f t="shared" si="839"/>
        <v>13</v>
      </c>
      <c r="FO458" s="373">
        <f t="shared" si="839"/>
        <v>13</v>
      </c>
      <c r="FP458" s="310">
        <f t="shared" si="840"/>
        <v>2</v>
      </c>
      <c r="FQ458" s="310">
        <f t="shared" si="840"/>
        <v>7</v>
      </c>
      <c r="FR458" s="310">
        <f t="shared" si="840"/>
        <v>9</v>
      </c>
    </row>
    <row r="459" spans="2:174" outlineLevel="1" x14ac:dyDescent="0.2">
      <c r="B459" s="311" t="s">
        <v>585</v>
      </c>
      <c r="C459" s="322" t="s">
        <v>617</v>
      </c>
      <c r="DR459" s="310">
        <f t="shared" si="832"/>
        <v>10</v>
      </c>
      <c r="DS459" s="694">
        <f t="shared" si="832"/>
        <v>10</v>
      </c>
      <c r="DU459" s="310">
        <f t="shared" si="833"/>
        <v>8</v>
      </c>
      <c r="DV459" s="310">
        <f t="shared" si="833"/>
        <v>9</v>
      </c>
      <c r="DW459" s="310">
        <f t="shared" si="833"/>
        <v>9</v>
      </c>
      <c r="DX459" s="310">
        <f t="shared" si="833"/>
        <v>9</v>
      </c>
      <c r="DY459" s="694">
        <f t="shared" si="833"/>
        <v>9</v>
      </c>
      <c r="EA459" s="310">
        <f t="shared" si="834"/>
        <v>7</v>
      </c>
      <c r="EB459" s="310">
        <f t="shared" si="834"/>
        <v>8</v>
      </c>
      <c r="EC459" s="310">
        <f t="shared" si="834"/>
        <v>12</v>
      </c>
      <c r="ED459" s="310">
        <f t="shared" si="834"/>
        <v>16</v>
      </c>
      <c r="EE459" s="694">
        <f t="shared" si="834"/>
        <v>16</v>
      </c>
      <c r="EG459" s="310">
        <f t="shared" si="835"/>
        <v>15</v>
      </c>
      <c r="EH459" s="310">
        <f t="shared" si="835"/>
        <v>15</v>
      </c>
      <c r="EI459" s="310">
        <f t="shared" si="835"/>
        <v>14</v>
      </c>
      <c r="EJ459" s="310">
        <f t="shared" si="835"/>
        <v>14</v>
      </c>
      <c r="EK459" s="450">
        <f t="shared" si="835"/>
        <v>14</v>
      </c>
      <c r="EL459" s="450">
        <f t="shared" si="835"/>
        <v>14</v>
      </c>
      <c r="EM459" s="451"/>
      <c r="FK459" s="310">
        <f t="shared" si="836"/>
        <v>10</v>
      </c>
      <c r="FL459" s="310">
        <f t="shared" si="837"/>
        <v>9</v>
      </c>
      <c r="FM459" s="310">
        <f t="shared" si="838"/>
        <v>16</v>
      </c>
      <c r="FN459" s="373">
        <f t="shared" si="839"/>
        <v>14</v>
      </c>
      <c r="FO459" s="373">
        <f t="shared" si="839"/>
        <v>14</v>
      </c>
      <c r="FP459" s="310">
        <f t="shared" si="840"/>
        <v>4</v>
      </c>
      <c r="FQ459" s="310">
        <f t="shared" si="840"/>
        <v>7</v>
      </c>
      <c r="FR459" s="310">
        <f t="shared" si="840"/>
        <v>11</v>
      </c>
    </row>
    <row r="460" spans="2:174" outlineLevel="1" x14ac:dyDescent="0.2">
      <c r="B460" s="311" t="s">
        <v>584</v>
      </c>
      <c r="C460" s="322" t="s">
        <v>617</v>
      </c>
      <c r="DR460" s="310">
        <f t="shared" si="832"/>
        <v>5</v>
      </c>
      <c r="DS460" s="694">
        <f t="shared" si="832"/>
        <v>5</v>
      </c>
      <c r="DU460" s="310">
        <f t="shared" si="833"/>
        <v>2</v>
      </c>
      <c r="DV460" s="310">
        <f t="shared" si="833"/>
        <v>2</v>
      </c>
      <c r="DW460" s="310">
        <f t="shared" si="833"/>
        <v>2</v>
      </c>
      <c r="DX460" s="310">
        <f t="shared" si="833"/>
        <v>4</v>
      </c>
      <c r="DY460" s="694">
        <f t="shared" si="833"/>
        <v>4</v>
      </c>
      <c r="EA460" s="310">
        <f t="shared" si="834"/>
        <v>6</v>
      </c>
      <c r="EB460" s="310">
        <f t="shared" si="834"/>
        <v>6</v>
      </c>
      <c r="EC460" s="310">
        <f t="shared" si="834"/>
        <v>5</v>
      </c>
      <c r="ED460" s="310">
        <f t="shared" si="834"/>
        <v>3</v>
      </c>
      <c r="EE460" s="694">
        <f t="shared" si="834"/>
        <v>3</v>
      </c>
      <c r="EG460" s="310">
        <f t="shared" si="835"/>
        <v>4</v>
      </c>
      <c r="EH460" s="310">
        <f t="shared" si="835"/>
        <v>7</v>
      </c>
      <c r="EI460" s="310">
        <f t="shared" si="835"/>
        <v>9</v>
      </c>
      <c r="EJ460" s="310">
        <f t="shared" si="835"/>
        <v>10</v>
      </c>
      <c r="EK460" s="450">
        <f t="shared" si="835"/>
        <v>10</v>
      </c>
      <c r="EL460" s="450">
        <f t="shared" si="835"/>
        <v>8</v>
      </c>
      <c r="EM460" s="451"/>
      <c r="FK460" s="310">
        <f t="shared" si="836"/>
        <v>5</v>
      </c>
      <c r="FL460" s="310">
        <f t="shared" si="837"/>
        <v>4</v>
      </c>
      <c r="FM460" s="310">
        <f t="shared" si="838"/>
        <v>3</v>
      </c>
      <c r="FN460" s="373">
        <f t="shared" si="839"/>
        <v>10</v>
      </c>
      <c r="FO460" s="373">
        <f t="shared" si="839"/>
        <v>8</v>
      </c>
      <c r="FP460" s="310">
        <f t="shared" si="840"/>
        <v>6</v>
      </c>
      <c r="FQ460" s="310">
        <f t="shared" si="840"/>
        <v>9</v>
      </c>
      <c r="FR460" s="310">
        <f t="shared" si="840"/>
        <v>13</v>
      </c>
    </row>
    <row r="461" spans="2:174" outlineLevel="1" x14ac:dyDescent="0.2">
      <c r="B461" s="382" t="s">
        <v>164</v>
      </c>
      <c r="C461" s="350" t="s">
        <v>617</v>
      </c>
      <c r="DR461" s="310">
        <f t="shared" si="832"/>
        <v>2</v>
      </c>
      <c r="DS461" s="694">
        <f t="shared" si="832"/>
        <v>2</v>
      </c>
      <c r="DU461" s="310">
        <f t="shared" si="833"/>
        <v>2</v>
      </c>
      <c r="DV461" s="310">
        <f t="shared" si="833"/>
        <v>2</v>
      </c>
      <c r="DW461" s="310">
        <f t="shared" si="833"/>
        <v>2</v>
      </c>
      <c r="DX461" s="310">
        <f t="shared" si="833"/>
        <v>2</v>
      </c>
      <c r="DY461" s="694">
        <f t="shared" si="833"/>
        <v>2</v>
      </c>
      <c r="EA461" s="310">
        <f t="shared" si="834"/>
        <v>2</v>
      </c>
      <c r="EB461" s="310">
        <f t="shared" si="834"/>
        <v>2</v>
      </c>
      <c r="EC461" s="310">
        <f t="shared" si="834"/>
        <v>2</v>
      </c>
      <c r="ED461" s="310">
        <f t="shared" si="834"/>
        <v>1</v>
      </c>
      <c r="EE461" s="694">
        <f t="shared" si="834"/>
        <v>1</v>
      </c>
      <c r="EG461" s="310">
        <f t="shared" si="835"/>
        <v>2</v>
      </c>
      <c r="EH461" s="310">
        <f t="shared" si="835"/>
        <v>3</v>
      </c>
      <c r="EI461" s="310">
        <f t="shared" si="835"/>
        <v>2</v>
      </c>
      <c r="EJ461" s="310">
        <f t="shared" si="835"/>
        <v>2</v>
      </c>
      <c r="EK461" s="450">
        <f t="shared" si="835"/>
        <v>2</v>
      </c>
      <c r="EL461" s="450">
        <f t="shared" si="835"/>
        <v>4</v>
      </c>
      <c r="EM461" s="451"/>
      <c r="FK461" s="310">
        <f t="shared" si="836"/>
        <v>2</v>
      </c>
      <c r="FL461" s="310">
        <f t="shared" si="837"/>
        <v>2</v>
      </c>
      <c r="FM461" s="310">
        <f t="shared" si="838"/>
        <v>1</v>
      </c>
      <c r="FN461" s="373">
        <f t="shared" si="839"/>
        <v>2</v>
      </c>
      <c r="FO461" s="373">
        <f t="shared" si="839"/>
        <v>4</v>
      </c>
      <c r="FP461" s="310">
        <f t="shared" si="840"/>
        <v>3</v>
      </c>
      <c r="FQ461" s="310">
        <f t="shared" si="840"/>
        <v>3</v>
      </c>
      <c r="FR461" s="310">
        <f t="shared" si="840"/>
        <v>3</v>
      </c>
    </row>
    <row r="462" spans="2:174" ht="12" outlineLevel="1" x14ac:dyDescent="0.25">
      <c r="B462" s="590" t="s">
        <v>249</v>
      </c>
      <c r="C462" s="351" t="s">
        <v>617</v>
      </c>
      <c r="DR462" s="591">
        <f>SUM(DR456:DR461)</f>
        <v>87</v>
      </c>
      <c r="DS462" s="747">
        <f>SUM(DS456:DS461)</f>
        <v>87</v>
      </c>
      <c r="DU462" s="591">
        <f>SUM(DU456:DU461)</f>
        <v>79</v>
      </c>
      <c r="DV462" s="591">
        <f>SUM(DV456:DV461)</f>
        <v>85</v>
      </c>
      <c r="DW462" s="591">
        <f>SUM(DW456:DW461)</f>
        <v>81</v>
      </c>
      <c r="DX462" s="591">
        <f>SUM(DX456:DX461)</f>
        <v>82</v>
      </c>
      <c r="DY462" s="747">
        <f>SUM(DY456:DY461)</f>
        <v>82</v>
      </c>
      <c r="EA462" s="591">
        <f>SUM(EA456:EA461)</f>
        <v>74</v>
      </c>
      <c r="EB462" s="591">
        <f>SUM(EB456:EB461)</f>
        <v>72</v>
      </c>
      <c r="EC462" s="591">
        <f>SUM(EC456:EC461)</f>
        <v>79</v>
      </c>
      <c r="ED462" s="591">
        <f>SUM(ED456:ED461)</f>
        <v>95</v>
      </c>
      <c r="EE462" s="747">
        <f>SUM(EE456:EE461)</f>
        <v>95</v>
      </c>
      <c r="EG462" s="591">
        <f t="shared" ref="EG462:EL462" si="841">SUM(EG456:EG461)</f>
        <v>102</v>
      </c>
      <c r="EH462" s="591">
        <f t="shared" si="841"/>
        <v>112</v>
      </c>
      <c r="EI462" s="591">
        <f t="shared" si="841"/>
        <v>108</v>
      </c>
      <c r="EJ462" s="591">
        <f t="shared" si="841"/>
        <v>100</v>
      </c>
      <c r="EK462" s="592">
        <f t="shared" si="841"/>
        <v>100</v>
      </c>
      <c r="EL462" s="592">
        <f t="shared" si="841"/>
        <v>75</v>
      </c>
      <c r="EM462" s="593"/>
      <c r="FK462" s="591">
        <f t="shared" ref="FK462:FR462" si="842">SUM(FK456:FK461)</f>
        <v>87</v>
      </c>
      <c r="FL462" s="591">
        <f t="shared" si="842"/>
        <v>82</v>
      </c>
      <c r="FM462" s="591">
        <f t="shared" si="842"/>
        <v>95</v>
      </c>
      <c r="FN462" s="591">
        <f t="shared" si="842"/>
        <v>100</v>
      </c>
      <c r="FO462" s="591">
        <f t="shared" si="842"/>
        <v>75</v>
      </c>
      <c r="FP462" s="571">
        <f t="shared" si="842"/>
        <v>17</v>
      </c>
      <c r="FQ462" s="591">
        <f t="shared" si="842"/>
        <v>33</v>
      </c>
      <c r="FR462" s="591">
        <f t="shared" si="842"/>
        <v>37</v>
      </c>
    </row>
    <row r="463" spans="2:174" outlineLevel="1" x14ac:dyDescent="0.2">
      <c r="B463" s="382"/>
      <c r="C463" s="368"/>
      <c r="DR463" s="647"/>
      <c r="DS463" s="819"/>
      <c r="DU463" s="647"/>
      <c r="DV463" s="647"/>
      <c r="DW463" s="647"/>
      <c r="DX463" s="647"/>
      <c r="DY463" s="819"/>
      <c r="EA463" s="647"/>
      <c r="EB463" s="647"/>
      <c r="EC463" s="647"/>
      <c r="ED463" s="647"/>
      <c r="EE463" s="819"/>
      <c r="EG463" s="647"/>
      <c r="EH463" s="647"/>
      <c r="EI463" s="647"/>
      <c r="EJ463" s="647"/>
      <c r="EK463" s="648"/>
      <c r="EL463" s="648"/>
      <c r="EM463" s="600"/>
      <c r="FK463" s="647"/>
      <c r="FL463" s="647"/>
      <c r="FM463" s="647"/>
      <c r="FN463" s="647"/>
      <c r="FO463" s="647"/>
      <c r="FP463" s="594"/>
      <c r="FQ463" s="647"/>
      <c r="FR463" s="647"/>
    </row>
    <row r="464" spans="2:174" outlineLevel="1" x14ac:dyDescent="0.2">
      <c r="B464" s="311" t="s">
        <v>581</v>
      </c>
      <c r="C464" s="322" t="s">
        <v>618</v>
      </c>
      <c r="DR464" s="310">
        <f t="shared" ref="DR464:DS469" si="843">DR191+DR445</f>
        <v>2463.0621538461551</v>
      </c>
      <c r="DS464" s="694">
        <f t="shared" si="843"/>
        <v>2463.0621538461551</v>
      </c>
      <c r="DU464" s="310">
        <f t="shared" ref="DU464:DY469" si="844">DU191+DU445</f>
        <v>2240.1607272727274</v>
      </c>
      <c r="DV464" s="310">
        <f t="shared" si="844"/>
        <v>3386.2428749999999</v>
      </c>
      <c r="DW464" s="310">
        <f t="shared" si="844"/>
        <v>3643.9818181818177</v>
      </c>
      <c r="DX464" s="310">
        <f t="shared" si="844"/>
        <v>4605.1864999999998</v>
      </c>
      <c r="DY464" s="694">
        <f t="shared" si="844"/>
        <v>4605.1864999999998</v>
      </c>
      <c r="EA464" s="310">
        <f t="shared" ref="EA464:EE469" si="845">EA191+EA445</f>
        <v>4153.4719999999998</v>
      </c>
      <c r="EB464" s="310">
        <f t="shared" si="845"/>
        <v>4745.0304000000006</v>
      </c>
      <c r="EC464" s="310">
        <f t="shared" si="845"/>
        <v>4595.1149999999998</v>
      </c>
      <c r="ED464" s="310">
        <f t="shared" si="845"/>
        <v>7070.746666666666</v>
      </c>
      <c r="EE464" s="694">
        <f t="shared" si="845"/>
        <v>7070.746666666666</v>
      </c>
      <c r="EG464" s="310">
        <f t="shared" ref="EG464:EL469" si="846">EG191+EG445</f>
        <v>7590</v>
      </c>
      <c r="EH464" s="310">
        <f t="shared" si="846"/>
        <v>8510</v>
      </c>
      <c r="EI464" s="310">
        <f t="shared" si="846"/>
        <v>8410</v>
      </c>
      <c r="EJ464" s="310">
        <f t="shared" si="846"/>
        <v>8110</v>
      </c>
      <c r="EK464" s="450">
        <f t="shared" si="846"/>
        <v>8110</v>
      </c>
      <c r="EL464" s="450">
        <f t="shared" si="846"/>
        <v>5845</v>
      </c>
      <c r="EM464" s="451"/>
      <c r="FK464" s="310">
        <f t="shared" ref="FK464:FK469" si="847">DS464</f>
        <v>2463.0621538461551</v>
      </c>
      <c r="FL464" s="310">
        <f t="shared" ref="FL464:FL469" si="848">DY464</f>
        <v>4605.1864999999998</v>
      </c>
      <c r="FM464" s="310">
        <f t="shared" ref="FM464:FM469" si="849">EE464</f>
        <v>7070.746666666666</v>
      </c>
      <c r="FN464" s="373">
        <f t="shared" ref="FN464:FO469" si="850">EK464</f>
        <v>8110</v>
      </c>
      <c r="FO464" s="373">
        <f t="shared" si="850"/>
        <v>5845</v>
      </c>
      <c r="FP464" s="310">
        <f t="shared" ref="FP464:FR469" si="851">FP191+FP445</f>
        <v>1550</v>
      </c>
      <c r="FQ464" s="310">
        <f t="shared" si="851"/>
        <v>1450</v>
      </c>
      <c r="FR464" s="310">
        <f t="shared" si="851"/>
        <v>95</v>
      </c>
    </row>
    <row r="465" spans="2:174" outlineLevel="1" x14ac:dyDescent="0.2">
      <c r="B465" s="311" t="s">
        <v>582</v>
      </c>
      <c r="C465" s="322" t="s">
        <v>618</v>
      </c>
      <c r="DR465" s="310">
        <f t="shared" si="843"/>
        <v>6493.811692307695</v>
      </c>
      <c r="DS465" s="694">
        <f t="shared" si="843"/>
        <v>6493.811692307695</v>
      </c>
      <c r="DU465" s="310">
        <f t="shared" si="844"/>
        <v>5807.8616363636365</v>
      </c>
      <c r="DV465" s="310">
        <f t="shared" si="844"/>
        <v>6495.5764999999992</v>
      </c>
      <c r="DW465" s="310">
        <f t="shared" si="844"/>
        <v>6232.4181818181814</v>
      </c>
      <c r="DX465" s="310">
        <f t="shared" si="844"/>
        <v>6722.1356666666661</v>
      </c>
      <c r="DY465" s="694">
        <f t="shared" si="844"/>
        <v>6722.1356666666661</v>
      </c>
      <c r="EA465" s="310">
        <f t="shared" si="845"/>
        <v>6840.7840000000006</v>
      </c>
      <c r="EB465" s="310">
        <f t="shared" si="845"/>
        <v>6445.8688000000002</v>
      </c>
      <c r="EC465" s="310">
        <f t="shared" si="845"/>
        <v>6362.7449999999999</v>
      </c>
      <c r="ED465" s="310">
        <f t="shared" si="845"/>
        <v>9053.3799999999992</v>
      </c>
      <c r="EE465" s="694">
        <f t="shared" si="845"/>
        <v>9053.3799999999992</v>
      </c>
      <c r="EG465" s="310">
        <f t="shared" si="846"/>
        <v>8310</v>
      </c>
      <c r="EH465" s="310">
        <f t="shared" si="846"/>
        <v>8310</v>
      </c>
      <c r="EI465" s="310">
        <f t="shared" si="846"/>
        <v>7850</v>
      </c>
      <c r="EJ465" s="310">
        <f t="shared" si="846"/>
        <v>6570</v>
      </c>
      <c r="EK465" s="450">
        <f t="shared" si="846"/>
        <v>6570</v>
      </c>
      <c r="EL465" s="450">
        <f t="shared" si="846"/>
        <v>3915</v>
      </c>
      <c r="EM465" s="451"/>
      <c r="FK465" s="310">
        <f t="shared" si="847"/>
        <v>6493.811692307695</v>
      </c>
      <c r="FL465" s="310">
        <f t="shared" si="848"/>
        <v>6722.1356666666661</v>
      </c>
      <c r="FM465" s="310">
        <f t="shared" si="849"/>
        <v>9053.3799999999992</v>
      </c>
      <c r="FN465" s="373">
        <f t="shared" si="850"/>
        <v>6570</v>
      </c>
      <c r="FO465" s="373">
        <f t="shared" si="850"/>
        <v>3915</v>
      </c>
      <c r="FP465" s="310">
        <f t="shared" si="851"/>
        <v>-705</v>
      </c>
      <c r="FQ465" s="310">
        <f t="shared" si="851"/>
        <v>1985</v>
      </c>
      <c r="FR465" s="310">
        <f t="shared" si="851"/>
        <v>1250</v>
      </c>
    </row>
    <row r="466" spans="2:174" outlineLevel="1" x14ac:dyDescent="0.2">
      <c r="B466" s="311" t="s">
        <v>583</v>
      </c>
      <c r="C466" s="322" t="s">
        <v>618</v>
      </c>
      <c r="DR466" s="310">
        <f t="shared" si="843"/>
        <v>5619.5932307692328</v>
      </c>
      <c r="DS466" s="694">
        <f t="shared" si="843"/>
        <v>5619.5932307692328</v>
      </c>
      <c r="DU466" s="310">
        <f t="shared" si="844"/>
        <v>4953.5476363636371</v>
      </c>
      <c r="DV466" s="310">
        <f t="shared" si="844"/>
        <v>5067.2731249999997</v>
      </c>
      <c r="DW466" s="310">
        <f t="shared" si="844"/>
        <v>4562.6545454545449</v>
      </c>
      <c r="DX466" s="310">
        <f t="shared" si="844"/>
        <v>3873.8983333333331</v>
      </c>
      <c r="DY466" s="694">
        <f t="shared" si="844"/>
        <v>3873.8983333333331</v>
      </c>
      <c r="EA466" s="310">
        <f t="shared" si="845"/>
        <v>3636.9279999999999</v>
      </c>
      <c r="EB466" s="310">
        <f t="shared" si="845"/>
        <v>3505.2896000000001</v>
      </c>
      <c r="EC466" s="310">
        <f t="shared" si="845"/>
        <v>3331.7049999999999</v>
      </c>
      <c r="ED466" s="310">
        <f t="shared" si="845"/>
        <v>3567.6866666666665</v>
      </c>
      <c r="EE466" s="694">
        <f t="shared" si="845"/>
        <v>3567.6866666666665</v>
      </c>
      <c r="EG466" s="310">
        <f t="shared" si="846"/>
        <v>3510</v>
      </c>
      <c r="EH466" s="310">
        <f t="shared" si="846"/>
        <v>3970</v>
      </c>
      <c r="EI466" s="310">
        <f t="shared" si="846"/>
        <v>3610</v>
      </c>
      <c r="EJ466" s="310">
        <f t="shared" si="846"/>
        <v>3380</v>
      </c>
      <c r="EK466" s="450">
        <f t="shared" si="846"/>
        <v>3380</v>
      </c>
      <c r="EL466" s="450">
        <f t="shared" si="846"/>
        <v>3185</v>
      </c>
      <c r="EM466" s="451"/>
      <c r="FK466" s="310">
        <f t="shared" si="847"/>
        <v>5619.5932307692328</v>
      </c>
      <c r="FL466" s="310">
        <f t="shared" si="848"/>
        <v>3873.8983333333331</v>
      </c>
      <c r="FM466" s="310">
        <f t="shared" si="849"/>
        <v>3567.6866666666665</v>
      </c>
      <c r="FN466" s="373">
        <f t="shared" si="850"/>
        <v>3380</v>
      </c>
      <c r="FO466" s="373">
        <f t="shared" si="850"/>
        <v>3185</v>
      </c>
      <c r="FP466" s="310">
        <f t="shared" si="851"/>
        <v>220</v>
      </c>
      <c r="FQ466" s="310">
        <f t="shared" si="851"/>
        <v>1265</v>
      </c>
      <c r="FR466" s="310">
        <f t="shared" si="851"/>
        <v>1545</v>
      </c>
    </row>
    <row r="467" spans="2:174" outlineLevel="1" x14ac:dyDescent="0.2">
      <c r="B467" s="311" t="s">
        <v>585</v>
      </c>
      <c r="C467" s="322" t="s">
        <v>618</v>
      </c>
      <c r="DR467" s="310">
        <f t="shared" si="843"/>
        <v>2085.3747692307697</v>
      </c>
      <c r="DS467" s="694">
        <f t="shared" si="843"/>
        <v>2085.3747692307697</v>
      </c>
      <c r="DU467" s="310">
        <f t="shared" si="844"/>
        <v>1605.0803636363637</v>
      </c>
      <c r="DV467" s="310">
        <f t="shared" si="844"/>
        <v>2076.9092499999997</v>
      </c>
      <c r="DW467" s="310">
        <f t="shared" si="844"/>
        <v>2101.3272727272724</v>
      </c>
      <c r="DX467" s="310">
        <f t="shared" si="844"/>
        <v>2214.3389999999999</v>
      </c>
      <c r="DY467" s="694">
        <f t="shared" si="844"/>
        <v>2214.3389999999999</v>
      </c>
      <c r="EA467" s="310">
        <f t="shared" si="845"/>
        <v>1888.4639999999999</v>
      </c>
      <c r="EB467" s="310">
        <f t="shared" si="845"/>
        <v>2188.0640000000003</v>
      </c>
      <c r="EC467" s="310">
        <f t="shared" si="845"/>
        <v>2939.335</v>
      </c>
      <c r="ED467" s="310">
        <f t="shared" si="845"/>
        <v>4255.373333333333</v>
      </c>
      <c r="EE467" s="694">
        <f t="shared" si="845"/>
        <v>4255.373333333333</v>
      </c>
      <c r="EG467" s="310">
        <f t="shared" si="846"/>
        <v>3710</v>
      </c>
      <c r="EH467" s="310">
        <f t="shared" si="846"/>
        <v>3710</v>
      </c>
      <c r="EI467" s="310">
        <f t="shared" si="846"/>
        <v>3480</v>
      </c>
      <c r="EJ467" s="310">
        <f t="shared" si="846"/>
        <v>3480</v>
      </c>
      <c r="EK467" s="450">
        <f t="shared" si="846"/>
        <v>3480</v>
      </c>
      <c r="EL467" s="450">
        <f t="shared" si="846"/>
        <v>3680</v>
      </c>
      <c r="EM467" s="451"/>
      <c r="FK467" s="310">
        <f t="shared" si="847"/>
        <v>2085.3747692307697</v>
      </c>
      <c r="FL467" s="310">
        <f t="shared" si="848"/>
        <v>2214.3389999999999</v>
      </c>
      <c r="FM467" s="310">
        <f t="shared" si="849"/>
        <v>4255.373333333333</v>
      </c>
      <c r="FN467" s="373">
        <f t="shared" si="850"/>
        <v>3480</v>
      </c>
      <c r="FO467" s="373">
        <f t="shared" si="850"/>
        <v>3680</v>
      </c>
      <c r="FP467" s="310">
        <f t="shared" si="851"/>
        <v>1065</v>
      </c>
      <c r="FQ467" s="310">
        <f t="shared" si="851"/>
        <v>1575</v>
      </c>
      <c r="FR467" s="310">
        <f t="shared" si="851"/>
        <v>2475</v>
      </c>
    </row>
    <row r="468" spans="2:174" outlineLevel="1" x14ac:dyDescent="0.2">
      <c r="B468" s="311" t="s">
        <v>584</v>
      </c>
      <c r="C468" s="322" t="s">
        <v>618</v>
      </c>
      <c r="DR468" s="310">
        <f t="shared" si="843"/>
        <v>1163.2655384615387</v>
      </c>
      <c r="DS468" s="694">
        <f t="shared" si="843"/>
        <v>1163.2655384615387</v>
      </c>
      <c r="DU468" s="310">
        <f t="shared" si="844"/>
        <v>610</v>
      </c>
      <c r="DV468" s="310">
        <f t="shared" si="844"/>
        <v>610</v>
      </c>
      <c r="DW468" s="310">
        <f t="shared" si="844"/>
        <v>610</v>
      </c>
      <c r="DX468" s="310">
        <f t="shared" si="844"/>
        <v>1024.7796666666666</v>
      </c>
      <c r="DY468" s="694">
        <f t="shared" si="844"/>
        <v>1024.7796666666666</v>
      </c>
      <c r="EA468" s="310">
        <f t="shared" si="845"/>
        <v>1528.4639999999999</v>
      </c>
      <c r="EB468" s="310">
        <f t="shared" si="845"/>
        <v>1584.4512</v>
      </c>
      <c r="EC468" s="310">
        <f t="shared" si="845"/>
        <v>1266.4449999999999</v>
      </c>
      <c r="ED468" s="310">
        <f t="shared" si="845"/>
        <v>865.05333333333328</v>
      </c>
      <c r="EE468" s="694">
        <f t="shared" si="845"/>
        <v>865.05333333333328</v>
      </c>
      <c r="EG468" s="310">
        <f t="shared" si="846"/>
        <v>920</v>
      </c>
      <c r="EH468" s="310">
        <f t="shared" si="846"/>
        <v>1610</v>
      </c>
      <c r="EI468" s="310">
        <f t="shared" si="846"/>
        <v>2070</v>
      </c>
      <c r="EJ468" s="310">
        <f t="shared" si="846"/>
        <v>2430</v>
      </c>
      <c r="EK468" s="450">
        <f t="shared" si="846"/>
        <v>2430</v>
      </c>
      <c r="EL468" s="450">
        <f t="shared" si="846"/>
        <v>2140</v>
      </c>
      <c r="EM468" s="451"/>
      <c r="FK468" s="310">
        <f t="shared" si="847"/>
        <v>1163.2655384615387</v>
      </c>
      <c r="FL468" s="310">
        <f t="shared" si="848"/>
        <v>1024.7796666666666</v>
      </c>
      <c r="FM468" s="310">
        <f t="shared" si="849"/>
        <v>865.05333333333328</v>
      </c>
      <c r="FN468" s="373">
        <f t="shared" si="850"/>
        <v>2430</v>
      </c>
      <c r="FO468" s="373">
        <f t="shared" si="850"/>
        <v>2140</v>
      </c>
      <c r="FP468" s="310">
        <f t="shared" si="851"/>
        <v>1535</v>
      </c>
      <c r="FQ468" s="310">
        <f t="shared" si="851"/>
        <v>2180</v>
      </c>
      <c r="FR468" s="310">
        <f t="shared" si="851"/>
        <v>3085</v>
      </c>
    </row>
    <row r="469" spans="2:174" outlineLevel="1" x14ac:dyDescent="0.2">
      <c r="B469" s="311" t="s">
        <v>164</v>
      </c>
      <c r="C469" s="322" t="s">
        <v>618</v>
      </c>
      <c r="DR469" s="310">
        <f t="shared" si="843"/>
        <v>434.42184615384622</v>
      </c>
      <c r="DS469" s="694">
        <f t="shared" si="843"/>
        <v>434.42184615384622</v>
      </c>
      <c r="DU469" s="310">
        <f t="shared" si="844"/>
        <v>415.84672727272732</v>
      </c>
      <c r="DV469" s="310">
        <f t="shared" si="844"/>
        <v>434.48487499999999</v>
      </c>
      <c r="DW469" s="310">
        <f t="shared" si="844"/>
        <v>438.5545454545454</v>
      </c>
      <c r="DX469" s="310">
        <f t="shared" si="844"/>
        <v>457.38983333333329</v>
      </c>
      <c r="DY469" s="694">
        <f t="shared" si="844"/>
        <v>457.38983333333329</v>
      </c>
      <c r="EA469" s="310">
        <f t="shared" si="845"/>
        <v>479.61599999999999</v>
      </c>
      <c r="EB469" s="310">
        <f t="shared" si="845"/>
        <v>493.61279999999999</v>
      </c>
      <c r="EC469" s="310">
        <f t="shared" si="845"/>
        <v>468.815</v>
      </c>
      <c r="ED469" s="310">
        <f t="shared" si="845"/>
        <v>252.52666666666664</v>
      </c>
      <c r="EE469" s="694">
        <f t="shared" si="845"/>
        <v>252.52666666666664</v>
      </c>
      <c r="EG469" s="310">
        <f t="shared" si="846"/>
        <v>590</v>
      </c>
      <c r="EH469" s="310">
        <f t="shared" si="846"/>
        <v>820</v>
      </c>
      <c r="EI469" s="310">
        <f t="shared" si="846"/>
        <v>590</v>
      </c>
      <c r="EJ469" s="310">
        <f t="shared" si="846"/>
        <v>590</v>
      </c>
      <c r="EK469" s="450">
        <f t="shared" si="846"/>
        <v>590</v>
      </c>
      <c r="EL469" s="450">
        <f t="shared" si="846"/>
        <v>1330</v>
      </c>
      <c r="EM469" s="451"/>
      <c r="FK469" s="310">
        <f t="shared" si="847"/>
        <v>434.42184615384622</v>
      </c>
      <c r="FL469" s="310">
        <f t="shared" si="848"/>
        <v>457.38983333333329</v>
      </c>
      <c r="FM469" s="310">
        <f t="shared" si="849"/>
        <v>252.52666666666664</v>
      </c>
      <c r="FN469" s="373">
        <f t="shared" si="850"/>
        <v>590</v>
      </c>
      <c r="FO469" s="373">
        <f t="shared" si="850"/>
        <v>1330</v>
      </c>
      <c r="FP469" s="310">
        <f t="shared" si="851"/>
        <v>955</v>
      </c>
      <c r="FQ469" s="310">
        <f t="shared" si="851"/>
        <v>985</v>
      </c>
      <c r="FR469" s="310">
        <f t="shared" si="851"/>
        <v>995</v>
      </c>
    </row>
    <row r="470" spans="2:174" ht="12" outlineLevel="1" x14ac:dyDescent="0.25">
      <c r="B470" s="590" t="s">
        <v>249</v>
      </c>
      <c r="C470" s="351" t="s">
        <v>618</v>
      </c>
      <c r="DR470" s="591">
        <f>SUM(DR464:DR469)</f>
        <v>18259.52923076924</v>
      </c>
      <c r="DS470" s="747">
        <f>SUM(DS464:DS469)</f>
        <v>18259.52923076924</v>
      </c>
      <c r="DU470" s="591">
        <f>SUM(DU464:DU469)</f>
        <v>15632.497090909092</v>
      </c>
      <c r="DV470" s="591">
        <f>SUM(DV464:DV469)</f>
        <v>18070.486624999998</v>
      </c>
      <c r="DW470" s="591">
        <f>SUM(DW464:DW469)</f>
        <v>17588.936363636363</v>
      </c>
      <c r="DX470" s="591">
        <f>SUM(DX464:DX469)</f>
        <v>18897.728999999996</v>
      </c>
      <c r="DY470" s="747">
        <f>SUM(DY464:DY469)</f>
        <v>18897.728999999996</v>
      </c>
      <c r="EA470" s="591">
        <f>SUM(EA464:EA469)</f>
        <v>18527.728000000003</v>
      </c>
      <c r="EB470" s="591">
        <f>SUM(EB464:EB469)</f>
        <v>18962.316800000001</v>
      </c>
      <c r="EC470" s="591">
        <f>SUM(EC464:EC469)</f>
        <v>18964.16</v>
      </c>
      <c r="ED470" s="591">
        <f>SUM(ED464:ED469)</f>
        <v>25064.766666666663</v>
      </c>
      <c r="EE470" s="747">
        <f>SUM(EE464:EE469)</f>
        <v>25064.766666666663</v>
      </c>
      <c r="EG470" s="591">
        <f t="shared" ref="EG470:EL470" si="852">SUM(EG464:EG469)</f>
        <v>24630</v>
      </c>
      <c r="EH470" s="591">
        <f t="shared" si="852"/>
        <v>26930</v>
      </c>
      <c r="EI470" s="591">
        <f t="shared" si="852"/>
        <v>26010</v>
      </c>
      <c r="EJ470" s="591">
        <f t="shared" si="852"/>
        <v>24560</v>
      </c>
      <c r="EK470" s="592">
        <f t="shared" si="852"/>
        <v>24560</v>
      </c>
      <c r="EL470" s="592">
        <f t="shared" si="852"/>
        <v>20095</v>
      </c>
      <c r="EM470" s="593"/>
      <c r="FK470" s="591">
        <f t="shared" ref="FK470:FR470" si="853">SUM(FK464:FK469)</f>
        <v>18259.52923076924</v>
      </c>
      <c r="FL470" s="591">
        <f t="shared" si="853"/>
        <v>18897.728999999996</v>
      </c>
      <c r="FM470" s="591">
        <f t="shared" si="853"/>
        <v>25064.766666666663</v>
      </c>
      <c r="FN470" s="591">
        <f t="shared" si="853"/>
        <v>24560</v>
      </c>
      <c r="FO470" s="591">
        <f t="shared" si="853"/>
        <v>20095</v>
      </c>
      <c r="FP470" s="571">
        <f t="shared" si="853"/>
        <v>4620</v>
      </c>
      <c r="FQ470" s="591">
        <f t="shared" si="853"/>
        <v>9440</v>
      </c>
      <c r="FR470" s="591">
        <f t="shared" si="853"/>
        <v>9445</v>
      </c>
    </row>
    <row r="471" spans="2:174" outlineLevel="1" x14ac:dyDescent="0.2">
      <c r="C471" s="369"/>
      <c r="DR471" s="594"/>
      <c r="DS471" s="764"/>
      <c r="DU471" s="594"/>
      <c r="DV471" s="594"/>
      <c r="DW471" s="594"/>
      <c r="DX471" s="594"/>
      <c r="DY471" s="764"/>
      <c r="EA471" s="594"/>
      <c r="EB471" s="594"/>
      <c r="EC471" s="594"/>
      <c r="ED471" s="594"/>
      <c r="EE471" s="764"/>
      <c r="EG471" s="594"/>
      <c r="EH471" s="594"/>
      <c r="EI471" s="594"/>
      <c r="EJ471" s="594"/>
      <c r="EK471" s="595"/>
      <c r="EL471" s="595"/>
      <c r="EM471" s="600"/>
      <c r="FK471" s="594"/>
      <c r="FL471" s="594"/>
      <c r="FM471" s="594"/>
      <c r="FN471" s="594"/>
      <c r="FO471" s="594"/>
      <c r="FP471" s="594"/>
      <c r="FQ471" s="594"/>
      <c r="FR471" s="594"/>
    </row>
    <row r="472" spans="2:174" outlineLevel="1" x14ac:dyDescent="0.2">
      <c r="FP472" s="311"/>
    </row>
    <row r="473" spans="2:174" outlineLevel="1" x14ac:dyDescent="0.2">
      <c r="B473" s="311" t="s">
        <v>624</v>
      </c>
      <c r="DR473" s="310">
        <f>DR132</f>
        <v>39000</v>
      </c>
      <c r="DS473" s="694">
        <f>DS132</f>
        <v>39000</v>
      </c>
      <c r="DU473" s="310">
        <f>DU132</f>
        <v>38000</v>
      </c>
      <c r="DV473" s="310">
        <f>DV132</f>
        <v>39000</v>
      </c>
      <c r="DW473" s="310">
        <f>DW132</f>
        <v>36000</v>
      </c>
      <c r="DX473" s="310">
        <f>DX132</f>
        <v>36000</v>
      </c>
      <c r="DY473" s="694">
        <f>DY132</f>
        <v>36000</v>
      </c>
      <c r="EA473" s="310">
        <f>EA132</f>
        <v>34200</v>
      </c>
      <c r="EB473" s="310">
        <f>EB132</f>
        <v>33000</v>
      </c>
      <c r="EC473" s="310">
        <f>EC132</f>
        <v>35938</v>
      </c>
      <c r="ED473" s="310">
        <f>ED132</f>
        <v>38797</v>
      </c>
      <c r="EE473" s="694">
        <f>EE132</f>
        <v>38797</v>
      </c>
      <c r="EG473" s="310">
        <f>EG132</f>
        <v>41238</v>
      </c>
      <c r="EH473" s="310">
        <f>EH132</f>
        <v>44325.994999999995</v>
      </c>
      <c r="FP473" s="311"/>
    </row>
    <row r="474" spans="2:174" outlineLevel="1" x14ac:dyDescent="0.2">
      <c r="B474" s="311" t="s">
        <v>625</v>
      </c>
      <c r="DR474" s="274">
        <f>DR470/DR473</f>
        <v>0.46819305719921128</v>
      </c>
      <c r="DS474" s="399">
        <f>DS470/DS473</f>
        <v>0.46819305719921128</v>
      </c>
      <c r="DU474" s="274">
        <f>DU470/DU473</f>
        <v>0.4113815023923445</v>
      </c>
      <c r="DV474" s="274">
        <f>DV470/DV473</f>
        <v>0.46334581089743582</v>
      </c>
      <c r="DW474" s="274">
        <f>DW470/DW473</f>
        <v>0.48858156565656563</v>
      </c>
      <c r="DX474" s="274">
        <f>DX470/DX473</f>
        <v>0.52493691666666653</v>
      </c>
      <c r="DY474" s="399">
        <f>DY470/DY473</f>
        <v>0.52493691666666653</v>
      </c>
      <c r="EA474" s="274">
        <f>EA470/EA473</f>
        <v>0.54174643274853806</v>
      </c>
      <c r="EB474" s="274">
        <f>EB470/EB473</f>
        <v>0.57461566060606062</v>
      </c>
      <c r="EC474" s="274">
        <f>EC470/EC473</f>
        <v>0.52769102342923924</v>
      </c>
      <c r="ED474" s="274">
        <f>ED470/ED473</f>
        <v>0.64604909314294046</v>
      </c>
      <c r="EE474" s="399">
        <f>EE470/EE473</f>
        <v>0.64604909314294046</v>
      </c>
      <c r="EG474" s="274">
        <f>EG470/EG473</f>
        <v>0.59726465880983559</v>
      </c>
      <c r="EH474" s="274">
        <f>EH470/EH473</f>
        <v>0.60754417357128709</v>
      </c>
      <c r="FP474" s="311"/>
    </row>
    <row r="475" spans="2:174" x14ac:dyDescent="0.2">
      <c r="FP475" s="311"/>
    </row>
    <row r="476" spans="2:174" x14ac:dyDescent="0.2">
      <c r="FP476" s="311"/>
    </row>
    <row r="477" spans="2:174" x14ac:dyDescent="0.2">
      <c r="FP477" s="311"/>
    </row>
    <row r="478" spans="2:174" x14ac:dyDescent="0.2">
      <c r="FP478" s="311"/>
    </row>
    <row r="479" spans="2:174" x14ac:dyDescent="0.2">
      <c r="FP479" s="311"/>
    </row>
    <row r="480" spans="2:174" x14ac:dyDescent="0.2">
      <c r="FP480" s="311"/>
    </row>
    <row r="481" spans="172:172" x14ac:dyDescent="0.2">
      <c r="FP481" s="311"/>
    </row>
    <row r="482" spans="172:172" x14ac:dyDescent="0.2">
      <c r="FP482" s="311"/>
    </row>
    <row r="483" spans="172:172" x14ac:dyDescent="0.2">
      <c r="FP483" s="311"/>
    </row>
    <row r="484" spans="172:172" x14ac:dyDescent="0.2">
      <c r="FP484" s="311"/>
    </row>
    <row r="485" spans="172:172" x14ac:dyDescent="0.2">
      <c r="FP485" s="311"/>
    </row>
    <row r="486" spans="172:172" x14ac:dyDescent="0.2">
      <c r="FP486" s="311"/>
    </row>
    <row r="487" spans="172:172" x14ac:dyDescent="0.2">
      <c r="FP487" s="311"/>
    </row>
    <row r="488" spans="172:172" x14ac:dyDescent="0.2">
      <c r="FP488" s="311"/>
    </row>
    <row r="489" spans="172:172" x14ac:dyDescent="0.2">
      <c r="FP489" s="311"/>
    </row>
    <row r="490" spans="172:172" x14ac:dyDescent="0.2">
      <c r="FP490" s="311"/>
    </row>
    <row r="491" spans="172:172" x14ac:dyDescent="0.2">
      <c r="FP491" s="311"/>
    </row>
    <row r="492" spans="172:172" x14ac:dyDescent="0.2">
      <c r="FP492" s="311"/>
    </row>
    <row r="493" spans="172:172" x14ac:dyDescent="0.2">
      <c r="FP493" s="311"/>
    </row>
    <row r="494" spans="172:172" x14ac:dyDescent="0.2">
      <c r="FP494" s="311"/>
    </row>
    <row r="495" spans="172:172" x14ac:dyDescent="0.2">
      <c r="FP495" s="311"/>
    </row>
    <row r="496" spans="172:172" x14ac:dyDescent="0.2">
      <c r="FP496" s="311"/>
    </row>
    <row r="497" spans="172:172" x14ac:dyDescent="0.2">
      <c r="FP497" s="311"/>
    </row>
    <row r="498" spans="172:172" x14ac:dyDescent="0.2">
      <c r="FP498" s="311"/>
    </row>
    <row r="499" spans="172:172" x14ac:dyDescent="0.2">
      <c r="FP499" s="311"/>
    </row>
    <row r="500" spans="172:172" x14ac:dyDescent="0.2">
      <c r="FP500" s="311"/>
    </row>
    <row r="501" spans="172:172" x14ac:dyDescent="0.2">
      <c r="FP501" s="311"/>
    </row>
    <row r="502" spans="172:172" x14ac:dyDescent="0.2">
      <c r="FP502" s="311"/>
    </row>
    <row r="503" spans="172:172" x14ac:dyDescent="0.2">
      <c r="FP503" s="311"/>
    </row>
    <row r="504" spans="172:172" x14ac:dyDescent="0.2">
      <c r="FP504" s="311"/>
    </row>
    <row r="505" spans="172:172" x14ac:dyDescent="0.2">
      <c r="FP505" s="311"/>
    </row>
    <row r="506" spans="172:172" x14ac:dyDescent="0.2">
      <c r="FP506" s="311"/>
    </row>
    <row r="507" spans="172:172" x14ac:dyDescent="0.2">
      <c r="FP507" s="311"/>
    </row>
    <row r="508" spans="172:172" x14ac:dyDescent="0.2">
      <c r="FP508" s="311"/>
    </row>
    <row r="509" spans="172:172" x14ac:dyDescent="0.2">
      <c r="FP509" s="311"/>
    </row>
    <row r="510" spans="172:172" x14ac:dyDescent="0.2">
      <c r="FP510" s="311"/>
    </row>
    <row r="511" spans="172:172" x14ac:dyDescent="0.2">
      <c r="FP511" s="311"/>
    </row>
    <row r="512" spans="172:172" x14ac:dyDescent="0.2">
      <c r="FP512" s="311"/>
    </row>
    <row r="513" spans="172:172" x14ac:dyDescent="0.2">
      <c r="FP513" s="311"/>
    </row>
    <row r="514" spans="172:172" x14ac:dyDescent="0.2">
      <c r="FP514" s="311"/>
    </row>
    <row r="515" spans="172:172" x14ac:dyDescent="0.2">
      <c r="FP515" s="311"/>
    </row>
    <row r="516" spans="172:172" x14ac:dyDescent="0.2">
      <c r="FP516" s="311"/>
    </row>
    <row r="517" spans="172:172" x14ac:dyDescent="0.2">
      <c r="FP517" s="311"/>
    </row>
    <row r="518" spans="172:172" x14ac:dyDescent="0.2">
      <c r="FP518" s="311"/>
    </row>
    <row r="519" spans="172:172" x14ac:dyDescent="0.2">
      <c r="FP519" s="311"/>
    </row>
    <row r="520" spans="172:172" x14ac:dyDescent="0.2">
      <c r="FP520" s="311"/>
    </row>
    <row r="521" spans="172:172" x14ac:dyDescent="0.2">
      <c r="FP521" s="311"/>
    </row>
    <row r="522" spans="172:172" x14ac:dyDescent="0.2">
      <c r="FP522" s="311"/>
    </row>
    <row r="523" spans="172:172" x14ac:dyDescent="0.2">
      <c r="FP523" s="311"/>
    </row>
    <row r="524" spans="172:172" x14ac:dyDescent="0.2">
      <c r="FP524" s="311"/>
    </row>
    <row r="525" spans="172:172" x14ac:dyDescent="0.2">
      <c r="FP525" s="311"/>
    </row>
    <row r="526" spans="172:172" x14ac:dyDescent="0.2">
      <c r="FP526" s="311"/>
    </row>
    <row r="527" spans="172:172" x14ac:dyDescent="0.2">
      <c r="FP527" s="311"/>
    </row>
    <row r="528" spans="172:172" x14ac:dyDescent="0.2">
      <c r="FP528" s="311"/>
    </row>
    <row r="529" spans="172:172" x14ac:dyDescent="0.2">
      <c r="FP529" s="311"/>
    </row>
    <row r="530" spans="172:172" x14ac:dyDescent="0.2">
      <c r="FP530" s="311"/>
    </row>
    <row r="531" spans="172:172" x14ac:dyDescent="0.2">
      <c r="FP531" s="311"/>
    </row>
    <row r="532" spans="172:172" x14ac:dyDescent="0.2">
      <c r="FP532" s="311"/>
    </row>
    <row r="533" spans="172:172" x14ac:dyDescent="0.2">
      <c r="FP533" s="311"/>
    </row>
    <row r="534" spans="172:172" x14ac:dyDescent="0.2">
      <c r="FP534" s="311"/>
    </row>
    <row r="535" spans="172:172" x14ac:dyDescent="0.2">
      <c r="FP535" s="311"/>
    </row>
    <row r="536" spans="172:172" x14ac:dyDescent="0.2">
      <c r="FP536" s="311"/>
    </row>
    <row r="537" spans="172:172" x14ac:dyDescent="0.2">
      <c r="FP537" s="311"/>
    </row>
    <row r="538" spans="172:172" x14ac:dyDescent="0.2">
      <c r="FP538" s="311"/>
    </row>
    <row r="539" spans="172:172" x14ac:dyDescent="0.2">
      <c r="FP539" s="311"/>
    </row>
    <row r="540" spans="172:172" x14ac:dyDescent="0.2">
      <c r="FP540" s="311"/>
    </row>
    <row r="541" spans="172:172" x14ac:dyDescent="0.2">
      <c r="FP541" s="311"/>
    </row>
    <row r="542" spans="172:172" x14ac:dyDescent="0.2">
      <c r="FP542" s="311"/>
    </row>
    <row r="543" spans="172:172" x14ac:dyDescent="0.2">
      <c r="FP543" s="311"/>
    </row>
    <row r="544" spans="172:172" x14ac:dyDescent="0.2">
      <c r="FP544" s="311"/>
    </row>
    <row r="545" spans="172:172" x14ac:dyDescent="0.2">
      <c r="FP545" s="311"/>
    </row>
    <row r="546" spans="172:172" x14ac:dyDescent="0.2">
      <c r="FP546" s="311"/>
    </row>
    <row r="547" spans="172:172" x14ac:dyDescent="0.2">
      <c r="FP547" s="311"/>
    </row>
    <row r="548" spans="172:172" x14ac:dyDescent="0.2">
      <c r="FP548" s="311"/>
    </row>
    <row r="549" spans="172:172" x14ac:dyDescent="0.2">
      <c r="FP549" s="311"/>
    </row>
    <row r="550" spans="172:172" x14ac:dyDescent="0.2">
      <c r="FP550" s="311"/>
    </row>
    <row r="551" spans="172:172" x14ac:dyDescent="0.2">
      <c r="FP551" s="311"/>
    </row>
    <row r="552" spans="172:172" x14ac:dyDescent="0.2">
      <c r="FP552" s="311"/>
    </row>
    <row r="553" spans="172:172" x14ac:dyDescent="0.2">
      <c r="FP553" s="311"/>
    </row>
    <row r="554" spans="172:172" x14ac:dyDescent="0.2">
      <c r="FP554" s="311"/>
    </row>
    <row r="555" spans="172:172" x14ac:dyDescent="0.2">
      <c r="FP555" s="311"/>
    </row>
    <row r="556" spans="172:172" x14ac:dyDescent="0.2">
      <c r="FP556" s="311"/>
    </row>
    <row r="557" spans="172:172" x14ac:dyDescent="0.2">
      <c r="FP557" s="311"/>
    </row>
    <row r="558" spans="172:172" x14ac:dyDescent="0.2">
      <c r="FP558" s="311"/>
    </row>
    <row r="559" spans="172:172" x14ac:dyDescent="0.2">
      <c r="FP559" s="311"/>
    </row>
    <row r="560" spans="172:172" x14ac:dyDescent="0.2">
      <c r="FP560" s="311"/>
    </row>
    <row r="561" spans="172:172" x14ac:dyDescent="0.2">
      <c r="FP561" s="311"/>
    </row>
    <row r="562" spans="172:172" x14ac:dyDescent="0.2">
      <c r="FP562" s="311"/>
    </row>
    <row r="563" spans="172:172" x14ac:dyDescent="0.2">
      <c r="FP563" s="311"/>
    </row>
    <row r="564" spans="172:172" x14ac:dyDescent="0.2">
      <c r="FP564" s="311"/>
    </row>
    <row r="565" spans="172:172" x14ac:dyDescent="0.2">
      <c r="FP565" s="311"/>
    </row>
    <row r="566" spans="172:172" x14ac:dyDescent="0.2">
      <c r="FP566" s="311"/>
    </row>
    <row r="567" spans="172:172" x14ac:dyDescent="0.2">
      <c r="FP567" s="311"/>
    </row>
    <row r="568" spans="172:172" x14ac:dyDescent="0.2">
      <c r="FP568" s="311"/>
    </row>
    <row r="569" spans="172:172" x14ac:dyDescent="0.2">
      <c r="FP569" s="311"/>
    </row>
    <row r="570" spans="172:172" x14ac:dyDescent="0.2">
      <c r="FP570" s="311"/>
    </row>
    <row r="571" spans="172:172" x14ac:dyDescent="0.2">
      <c r="FP571" s="311"/>
    </row>
    <row r="572" spans="172:172" x14ac:dyDescent="0.2">
      <c r="FP572" s="311"/>
    </row>
    <row r="573" spans="172:172" x14ac:dyDescent="0.2">
      <c r="FP573" s="311"/>
    </row>
    <row r="574" spans="172:172" x14ac:dyDescent="0.2">
      <c r="FP574" s="311"/>
    </row>
    <row r="575" spans="172:172" x14ac:dyDescent="0.2">
      <c r="FP575" s="311"/>
    </row>
    <row r="576" spans="172:172" x14ac:dyDescent="0.2">
      <c r="FP576" s="311"/>
    </row>
    <row r="577" spans="172:172" x14ac:dyDescent="0.2">
      <c r="FP577" s="311"/>
    </row>
    <row r="578" spans="172:172" x14ac:dyDescent="0.2">
      <c r="FP578" s="311"/>
    </row>
    <row r="579" spans="172:172" x14ac:dyDescent="0.2">
      <c r="FP579" s="311"/>
    </row>
    <row r="580" spans="172:172" x14ac:dyDescent="0.2">
      <c r="FP580" s="311"/>
    </row>
    <row r="581" spans="172:172" x14ac:dyDescent="0.2">
      <c r="FP581" s="311"/>
    </row>
    <row r="582" spans="172:172" x14ac:dyDescent="0.2">
      <c r="FP582" s="311"/>
    </row>
    <row r="583" spans="172:172" x14ac:dyDescent="0.2">
      <c r="FP583" s="311"/>
    </row>
    <row r="584" spans="172:172" x14ac:dyDescent="0.2">
      <c r="FP584" s="311"/>
    </row>
    <row r="585" spans="172:172" x14ac:dyDescent="0.2">
      <c r="FP585" s="311"/>
    </row>
    <row r="586" spans="172:172" x14ac:dyDescent="0.2">
      <c r="FP586" s="311"/>
    </row>
    <row r="587" spans="172:172" x14ac:dyDescent="0.2">
      <c r="FP587" s="311"/>
    </row>
    <row r="588" spans="172:172" x14ac:dyDescent="0.2">
      <c r="FP588" s="311"/>
    </row>
    <row r="589" spans="172:172" x14ac:dyDescent="0.2">
      <c r="FP589" s="311"/>
    </row>
    <row r="590" spans="172:172" x14ac:dyDescent="0.2">
      <c r="FP590" s="311"/>
    </row>
    <row r="591" spans="172:172" x14ac:dyDescent="0.2">
      <c r="FP591" s="311"/>
    </row>
    <row r="592" spans="172:172" x14ac:dyDescent="0.2">
      <c r="FP592" s="311"/>
    </row>
    <row r="593" spans="172:172" x14ac:dyDescent="0.2">
      <c r="FP593" s="311"/>
    </row>
    <row r="594" spans="172:172" x14ac:dyDescent="0.2">
      <c r="FP594" s="311"/>
    </row>
    <row r="595" spans="172:172" x14ac:dyDescent="0.2">
      <c r="FP595" s="311"/>
    </row>
    <row r="596" spans="172:172" x14ac:dyDescent="0.2">
      <c r="FP596" s="311"/>
    </row>
    <row r="597" spans="172:172" x14ac:dyDescent="0.2">
      <c r="FP597" s="311"/>
    </row>
    <row r="598" spans="172:172" x14ac:dyDescent="0.2">
      <c r="FP598" s="311"/>
    </row>
    <row r="599" spans="172:172" x14ac:dyDescent="0.2">
      <c r="FP599" s="311"/>
    </row>
    <row r="600" spans="172:172" x14ac:dyDescent="0.2">
      <c r="FP600" s="311"/>
    </row>
    <row r="601" spans="172:172" x14ac:dyDescent="0.2">
      <c r="FP601" s="311"/>
    </row>
    <row r="602" spans="172:172" x14ac:dyDescent="0.2">
      <c r="FP602" s="311"/>
    </row>
    <row r="603" spans="172:172" x14ac:dyDescent="0.2">
      <c r="FP603" s="311"/>
    </row>
    <row r="604" spans="172:172" x14ac:dyDescent="0.2">
      <c r="FP604" s="311"/>
    </row>
    <row r="605" spans="172:172" x14ac:dyDescent="0.2">
      <c r="FP605" s="311"/>
    </row>
    <row r="606" spans="172:172" x14ac:dyDescent="0.2">
      <c r="FP606" s="311"/>
    </row>
    <row r="607" spans="172:172" x14ac:dyDescent="0.2">
      <c r="FP607" s="311"/>
    </row>
    <row r="608" spans="172:172" x14ac:dyDescent="0.2">
      <c r="FP608" s="311"/>
    </row>
    <row r="609" spans="172:172" x14ac:dyDescent="0.2">
      <c r="FP609" s="311"/>
    </row>
    <row r="610" spans="172:172" x14ac:dyDescent="0.2">
      <c r="FP610" s="311"/>
    </row>
    <row r="611" spans="172:172" x14ac:dyDescent="0.2">
      <c r="FP611" s="311"/>
    </row>
    <row r="612" spans="172:172" x14ac:dyDescent="0.2">
      <c r="FP612" s="311"/>
    </row>
    <row r="613" spans="172:172" x14ac:dyDescent="0.2">
      <c r="FP613" s="311"/>
    </row>
    <row r="614" spans="172:172" x14ac:dyDescent="0.2">
      <c r="FP614" s="311"/>
    </row>
    <row r="615" spans="172:172" x14ac:dyDescent="0.2">
      <c r="FP615" s="311"/>
    </row>
    <row r="616" spans="172:172" x14ac:dyDescent="0.2">
      <c r="FP616" s="311"/>
    </row>
    <row r="617" spans="172:172" x14ac:dyDescent="0.2">
      <c r="FP617" s="311"/>
    </row>
  </sheetData>
  <phoneticPr fontId="75"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4" tint="0.79998168889431442"/>
  </sheetPr>
  <dimension ref="A1:GN380"/>
  <sheetViews>
    <sheetView zoomScale="90" zoomScaleNormal="90" workbookViewId="0">
      <pane xSplit="4" ySplit="3" topLeftCell="FN4" activePane="bottomRight" state="frozen"/>
      <selection activeCell="E28" sqref="E28"/>
      <selection pane="topRight" activeCell="E28" sqref="E28"/>
      <selection pane="bottomLeft" activeCell="E28" sqref="E28"/>
      <selection pane="bottomRight" activeCell="FU58" sqref="FU58"/>
    </sheetView>
  </sheetViews>
  <sheetFormatPr defaultColWidth="9.33203125" defaultRowHeight="13.2" outlineLevelRow="1" outlineLevelCol="1" x14ac:dyDescent="0.25"/>
  <cols>
    <col min="1" max="1" width="5.5546875" style="180" customWidth="1"/>
    <col min="2" max="2" width="25.5546875" style="180" customWidth="1"/>
    <col min="3" max="4" width="9.33203125" style="180"/>
    <col min="5" max="9" width="10.5546875" style="180" customWidth="1" outlineLevel="1"/>
    <col min="10" max="10" width="9.33203125" style="180" customWidth="1" outlineLevel="1"/>
    <col min="11" max="15" width="10.5546875" style="180" customWidth="1" outlineLevel="1"/>
    <col min="16" max="16" width="9.33203125" style="180" customWidth="1" outlineLevel="1"/>
    <col min="17" max="21" width="10.5546875" style="180" customWidth="1" outlineLevel="1"/>
    <col min="22" max="22" width="9.33203125" style="180" customWidth="1" outlineLevel="1"/>
    <col min="23" max="27" width="10.5546875" style="180" customWidth="1" outlineLevel="1"/>
    <col min="28" max="28" width="9.33203125" style="180" customWidth="1" outlineLevel="1"/>
    <col min="29" max="31" width="10.5546875" style="180" customWidth="1" outlineLevel="1"/>
    <col min="32" max="32" width="11.5546875" style="180" customWidth="1" outlineLevel="1"/>
    <col min="33" max="33" width="10.5546875" style="180" customWidth="1" outlineLevel="1"/>
    <col min="34" max="34" width="9.33203125" style="180" customWidth="1" outlineLevel="1"/>
    <col min="35" max="36" width="11.5546875" style="180" customWidth="1" outlineLevel="1"/>
    <col min="37" max="38" width="10.5546875" style="180" customWidth="1" outlineLevel="1"/>
    <col min="39" max="39" width="11.5546875" style="180" customWidth="1" outlineLevel="1"/>
    <col min="40" max="40" width="9.33203125" style="180" customWidth="1" outlineLevel="1"/>
    <col min="41" max="45" width="10.5546875" style="180" customWidth="1" outlineLevel="1"/>
    <col min="46" max="46" width="9.33203125" style="180" customWidth="1" outlineLevel="1"/>
    <col min="47" max="51" width="10.5546875" style="180" customWidth="1" outlineLevel="1"/>
    <col min="52" max="52" width="9.33203125" style="180" customWidth="1" outlineLevel="1"/>
    <col min="53" max="57" width="11.5546875" style="180" customWidth="1" outlineLevel="1"/>
    <col min="58" max="58" width="9.33203125" style="180" customWidth="1" outlineLevel="1"/>
    <col min="59" max="63" width="9.44140625" style="180" customWidth="1" outlineLevel="1"/>
    <col min="64" max="64" width="9.33203125" style="180" customWidth="1" outlineLevel="1"/>
    <col min="65" max="69" width="9.44140625" style="180" customWidth="1" outlineLevel="1"/>
    <col min="70" max="70" width="9.33203125" style="180" customWidth="1" outlineLevel="1"/>
    <col min="71" max="75" width="9.44140625" style="180" customWidth="1" outlineLevel="1"/>
    <col min="76" max="76" width="9.33203125" style="180" customWidth="1" outlineLevel="1"/>
    <col min="77" max="81" width="9.44140625" style="180" customWidth="1" outlineLevel="1"/>
    <col min="82" max="82" width="9.33203125" style="180" customWidth="1" outlineLevel="1"/>
    <col min="83" max="87" width="9.44140625" style="180" customWidth="1" outlineLevel="1"/>
    <col min="88" max="88" width="9.33203125" style="180" customWidth="1" outlineLevel="1"/>
    <col min="89" max="93" width="9.44140625" style="180" customWidth="1" outlineLevel="1"/>
    <col min="94" max="94" width="9.33203125" style="180" customWidth="1" outlineLevel="1"/>
    <col min="95" max="99" width="9.44140625" style="180" customWidth="1" outlineLevel="1"/>
    <col min="100" max="100" width="9.33203125" style="180" customWidth="1" outlineLevel="1"/>
    <col min="101" max="105" width="9.44140625" style="180" customWidth="1" outlineLevel="1"/>
    <col min="106" max="106" width="9.33203125" style="180" customWidth="1"/>
    <col min="107" max="111" width="9.44140625" style="180" customWidth="1"/>
    <col min="112" max="112" width="9.33203125" style="180"/>
    <col min="113" max="116" width="9.44140625" style="180" customWidth="1"/>
    <col min="117" max="117" width="11.33203125" style="180" customWidth="1"/>
    <col min="118" max="118" width="9.33203125" style="180"/>
    <col min="119" max="122" width="9.44140625" style="180" customWidth="1"/>
    <col min="123" max="123" width="11.33203125" style="180" customWidth="1"/>
    <col min="124" max="124" width="9.44140625" style="180" customWidth="1"/>
    <col min="125" max="142" width="9.33203125" style="180"/>
    <col min="143" max="143" width="11" style="180" customWidth="1"/>
    <col min="144" max="146" width="9.33203125" style="180"/>
    <col min="147" max="147" width="9.44140625" style="180" customWidth="1"/>
    <col min="148" max="149" width="9.33203125" style="180"/>
    <col min="150" max="153" width="9.44140625" style="180" hidden="1" customWidth="1" outlineLevel="1"/>
    <col min="154" max="158" width="10.5546875" style="180" hidden="1" customWidth="1" outlineLevel="1"/>
    <col min="159" max="159" width="11.5546875" style="180" hidden="1" customWidth="1" outlineLevel="1"/>
    <col min="160" max="162" width="10.5546875" style="180" hidden="1" customWidth="1" outlineLevel="1"/>
    <col min="163" max="163" width="9.44140625" style="180" customWidth="1" collapsed="1"/>
    <col min="164" max="168" width="9.44140625" style="180" customWidth="1"/>
    <col min="169" max="170" width="9.5546875" style="180" customWidth="1"/>
    <col min="171" max="172" width="9.44140625" style="180" customWidth="1"/>
    <col min="173" max="174" width="9.33203125" style="180"/>
    <col min="175" max="175" width="10.109375" style="180" customWidth="1"/>
    <col min="176" max="177" width="9.44140625" style="180" customWidth="1"/>
    <col min="178" max="180" width="9.44140625" style="180" hidden="1" customWidth="1"/>
    <col min="181" max="184" width="9.44140625" style="180" customWidth="1"/>
    <col min="185" max="191" width="9.33203125" style="180"/>
    <col min="192" max="192" width="10.109375" style="180" customWidth="1"/>
    <col min="193" max="16384" width="9.33203125" style="180"/>
  </cols>
  <sheetData>
    <row r="1" spans="1:196" ht="15.6" x14ac:dyDescent="0.3">
      <c r="A1" s="94" t="str">
        <f>Cover!$E$12</f>
        <v>ASML Holdings NV</v>
      </c>
      <c r="B1" s="192"/>
      <c r="C1" s="103"/>
      <c r="D1" s="103"/>
      <c r="E1" s="147"/>
      <c r="F1" s="147"/>
      <c r="G1" s="147"/>
      <c r="H1" s="147"/>
      <c r="I1" s="147"/>
      <c r="J1" s="147"/>
      <c r="K1" s="147"/>
      <c r="L1" s="147"/>
      <c r="M1" s="147"/>
      <c r="N1" s="147"/>
      <c r="O1" s="147"/>
      <c r="P1" s="147"/>
      <c r="Q1" s="147"/>
      <c r="R1" s="147"/>
      <c r="S1" s="147"/>
      <c r="T1" s="147"/>
      <c r="U1" s="147"/>
      <c r="V1" s="147"/>
      <c r="W1" s="147"/>
      <c r="X1" s="147"/>
      <c r="Y1" s="147"/>
      <c r="Z1" s="147"/>
      <c r="AA1" s="147"/>
      <c r="AB1" s="147"/>
      <c r="AC1" s="147"/>
      <c r="AD1" s="147"/>
      <c r="AE1" s="147"/>
      <c r="AF1" s="147"/>
      <c r="AG1" s="147"/>
      <c r="AH1" s="192"/>
      <c r="AI1" s="147"/>
      <c r="AJ1" s="147"/>
      <c r="AK1" s="147"/>
      <c r="AL1" s="147"/>
      <c r="AM1" s="147"/>
      <c r="AN1" s="147"/>
      <c r="AO1" s="147"/>
      <c r="AP1" s="147"/>
      <c r="AQ1" s="147"/>
      <c r="AR1" s="147"/>
      <c r="AS1" s="147"/>
      <c r="AT1" s="147"/>
      <c r="AU1" s="147"/>
      <c r="AV1" s="147"/>
      <c r="AW1" s="147"/>
      <c r="AX1" s="147"/>
      <c r="AY1" s="147"/>
      <c r="AZ1" s="147"/>
      <c r="BA1" s="147"/>
      <c r="BB1" s="147"/>
      <c r="BC1" s="147"/>
      <c r="BD1" s="147"/>
      <c r="BE1" s="147"/>
      <c r="BF1" s="147"/>
      <c r="BG1" s="193"/>
      <c r="BH1" s="193"/>
      <c r="BI1" s="193"/>
      <c r="BJ1" s="193"/>
      <c r="BK1" s="193"/>
      <c r="BL1" s="147"/>
      <c r="BM1" s="193"/>
      <c r="BN1" s="193"/>
      <c r="BO1" s="193"/>
      <c r="BP1" s="193"/>
      <c r="BQ1" s="193"/>
      <c r="BR1" s="147"/>
      <c r="BS1" s="193"/>
      <c r="BT1" s="193"/>
      <c r="BU1" s="193"/>
      <c r="BV1" s="193"/>
      <c r="BW1" s="193"/>
      <c r="BX1" s="192"/>
      <c r="BY1" s="193"/>
      <c r="BZ1" s="193"/>
      <c r="CA1" s="193"/>
      <c r="CB1" s="193"/>
      <c r="CC1" s="193"/>
      <c r="CD1" s="192"/>
      <c r="CE1" s="193"/>
      <c r="CF1" s="193"/>
      <c r="CG1" s="193"/>
      <c r="CH1" s="193"/>
      <c r="CI1" s="193"/>
      <c r="CJ1" s="192"/>
      <c r="CK1" s="192"/>
      <c r="CL1" s="192"/>
      <c r="CM1" s="192"/>
      <c r="CN1" s="192"/>
      <c r="CO1" s="192"/>
      <c r="CP1" s="192"/>
      <c r="CQ1" s="192"/>
      <c r="CR1" s="192"/>
      <c r="CS1" s="192"/>
      <c r="CT1" s="192"/>
      <c r="CU1" s="192"/>
      <c r="CV1" s="192"/>
      <c r="CW1" s="192"/>
      <c r="CX1" s="192"/>
      <c r="CY1" s="192"/>
      <c r="CZ1" s="192"/>
      <c r="DA1" s="192"/>
      <c r="DB1" s="192"/>
      <c r="DC1" s="192"/>
      <c r="DD1" s="192"/>
      <c r="DE1" s="192"/>
      <c r="DF1" s="192"/>
      <c r="DG1" s="192"/>
      <c r="DH1" s="192"/>
      <c r="DI1" s="192"/>
      <c r="DJ1" s="192"/>
      <c r="DK1" s="192"/>
      <c r="DL1" s="192"/>
      <c r="DM1" s="192"/>
      <c r="DN1" s="192"/>
      <c r="DO1" s="349">
        <f>DO58</f>
        <v>4.9539007092198606</v>
      </c>
      <c r="DP1" s="349">
        <f>DP58</f>
        <v>4.9281725888324868</v>
      </c>
      <c r="DQ1" s="349">
        <f>DQ58</f>
        <v>4.8129130655821033</v>
      </c>
      <c r="DR1" s="349">
        <f>DR58</f>
        <v>5.2008633824276282</v>
      </c>
      <c r="DS1" s="349">
        <f>DS58</f>
        <v>19.895939086294415</v>
      </c>
      <c r="DT1" s="192"/>
      <c r="DU1" s="349">
        <f>DU58</f>
        <v>3.1084582169164339</v>
      </c>
      <c r="DV1" s="349">
        <f>DV58</f>
        <v>4.0099110546378638</v>
      </c>
      <c r="DW1" s="349">
        <f>DW58</f>
        <v>5.2756605691056899</v>
      </c>
      <c r="DX1" s="349">
        <f>DX58</f>
        <v>6.8429878048780477</v>
      </c>
      <c r="DY1" s="349">
        <f>DY58</f>
        <v>19.236788617886173</v>
      </c>
      <c r="DZ1" s="192"/>
      <c r="EA1" s="349">
        <f>EA58</f>
        <v>5.9999999999999991</v>
      </c>
      <c r="EB1" s="349">
        <f>EB58</f>
        <v>5.8967559217301782</v>
      </c>
      <c r="EC1" s="349">
        <f>EC58</f>
        <v>5.481166150670794</v>
      </c>
      <c r="ED1" s="349">
        <f>ED58</f>
        <v>7.4383450129198962</v>
      </c>
      <c r="EE1" s="349">
        <f>EE58</f>
        <v>24.811159164255869</v>
      </c>
      <c r="EF1" s="192"/>
      <c r="EG1" s="349">
        <f>EG58</f>
        <v>7.1462276380606706</v>
      </c>
      <c r="EH1" s="349">
        <f>EH58</f>
        <v>6.733631607030671</v>
      </c>
      <c r="EI1" s="349">
        <f>EI58</f>
        <v>8.2062074774343863</v>
      </c>
      <c r="EJ1" s="349">
        <f>EJ58</f>
        <v>8.4670073344594261</v>
      </c>
      <c r="EK1" s="349">
        <f>EK58</f>
        <v>30.547092808182676</v>
      </c>
      <c r="EL1" s="192"/>
      <c r="EM1" s="192"/>
      <c r="EN1" s="192"/>
      <c r="EO1" s="192"/>
      <c r="EP1" s="192"/>
      <c r="EQ1" s="192"/>
      <c r="ER1" s="192"/>
      <c r="ES1" s="192"/>
      <c r="ET1" s="192"/>
      <c r="EU1" s="192"/>
      <c r="EV1" s="192"/>
      <c r="EW1" s="192"/>
      <c r="EX1" s="192"/>
      <c r="EY1" s="192"/>
      <c r="EZ1" s="192"/>
      <c r="FA1" s="192"/>
      <c r="FB1" s="192"/>
      <c r="FC1" s="192"/>
      <c r="FD1" s="192"/>
      <c r="FE1" s="192"/>
      <c r="FF1" s="192"/>
      <c r="FG1" s="192"/>
      <c r="FH1" s="192"/>
      <c r="FI1" s="192"/>
      <c r="FJ1" s="192"/>
      <c r="FK1" s="192"/>
      <c r="FL1" s="192"/>
      <c r="FM1" s="192"/>
      <c r="FN1" s="192"/>
      <c r="FO1" s="192"/>
      <c r="FP1" s="192"/>
      <c r="FQ1" s="147"/>
      <c r="FR1" s="147"/>
      <c r="FS1" s="147"/>
      <c r="FT1" s="147"/>
      <c r="FU1" s="893">
        <f>Summary!U28</f>
        <v>46.500704514861688</v>
      </c>
      <c r="FV1" s="147"/>
      <c r="FW1" s="147"/>
      <c r="FX1" s="147"/>
      <c r="FY1" s="192"/>
      <c r="FZ1" s="192"/>
      <c r="GA1" s="192"/>
      <c r="GB1" s="192"/>
      <c r="GC1" s="192"/>
      <c r="GD1" s="192"/>
      <c r="GE1" s="192"/>
      <c r="GF1" s="192"/>
      <c r="GG1" s="192"/>
      <c r="GH1" s="192"/>
      <c r="GI1" s="192"/>
      <c r="GJ1" s="192"/>
      <c r="GK1" s="192"/>
      <c r="GL1" s="192"/>
    </row>
    <row r="2" spans="1:196" ht="13.8" x14ac:dyDescent="0.25">
      <c r="A2" s="241" t="s">
        <v>373</v>
      </c>
      <c r="B2" s="192"/>
      <c r="C2" s="103"/>
      <c r="D2" s="103"/>
      <c r="E2" s="103"/>
      <c r="F2" s="103"/>
      <c r="G2" s="103"/>
      <c r="H2" s="103"/>
      <c r="I2" s="103"/>
      <c r="J2" s="103"/>
      <c r="K2" s="103"/>
      <c r="L2" s="103"/>
      <c r="M2" s="103"/>
      <c r="N2" s="103"/>
      <c r="O2" s="103"/>
      <c r="P2" s="103"/>
      <c r="Q2" s="103"/>
      <c r="R2" s="103"/>
      <c r="S2" s="194"/>
      <c r="T2" s="103"/>
      <c r="U2" s="103"/>
      <c r="V2" s="192"/>
      <c r="W2" s="103"/>
      <c r="X2" s="103"/>
      <c r="Y2" s="194"/>
      <c r="Z2" s="103"/>
      <c r="AA2" s="103"/>
      <c r="AB2" s="192"/>
      <c r="AC2" s="103"/>
      <c r="AD2" s="103"/>
      <c r="AE2" s="194"/>
      <c r="AF2" s="103"/>
      <c r="AG2" s="103"/>
      <c r="AH2" s="192"/>
      <c r="AI2" s="103"/>
      <c r="AJ2" s="103"/>
      <c r="AK2" s="103"/>
      <c r="AL2" s="103"/>
      <c r="AM2" s="103"/>
      <c r="AN2" s="192"/>
      <c r="AO2" s="103"/>
      <c r="AP2" s="103"/>
      <c r="AQ2" s="103"/>
      <c r="AR2" s="103"/>
      <c r="AS2" s="103"/>
      <c r="AT2" s="192"/>
      <c r="AU2" s="103"/>
      <c r="AV2" s="103"/>
      <c r="AW2" s="103"/>
      <c r="AX2" s="103"/>
      <c r="AY2" s="103"/>
      <c r="AZ2" s="192"/>
      <c r="BA2" s="103"/>
      <c r="BB2" s="103"/>
      <c r="BC2" s="103"/>
      <c r="BD2" s="103"/>
      <c r="BE2" s="103"/>
      <c r="BF2" s="192"/>
      <c r="BG2" s="103"/>
      <c r="BH2" s="103"/>
      <c r="BI2" s="103"/>
      <c r="BJ2" s="103"/>
      <c r="BK2" s="103"/>
      <c r="BL2" s="192"/>
      <c r="BM2" s="103"/>
      <c r="BN2" s="103"/>
      <c r="BO2" s="103"/>
      <c r="BP2" s="103"/>
      <c r="BQ2" s="103"/>
      <c r="BR2" s="192"/>
      <c r="BS2" s="103"/>
      <c r="BT2" s="103"/>
      <c r="BU2" s="103"/>
      <c r="BV2" s="103"/>
      <c r="BW2" s="103"/>
      <c r="BX2" s="192"/>
      <c r="BY2" s="103"/>
      <c r="BZ2" s="103"/>
      <c r="CA2" s="103"/>
      <c r="CB2" s="103"/>
      <c r="CC2" s="103"/>
      <c r="CD2" s="192"/>
      <c r="CE2" s="192"/>
      <c r="CF2" s="103"/>
      <c r="CG2" s="103"/>
      <c r="CH2" s="103"/>
      <c r="CI2" s="103"/>
      <c r="CJ2" s="192"/>
      <c r="CK2" s="192"/>
      <c r="CL2" s="192"/>
      <c r="CM2" s="192"/>
      <c r="CN2" s="192"/>
      <c r="CO2" s="192"/>
      <c r="CP2" s="192"/>
      <c r="CQ2" s="192"/>
      <c r="CR2" s="192"/>
      <c r="CS2" s="192"/>
      <c r="CT2" s="192"/>
      <c r="CU2" s="192"/>
      <c r="CV2" s="192"/>
      <c r="CW2" s="192"/>
      <c r="CX2" s="192"/>
      <c r="CY2" s="192"/>
      <c r="CZ2" s="192"/>
      <c r="DA2" s="192"/>
      <c r="DB2" s="192"/>
      <c r="DC2" s="192"/>
      <c r="DD2" s="192"/>
      <c r="DE2" s="192"/>
      <c r="DF2" s="192"/>
      <c r="DG2" s="192"/>
      <c r="DH2" s="192"/>
      <c r="DI2" s="192"/>
      <c r="DJ2" s="192"/>
      <c r="DK2" s="192"/>
      <c r="DL2" s="192"/>
      <c r="DM2" s="192"/>
      <c r="DN2" s="192"/>
      <c r="DO2" s="192"/>
      <c r="DP2" s="192"/>
      <c r="DQ2" s="192"/>
      <c r="DR2" s="192"/>
      <c r="DS2" s="192"/>
      <c r="DT2" s="192"/>
      <c r="DU2" s="192"/>
      <c r="DV2" s="192"/>
      <c r="DW2" s="192"/>
      <c r="DX2" s="192"/>
      <c r="DY2" s="192"/>
      <c r="DZ2" s="192"/>
      <c r="EA2" s="192"/>
      <c r="EB2" s="192"/>
      <c r="EC2" s="192"/>
      <c r="ED2" s="192"/>
      <c r="EE2" s="192"/>
      <c r="EF2" s="192"/>
      <c r="EG2" s="192"/>
      <c r="EH2" s="192"/>
      <c r="EI2" s="192"/>
      <c r="EJ2" s="192"/>
      <c r="EK2" s="192"/>
      <c r="EL2" s="192"/>
      <c r="EM2" s="192"/>
      <c r="EN2" s="192"/>
      <c r="EO2" s="192"/>
      <c r="EP2" s="192"/>
      <c r="EQ2" s="192"/>
      <c r="ER2" s="192"/>
      <c r="ES2" s="192"/>
      <c r="ET2" s="192"/>
      <c r="EU2" s="192"/>
      <c r="EV2" s="192"/>
      <c r="EW2" s="192"/>
      <c r="EX2" s="149" t="s">
        <v>358</v>
      </c>
      <c r="EY2" s="149" t="s">
        <v>357</v>
      </c>
      <c r="EZ2" s="149" t="s">
        <v>356</v>
      </c>
      <c r="FA2" s="149" t="s">
        <v>355</v>
      </c>
      <c r="FB2" s="149" t="s">
        <v>354</v>
      </c>
      <c r="FC2" s="149" t="s">
        <v>353</v>
      </c>
      <c r="FD2" s="149" t="s">
        <v>352</v>
      </c>
      <c r="FE2" s="149" t="s">
        <v>351</v>
      </c>
      <c r="FF2" s="149" t="s">
        <v>350</v>
      </c>
      <c r="FG2" s="149" t="s">
        <v>349</v>
      </c>
      <c r="FH2" s="149" t="s">
        <v>348</v>
      </c>
      <c r="FI2" s="149" t="s">
        <v>347</v>
      </c>
      <c r="FJ2" s="149" t="s">
        <v>346</v>
      </c>
      <c r="FK2" s="149" t="s">
        <v>299</v>
      </c>
      <c r="FL2" s="149" t="s">
        <v>298</v>
      </c>
      <c r="FM2" s="149" t="s">
        <v>297</v>
      </c>
      <c r="FN2" s="149" t="s">
        <v>296</v>
      </c>
      <c r="FO2" s="149" t="s">
        <v>295</v>
      </c>
      <c r="FP2" s="149" t="s">
        <v>294</v>
      </c>
      <c r="FQ2" s="149" t="s">
        <v>293</v>
      </c>
      <c r="FR2" s="149" t="s">
        <v>594</v>
      </c>
      <c r="FS2" s="149" t="s">
        <v>610</v>
      </c>
      <c r="FT2" s="149" t="s">
        <v>660</v>
      </c>
      <c r="FU2" s="147"/>
      <c r="FV2" s="147"/>
      <c r="FW2" s="147"/>
      <c r="FX2" s="147"/>
      <c r="FY2" s="192"/>
      <c r="FZ2" s="192"/>
      <c r="GA2" s="192"/>
      <c r="GB2" s="192"/>
      <c r="GC2" s="192"/>
      <c r="GD2" s="192"/>
      <c r="GE2" s="192"/>
      <c r="GF2" s="329">
        <v>2025</v>
      </c>
      <c r="GG2" s="192"/>
      <c r="GH2" s="329"/>
      <c r="GI2" s="192"/>
      <c r="GJ2" s="192"/>
      <c r="GK2" s="192"/>
      <c r="GL2" s="192"/>
    </row>
    <row r="3" spans="1:196" x14ac:dyDescent="0.25">
      <c r="A3" s="92" t="s">
        <v>151</v>
      </c>
      <c r="B3" s="205"/>
      <c r="C3" s="103"/>
      <c r="D3" s="103"/>
      <c r="E3" s="90" t="s">
        <v>292</v>
      </c>
      <c r="F3" s="90" t="s">
        <v>291</v>
      </c>
      <c r="G3" s="90" t="s">
        <v>290</v>
      </c>
      <c r="H3" s="90" t="s">
        <v>289</v>
      </c>
      <c r="I3" s="90">
        <v>2004</v>
      </c>
      <c r="J3" s="103"/>
      <c r="K3" s="90" t="s">
        <v>288</v>
      </c>
      <c r="L3" s="90" t="s">
        <v>287</v>
      </c>
      <c r="M3" s="90" t="s">
        <v>286</v>
      </c>
      <c r="N3" s="90" t="s">
        <v>285</v>
      </c>
      <c r="O3" s="90">
        <v>2005</v>
      </c>
      <c r="P3" s="103"/>
      <c r="Q3" s="90" t="s">
        <v>284</v>
      </c>
      <c r="R3" s="90" t="s">
        <v>283</v>
      </c>
      <c r="S3" s="90" t="s">
        <v>282</v>
      </c>
      <c r="T3" s="90" t="s">
        <v>281</v>
      </c>
      <c r="U3" s="90">
        <v>2006</v>
      </c>
      <c r="V3" s="192"/>
      <c r="W3" s="90" t="s">
        <v>280</v>
      </c>
      <c r="X3" s="90" t="s">
        <v>279</v>
      </c>
      <c r="Y3" s="90" t="s">
        <v>278</v>
      </c>
      <c r="Z3" s="90" t="s">
        <v>277</v>
      </c>
      <c r="AA3" s="90">
        <v>2007</v>
      </c>
      <c r="AB3" s="192"/>
      <c r="AC3" s="90" t="s">
        <v>276</v>
      </c>
      <c r="AD3" s="90" t="s">
        <v>275</v>
      </c>
      <c r="AE3" s="90" t="s">
        <v>274</v>
      </c>
      <c r="AF3" s="90" t="s">
        <v>273</v>
      </c>
      <c r="AG3" s="90">
        <v>2008</v>
      </c>
      <c r="AH3" s="192"/>
      <c r="AI3" s="90" t="s">
        <v>272</v>
      </c>
      <c r="AJ3" s="90" t="s">
        <v>271</v>
      </c>
      <c r="AK3" s="90" t="s">
        <v>270</v>
      </c>
      <c r="AL3" s="90" t="s">
        <v>269</v>
      </c>
      <c r="AM3" s="90">
        <v>2009</v>
      </c>
      <c r="AN3" s="192"/>
      <c r="AO3" s="90" t="s">
        <v>268</v>
      </c>
      <c r="AP3" s="90" t="s">
        <v>267</v>
      </c>
      <c r="AQ3" s="90" t="s">
        <v>266</v>
      </c>
      <c r="AR3" s="90" t="s">
        <v>265</v>
      </c>
      <c r="AS3" s="90">
        <v>2010</v>
      </c>
      <c r="AT3" s="192"/>
      <c r="AU3" s="90" t="s">
        <v>264</v>
      </c>
      <c r="AV3" s="90" t="s">
        <v>263</v>
      </c>
      <c r="AW3" s="176" t="s">
        <v>262</v>
      </c>
      <c r="AX3" s="90" t="s">
        <v>261</v>
      </c>
      <c r="AY3" s="90">
        <v>2011</v>
      </c>
      <c r="AZ3" s="192"/>
      <c r="BA3" s="90" t="s">
        <v>150</v>
      </c>
      <c r="BB3" s="90" t="s">
        <v>149</v>
      </c>
      <c r="BC3" s="90" t="s">
        <v>148</v>
      </c>
      <c r="BD3" s="90" t="s">
        <v>147</v>
      </c>
      <c r="BE3" s="90">
        <v>2012</v>
      </c>
      <c r="BF3" s="192"/>
      <c r="BG3" s="90" t="s">
        <v>146</v>
      </c>
      <c r="BH3" s="90" t="s">
        <v>145</v>
      </c>
      <c r="BI3" s="90" t="s">
        <v>144</v>
      </c>
      <c r="BJ3" s="90" t="s">
        <v>143</v>
      </c>
      <c r="BK3" s="90">
        <v>2013</v>
      </c>
      <c r="BL3" s="192"/>
      <c r="BM3" s="90" t="s">
        <v>142</v>
      </c>
      <c r="BN3" s="90" t="s">
        <v>141</v>
      </c>
      <c r="BO3" s="90" t="s">
        <v>140</v>
      </c>
      <c r="BP3" s="90" t="s">
        <v>139</v>
      </c>
      <c r="BQ3" s="90">
        <v>2014</v>
      </c>
      <c r="BR3" s="192"/>
      <c r="BS3" s="90" t="s">
        <v>138</v>
      </c>
      <c r="BT3" s="90" t="s">
        <v>137</v>
      </c>
      <c r="BU3" s="90" t="s">
        <v>136</v>
      </c>
      <c r="BV3" s="90" t="s">
        <v>135</v>
      </c>
      <c r="BW3" s="90">
        <v>2015</v>
      </c>
      <c r="BX3" s="192"/>
      <c r="BY3" s="90" t="s">
        <v>134</v>
      </c>
      <c r="BZ3" s="90" t="s">
        <v>133</v>
      </c>
      <c r="CA3" s="90" t="s">
        <v>132</v>
      </c>
      <c r="CB3" s="90" t="s">
        <v>131</v>
      </c>
      <c r="CC3" s="90">
        <v>2016</v>
      </c>
      <c r="CD3" s="192"/>
      <c r="CE3" s="90" t="s">
        <v>130</v>
      </c>
      <c r="CF3" s="90" t="s">
        <v>129</v>
      </c>
      <c r="CG3" s="90" t="s">
        <v>128</v>
      </c>
      <c r="CH3" s="90" t="s">
        <v>127</v>
      </c>
      <c r="CI3" s="90">
        <v>2017</v>
      </c>
      <c r="CJ3" s="192"/>
      <c r="CK3" s="90" t="s">
        <v>126</v>
      </c>
      <c r="CL3" s="90" t="s">
        <v>125</v>
      </c>
      <c r="CM3" s="90" t="s">
        <v>124</v>
      </c>
      <c r="CN3" s="90" t="s">
        <v>123</v>
      </c>
      <c r="CO3" s="90">
        <v>2018</v>
      </c>
      <c r="CP3" s="103"/>
      <c r="CQ3" s="90" t="s">
        <v>122</v>
      </c>
      <c r="CR3" s="90" t="s">
        <v>121</v>
      </c>
      <c r="CS3" s="90" t="s">
        <v>120</v>
      </c>
      <c r="CT3" s="90" t="s">
        <v>119</v>
      </c>
      <c r="CU3" s="86">
        <v>2019</v>
      </c>
      <c r="CV3" s="192"/>
      <c r="CW3" s="90" t="s">
        <v>118</v>
      </c>
      <c r="CX3" s="90" t="s">
        <v>117</v>
      </c>
      <c r="CY3" s="90" t="s">
        <v>116</v>
      </c>
      <c r="CZ3" s="90" t="s">
        <v>115</v>
      </c>
      <c r="DA3" s="86">
        <v>2020</v>
      </c>
      <c r="DB3" s="192"/>
      <c r="DC3" s="90" t="s">
        <v>114</v>
      </c>
      <c r="DD3" s="90" t="s">
        <v>113</v>
      </c>
      <c r="DE3" s="90" t="s">
        <v>112</v>
      </c>
      <c r="DF3" s="90" t="s">
        <v>111</v>
      </c>
      <c r="DG3" s="86">
        <v>2021</v>
      </c>
      <c r="DH3" s="192"/>
      <c r="DI3" s="90" t="s">
        <v>110</v>
      </c>
      <c r="DJ3" s="90" t="s">
        <v>109</v>
      </c>
      <c r="DK3" s="90" t="s">
        <v>108</v>
      </c>
      <c r="DL3" s="176" t="s">
        <v>107</v>
      </c>
      <c r="DM3" s="329">
        <v>2022</v>
      </c>
      <c r="DN3" s="192"/>
      <c r="DO3" s="90" t="s">
        <v>588</v>
      </c>
      <c r="DP3" s="90" t="s">
        <v>598</v>
      </c>
      <c r="DQ3" s="90" t="s">
        <v>600</v>
      </c>
      <c r="DR3" s="90" t="s">
        <v>601</v>
      </c>
      <c r="DS3" s="329">
        <v>2023</v>
      </c>
      <c r="DT3" s="90"/>
      <c r="DU3" s="90" t="s">
        <v>602</v>
      </c>
      <c r="DV3" s="90" t="s">
        <v>603</v>
      </c>
      <c r="DW3" s="90" t="s">
        <v>604</v>
      </c>
      <c r="DX3" s="90" t="s">
        <v>605</v>
      </c>
      <c r="DY3" s="329">
        <v>2024</v>
      </c>
      <c r="DZ3" s="192"/>
      <c r="EA3" s="90" t="s">
        <v>669</v>
      </c>
      <c r="EB3" s="90" t="s">
        <v>670</v>
      </c>
      <c r="EC3" s="90" t="s">
        <v>678</v>
      </c>
      <c r="ED3" s="90" t="s">
        <v>758</v>
      </c>
      <c r="EE3" s="90">
        <v>2025</v>
      </c>
      <c r="EF3" s="192"/>
      <c r="EG3" s="90" t="s">
        <v>759</v>
      </c>
      <c r="EH3" s="91" t="s">
        <v>637</v>
      </c>
      <c r="EI3" s="91" t="s">
        <v>638</v>
      </c>
      <c r="EJ3" s="91" t="s">
        <v>639</v>
      </c>
      <c r="EK3" s="148" t="s">
        <v>575</v>
      </c>
      <c r="EL3" s="192"/>
      <c r="EM3" s="192"/>
      <c r="EN3" s="192"/>
      <c r="EO3" s="179"/>
      <c r="EP3" s="148"/>
      <c r="EQ3" s="148"/>
      <c r="ER3" s="148"/>
      <c r="ES3" s="148"/>
      <c r="ET3" s="147">
        <v>2000</v>
      </c>
      <c r="EU3" s="147">
        <v>2001</v>
      </c>
      <c r="EV3" s="147">
        <v>2002</v>
      </c>
      <c r="EW3" s="147">
        <v>2003</v>
      </c>
      <c r="EX3" s="147">
        <v>2004</v>
      </c>
      <c r="EY3" s="147">
        <v>2005</v>
      </c>
      <c r="EZ3" s="147">
        <v>2006</v>
      </c>
      <c r="FA3" s="147">
        <v>2007</v>
      </c>
      <c r="FB3" s="147">
        <v>2008</v>
      </c>
      <c r="FC3" s="147">
        <v>2009</v>
      </c>
      <c r="FD3" s="147">
        <v>2010</v>
      </c>
      <c r="FE3" s="147">
        <v>2011</v>
      </c>
      <c r="FF3" s="147">
        <v>2012</v>
      </c>
      <c r="FG3" s="147">
        <v>2013</v>
      </c>
      <c r="FH3" s="147">
        <v>2014</v>
      </c>
      <c r="FI3" s="147">
        <v>2015</v>
      </c>
      <c r="FJ3" s="147">
        <v>2016</v>
      </c>
      <c r="FK3" s="147">
        <v>2017</v>
      </c>
      <c r="FL3" s="147">
        <v>2018</v>
      </c>
      <c r="FM3" s="147">
        <v>2019</v>
      </c>
      <c r="FN3" s="147">
        <v>2020</v>
      </c>
      <c r="FO3" s="147">
        <v>2021</v>
      </c>
      <c r="FP3" s="147">
        <v>2022</v>
      </c>
      <c r="FQ3" s="147">
        <v>2023</v>
      </c>
      <c r="FR3" s="147">
        <v>2024</v>
      </c>
      <c r="FS3" s="147">
        <v>2025</v>
      </c>
      <c r="FT3" s="175" t="s">
        <v>575</v>
      </c>
      <c r="FU3" s="175" t="s">
        <v>576</v>
      </c>
      <c r="FV3" s="175" t="s">
        <v>577</v>
      </c>
      <c r="FW3" s="175" t="s">
        <v>578</v>
      </c>
      <c r="FX3" s="175" t="s">
        <v>579</v>
      </c>
      <c r="FY3" s="192"/>
      <c r="FZ3" s="192"/>
      <c r="GA3" s="192"/>
      <c r="GB3" s="306" t="s">
        <v>370</v>
      </c>
      <c r="GC3" s="192"/>
      <c r="GD3" s="192"/>
      <c r="GE3" s="192"/>
      <c r="GF3" s="345" t="s">
        <v>609</v>
      </c>
      <c r="GG3" s="192"/>
      <c r="GH3" s="345">
        <v>2030</v>
      </c>
      <c r="GI3" s="192"/>
      <c r="GJ3" s="192"/>
      <c r="GK3" s="192"/>
      <c r="GL3" s="192"/>
    </row>
    <row r="4" spans="1:196" x14ac:dyDescent="0.25">
      <c r="A4" s="84"/>
      <c r="B4" s="198"/>
      <c r="C4" s="74"/>
      <c r="D4" s="74"/>
      <c r="E4" s="146"/>
      <c r="F4" s="146"/>
      <c r="G4" s="146"/>
      <c r="H4" s="146"/>
      <c r="I4" s="146"/>
      <c r="J4" s="74"/>
      <c r="K4" s="146"/>
      <c r="L4" s="146"/>
      <c r="M4" s="146"/>
      <c r="N4" s="146"/>
      <c r="O4" s="146"/>
      <c r="P4" s="74"/>
      <c r="Q4" s="146"/>
      <c r="R4" s="146"/>
      <c r="S4" s="146"/>
      <c r="T4" s="146"/>
      <c r="U4" s="146"/>
      <c r="W4" s="146"/>
      <c r="X4" s="146"/>
      <c r="Y4" s="146"/>
      <c r="Z4" s="146"/>
      <c r="AA4" s="146"/>
      <c r="AC4" s="146"/>
      <c r="AD4" s="146"/>
      <c r="AE4" s="146"/>
      <c r="AF4" s="146"/>
      <c r="AG4" s="146"/>
      <c r="AI4" s="146"/>
      <c r="AJ4" s="146"/>
      <c r="AK4" s="146"/>
      <c r="AL4" s="146"/>
      <c r="AM4" s="146"/>
      <c r="AO4" s="146"/>
      <c r="AP4" s="146"/>
      <c r="AQ4" s="146"/>
      <c r="AR4" s="146"/>
      <c r="AS4" s="146"/>
      <c r="AU4" s="146"/>
      <c r="AV4" s="146"/>
      <c r="AW4" s="174"/>
      <c r="AX4" s="146"/>
      <c r="AY4" s="146"/>
      <c r="BA4" s="146"/>
      <c r="BB4" s="146"/>
      <c r="BC4" s="146"/>
      <c r="BD4" s="146"/>
      <c r="BE4" s="146"/>
      <c r="BG4" s="146"/>
      <c r="BH4" s="146"/>
      <c r="BI4" s="146"/>
      <c r="BJ4" s="146"/>
      <c r="BK4" s="146"/>
      <c r="BM4" s="146"/>
      <c r="BN4" s="146"/>
      <c r="BO4" s="146"/>
      <c r="BP4" s="146"/>
      <c r="BQ4" s="146"/>
      <c r="BS4" s="146"/>
      <c r="BT4" s="146"/>
      <c r="BU4" s="146"/>
      <c r="BV4" s="146"/>
      <c r="BW4" s="146"/>
      <c r="BY4" s="146"/>
      <c r="BZ4" s="146"/>
      <c r="CA4" s="146"/>
      <c r="CB4" s="146"/>
      <c r="CC4" s="146"/>
      <c r="CE4" s="146"/>
      <c r="CF4" s="146"/>
      <c r="CG4" s="146"/>
      <c r="CH4" s="146"/>
      <c r="CI4" s="146"/>
      <c r="CK4" s="146"/>
      <c r="CL4" s="173"/>
      <c r="CM4" s="173"/>
      <c r="CN4" s="173"/>
      <c r="CO4" s="173"/>
      <c r="CQ4" s="74"/>
      <c r="CR4" s="74"/>
      <c r="CS4" s="74"/>
      <c r="CT4" s="74"/>
      <c r="CU4" s="74"/>
      <c r="CV4" s="74"/>
      <c r="CW4" s="74"/>
      <c r="CX4" s="74"/>
      <c r="CY4" s="74"/>
      <c r="CZ4" s="74"/>
      <c r="DA4" s="74"/>
      <c r="DB4" s="74"/>
      <c r="DC4" s="74"/>
      <c r="DD4" s="74"/>
      <c r="DE4" s="74"/>
      <c r="DF4" s="74"/>
      <c r="DG4" s="74"/>
      <c r="DH4" s="74"/>
      <c r="DI4" s="74"/>
      <c r="DJ4" s="74"/>
      <c r="DK4" s="74"/>
      <c r="DL4" s="74"/>
      <c r="DM4" s="74"/>
      <c r="DN4" s="74"/>
      <c r="DO4" s="74"/>
      <c r="DP4" s="74"/>
      <c r="DQ4" s="74"/>
      <c r="DR4" s="74"/>
      <c r="DS4" s="74"/>
      <c r="DT4" s="74"/>
      <c r="DU4" s="74"/>
      <c r="DV4" s="74"/>
      <c r="DW4" s="74"/>
      <c r="DX4" s="74"/>
      <c r="DY4" s="74"/>
      <c r="DZ4" s="74"/>
      <c r="EA4" s="74"/>
      <c r="EB4" s="74"/>
      <c r="EC4" s="74"/>
      <c r="ED4" s="74"/>
      <c r="EE4" s="74"/>
      <c r="EF4" s="74"/>
      <c r="EG4" s="74"/>
      <c r="EH4" s="74"/>
      <c r="EI4" s="74"/>
      <c r="EJ4" s="74"/>
      <c r="EK4" s="74"/>
      <c r="EL4" s="74"/>
      <c r="EN4" s="74"/>
      <c r="EO4" s="74"/>
      <c r="EP4" s="74"/>
      <c r="ET4" s="114"/>
      <c r="EU4" s="114"/>
      <c r="EV4" s="114"/>
      <c r="EW4" s="114"/>
      <c r="EX4" s="114"/>
      <c r="EY4" s="114"/>
      <c r="EZ4" s="114"/>
      <c r="FA4" s="114"/>
      <c r="FB4" s="114"/>
      <c r="FC4" s="114"/>
      <c r="FD4" s="114"/>
      <c r="FE4" s="114"/>
      <c r="FF4" s="114"/>
      <c r="FG4" s="114"/>
      <c r="FH4" s="114"/>
      <c r="FI4" s="114"/>
      <c r="FJ4" s="114"/>
      <c r="FK4" s="114"/>
      <c r="FL4" s="163"/>
      <c r="FM4" s="163"/>
      <c r="FN4" s="163"/>
      <c r="FP4" s="172"/>
      <c r="GF4" s="74"/>
      <c r="GH4" s="74"/>
    </row>
    <row r="5" spans="1:196" x14ac:dyDescent="0.25">
      <c r="A5" s="84"/>
      <c r="B5" s="198"/>
      <c r="C5" s="74"/>
      <c r="D5" s="74"/>
      <c r="E5" s="146"/>
      <c r="F5" s="146"/>
      <c r="G5" s="146"/>
      <c r="H5" s="146"/>
      <c r="I5" s="146"/>
      <c r="J5" s="74"/>
      <c r="K5" s="146"/>
      <c r="L5" s="146"/>
      <c r="M5" s="146"/>
      <c r="N5" s="146"/>
      <c r="O5" s="146"/>
      <c r="P5" s="74"/>
      <c r="Q5" s="146"/>
      <c r="R5" s="146"/>
      <c r="S5" s="146"/>
      <c r="T5" s="146"/>
      <c r="U5" s="146"/>
      <c r="W5" s="146"/>
      <c r="X5" s="146"/>
      <c r="Y5" s="146"/>
      <c r="Z5" s="146"/>
      <c r="AA5" s="146"/>
      <c r="AC5" s="146"/>
      <c r="AD5" s="146"/>
      <c r="AE5" s="146"/>
      <c r="AF5" s="146"/>
      <c r="AG5" s="146"/>
      <c r="AI5" s="146"/>
      <c r="AJ5" s="146"/>
      <c r="AK5" s="146"/>
      <c r="AL5" s="146"/>
      <c r="AM5" s="146"/>
      <c r="AO5" s="146"/>
      <c r="AP5" s="146"/>
      <c r="AQ5" s="146"/>
      <c r="AR5" s="146"/>
      <c r="AS5" s="146"/>
      <c r="AU5" s="146"/>
      <c r="AV5" s="146"/>
      <c r="AW5" s="174"/>
      <c r="AX5" s="146"/>
      <c r="AY5" s="146"/>
      <c r="BA5" s="146"/>
      <c r="BB5" s="146"/>
      <c r="BC5" s="146"/>
      <c r="BD5" s="146"/>
      <c r="BE5" s="146"/>
      <c r="BG5" s="146"/>
      <c r="BH5" s="146"/>
      <c r="BI5" s="146"/>
      <c r="BJ5" s="146"/>
      <c r="BK5" s="146"/>
      <c r="BM5" s="146"/>
      <c r="BN5" s="146"/>
      <c r="BO5" s="146"/>
      <c r="BP5" s="146"/>
      <c r="BQ5" s="146"/>
      <c r="BS5" s="146"/>
      <c r="BT5" s="146"/>
      <c r="BU5" s="146"/>
      <c r="BV5" s="146"/>
      <c r="BW5" s="146"/>
      <c r="BY5" s="146"/>
      <c r="BZ5" s="146"/>
      <c r="CA5" s="146"/>
      <c r="CB5" s="146"/>
      <c r="CC5" s="146"/>
      <c r="CE5" s="146"/>
      <c r="CF5" s="146"/>
      <c r="CG5" s="146"/>
      <c r="CH5" s="146"/>
      <c r="CI5" s="146"/>
      <c r="CK5" s="146"/>
      <c r="CL5" s="173"/>
      <c r="CM5" s="173"/>
      <c r="CN5" s="173"/>
      <c r="CO5" s="173"/>
      <c r="CQ5" s="74"/>
      <c r="CR5" s="74"/>
      <c r="CS5" s="74"/>
      <c r="CT5" s="74"/>
      <c r="CU5" s="74"/>
      <c r="CV5" s="74"/>
      <c r="CW5" s="74"/>
      <c r="CX5" s="74"/>
      <c r="CY5" s="74"/>
      <c r="CZ5" s="74"/>
      <c r="DA5" s="74"/>
      <c r="DB5" s="74"/>
      <c r="DC5" s="74"/>
      <c r="DD5" s="74"/>
      <c r="DE5" s="74"/>
      <c r="DF5" s="74"/>
      <c r="DG5" s="74"/>
      <c r="DH5" s="74"/>
      <c r="DI5" s="74"/>
      <c r="DJ5" s="74"/>
      <c r="DK5" s="74"/>
      <c r="DL5" s="74"/>
      <c r="DM5" s="74"/>
      <c r="DN5" s="74"/>
      <c r="DO5" s="74"/>
      <c r="DP5" s="74"/>
      <c r="DQ5" s="74"/>
      <c r="DR5" s="74"/>
      <c r="DS5" s="74"/>
      <c r="DT5" s="74"/>
      <c r="DU5" s="74"/>
      <c r="DV5" s="74"/>
      <c r="DW5" s="74"/>
      <c r="DX5" s="74"/>
      <c r="DY5" s="74"/>
      <c r="DZ5" s="74"/>
      <c r="EA5" s="74"/>
      <c r="EB5" s="74"/>
      <c r="EC5" s="74"/>
      <c r="ED5" s="74"/>
      <c r="EE5" s="74"/>
      <c r="EF5" s="74"/>
      <c r="EG5" s="74"/>
      <c r="EH5" s="74"/>
      <c r="EI5" s="74"/>
      <c r="EJ5" s="74"/>
      <c r="EK5" s="74"/>
      <c r="EL5" s="74"/>
      <c r="EN5" s="74"/>
      <c r="EO5" s="74"/>
      <c r="EP5" s="74"/>
      <c r="ET5" s="114"/>
      <c r="EU5" s="114"/>
      <c r="EV5" s="114"/>
      <c r="EW5" s="114"/>
      <c r="EX5" s="114"/>
      <c r="EY5" s="114"/>
      <c r="EZ5" s="114"/>
      <c r="FA5" s="114"/>
      <c r="FB5" s="114"/>
      <c r="FC5" s="114"/>
      <c r="FD5" s="114"/>
      <c r="FE5" s="114"/>
      <c r="FF5" s="114"/>
      <c r="FG5" s="114"/>
      <c r="FH5" s="114"/>
      <c r="FI5" s="188"/>
      <c r="FJ5" s="188"/>
      <c r="GF5" s="74"/>
      <c r="GH5" s="74"/>
    </row>
    <row r="6" spans="1:196" x14ac:dyDescent="0.25">
      <c r="A6" s="157" t="s">
        <v>106</v>
      </c>
      <c r="B6" s="156"/>
      <c r="C6" s="156"/>
      <c r="D6" s="156"/>
      <c r="E6" s="155" t="str">
        <f>E$3</f>
        <v>1Q04</v>
      </c>
      <c r="F6" s="155" t="str">
        <f>F$3</f>
        <v>2Q04</v>
      </c>
      <c r="G6" s="155" t="str">
        <f>G$3</f>
        <v>3Q04</v>
      </c>
      <c r="H6" s="155" t="str">
        <f>H$3</f>
        <v>4Q04</v>
      </c>
      <c r="I6" s="155">
        <f>I$3</f>
        <v>2004</v>
      </c>
      <c r="J6" s="156"/>
      <c r="K6" s="155" t="str">
        <f>K$3</f>
        <v>1Q05</v>
      </c>
      <c r="L6" s="155" t="str">
        <f>L$3</f>
        <v>2Q05</v>
      </c>
      <c r="M6" s="155" t="str">
        <f>M$3</f>
        <v>3Q05</v>
      </c>
      <c r="N6" s="155" t="str">
        <f>N$3</f>
        <v>4Q05</v>
      </c>
      <c r="O6" s="155">
        <f>O$3</f>
        <v>2005</v>
      </c>
      <c r="P6" s="156"/>
      <c r="Q6" s="155" t="str">
        <f>Q$3</f>
        <v>1Q06</v>
      </c>
      <c r="R6" s="155" t="str">
        <f>R$3</f>
        <v>2Q06</v>
      </c>
      <c r="S6" s="155" t="str">
        <f>S$3</f>
        <v>3Q06</v>
      </c>
      <c r="T6" s="155" t="str">
        <f>T$3</f>
        <v>4Q06</v>
      </c>
      <c r="U6" s="155">
        <f>U$3</f>
        <v>2006</v>
      </c>
      <c r="V6" s="156"/>
      <c r="W6" s="155" t="str">
        <f>W$3</f>
        <v>1Q07</v>
      </c>
      <c r="X6" s="155" t="str">
        <f>X$3</f>
        <v>2Q07</v>
      </c>
      <c r="Y6" s="155" t="str">
        <f>Y$3</f>
        <v>3Q07</v>
      </c>
      <c r="Z6" s="155" t="str">
        <f>Z$3</f>
        <v>4Q07</v>
      </c>
      <c r="AA6" s="155">
        <f>AA$3</f>
        <v>2007</v>
      </c>
      <c r="AB6" s="156"/>
      <c r="AC6" s="155" t="str">
        <f>AC$3</f>
        <v>1Q08</v>
      </c>
      <c r="AD6" s="155" t="str">
        <f>AD$3</f>
        <v>2Q08</v>
      </c>
      <c r="AE6" s="155" t="str">
        <f>AE$3</f>
        <v>3Q08</v>
      </c>
      <c r="AF6" s="155" t="str">
        <f>AF$3</f>
        <v>4Q08</v>
      </c>
      <c r="AG6" s="155">
        <f>AG$3</f>
        <v>2008</v>
      </c>
      <c r="AH6" s="156"/>
      <c r="AI6" s="155" t="str">
        <f>AI$3</f>
        <v>1Q09</v>
      </c>
      <c r="AJ6" s="155" t="str">
        <f>AJ$3</f>
        <v>2Q09</v>
      </c>
      <c r="AK6" s="155" t="str">
        <f>AK$3</f>
        <v>3Q09</v>
      </c>
      <c r="AL6" s="155" t="str">
        <f>AL$3</f>
        <v>4Q09</v>
      </c>
      <c r="AM6" s="155">
        <f>AM$3</f>
        <v>2009</v>
      </c>
      <c r="AN6" s="156"/>
      <c r="AO6" s="155" t="str">
        <f>AO$3</f>
        <v>1Q10</v>
      </c>
      <c r="AP6" s="155" t="str">
        <f>AP$3</f>
        <v>2Q10</v>
      </c>
      <c r="AQ6" s="155" t="str">
        <f>AQ$3</f>
        <v>3Q10</v>
      </c>
      <c r="AR6" s="155" t="str">
        <f>AR$3</f>
        <v>4Q10</v>
      </c>
      <c r="AS6" s="155">
        <f>AS$3</f>
        <v>2010</v>
      </c>
      <c r="AT6" s="156"/>
      <c r="AU6" s="155" t="str">
        <f>AU$3</f>
        <v>1Q11</v>
      </c>
      <c r="AV6" s="155" t="str">
        <f>AV$3</f>
        <v>2Q11</v>
      </c>
      <c r="AW6" s="155" t="str">
        <f>AW$3</f>
        <v>3Q11</v>
      </c>
      <c r="AX6" s="155" t="str">
        <f>AX$3</f>
        <v>4Q11</v>
      </c>
      <c r="AY6" s="155">
        <f>AY$3</f>
        <v>2011</v>
      </c>
      <c r="AZ6" s="156"/>
      <c r="BA6" s="155" t="str">
        <f>BA$3</f>
        <v>1Q12</v>
      </c>
      <c r="BB6" s="155" t="str">
        <f>BB$3</f>
        <v>2Q12</v>
      </c>
      <c r="BC6" s="155" t="str">
        <f>BC$3</f>
        <v>3Q12</v>
      </c>
      <c r="BD6" s="155" t="str">
        <f>BD$3</f>
        <v>4Q12</v>
      </c>
      <c r="BE6" s="155">
        <f>BE$3</f>
        <v>2012</v>
      </c>
      <c r="BF6" s="156"/>
      <c r="BG6" s="155" t="str">
        <f>BG$3</f>
        <v>1Q13</v>
      </c>
      <c r="BH6" s="155" t="str">
        <f>BH$3</f>
        <v>2Q13</v>
      </c>
      <c r="BI6" s="155" t="str">
        <f>BI$3</f>
        <v>3Q13</v>
      </c>
      <c r="BJ6" s="155" t="str">
        <f>BJ$3</f>
        <v>4Q13</v>
      </c>
      <c r="BK6" s="155">
        <f>BK$3</f>
        <v>2013</v>
      </c>
      <c r="BL6" s="156"/>
      <c r="BM6" s="155" t="str">
        <f>BM$3</f>
        <v>1Q14</v>
      </c>
      <c r="BN6" s="155" t="str">
        <f>BN$3</f>
        <v>2Q14</v>
      </c>
      <c r="BO6" s="155" t="str">
        <f>BO$3</f>
        <v>3Q14</v>
      </c>
      <c r="BP6" s="155" t="str">
        <f>BP$3</f>
        <v>4Q14</v>
      </c>
      <c r="BQ6" s="155">
        <f>BQ$3</f>
        <v>2014</v>
      </c>
      <c r="BR6" s="156"/>
      <c r="BS6" s="155" t="str">
        <f>BS$3</f>
        <v>1Q15</v>
      </c>
      <c r="BT6" s="155" t="str">
        <f>BT$3</f>
        <v>2Q15</v>
      </c>
      <c r="BU6" s="155" t="str">
        <f>BU$3</f>
        <v>3Q15</v>
      </c>
      <c r="BV6" s="155" t="str">
        <f>BV$3</f>
        <v>4Q15</v>
      </c>
      <c r="BW6" s="155">
        <f>BW$3</f>
        <v>2015</v>
      </c>
      <c r="BX6" s="156"/>
      <c r="BY6" s="155" t="str">
        <f>BY$3</f>
        <v>1Q16</v>
      </c>
      <c r="BZ6" s="155" t="str">
        <f>BZ$3</f>
        <v>2Q16</v>
      </c>
      <c r="CA6" s="155" t="str">
        <f>CA$3</f>
        <v>3Q16</v>
      </c>
      <c r="CB6" s="155" t="str">
        <f>CB$3</f>
        <v>4Q16</v>
      </c>
      <c r="CC6" s="155">
        <f>CC$3</f>
        <v>2016</v>
      </c>
      <c r="CD6" s="156"/>
      <c r="CE6" s="155" t="str">
        <f>CE$3</f>
        <v>1Q17</v>
      </c>
      <c r="CF6" s="155" t="str">
        <f>CF$3</f>
        <v>2Q17</v>
      </c>
      <c r="CG6" s="155" t="str">
        <f>CG$3</f>
        <v>3Q17</v>
      </c>
      <c r="CH6" s="155" t="str">
        <f>CH$3</f>
        <v>4Q17</v>
      </c>
      <c r="CI6" s="155">
        <f>CI$3</f>
        <v>2017</v>
      </c>
      <c r="CJ6" s="156"/>
      <c r="CK6" s="155" t="str">
        <f>CK$3</f>
        <v>1Q18</v>
      </c>
      <c r="CL6" s="155" t="str">
        <f>CL$3</f>
        <v>2Q18</v>
      </c>
      <c r="CM6" s="155" t="str">
        <f>CM$3</f>
        <v>3Q18</v>
      </c>
      <c r="CN6" s="155" t="str">
        <f>CN$3</f>
        <v>4Q18</v>
      </c>
      <c r="CO6" s="155">
        <f>CO$3</f>
        <v>2018</v>
      </c>
      <c r="CP6" s="156"/>
      <c r="CQ6" s="155" t="str">
        <f>CQ$3</f>
        <v>1Q19</v>
      </c>
      <c r="CR6" s="155" t="str">
        <f>CR$3</f>
        <v>2Q19</v>
      </c>
      <c r="CS6" s="155" t="str">
        <f>CS$3</f>
        <v>3Q19</v>
      </c>
      <c r="CT6" s="155" t="str">
        <f>CT$3</f>
        <v>4Q19</v>
      </c>
      <c r="CU6" s="155">
        <f>CU$3</f>
        <v>2019</v>
      </c>
      <c r="CV6" s="156"/>
      <c r="CW6" s="155" t="str">
        <f>CW$3</f>
        <v>1Q20</v>
      </c>
      <c r="CX6" s="155" t="str">
        <f>CX$3</f>
        <v>2Q20</v>
      </c>
      <c r="CY6" s="155" t="str">
        <f>CY$3</f>
        <v>3Q20</v>
      </c>
      <c r="CZ6" s="155" t="str">
        <f>CZ$3</f>
        <v>4Q20</v>
      </c>
      <c r="DA6" s="155">
        <f>DA$3</f>
        <v>2020</v>
      </c>
      <c r="DB6" s="156"/>
      <c r="DC6" s="155" t="str">
        <f>DC$3</f>
        <v>1Q21</v>
      </c>
      <c r="DD6" s="155" t="str">
        <f>DD$3</f>
        <v>2Q21</v>
      </c>
      <c r="DE6" s="155" t="str">
        <f>DE$3</f>
        <v>3Q21</v>
      </c>
      <c r="DF6" s="155" t="str">
        <f>DF$3</f>
        <v>4Q21</v>
      </c>
      <c r="DG6" s="155">
        <f>DG$3</f>
        <v>2021</v>
      </c>
      <c r="DH6" s="156"/>
      <c r="DI6" s="155" t="str">
        <f>DI$3</f>
        <v>1Q22</v>
      </c>
      <c r="DJ6" s="155" t="str">
        <f>DJ$3</f>
        <v>2Q22</v>
      </c>
      <c r="DK6" s="155" t="str">
        <f>DK$3</f>
        <v>3Q22</v>
      </c>
      <c r="DL6" s="155" t="str">
        <f>DL$3</f>
        <v>4Q22</v>
      </c>
      <c r="DM6" s="155">
        <f>DM$3</f>
        <v>2022</v>
      </c>
      <c r="DN6" s="156"/>
      <c r="DO6" s="155" t="str">
        <f>DO$3</f>
        <v>1Q23</v>
      </c>
      <c r="DP6" s="155" t="str">
        <f>DP$3</f>
        <v>2Q23</v>
      </c>
      <c r="DQ6" s="155" t="str">
        <f>DQ$3</f>
        <v>3Q23</v>
      </c>
      <c r="DR6" s="155" t="str">
        <f>DR$3</f>
        <v>4Q23</v>
      </c>
      <c r="DS6" s="155">
        <f>DS$3</f>
        <v>2023</v>
      </c>
      <c r="DT6" s="155"/>
      <c r="DU6" s="155" t="str">
        <f>DU$3</f>
        <v>1Q24</v>
      </c>
      <c r="DV6" s="155" t="str">
        <f>DV$3</f>
        <v>2Q24</v>
      </c>
      <c r="DW6" s="155" t="str">
        <f>DW$3</f>
        <v>3Q24</v>
      </c>
      <c r="DX6" s="155" t="str">
        <f>DX$3</f>
        <v>4Q24</v>
      </c>
      <c r="DY6" s="155">
        <f>DY$3</f>
        <v>2024</v>
      </c>
      <c r="DZ6" s="156"/>
      <c r="EA6" s="155" t="str">
        <f>EA$3</f>
        <v>1Q25</v>
      </c>
      <c r="EB6" s="155" t="str">
        <f>EB$3</f>
        <v>2Q25</v>
      </c>
      <c r="EC6" s="155" t="str">
        <f>EC$3</f>
        <v>3Q25</v>
      </c>
      <c r="ED6" s="155" t="str">
        <f>ED$3</f>
        <v>4Q25</v>
      </c>
      <c r="EE6" s="155">
        <f>EE$3</f>
        <v>2025</v>
      </c>
      <c r="EF6" s="156"/>
      <c r="EG6" s="155" t="str">
        <f>EG$3</f>
        <v>1Q26</v>
      </c>
      <c r="EH6" s="155" t="str">
        <f>EH$3</f>
        <v>2Q26e</v>
      </c>
      <c r="EI6" s="155" t="str">
        <f>EI$3</f>
        <v>3Q26e</v>
      </c>
      <c r="EJ6" s="155" t="str">
        <f>EJ$3</f>
        <v>4Q26e</v>
      </c>
      <c r="EK6" s="155" t="str">
        <f>EK$3</f>
        <v>2026e</v>
      </c>
      <c r="EL6" s="171"/>
      <c r="EN6" s="171"/>
      <c r="EP6" s="171"/>
      <c r="ET6" s="106">
        <v>2000</v>
      </c>
      <c r="EU6" s="106">
        <v>2001</v>
      </c>
      <c r="EV6" s="106">
        <v>2002</v>
      </c>
      <c r="EW6" s="106">
        <v>2003</v>
      </c>
      <c r="EX6" s="155">
        <f t="shared" ref="EX6:FX6" si="0">EX$3</f>
        <v>2004</v>
      </c>
      <c r="EY6" s="155">
        <f t="shared" si="0"/>
        <v>2005</v>
      </c>
      <c r="EZ6" s="155">
        <f t="shared" si="0"/>
        <v>2006</v>
      </c>
      <c r="FA6" s="155">
        <f t="shared" si="0"/>
        <v>2007</v>
      </c>
      <c r="FB6" s="155">
        <f t="shared" si="0"/>
        <v>2008</v>
      </c>
      <c r="FC6" s="155">
        <f t="shared" si="0"/>
        <v>2009</v>
      </c>
      <c r="FD6" s="155">
        <f t="shared" si="0"/>
        <v>2010</v>
      </c>
      <c r="FE6" s="155">
        <f t="shared" si="0"/>
        <v>2011</v>
      </c>
      <c r="FF6" s="155">
        <f t="shared" si="0"/>
        <v>2012</v>
      </c>
      <c r="FG6" s="155">
        <f t="shared" si="0"/>
        <v>2013</v>
      </c>
      <c r="FH6" s="155">
        <f t="shared" si="0"/>
        <v>2014</v>
      </c>
      <c r="FI6" s="155">
        <f t="shared" si="0"/>
        <v>2015</v>
      </c>
      <c r="FJ6" s="155">
        <f t="shared" si="0"/>
        <v>2016</v>
      </c>
      <c r="FK6" s="155">
        <f t="shared" si="0"/>
        <v>2017</v>
      </c>
      <c r="FL6" s="155">
        <f t="shared" si="0"/>
        <v>2018</v>
      </c>
      <c r="FM6" s="155">
        <f t="shared" si="0"/>
        <v>2019</v>
      </c>
      <c r="FN6" s="155">
        <f t="shared" si="0"/>
        <v>2020</v>
      </c>
      <c r="FO6" s="155">
        <f t="shared" si="0"/>
        <v>2021</v>
      </c>
      <c r="FP6" s="155">
        <f t="shared" si="0"/>
        <v>2022</v>
      </c>
      <c r="FQ6" s="155">
        <f t="shared" si="0"/>
        <v>2023</v>
      </c>
      <c r="FR6" s="155">
        <f t="shared" si="0"/>
        <v>2024</v>
      </c>
      <c r="FS6" s="155">
        <f t="shared" si="0"/>
        <v>2025</v>
      </c>
      <c r="FT6" s="155" t="str">
        <f t="shared" si="0"/>
        <v>2026e</v>
      </c>
      <c r="FU6" s="155" t="str">
        <f t="shared" si="0"/>
        <v>2027e</v>
      </c>
      <c r="FV6" s="155" t="str">
        <f t="shared" si="0"/>
        <v>2028e</v>
      </c>
      <c r="FW6" s="155" t="str">
        <f t="shared" si="0"/>
        <v>2029e</v>
      </c>
      <c r="FX6" s="155" t="str">
        <f t="shared" si="0"/>
        <v>2030e</v>
      </c>
      <c r="GB6" s="171"/>
      <c r="GF6" s="155" t="str">
        <f>GF$3</f>
        <v>Target</v>
      </c>
      <c r="GH6" s="155">
        <f>GH$3</f>
        <v>2030</v>
      </c>
      <c r="GK6" s="360"/>
      <c r="GL6" s="360"/>
      <c r="GM6" s="385"/>
      <c r="GN6" s="379"/>
    </row>
    <row r="7" spans="1:196" x14ac:dyDescent="0.25">
      <c r="A7" s="305" t="str">
        <f>$A$3</f>
        <v>EURm unless otherwise stated</v>
      </c>
      <c r="B7" s="74"/>
      <c r="C7" s="74"/>
      <c r="D7" s="74"/>
      <c r="E7" s="87"/>
      <c r="F7" s="87"/>
      <c r="G7" s="87"/>
      <c r="H7" s="87"/>
      <c r="I7" s="87"/>
      <c r="J7" s="74"/>
      <c r="K7" s="87"/>
      <c r="L7" s="87"/>
      <c r="M7" s="87"/>
      <c r="N7" s="87"/>
      <c r="O7" s="87"/>
      <c r="P7" s="74"/>
      <c r="Q7" s="74"/>
      <c r="R7" s="87"/>
      <c r="S7" s="87"/>
      <c r="T7" s="87"/>
      <c r="U7" s="87"/>
      <c r="W7" s="74"/>
      <c r="X7" s="87"/>
      <c r="Y7" s="87"/>
      <c r="Z7" s="87"/>
      <c r="AA7" s="87"/>
      <c r="AC7" s="74"/>
      <c r="AD7" s="87"/>
      <c r="AE7" s="87"/>
      <c r="AF7" s="87"/>
      <c r="AG7" s="87"/>
      <c r="AI7" s="87"/>
      <c r="AJ7" s="87"/>
      <c r="AK7" s="87"/>
      <c r="AL7" s="87"/>
      <c r="AM7" s="87"/>
      <c r="AS7" s="87"/>
      <c r="CQ7" s="84"/>
      <c r="CR7" s="84"/>
      <c r="CS7" s="84"/>
      <c r="CT7" s="84"/>
      <c r="CU7" s="84"/>
      <c r="CV7" s="84"/>
      <c r="CW7" s="84"/>
      <c r="CX7" s="84"/>
      <c r="CY7" s="84"/>
      <c r="CZ7" s="84"/>
      <c r="DA7" s="84"/>
      <c r="DB7" s="84"/>
      <c r="DC7" s="84"/>
      <c r="DD7" s="84"/>
      <c r="DE7" s="84"/>
      <c r="DF7" s="84"/>
      <c r="DG7" s="84"/>
      <c r="DH7" s="84"/>
      <c r="DI7" s="84"/>
      <c r="DJ7" s="84"/>
      <c r="DK7" s="84"/>
      <c r="DL7" s="84"/>
      <c r="DM7" s="84"/>
      <c r="DN7" s="84"/>
      <c r="DO7" s="84"/>
      <c r="DP7" s="84"/>
      <c r="DQ7" s="84"/>
      <c r="DR7" s="84"/>
      <c r="DS7" s="84"/>
      <c r="DT7" s="84"/>
      <c r="DU7" s="84"/>
      <c r="DV7" s="84"/>
      <c r="DW7" s="84"/>
      <c r="DX7" s="84"/>
      <c r="DY7" s="84"/>
      <c r="DZ7" s="84"/>
      <c r="EA7" s="84"/>
      <c r="EB7" s="84"/>
      <c r="EC7" s="396"/>
      <c r="ED7" s="84"/>
      <c r="EE7" s="84"/>
      <c r="EF7" s="84"/>
      <c r="EG7" s="84"/>
      <c r="EH7" s="84"/>
      <c r="EI7" s="84"/>
      <c r="EJ7" s="84"/>
      <c r="EK7" s="84"/>
      <c r="EL7" s="84"/>
      <c r="EN7" s="84"/>
      <c r="EP7" s="84"/>
      <c r="ET7" s="114"/>
      <c r="EU7" s="114"/>
      <c r="EV7" s="82"/>
      <c r="EW7" s="82"/>
      <c r="FI7" s="337">
        <f t="shared" ref="FI7:FW7" si="1">FI9/FH9-1</f>
        <v>7.3613032119256072E-2</v>
      </c>
      <c r="FJ7" s="337">
        <f t="shared" si="1"/>
        <v>8.0701084709100757E-2</v>
      </c>
      <c r="FK7" s="337">
        <f t="shared" si="1"/>
        <v>0.33231294519338328</v>
      </c>
      <c r="FL7" s="337">
        <f t="shared" si="1"/>
        <v>0.20890774125132561</v>
      </c>
      <c r="FM7" s="337">
        <f t="shared" si="1"/>
        <v>8.0034722222222188E-2</v>
      </c>
      <c r="FN7" s="337">
        <f t="shared" si="1"/>
        <v>0.18261575817054299</v>
      </c>
      <c r="FO7" s="337">
        <f t="shared" si="1"/>
        <v>0.33141132032278375</v>
      </c>
      <c r="FP7" s="337">
        <f t="shared" si="1"/>
        <v>0.13768201601203578</v>
      </c>
      <c r="FQ7" s="337">
        <f t="shared" si="1"/>
        <v>0.30156233765007046</v>
      </c>
      <c r="FR7" s="337">
        <f t="shared" si="1"/>
        <v>2.556017199775007E-2</v>
      </c>
      <c r="FS7" s="337">
        <f t="shared" si="1"/>
        <v>0.15583326551769283</v>
      </c>
      <c r="FT7" s="337">
        <f t="shared" si="1"/>
        <v>0.15325448768183358</v>
      </c>
      <c r="FU7" s="337">
        <f t="shared" si="1"/>
        <v>0.2744190606179211</v>
      </c>
      <c r="FV7" s="337">
        <f t="shared" si="1"/>
        <v>-0.13987198476184293</v>
      </c>
      <c r="FW7" s="337">
        <f t="shared" ca="1" si="1"/>
        <v>-0.46393659834347767</v>
      </c>
      <c r="FX7" s="337">
        <f ca="1">FX9/FW9-1</f>
        <v>0.17176736307171092</v>
      </c>
      <c r="GB7" s="84"/>
      <c r="GF7" s="84"/>
      <c r="GH7" s="84"/>
      <c r="GK7" s="360"/>
      <c r="GL7" s="386"/>
      <c r="GM7" s="385"/>
      <c r="GN7" s="360"/>
    </row>
    <row r="8" spans="1:196" x14ac:dyDescent="0.25">
      <c r="CQ8" s="84"/>
      <c r="CR8" s="84"/>
      <c r="CS8" s="84"/>
      <c r="CT8" s="84"/>
      <c r="CU8" s="84"/>
      <c r="CV8" s="84"/>
      <c r="CW8" s="84"/>
      <c r="CX8" s="84"/>
      <c r="CY8" s="84"/>
      <c r="CZ8" s="84"/>
      <c r="DA8" s="84"/>
      <c r="DB8" s="84"/>
      <c r="DC8" s="84"/>
      <c r="DD8" s="84"/>
      <c r="DE8" s="84"/>
      <c r="DF8" s="84"/>
      <c r="DG8" s="84"/>
      <c r="DH8" s="84"/>
      <c r="DI8" s="84"/>
      <c r="DJ8" s="84"/>
      <c r="DK8" s="84"/>
      <c r="DL8" s="84"/>
      <c r="DM8" s="84"/>
      <c r="DN8" s="84"/>
      <c r="DO8" s="84"/>
      <c r="DP8" s="84"/>
      <c r="DQ8" s="84"/>
      <c r="DR8" s="84"/>
      <c r="DS8" s="84"/>
      <c r="DT8" s="84"/>
      <c r="DU8" s="84"/>
      <c r="DV8" s="84"/>
      <c r="DW8" s="84"/>
      <c r="DX8" s="84"/>
      <c r="DY8" s="84"/>
      <c r="EA8" s="84"/>
      <c r="EB8" s="84"/>
      <c r="EC8" s="84"/>
      <c r="ED8" s="84"/>
      <c r="EE8" s="84"/>
      <c r="EF8" s="84"/>
      <c r="EG8" s="84"/>
      <c r="EH8" s="84"/>
      <c r="EI8" s="84"/>
      <c r="EJ8" s="84"/>
      <c r="EK8" s="84"/>
      <c r="EL8" s="84"/>
      <c r="EN8" s="84"/>
      <c r="EP8" s="84"/>
      <c r="ET8" s="114"/>
      <c r="EU8" s="114"/>
      <c r="EV8" s="82"/>
      <c r="EW8" s="82"/>
      <c r="GB8" s="84"/>
      <c r="GF8" s="84"/>
      <c r="GH8" s="389">
        <v>0.08</v>
      </c>
      <c r="GK8" s="360"/>
      <c r="GL8" s="360"/>
      <c r="GM8" s="360"/>
      <c r="GN8" s="360"/>
    </row>
    <row r="9" spans="1:196" x14ac:dyDescent="0.25">
      <c r="B9" s="74" t="s">
        <v>345</v>
      </c>
      <c r="E9" s="87">
        <f>Sales!E10</f>
        <v>453.48500000000001</v>
      </c>
      <c r="F9" s="87">
        <f>Sales!F10</f>
        <v>616.25800000000004</v>
      </c>
      <c r="G9" s="87">
        <f>Sales!G10</f>
        <v>610.47199999999998</v>
      </c>
      <c r="H9" s="87">
        <f>Sales!H10</f>
        <v>785.16200000000003</v>
      </c>
      <c r="I9" s="87">
        <f>E9+F9+G9+H9</f>
        <v>2465.377</v>
      </c>
      <c r="K9" s="87">
        <f>Sales!K10</f>
        <v>684.68</v>
      </c>
      <c r="L9" s="87">
        <f>Sales!L10</f>
        <v>763.26499999999999</v>
      </c>
      <c r="M9" s="87">
        <f>Sales!M10</f>
        <v>533.15300000000002</v>
      </c>
      <c r="N9" s="87">
        <f>Sales!N10</f>
        <v>547.86900000000003</v>
      </c>
      <c r="O9" s="87">
        <f>K9+L9+M9+N9</f>
        <v>2528.9670000000001</v>
      </c>
      <c r="Q9" s="87">
        <f>Sales!Q10</f>
        <v>629.39</v>
      </c>
      <c r="R9" s="87">
        <f>Sales!R10</f>
        <v>941.75400000000002</v>
      </c>
      <c r="S9" s="87">
        <f>Sales!S10</f>
        <v>958.43299999999999</v>
      </c>
      <c r="T9" s="87">
        <f>Sales!T10</f>
        <v>1067.527</v>
      </c>
      <c r="U9" s="87">
        <f>Q9+R9+S9+T9</f>
        <v>3597.1040000000003</v>
      </c>
      <c r="W9" s="87">
        <f>Sales!W10</f>
        <v>960.24299999999994</v>
      </c>
      <c r="X9" s="87">
        <f>Sales!X10</f>
        <v>930.22199999999998</v>
      </c>
      <c r="Y9" s="87">
        <f>Sales!Y10</f>
        <v>934.37400000000002</v>
      </c>
      <c r="Z9" s="87">
        <f>Sales!Z10</f>
        <v>972.88699999999994</v>
      </c>
      <c r="AA9" s="87">
        <f>W9+X9+Y9+Z9</f>
        <v>3797.7259999999997</v>
      </c>
      <c r="AC9" s="87">
        <f>Sales!AC10</f>
        <v>919.20799999999997</v>
      </c>
      <c r="AD9" s="87">
        <f>Sales!AD10</f>
        <v>844.15700000000004</v>
      </c>
      <c r="AE9" s="87">
        <f>Sales!AE10</f>
        <v>696.49299999999994</v>
      </c>
      <c r="AF9" s="87">
        <f>Sales!AF10</f>
        <v>493.82</v>
      </c>
      <c r="AG9" s="87">
        <f>AC9+AD9+AE9+AF9</f>
        <v>2953.6780000000003</v>
      </c>
      <c r="AH9" s="74"/>
      <c r="AI9" s="87">
        <f>Sales!AI10</f>
        <v>183.625</v>
      </c>
      <c r="AJ9" s="87">
        <f>Sales!AJ10</f>
        <v>276.59999999999997</v>
      </c>
      <c r="AK9" s="87">
        <f>Sales!AK10</f>
        <v>555.27199999999993</v>
      </c>
      <c r="AL9" s="87">
        <f>Sales!AL10</f>
        <v>580.56600000000003</v>
      </c>
      <c r="AM9" s="87">
        <f>AI9+AJ9+AK9+AL9</f>
        <v>1596.0629999999999</v>
      </c>
      <c r="AO9" s="87">
        <f>Sales!AO10</f>
        <v>741.80000000000007</v>
      </c>
      <c r="AP9" s="87">
        <f>Sales!AP10</f>
        <v>1068.7</v>
      </c>
      <c r="AQ9" s="87">
        <f>Sales!AQ10</f>
        <v>1176</v>
      </c>
      <c r="AR9" s="87">
        <f>Sales!AR10</f>
        <v>1521.3999999999999</v>
      </c>
      <c r="AS9" s="87">
        <f>AO9+AP9+AQ9+AR9</f>
        <v>4507.8999999999996</v>
      </c>
      <c r="AT9" s="74"/>
      <c r="AU9" s="87">
        <f>Sales!AU10</f>
        <v>1452.2</v>
      </c>
      <c r="AV9" s="87">
        <f>Sales!AV10</f>
        <v>1529.3999999999999</v>
      </c>
      <c r="AW9" s="87">
        <f>Sales!AW10</f>
        <v>1458.5</v>
      </c>
      <c r="AX9" s="87">
        <f>Sales!AX10</f>
        <v>1210.9000000000001</v>
      </c>
      <c r="AY9" s="87">
        <f>AU9+AV9+AW9+AX9</f>
        <v>5651</v>
      </c>
      <c r="BA9" s="87">
        <f>Sales!BA10</f>
        <v>1251.9000000000001</v>
      </c>
      <c r="BB9" s="87">
        <f>Sales!BB10</f>
        <v>1227.7</v>
      </c>
      <c r="BC9" s="87">
        <f>Sales!BC10</f>
        <v>1228.8</v>
      </c>
      <c r="BD9" s="87">
        <f>Sales!BD10</f>
        <v>1023.1</v>
      </c>
      <c r="BE9" s="87">
        <f>BA9+BB9+BC9+BD9</f>
        <v>4731.5000000000009</v>
      </c>
      <c r="BG9" s="87">
        <f>Sales!BG10</f>
        <v>892.09999999999991</v>
      </c>
      <c r="BH9" s="87">
        <f>Sales!BH10</f>
        <v>1218.7</v>
      </c>
      <c r="BI9" s="87">
        <f>Sales!BI10</f>
        <v>1392.2</v>
      </c>
      <c r="BJ9" s="87">
        <f>Sales!BJ10</f>
        <v>1922.3000000000002</v>
      </c>
      <c r="BK9" s="87">
        <f>BG9+BH9+BI9+BJ9</f>
        <v>5425.3</v>
      </c>
      <c r="BM9" s="87">
        <f>Sales!BM10</f>
        <v>1396.5</v>
      </c>
      <c r="BN9" s="87">
        <f>Sales!BN10</f>
        <v>1643.6</v>
      </c>
      <c r="BO9" s="87">
        <f>Sales!BO10</f>
        <v>1322.2</v>
      </c>
      <c r="BP9" s="87">
        <f>Sales!BP10</f>
        <v>1494</v>
      </c>
      <c r="BQ9" s="87">
        <f>SUM(BM9:BP9)</f>
        <v>5856.3</v>
      </c>
      <c r="BS9" s="87">
        <f>Sales!BS10</f>
        <v>1649.9</v>
      </c>
      <c r="BT9" s="87">
        <f>Sales!BT10</f>
        <v>1654.1</v>
      </c>
      <c r="BU9" s="87">
        <f>Sales!BU10</f>
        <v>1549.1999999999998</v>
      </c>
      <c r="BV9" s="87">
        <f>Sales!BV10</f>
        <v>1434.1999999999998</v>
      </c>
      <c r="BW9" s="87">
        <f>SUM(BS9:BV9)</f>
        <v>6287.4</v>
      </c>
      <c r="BY9" s="87">
        <f>Sales!BY10</f>
        <v>1333.1999999999998</v>
      </c>
      <c r="BZ9" s="87">
        <f>Sales!BZ10</f>
        <v>1739.6000000000001</v>
      </c>
      <c r="CA9" s="87">
        <f>Sales!CA10</f>
        <v>1814.6</v>
      </c>
      <c r="CB9" s="87">
        <f>Sales!CB10</f>
        <v>1907.3999999999999</v>
      </c>
      <c r="CC9" s="87">
        <f>SUM(BY9:CB9)</f>
        <v>6794.7999999999993</v>
      </c>
      <c r="CE9" s="87">
        <f>Sales!CE10</f>
        <v>1943.6</v>
      </c>
      <c r="CF9" s="87">
        <f>Sales!CF10</f>
        <v>2101.3999999999996</v>
      </c>
      <c r="CG9" s="87">
        <f>Sales!CG10</f>
        <v>2447.4</v>
      </c>
      <c r="CH9" s="87">
        <f>Sales!CH10</f>
        <v>2560.4</v>
      </c>
      <c r="CI9" s="87">
        <f>SUM(CE9:CH9)</f>
        <v>9052.7999999999993</v>
      </c>
      <c r="CK9" s="87">
        <f>Sales!CK10</f>
        <v>2285</v>
      </c>
      <c r="CL9" s="87">
        <f>Sales!CL10</f>
        <v>2740.4</v>
      </c>
      <c r="CM9" s="87">
        <f>Sales!CM10</f>
        <v>2776.1</v>
      </c>
      <c r="CN9" s="87">
        <f>Sales!CN10</f>
        <v>3142.5</v>
      </c>
      <c r="CO9" s="87">
        <f>SUM(CK9:CN9)</f>
        <v>10944</v>
      </c>
      <c r="CQ9" s="87">
        <f>Sales!CQ10</f>
        <v>2229.1</v>
      </c>
      <c r="CR9" s="87">
        <f>Sales!CR10</f>
        <v>2567.9</v>
      </c>
      <c r="CS9" s="87">
        <f>Sales!CS10</f>
        <v>2986.5</v>
      </c>
      <c r="CT9" s="87">
        <f>Sales!CT10</f>
        <v>4036.3999999999996</v>
      </c>
      <c r="CU9" s="87">
        <f>SUM(CQ9:CT9)</f>
        <v>11819.9</v>
      </c>
      <c r="CW9" s="87">
        <f>Sales!CW10</f>
        <v>2440.6</v>
      </c>
      <c r="CX9" s="87">
        <f>Sales!CX10</f>
        <v>3325.7</v>
      </c>
      <c r="CY9" s="87">
        <f>Sales!CY10</f>
        <v>3958</v>
      </c>
      <c r="CZ9" s="87">
        <f>Sales!CZ10</f>
        <v>4254.1000000000004</v>
      </c>
      <c r="DA9" s="87">
        <f>SUM(CW9:CZ9)</f>
        <v>13978.4</v>
      </c>
      <c r="DC9" s="87">
        <f>Sales!DC10</f>
        <v>4363.8999999999996</v>
      </c>
      <c r="DD9" s="87">
        <f>Sales!DD10</f>
        <v>4020.2</v>
      </c>
      <c r="DE9" s="87">
        <f>Sales!DE10</f>
        <v>5241.3</v>
      </c>
      <c r="DF9" s="87">
        <f>Sales!DF10</f>
        <v>4985.6000000000004</v>
      </c>
      <c r="DG9" s="87">
        <f>SUM(DC9:DF9)</f>
        <v>18611</v>
      </c>
      <c r="DI9" s="87">
        <f>Sales!DI10</f>
        <v>3534.3999999999996</v>
      </c>
      <c r="DJ9" s="87">
        <f>Sales!DJ10</f>
        <v>5430.5</v>
      </c>
      <c r="DK9" s="87">
        <f>Sales!DK10</f>
        <v>5778.2999999999993</v>
      </c>
      <c r="DL9" s="87">
        <f>Sales!DL10</f>
        <v>6430.2</v>
      </c>
      <c r="DM9" s="87">
        <f>SUM(DI9:DL9)</f>
        <v>21173.399999999998</v>
      </c>
      <c r="DO9" s="87">
        <f>Sales!DO10</f>
        <v>6746.2000000000007</v>
      </c>
      <c r="DP9" s="87">
        <f>Sales!DP10</f>
        <v>6902.3</v>
      </c>
      <c r="DQ9" s="87">
        <f>Sales!DQ10</f>
        <v>6673</v>
      </c>
      <c r="DR9" s="87">
        <f>Sales!DR10</f>
        <v>7237</v>
      </c>
      <c r="DS9" s="87">
        <f>SUM(DO9:DR9)</f>
        <v>27558.5</v>
      </c>
      <c r="DU9" s="87">
        <f>Sales!DU10</f>
        <v>5290</v>
      </c>
      <c r="DV9" s="87">
        <f>Sales!DV10</f>
        <v>6242.7999999999993</v>
      </c>
      <c r="DW9" s="87">
        <f>Sales!DW10</f>
        <v>7467.3</v>
      </c>
      <c r="DX9" s="87">
        <f>Sales!DX10</f>
        <v>9262.7999999999993</v>
      </c>
      <c r="DY9" s="87">
        <f>SUM(DU9:DX9)</f>
        <v>28262.899999999998</v>
      </c>
      <c r="EA9" s="87">
        <f>Sales!EA10</f>
        <v>7741.5</v>
      </c>
      <c r="EB9" s="87">
        <f>Sales!EB10</f>
        <v>7691.7000000000007</v>
      </c>
      <c r="EC9" s="87">
        <f>Sales!EC10</f>
        <v>7516</v>
      </c>
      <c r="ED9" s="87">
        <f>Sales!ED10</f>
        <v>9718</v>
      </c>
      <c r="EE9" s="344">
        <f>SUM(EA9:ED9)</f>
        <v>32667.200000000001</v>
      </c>
      <c r="EF9" s="84"/>
      <c r="EG9" s="87">
        <f>Sales!EG10</f>
        <v>8766.5</v>
      </c>
      <c r="EH9" s="87">
        <f>Sales!EH10</f>
        <v>8339.4</v>
      </c>
      <c r="EI9" s="87">
        <f>Sales!EI10</f>
        <v>10142.5</v>
      </c>
      <c r="EJ9" s="87">
        <f>Sales!EJ10</f>
        <v>10425.194999999996</v>
      </c>
      <c r="EK9" s="344">
        <f>SUM(EG9:EJ9)</f>
        <v>37673.595000000001</v>
      </c>
      <c r="EL9" s="336">
        <f>EK9/EE9-1</f>
        <v>0.15325448768183381</v>
      </c>
      <c r="ET9" s="87">
        <v>2672630</v>
      </c>
      <c r="EU9" s="87">
        <v>1589247</v>
      </c>
      <c r="EV9" s="87">
        <f>1740633+218039</f>
        <v>1958672</v>
      </c>
      <c r="EW9" s="87">
        <f>1279282+263455</f>
        <v>1542737</v>
      </c>
      <c r="EX9" s="87">
        <f>I9</f>
        <v>2465.377</v>
      </c>
      <c r="EY9" s="87">
        <f>O9</f>
        <v>2528.9670000000001</v>
      </c>
      <c r="EZ9" s="87">
        <f>U9</f>
        <v>3597.1040000000003</v>
      </c>
      <c r="FA9" s="87">
        <f>AA9</f>
        <v>3797.7259999999997</v>
      </c>
      <c r="FB9" s="87">
        <f>AG9</f>
        <v>2953.6780000000003</v>
      </c>
      <c r="FC9" s="87">
        <f>AM9</f>
        <v>1596.0629999999999</v>
      </c>
      <c r="FD9" s="87">
        <f>AS9</f>
        <v>4507.8999999999996</v>
      </c>
      <c r="FE9" s="87">
        <f>AY9</f>
        <v>5651</v>
      </c>
      <c r="FF9" s="87">
        <f>BE9</f>
        <v>4731.5000000000009</v>
      </c>
      <c r="FG9" s="87">
        <f>BK9</f>
        <v>5425.3</v>
      </c>
      <c r="FH9" s="87">
        <f>BQ9</f>
        <v>5856.3</v>
      </c>
      <c r="FI9" s="87">
        <f>BW9</f>
        <v>6287.4</v>
      </c>
      <c r="FJ9" s="87">
        <f>CC9</f>
        <v>6794.7999999999993</v>
      </c>
      <c r="FK9" s="87">
        <f>CI9</f>
        <v>9052.7999999999993</v>
      </c>
      <c r="FL9" s="87">
        <f>CO9</f>
        <v>10944</v>
      </c>
      <c r="FM9" s="87">
        <f>CU9</f>
        <v>11819.9</v>
      </c>
      <c r="FN9" s="87">
        <f>DA9</f>
        <v>13978.4</v>
      </c>
      <c r="FO9" s="87">
        <f>DG9</f>
        <v>18611</v>
      </c>
      <c r="FP9" s="87">
        <f>DM9</f>
        <v>21173.399999999998</v>
      </c>
      <c r="FQ9" s="87">
        <f>DS9</f>
        <v>27558.5</v>
      </c>
      <c r="FR9" s="87">
        <f>DY9</f>
        <v>28262.899999999998</v>
      </c>
      <c r="FS9" s="87">
        <f>EE9</f>
        <v>32667.200000000001</v>
      </c>
      <c r="FT9" s="87">
        <f>Sales!FN10</f>
        <v>37673.594999999994</v>
      </c>
      <c r="FU9" s="87">
        <f>Sales!EL10</f>
        <v>48011.947549999997</v>
      </c>
      <c r="FV9" s="87">
        <f>Sales!FP10</f>
        <v>41296.421153899995</v>
      </c>
      <c r="FW9" s="87">
        <f ca="1">Sales!FQ10</f>
        <v>22137.5</v>
      </c>
      <c r="FX9" s="87">
        <f>Sales!FR10</f>
        <v>25940</v>
      </c>
      <c r="FZ9" s="188">
        <f>(FX9/FQ9)^(1/7)-1</f>
        <v>-8.6091329189856847E-3</v>
      </c>
      <c r="GA9" s="899">
        <f>(FX9/FS9)^(1/5)-1</f>
        <v>-4.5069835642316591E-2</v>
      </c>
      <c r="GF9" s="112">
        <v>35000</v>
      </c>
      <c r="GH9" s="87">
        <f>FU9*(1+GH8)^3</f>
        <v>60481.226472105605</v>
      </c>
      <c r="GI9" s="180" t="s">
        <v>671</v>
      </c>
      <c r="GK9" s="360"/>
      <c r="GL9" s="360"/>
      <c r="GM9" s="360"/>
      <c r="GN9" s="360"/>
    </row>
    <row r="10" spans="1:196" x14ac:dyDescent="0.25">
      <c r="E10" s="196">
        <v>307.51600000000002</v>
      </c>
      <c r="F10" s="196">
        <v>396.71600000000001</v>
      </c>
      <c r="G10" s="196">
        <v>378.18</v>
      </c>
      <c r="H10" s="196">
        <v>477.32600000000002</v>
      </c>
      <c r="I10" s="196">
        <v>1559.7380000000001</v>
      </c>
      <c r="K10" s="196">
        <v>410.56599999999997</v>
      </c>
      <c r="L10" s="196">
        <v>464.53199999999998</v>
      </c>
      <c r="M10" s="196">
        <v>335.95</v>
      </c>
      <c r="N10" s="196">
        <v>343.72399999999999</v>
      </c>
      <c r="O10" s="196">
        <v>1554.7719999999999</v>
      </c>
      <c r="Q10" s="196">
        <v>377.76900000000001</v>
      </c>
      <c r="R10" s="196">
        <v>560.83100000000002</v>
      </c>
      <c r="S10" s="196">
        <v>567.51900000000001</v>
      </c>
      <c r="T10" s="196">
        <v>628.96600000000001</v>
      </c>
      <c r="W10" s="196">
        <v>567.64400000000001</v>
      </c>
      <c r="X10" s="196">
        <v>546.95600000000002</v>
      </c>
      <c r="Y10" s="196">
        <v>549.41099999999994</v>
      </c>
      <c r="Z10" s="196">
        <v>576.75199999999995</v>
      </c>
      <c r="AC10" s="196">
        <v>545.58299999999997</v>
      </c>
      <c r="AD10" s="196">
        <v>506.68900000000002</v>
      </c>
      <c r="AE10" s="196">
        <v>431.06200000000001</v>
      </c>
      <c r="AF10" s="196">
        <v>454.83</v>
      </c>
      <c r="AI10" s="196">
        <v>171.26300000000001</v>
      </c>
      <c r="AJ10" s="196">
        <v>242.16200000000001</v>
      </c>
      <c r="AK10" s="196">
        <v>364.01299999999998</v>
      </c>
      <c r="AL10" s="196">
        <v>360.233</v>
      </c>
      <c r="AO10" s="196">
        <v>443.2</v>
      </c>
      <c r="AP10" s="196">
        <v>609.29999999999995</v>
      </c>
      <c r="AQ10" s="196">
        <v>663.5</v>
      </c>
      <c r="AR10" s="196">
        <v>836.7</v>
      </c>
      <c r="AT10" s="74"/>
      <c r="AU10" s="196">
        <v>802.6</v>
      </c>
      <c r="AV10" s="196">
        <v>839.4</v>
      </c>
      <c r="AW10" s="196">
        <v>845.1</v>
      </c>
      <c r="AX10" s="196">
        <v>714.5</v>
      </c>
      <c r="BA10" s="196">
        <v>728.3</v>
      </c>
      <c r="BB10" s="196">
        <v>697.3</v>
      </c>
      <c r="BC10" s="196">
        <v>697.8</v>
      </c>
      <c r="BD10" s="196">
        <v>602.9</v>
      </c>
      <c r="DU10" s="274">
        <f>DU9/DO9-1</f>
        <v>-0.21585485162017148</v>
      </c>
      <c r="DV10" s="274">
        <f>DV9/DP9-1</f>
        <v>-9.5547860857974953E-2</v>
      </c>
      <c r="DW10" s="274">
        <f>DW9/DQ9-1</f>
        <v>0.11903191967630744</v>
      </c>
      <c r="DX10" s="274">
        <f>DX9/DR9-1</f>
        <v>0.27992261987011191</v>
      </c>
      <c r="DY10" s="274">
        <f>DY9/DS9-1</f>
        <v>2.556017199775007E-2</v>
      </c>
      <c r="EA10" s="274">
        <f>EA9/DU9-1</f>
        <v>0.46342155009451802</v>
      </c>
      <c r="EB10" s="274">
        <f>EB9/DV9-1</f>
        <v>0.23209136925738472</v>
      </c>
      <c r="EC10" s="274">
        <f>EC9/DW9-1</f>
        <v>6.5217682428722057E-3</v>
      </c>
      <c r="ED10" s="274">
        <f>ED9/DX9-1</f>
        <v>4.9142807790301113E-2</v>
      </c>
      <c r="EE10" s="274">
        <f t="shared" ref="EE10" si="2">EE9/DY9-1</f>
        <v>0.15583326551769283</v>
      </c>
      <c r="EF10" s="84"/>
      <c r="EG10" s="84"/>
      <c r="EH10" s="84"/>
      <c r="EI10" s="84"/>
      <c r="EJ10" s="84"/>
      <c r="EK10" s="274">
        <f t="shared" ref="EK10" si="3">EK9/EE9-1</f>
        <v>0.15325448768183381</v>
      </c>
      <c r="EL10" s="84"/>
      <c r="ET10" s="111"/>
      <c r="EU10" s="114"/>
      <c r="EV10" s="170"/>
      <c r="EW10" s="170"/>
      <c r="FZ10" s="181"/>
      <c r="GA10" s="181"/>
      <c r="GK10" s="360"/>
      <c r="GL10" s="360"/>
      <c r="GM10" s="360"/>
      <c r="GN10" s="360"/>
    </row>
    <row r="11" spans="1:196" x14ac:dyDescent="0.25">
      <c r="B11" s="200" t="s">
        <v>374</v>
      </c>
      <c r="C11" s="74"/>
      <c r="D11" s="74"/>
      <c r="E11" s="196">
        <f>704232-F11</f>
        <v>307516</v>
      </c>
      <c r="F11" s="196">
        <v>396716</v>
      </c>
      <c r="G11" s="196">
        <v>378180</v>
      </c>
      <c r="H11" s="196">
        <f>I11-G11-F11-E11</f>
        <v>477326</v>
      </c>
      <c r="I11" s="196">
        <v>1559738</v>
      </c>
      <c r="J11" s="74"/>
      <c r="K11" s="196">
        <v>410566</v>
      </c>
      <c r="L11" s="196">
        <v>464532</v>
      </c>
      <c r="M11" s="196">
        <v>335950</v>
      </c>
      <c r="N11" s="196">
        <f>O11-M11-L11-K11</f>
        <v>343724</v>
      </c>
      <c r="O11" s="196">
        <v>1554772</v>
      </c>
      <c r="P11" s="217"/>
      <c r="Q11" s="196">
        <v>377769</v>
      </c>
      <c r="R11" s="196">
        <v>560831</v>
      </c>
      <c r="S11" s="196">
        <v>567519</v>
      </c>
      <c r="T11" s="196">
        <v>628966</v>
      </c>
      <c r="U11" s="196">
        <v>2135086</v>
      </c>
      <c r="W11" s="196">
        <v>567644</v>
      </c>
      <c r="X11" s="196">
        <v>546956</v>
      </c>
      <c r="Y11" s="196">
        <v>549411</v>
      </c>
      <c r="Z11" s="196">
        <v>576752</v>
      </c>
      <c r="AA11" s="196">
        <v>2248335</v>
      </c>
      <c r="AC11" s="196">
        <v>545583</v>
      </c>
      <c r="AD11" s="196">
        <v>506689</v>
      </c>
      <c r="AE11" s="196">
        <v>431062</v>
      </c>
      <c r="AF11" s="196">
        <v>454830</v>
      </c>
      <c r="AG11" s="196">
        <f>AD11+AF11+AC11+AE11</f>
        <v>1938164</v>
      </c>
      <c r="AI11" s="196">
        <v>171263</v>
      </c>
      <c r="AJ11" s="196">
        <v>242162</v>
      </c>
      <c r="AK11" s="196">
        <v>364013</v>
      </c>
      <c r="AL11" s="196">
        <v>360233</v>
      </c>
      <c r="AM11" s="196">
        <f>AJ11+AL11+AI11+AK11</f>
        <v>1137671</v>
      </c>
      <c r="AO11" s="196">
        <v>443200</v>
      </c>
      <c r="AP11" s="196">
        <v>609300</v>
      </c>
      <c r="AQ11" s="196">
        <v>663500</v>
      </c>
      <c r="AR11" s="196">
        <v>836700</v>
      </c>
      <c r="AS11" s="196">
        <f>AP11+AR11+AO11+AQ11</f>
        <v>2552700</v>
      </c>
      <c r="AT11" s="74"/>
      <c r="AU11" s="196">
        <v>802600</v>
      </c>
      <c r="AV11" s="196">
        <v>839400</v>
      </c>
      <c r="AW11" s="196">
        <v>845100</v>
      </c>
      <c r="AX11" s="196">
        <v>714500</v>
      </c>
      <c r="AY11" s="196">
        <f>AV11+AX11+AU11+AW11</f>
        <v>3201600</v>
      </c>
      <c r="BA11" s="196">
        <v>728.3</v>
      </c>
      <c r="BB11" s="196">
        <v>697.3</v>
      </c>
      <c r="BC11" s="196">
        <v>697.8</v>
      </c>
      <c r="BD11" s="196">
        <v>602.9</v>
      </c>
      <c r="BE11" s="196">
        <f>BB11+BD11+BA11+BC11</f>
        <v>2726.2999999999997</v>
      </c>
      <c r="BG11" s="196">
        <f>Financials!BG73</f>
        <v>551.4</v>
      </c>
      <c r="BH11" s="196">
        <f>Financials!BH73</f>
        <v>686.7</v>
      </c>
      <c r="BI11" s="196">
        <f>Financials!BI73</f>
        <v>787.4</v>
      </c>
      <c r="BJ11" s="196">
        <f>Financials!BJ73</f>
        <v>1042.5999999999999</v>
      </c>
      <c r="BK11" s="196">
        <f>BH11+BJ11+BG11+BI11</f>
        <v>3068.1</v>
      </c>
      <c r="BM11" s="196">
        <f>BM73</f>
        <v>787</v>
      </c>
      <c r="BN11" s="196">
        <f>BN73</f>
        <v>891.7</v>
      </c>
      <c r="BO11" s="196">
        <f>BO73</f>
        <v>744.1</v>
      </c>
      <c r="BP11" s="196">
        <f>BP73</f>
        <v>837.1</v>
      </c>
      <c r="BQ11" s="196">
        <f>SUM(BM11:BP11)</f>
        <v>3259.9</v>
      </c>
      <c r="BS11" s="196">
        <f>BS73</f>
        <v>871.3</v>
      </c>
      <c r="BT11" s="196">
        <f>BT73</f>
        <v>900.3</v>
      </c>
      <c r="BU11" s="196">
        <f>BU73</f>
        <v>845.7</v>
      </c>
      <c r="BV11" s="196">
        <f>BV73</f>
        <v>774.4</v>
      </c>
      <c r="BW11" s="196">
        <f>SUM(BS11:BV11)</f>
        <v>3391.7000000000003</v>
      </c>
      <c r="BY11" s="196">
        <f>BY73</f>
        <v>765.1</v>
      </c>
      <c r="BZ11" s="196">
        <f>BZ73</f>
        <v>998.2</v>
      </c>
      <c r="CA11" s="196">
        <f>CA73</f>
        <v>980.2</v>
      </c>
      <c r="CB11" s="196">
        <f>CB73</f>
        <v>1006.8</v>
      </c>
      <c r="CC11" s="196">
        <f>SUM(BY11:CB11)</f>
        <v>3750.3</v>
      </c>
      <c r="CE11" s="196">
        <f>CE73</f>
        <v>1019</v>
      </c>
      <c r="CF11" s="196">
        <f>CF73</f>
        <v>1154.9000000000001</v>
      </c>
      <c r="CG11" s="196">
        <f>CG73</f>
        <v>1397.9</v>
      </c>
      <c r="CH11" s="196">
        <f>CH73</f>
        <v>1404.3</v>
      </c>
      <c r="CI11" s="196">
        <f>SUM(CE11:CH11)</f>
        <v>4976.1000000000004</v>
      </c>
      <c r="CK11" s="196">
        <f>CK73</f>
        <v>1171.5</v>
      </c>
      <c r="CL11" s="196">
        <f>CL73</f>
        <v>1553.5</v>
      </c>
      <c r="CM11" s="196">
        <f>CM73</f>
        <v>1440.2</v>
      </c>
      <c r="CN11" s="196">
        <f>CN73</f>
        <v>1749.6</v>
      </c>
      <c r="CO11" s="196">
        <f>SUM(CK11:CN11)</f>
        <v>5914.7999999999993</v>
      </c>
      <c r="CQ11" s="196">
        <f>CQ73</f>
        <v>1301.0999999999999</v>
      </c>
      <c r="CR11" s="196">
        <f>CR73</f>
        <v>1462.7</v>
      </c>
      <c r="CS11" s="196">
        <f>CS73</f>
        <v>1680.1</v>
      </c>
      <c r="CT11" s="196">
        <f>CT73</f>
        <v>2096.3000000000002</v>
      </c>
      <c r="CU11" s="196">
        <f>SUM(CQ11:CT11)</f>
        <v>6540.2</v>
      </c>
      <c r="CW11" s="196">
        <f>CW73</f>
        <v>1339.2</v>
      </c>
      <c r="CX11" s="196">
        <f>CX73</f>
        <v>1722.5</v>
      </c>
      <c r="CY11" s="196">
        <f>CY73</f>
        <v>2076.6</v>
      </c>
      <c r="CZ11" s="196">
        <f>CZ73</f>
        <v>2043</v>
      </c>
      <c r="DA11" s="196">
        <f>SUM(CW11:CZ11)</f>
        <v>7181.2999999999993</v>
      </c>
      <c r="DC11" s="196">
        <f>DC73</f>
        <v>2011.5</v>
      </c>
      <c r="DD11" s="196">
        <f>DD73</f>
        <v>1975.6</v>
      </c>
      <c r="DE11" s="196">
        <f>DE73</f>
        <v>2529.9</v>
      </c>
      <c r="DF11" s="196">
        <f>DF73</f>
        <v>2285</v>
      </c>
      <c r="DG11" s="196">
        <f>SUM(DC11:DF11)</f>
        <v>8802</v>
      </c>
      <c r="DI11" s="196">
        <f>DI73</f>
        <v>1803.4</v>
      </c>
      <c r="DJ11" s="196">
        <f>DJ73</f>
        <v>2766</v>
      </c>
      <c r="DK11" s="196">
        <f>DK73</f>
        <v>2784.6</v>
      </c>
      <c r="DL11" s="196">
        <f>DL73</f>
        <v>3119.3</v>
      </c>
      <c r="DM11" s="196">
        <f>SUM(DI11:DL11)</f>
        <v>10473.299999999999</v>
      </c>
      <c r="DO11" s="196">
        <f>DO73</f>
        <v>3333</v>
      </c>
      <c r="DP11" s="196">
        <f>DP73</f>
        <v>3358.3</v>
      </c>
      <c r="DQ11" s="196">
        <f>DQ73</f>
        <v>3211.4</v>
      </c>
      <c r="DR11" s="196">
        <f>DR73</f>
        <v>3519.7</v>
      </c>
      <c r="DS11" s="196">
        <f>SUM(DO11:DR11)</f>
        <v>13422.400000000001</v>
      </c>
      <c r="DT11" s="196"/>
      <c r="DU11" s="196">
        <f>DU73</f>
        <v>2593.4</v>
      </c>
      <c r="DV11" s="196">
        <f>DV73</f>
        <v>3030.6</v>
      </c>
      <c r="DW11" s="196">
        <f>DW73</f>
        <v>3673.9</v>
      </c>
      <c r="DX11" s="196">
        <f>DX73</f>
        <v>4473</v>
      </c>
      <c r="DY11" s="196">
        <f>SUM(DU11:DX11)</f>
        <v>13770.9</v>
      </c>
      <c r="EA11" s="196">
        <f>EA73</f>
        <v>3561.8</v>
      </c>
      <c r="EB11" s="196">
        <f>EB73</f>
        <v>3562.2</v>
      </c>
      <c r="EC11" s="196">
        <f>EC73</f>
        <v>3635.7</v>
      </c>
      <c r="ED11" s="196">
        <f>ED9-ED13</f>
        <v>4610.3604800000003</v>
      </c>
      <c r="EE11" s="196">
        <f>SUM(EA11:ED11)</f>
        <v>15370.06048</v>
      </c>
      <c r="EG11" s="196">
        <f>EG73</f>
        <v>4121.8999999999996</v>
      </c>
      <c r="EH11" s="196">
        <f>EH9-EH13</f>
        <v>3871.7</v>
      </c>
      <c r="EI11" s="196">
        <f>EI9-EI13</f>
        <v>4881.5</v>
      </c>
      <c r="EJ11" s="196">
        <f>EJ9-EJ13</f>
        <v>5005.3700299999982</v>
      </c>
      <c r="EK11" s="196">
        <f>SUM(EG11:EJ11)</f>
        <v>17880.470029999997</v>
      </c>
      <c r="ET11" s="77">
        <v>1571816</v>
      </c>
      <c r="EU11" s="77">
        <v>1558234</v>
      </c>
      <c r="EV11" s="77">
        <f>1289030+202038</f>
        <v>1491068</v>
      </c>
      <c r="EW11" s="77">
        <f>999003+174952</f>
        <v>1173955</v>
      </c>
      <c r="EX11" s="196">
        <f>I11</f>
        <v>1559738</v>
      </c>
      <c r="EY11" s="196">
        <f>O11</f>
        <v>1554772</v>
      </c>
      <c r="EZ11" s="196">
        <f>U11</f>
        <v>2135086</v>
      </c>
      <c r="FA11" s="196">
        <f>AA11</f>
        <v>2248335</v>
      </c>
      <c r="FB11" s="196">
        <f>AG11</f>
        <v>1938164</v>
      </c>
      <c r="FC11" s="196">
        <f>AM11</f>
        <v>1137671</v>
      </c>
      <c r="FD11" s="196">
        <f>AS11</f>
        <v>2552700</v>
      </c>
      <c r="FE11" s="196">
        <f>AY11</f>
        <v>3201600</v>
      </c>
      <c r="FF11" s="196">
        <f>BE11</f>
        <v>2726.2999999999997</v>
      </c>
      <c r="FG11" s="196">
        <f>BK11</f>
        <v>3068.1</v>
      </c>
      <c r="FH11" s="196">
        <f>BQ11</f>
        <v>3259.9</v>
      </c>
      <c r="FI11" s="196">
        <f>BW11</f>
        <v>3391.7000000000003</v>
      </c>
      <c r="FJ11" s="196">
        <f>CC11</f>
        <v>3750.3</v>
      </c>
      <c r="FK11" s="196">
        <f>CI11</f>
        <v>4976.1000000000004</v>
      </c>
      <c r="FL11" s="196">
        <f>CO11</f>
        <v>5914.7999999999993</v>
      </c>
      <c r="FM11" s="77">
        <f>CU11</f>
        <v>6540.2</v>
      </c>
      <c r="FN11" s="77">
        <f>DA11</f>
        <v>7181.2999999999993</v>
      </c>
      <c r="FO11" s="77">
        <f>DG11</f>
        <v>8802</v>
      </c>
      <c r="FP11" s="77">
        <f>DM11</f>
        <v>10473.299999999999</v>
      </c>
      <c r="FQ11" s="77">
        <f>DS11</f>
        <v>13422.400000000001</v>
      </c>
      <c r="FR11" s="77">
        <f>DY11</f>
        <v>13770.9</v>
      </c>
      <c r="FS11" s="77">
        <f>EE11</f>
        <v>15370.06048</v>
      </c>
      <c r="FT11" s="196">
        <f>EK11</f>
        <v>17880.470029999997</v>
      </c>
      <c r="FU11" s="196">
        <f>FU9-FU13</f>
        <v>21358.068068999997</v>
      </c>
      <c r="FV11" s="196">
        <f>FV9-FV13</f>
        <v>18533.733107366999</v>
      </c>
      <c r="FW11" s="196">
        <f ca="1">FW9-FW13</f>
        <v>11407.9</v>
      </c>
      <c r="FX11" s="196">
        <f>FX9-FX13</f>
        <v>13324.4</v>
      </c>
      <c r="FZ11" s="181"/>
      <c r="GA11" s="181"/>
      <c r="GF11" s="196">
        <f>GF9-GF13</f>
        <v>15750</v>
      </c>
      <c r="GH11" s="196">
        <f>GH9-GH13</f>
        <v>24192.490588842244</v>
      </c>
      <c r="GK11" s="360"/>
      <c r="GL11" s="379"/>
      <c r="GM11" s="360"/>
      <c r="GN11" s="360"/>
    </row>
    <row r="12" spans="1:196" x14ac:dyDescent="0.25">
      <c r="B12" s="74"/>
      <c r="ET12" s="87"/>
      <c r="EU12" s="87"/>
      <c r="EV12" s="87"/>
      <c r="EW12" s="87"/>
      <c r="FZ12" s="181"/>
      <c r="GA12" s="181"/>
      <c r="GK12" s="360"/>
      <c r="GL12" s="360"/>
      <c r="GM12" s="360"/>
      <c r="GN12" s="360"/>
    </row>
    <row r="13" spans="1:196" x14ac:dyDescent="0.25">
      <c r="B13" s="74" t="s">
        <v>104</v>
      </c>
      <c r="E13" s="87">
        <f>E9-E11</f>
        <v>-307062.51500000001</v>
      </c>
      <c r="F13" s="87">
        <f>F9-F11</f>
        <v>-396099.74200000003</v>
      </c>
      <c r="G13" s="87">
        <f>G9-G11</f>
        <v>-377569.52799999999</v>
      </c>
      <c r="H13" s="87">
        <f>H9-H11</f>
        <v>-476540.83799999999</v>
      </c>
      <c r="I13" s="87">
        <f>I9-I11</f>
        <v>-1557272.6229999999</v>
      </c>
      <c r="K13" s="87">
        <f>K9-K11</f>
        <v>-409881.32</v>
      </c>
      <c r="L13" s="87">
        <f>L9-L11</f>
        <v>-463768.73499999999</v>
      </c>
      <c r="M13" s="87">
        <f>M9-M11</f>
        <v>-335416.84700000001</v>
      </c>
      <c r="N13" s="87">
        <f>N9-N11</f>
        <v>-343176.13099999999</v>
      </c>
      <c r="O13" s="87">
        <f>O9-O11</f>
        <v>-1552243.0330000001</v>
      </c>
      <c r="Q13" s="87">
        <f>Q9-Q11</f>
        <v>-377139.61</v>
      </c>
      <c r="R13" s="87">
        <f>R9-R11</f>
        <v>-559889.24600000004</v>
      </c>
      <c r="S13" s="87">
        <f>S9-S11</f>
        <v>-566560.56700000004</v>
      </c>
      <c r="T13" s="87">
        <f>T9-T11</f>
        <v>-627898.473</v>
      </c>
      <c r="U13" s="87">
        <f>U9-U11</f>
        <v>-2131488.8960000002</v>
      </c>
      <c r="W13" s="87">
        <f>W9-W11</f>
        <v>-566683.75699999998</v>
      </c>
      <c r="X13" s="87">
        <f>X9-X11</f>
        <v>-546025.77800000005</v>
      </c>
      <c r="Y13" s="87">
        <f>Y9-Y11</f>
        <v>-548476.62600000005</v>
      </c>
      <c r="Z13" s="87">
        <f>Z9-Z11</f>
        <v>-575779.11300000001</v>
      </c>
      <c r="AA13" s="87">
        <f>AA9-AA11</f>
        <v>-2244537.2740000002</v>
      </c>
      <c r="AC13" s="87">
        <f>AC9-AC11</f>
        <v>-544663.79200000002</v>
      </c>
      <c r="AD13" s="87">
        <f>AD9-AD11</f>
        <v>-505844.84299999999</v>
      </c>
      <c r="AE13" s="87">
        <f>AE9-AE11</f>
        <v>-430365.50699999998</v>
      </c>
      <c r="AF13" s="87">
        <f>AF9-AF11</f>
        <v>-454336.18</v>
      </c>
      <c r="AG13" s="87">
        <f>AG9-AG11</f>
        <v>-1935210.3219999999</v>
      </c>
      <c r="AI13" s="87">
        <f>AI9-AI11</f>
        <v>-171079.375</v>
      </c>
      <c r="AJ13" s="87">
        <f>AJ9-AJ11</f>
        <v>-241885.4</v>
      </c>
      <c r="AK13" s="87">
        <f>AK9-AK11</f>
        <v>-363457.728</v>
      </c>
      <c r="AL13" s="87">
        <f>AL9-AL11</f>
        <v>-359652.43400000001</v>
      </c>
      <c r="AM13" s="87">
        <f>AM9-AM11</f>
        <v>-1136074.9369999999</v>
      </c>
      <c r="AN13" s="74"/>
      <c r="AO13" s="87">
        <f>AO9-AO11</f>
        <v>-442458.2</v>
      </c>
      <c r="AP13" s="87">
        <f>AP9-AP11</f>
        <v>-608231.30000000005</v>
      </c>
      <c r="AQ13" s="87">
        <f>AQ9-AQ11</f>
        <v>-662324</v>
      </c>
      <c r="AR13" s="87">
        <f>AR9-AR11</f>
        <v>-835178.6</v>
      </c>
      <c r="AS13" s="87">
        <f>AS9-AS11</f>
        <v>-2548192.1</v>
      </c>
      <c r="AT13" s="74"/>
      <c r="AU13" s="87">
        <f>AU9-AU11</f>
        <v>-801147.8</v>
      </c>
      <c r="AV13" s="87">
        <f>AV9-AV11</f>
        <v>-837870.6</v>
      </c>
      <c r="AW13" s="87">
        <f>AW9-AW11</f>
        <v>-843641.5</v>
      </c>
      <c r="AX13" s="87">
        <f>AX9-AX11</f>
        <v>-713289.1</v>
      </c>
      <c r="AY13" s="87">
        <f>AY9-AY11</f>
        <v>-3195949</v>
      </c>
      <c r="AZ13" s="74"/>
      <c r="BA13" s="87">
        <f>BA9-BA11</f>
        <v>523.60000000000014</v>
      </c>
      <c r="BB13" s="87">
        <f>BB9-BB11</f>
        <v>530.40000000000009</v>
      </c>
      <c r="BC13" s="87">
        <f>BC9-BC11</f>
        <v>531</v>
      </c>
      <c r="BD13" s="87">
        <f>BD9-BD11</f>
        <v>420.20000000000005</v>
      </c>
      <c r="BE13" s="87">
        <f>BE9-BE11</f>
        <v>2005.2000000000012</v>
      </c>
      <c r="BF13" s="74"/>
      <c r="BG13" s="87">
        <f>BG9-BG11</f>
        <v>340.69999999999993</v>
      </c>
      <c r="BH13" s="87">
        <f>BH9-BH11</f>
        <v>532</v>
      </c>
      <c r="BI13" s="87">
        <f>BI9-BI11</f>
        <v>604.80000000000007</v>
      </c>
      <c r="BJ13" s="87">
        <f>BJ9-BJ11</f>
        <v>879.70000000000027</v>
      </c>
      <c r="BK13" s="87">
        <f>BK9-BK11</f>
        <v>2357.2000000000003</v>
      </c>
      <c r="BL13" s="74"/>
      <c r="BM13" s="87">
        <f>BM9-BM11</f>
        <v>609.5</v>
      </c>
      <c r="BN13" s="87">
        <f>BN9-BN11</f>
        <v>751.89999999999986</v>
      </c>
      <c r="BO13" s="87">
        <f>BO9-BO11</f>
        <v>578.1</v>
      </c>
      <c r="BP13" s="87">
        <f>BP9-BP11</f>
        <v>656.9</v>
      </c>
      <c r="BQ13" s="87">
        <f>BQ9-BQ11</f>
        <v>2596.4</v>
      </c>
      <c r="BS13" s="87">
        <f>BS9-BS11</f>
        <v>778.60000000000014</v>
      </c>
      <c r="BT13" s="87">
        <f>BT9-BT11</f>
        <v>753.8</v>
      </c>
      <c r="BU13" s="87">
        <f>BU9-BU11</f>
        <v>703.49999999999977</v>
      </c>
      <c r="BV13" s="87">
        <f>BV9-BV11</f>
        <v>659.79999999999984</v>
      </c>
      <c r="BW13" s="87">
        <f>BW9-BW11</f>
        <v>2895.6999999999994</v>
      </c>
      <c r="BX13" s="74"/>
      <c r="BY13" s="87">
        <f>BY9-BY11</f>
        <v>568.0999999999998</v>
      </c>
      <c r="BZ13" s="87">
        <f>BZ9-BZ11</f>
        <v>741.40000000000009</v>
      </c>
      <c r="CA13" s="87">
        <f>CA9-CA11</f>
        <v>834.39999999999986</v>
      </c>
      <c r="CB13" s="87">
        <f>CB9-CB11</f>
        <v>900.59999999999991</v>
      </c>
      <c r="CC13" s="87">
        <f>CC9-CC11</f>
        <v>3044.4999999999991</v>
      </c>
      <c r="CD13" s="74"/>
      <c r="CE13" s="87">
        <f>CE9-CE11</f>
        <v>924.59999999999991</v>
      </c>
      <c r="CF13" s="87">
        <f>CF9-CF11</f>
        <v>946.49999999999955</v>
      </c>
      <c r="CG13" s="87">
        <f>CG9-CG11</f>
        <v>1049.5</v>
      </c>
      <c r="CH13" s="87">
        <f>CH9-CH11</f>
        <v>1156.1000000000001</v>
      </c>
      <c r="CI13" s="87">
        <f>CI9-CI11</f>
        <v>4076.6999999999989</v>
      </c>
      <c r="CJ13" s="74"/>
      <c r="CK13" s="87">
        <f>CK9-CK11</f>
        <v>1113.5</v>
      </c>
      <c r="CL13" s="87">
        <f>CL9-CL11</f>
        <v>1186.9000000000001</v>
      </c>
      <c r="CM13" s="87">
        <f>CM9-CM11</f>
        <v>1335.8999999999999</v>
      </c>
      <c r="CN13" s="87">
        <f>CN9-CN11</f>
        <v>1392.9</v>
      </c>
      <c r="CO13" s="87">
        <f>CO9-CO11</f>
        <v>5029.2000000000007</v>
      </c>
      <c r="CP13" s="74"/>
      <c r="CQ13" s="87">
        <f>CQ9-CQ11</f>
        <v>928</v>
      </c>
      <c r="CR13" s="87">
        <f>CR9-CR11</f>
        <v>1105.2</v>
      </c>
      <c r="CS13" s="87">
        <f>CS9-CS11</f>
        <v>1306.4000000000001</v>
      </c>
      <c r="CT13" s="87">
        <f>CT9-CT11</f>
        <v>1940.0999999999995</v>
      </c>
      <c r="CU13" s="87">
        <f>CU9-CU11</f>
        <v>5279.7</v>
      </c>
      <c r="CV13" s="74"/>
      <c r="CW13" s="87">
        <f>CW9-CW11</f>
        <v>1101.3999999999999</v>
      </c>
      <c r="CX13" s="87">
        <f>CX9-CX11</f>
        <v>1603.1999999999998</v>
      </c>
      <c r="CY13" s="87">
        <f>CY9-CY11</f>
        <v>1881.4</v>
      </c>
      <c r="CZ13" s="87">
        <f>CZ9-CZ11</f>
        <v>2211.1000000000004</v>
      </c>
      <c r="DA13" s="87">
        <f>DA9-DA11</f>
        <v>6797.1</v>
      </c>
      <c r="DB13" s="74"/>
      <c r="DC13" s="87">
        <f>DC9-DC11</f>
        <v>2352.3999999999996</v>
      </c>
      <c r="DD13" s="87">
        <f>DD9-DD11</f>
        <v>2044.6</v>
      </c>
      <c r="DE13" s="87">
        <f>DE9-DE11</f>
        <v>2711.4</v>
      </c>
      <c r="DF13" s="87">
        <f>DF9-DF11</f>
        <v>2700.6000000000004</v>
      </c>
      <c r="DG13" s="87">
        <f>DG9-DG11</f>
        <v>9809</v>
      </c>
      <c r="DH13" s="74"/>
      <c r="DI13" s="87">
        <f>DI9-DI11</f>
        <v>1730.9999999999995</v>
      </c>
      <c r="DJ13" s="87">
        <f>DJ9-DJ11</f>
        <v>2664.5</v>
      </c>
      <c r="DK13" s="87">
        <f>DK9-DK11</f>
        <v>2993.6999999999994</v>
      </c>
      <c r="DL13" s="87">
        <f>DL9-DL11</f>
        <v>3310.8999999999996</v>
      </c>
      <c r="DM13" s="87">
        <f>DM9-DM11</f>
        <v>10700.099999999999</v>
      </c>
      <c r="DN13" s="74"/>
      <c r="DO13" s="87">
        <f>DO9-DO11</f>
        <v>3413.2000000000007</v>
      </c>
      <c r="DP13" s="87">
        <f>DP9-DP11</f>
        <v>3544</v>
      </c>
      <c r="DQ13" s="87">
        <f>DQ9-DQ11</f>
        <v>3461.6</v>
      </c>
      <c r="DR13" s="87">
        <f>DR9-DR11</f>
        <v>3717.3</v>
      </c>
      <c r="DS13" s="87">
        <f>DS9-DS11</f>
        <v>14136.099999999999</v>
      </c>
      <c r="DT13" s="87"/>
      <c r="DU13" s="87">
        <f>DU9-DU11</f>
        <v>2696.6</v>
      </c>
      <c r="DV13" s="87">
        <f>DV9-DV11</f>
        <v>3212.1999999999994</v>
      </c>
      <c r="DW13" s="87">
        <f>DW9-DW11</f>
        <v>3793.4</v>
      </c>
      <c r="DX13" s="87">
        <f>DX9-DX11</f>
        <v>4789.7999999999993</v>
      </c>
      <c r="DY13" s="87">
        <f>DY9-DY11</f>
        <v>14491.999999999998</v>
      </c>
      <c r="DZ13" s="74"/>
      <c r="EA13" s="87">
        <f>EA9-EA11</f>
        <v>4179.7</v>
      </c>
      <c r="EB13" s="87">
        <f>EB9-EB11</f>
        <v>4129.5000000000009</v>
      </c>
      <c r="EC13" s="87">
        <f>EC9-EC11</f>
        <v>3880.3</v>
      </c>
      <c r="ED13" s="87">
        <f>ED116</f>
        <v>5107.6395199999997</v>
      </c>
      <c r="EE13" s="87">
        <f>EE9-EE11</f>
        <v>17297.139520000001</v>
      </c>
      <c r="EF13" s="74"/>
      <c r="EG13" s="87">
        <f>EG9-EG11</f>
        <v>4644.6000000000004</v>
      </c>
      <c r="EH13" s="87">
        <f>EH116</f>
        <v>4467.7</v>
      </c>
      <c r="EI13" s="87">
        <f>EI116</f>
        <v>5261</v>
      </c>
      <c r="EJ13" s="87">
        <f>EJ116</f>
        <v>5419.8249699999978</v>
      </c>
      <c r="EK13" s="87">
        <f>EK9-EK11</f>
        <v>19793.124970000004</v>
      </c>
      <c r="EL13" s="74"/>
      <c r="EN13" s="74"/>
      <c r="EO13" s="74"/>
      <c r="EP13" s="74"/>
      <c r="ET13" s="87">
        <v>1100814</v>
      </c>
      <c r="EU13" s="87">
        <v>31013</v>
      </c>
      <c r="EV13" s="87">
        <v>467604</v>
      </c>
      <c r="EW13" s="87">
        <v>368782</v>
      </c>
      <c r="EX13" s="87">
        <f t="shared" ref="EX13:FO13" si="4">EX9-EX11</f>
        <v>-1557272.6229999999</v>
      </c>
      <c r="EY13" s="87">
        <f t="shared" si="4"/>
        <v>-1552243.0330000001</v>
      </c>
      <c r="EZ13" s="87">
        <f t="shared" si="4"/>
        <v>-2131488.8960000002</v>
      </c>
      <c r="FA13" s="87">
        <f t="shared" si="4"/>
        <v>-2244537.2740000002</v>
      </c>
      <c r="FB13" s="87">
        <f t="shared" si="4"/>
        <v>-1935210.3219999999</v>
      </c>
      <c r="FC13" s="87">
        <f t="shared" si="4"/>
        <v>-1136074.9369999999</v>
      </c>
      <c r="FD13" s="87">
        <f t="shared" si="4"/>
        <v>-2548192.1</v>
      </c>
      <c r="FE13" s="87">
        <f t="shared" si="4"/>
        <v>-3195949</v>
      </c>
      <c r="FF13" s="87">
        <f t="shared" si="4"/>
        <v>2005.2000000000012</v>
      </c>
      <c r="FG13" s="87">
        <f t="shared" si="4"/>
        <v>2357.2000000000003</v>
      </c>
      <c r="FH13" s="87">
        <f t="shared" si="4"/>
        <v>2596.4</v>
      </c>
      <c r="FI13" s="87">
        <f t="shared" si="4"/>
        <v>2895.6999999999994</v>
      </c>
      <c r="FJ13" s="87">
        <f t="shared" si="4"/>
        <v>3044.4999999999991</v>
      </c>
      <c r="FK13" s="87">
        <f t="shared" si="4"/>
        <v>4076.6999999999989</v>
      </c>
      <c r="FL13" s="87">
        <f t="shared" si="4"/>
        <v>5029.2000000000007</v>
      </c>
      <c r="FM13" s="87">
        <f t="shared" si="4"/>
        <v>5279.7</v>
      </c>
      <c r="FN13" s="87">
        <f t="shared" si="4"/>
        <v>6797.1</v>
      </c>
      <c r="FO13" s="87">
        <f t="shared" si="4"/>
        <v>9809</v>
      </c>
      <c r="FP13" s="87">
        <f>FP9-FP11</f>
        <v>10700.099999999999</v>
      </c>
      <c r="FQ13" s="87">
        <f>FQ9-FQ11</f>
        <v>14136.099999999999</v>
      </c>
      <c r="FR13" s="87">
        <f>FR9-FR11</f>
        <v>14491.999999999998</v>
      </c>
      <c r="FS13" s="87">
        <f>FS9-FS11</f>
        <v>17297.139520000001</v>
      </c>
      <c r="FT13" s="87">
        <f>FT9-FT11</f>
        <v>19793.124969999997</v>
      </c>
      <c r="FU13" s="87">
        <f>FU116</f>
        <v>26653.879481</v>
      </c>
      <c r="FV13" s="87">
        <f>FV116</f>
        <v>22762.688046532996</v>
      </c>
      <c r="FW13" s="87">
        <f>FW116</f>
        <v>10729.6</v>
      </c>
      <c r="FX13" s="87">
        <f>FX116</f>
        <v>12615.6</v>
      </c>
      <c r="FZ13" s="181"/>
      <c r="GA13" s="181"/>
      <c r="GF13" s="87">
        <f>GF14*GF9</f>
        <v>19250</v>
      </c>
      <c r="GH13" s="87">
        <f>GH14*GH9</f>
        <v>36288.735883263362</v>
      </c>
      <c r="GK13" s="360"/>
      <c r="GL13" s="360"/>
      <c r="GM13" s="360"/>
      <c r="GN13" s="360"/>
    </row>
    <row r="14" spans="1:196" x14ac:dyDescent="0.25">
      <c r="B14" s="200" t="s">
        <v>343</v>
      </c>
      <c r="E14" s="204">
        <f>E13/E9</f>
        <v>-677.1172475385074</v>
      </c>
      <c r="F14" s="204">
        <f>F13/F9</f>
        <v>-642.74985801401363</v>
      </c>
      <c r="G14" s="204">
        <f>G13/G9</f>
        <v>-618.48787167961837</v>
      </c>
      <c r="H14" s="204">
        <f>H13/H9</f>
        <v>-606.93313991252751</v>
      </c>
      <c r="I14" s="204">
        <f>I13/I$9</f>
        <v>-631.65699323064985</v>
      </c>
      <c r="K14" s="204">
        <f>K13/K9</f>
        <v>-598.64655021323836</v>
      </c>
      <c r="L14" s="204">
        <f>L13/L9</f>
        <v>-607.61168794586411</v>
      </c>
      <c r="M14" s="204">
        <f>M13/M9</f>
        <v>-629.11930909138653</v>
      </c>
      <c r="N14" s="204">
        <f>N13/N9</f>
        <v>-626.38355336768461</v>
      </c>
      <c r="O14" s="204">
        <f>O13/O$9</f>
        <v>-613.78540447542412</v>
      </c>
      <c r="Q14" s="204">
        <f>Q13/Q9</f>
        <v>-599.21449339836988</v>
      </c>
      <c r="R14" s="204">
        <f>R13/R9</f>
        <v>-594.5175130660449</v>
      </c>
      <c r="S14" s="204">
        <f>S13/S9</f>
        <v>-591.13215738606664</v>
      </c>
      <c r="T14" s="204">
        <f>T13/T9</f>
        <v>-588.18041417219422</v>
      </c>
      <c r="U14" s="204">
        <f>U13/U$9</f>
        <v>-592.55692801764974</v>
      </c>
      <c r="W14" s="204">
        <f>W13/W9</f>
        <v>-590.14619945159711</v>
      </c>
      <c r="X14" s="204">
        <f>X13/X9</f>
        <v>-586.98437362264065</v>
      </c>
      <c r="Y14" s="204">
        <f>Y13/Y9</f>
        <v>-586.9990239454437</v>
      </c>
      <c r="Z14" s="204">
        <f>Z13/Z9</f>
        <v>-591.82527158858124</v>
      </c>
      <c r="AA14" s="204">
        <f>AA13/AA$9</f>
        <v>-591.02138332254628</v>
      </c>
      <c r="AC14" s="204">
        <f>AC13/AC9</f>
        <v>-592.53595704127906</v>
      </c>
      <c r="AD14" s="204">
        <f>AD13/AD9</f>
        <v>-599.2307627609556</v>
      </c>
      <c r="AE14" s="204">
        <f>AE13/AE9</f>
        <v>-617.90356399848963</v>
      </c>
      <c r="AF14" s="204">
        <f>AF13/AF9</f>
        <v>-920.0441051395245</v>
      </c>
      <c r="AG14" s="204">
        <f>AG13/AG$9</f>
        <v>-655.18662562405234</v>
      </c>
      <c r="AI14" s="204">
        <f>AI13/AI9</f>
        <v>-931.67801225323353</v>
      </c>
      <c r="AJ14" s="204">
        <f>AJ13/AJ9</f>
        <v>-874.49530007230669</v>
      </c>
      <c r="AK14" s="204">
        <f>AK13/AK9</f>
        <v>-654.55799680156758</v>
      </c>
      <c r="AL14" s="204">
        <f>AL13/AL9</f>
        <v>-619.48587068481447</v>
      </c>
      <c r="AM14" s="204">
        <f>AM13/AM$9</f>
        <v>-711.79830432758604</v>
      </c>
      <c r="AN14" s="74"/>
      <c r="AO14" s="204">
        <f>AO13/AO9</f>
        <v>-596.46562415745484</v>
      </c>
      <c r="AP14" s="204">
        <f>AP13/AP9</f>
        <v>-569.13193599700571</v>
      </c>
      <c r="AQ14" s="204">
        <f>AQ13/AQ9</f>
        <v>-563.2006802721088</v>
      </c>
      <c r="AR14" s="204">
        <f>AR13/AR9</f>
        <v>-548.95398974628631</v>
      </c>
      <c r="AS14" s="204">
        <f>AS13/AS$9</f>
        <v>-565.27254375651637</v>
      </c>
      <c r="AT14" s="74"/>
      <c r="AU14" s="204">
        <f>AU13/AU9</f>
        <v>-551.67869439471144</v>
      </c>
      <c r="AV14" s="204">
        <f>AV13/AV9</f>
        <v>-547.84268340525705</v>
      </c>
      <c r="AW14" s="204">
        <f>AW13/AW9</f>
        <v>-578.43092218032223</v>
      </c>
      <c r="AX14" s="204">
        <f>AX13/AX9</f>
        <v>-589.05698240977779</v>
      </c>
      <c r="AY14" s="204">
        <f>AY13/AY$9</f>
        <v>-565.55459210759159</v>
      </c>
      <c r="AZ14" s="74"/>
      <c r="BA14" s="204">
        <f>BA13/BA9</f>
        <v>0.41824426871155851</v>
      </c>
      <c r="BB14" s="204">
        <f>BB13/BB9</f>
        <v>0.43202736824957244</v>
      </c>
      <c r="BC14" s="204">
        <f>BC13/BC9</f>
        <v>0.43212890625</v>
      </c>
      <c r="BD14" s="204">
        <f>BD13/BD9</f>
        <v>0.41071254031863946</v>
      </c>
      <c r="BE14" s="204">
        <f>BE13/BE$9</f>
        <v>0.42379794991017666</v>
      </c>
      <c r="BF14" s="74"/>
      <c r="BG14" s="204">
        <f>BG13/BG9</f>
        <v>0.3819078578634682</v>
      </c>
      <c r="BH14" s="204">
        <f>BH13/BH9</f>
        <v>0.43653072946582422</v>
      </c>
      <c r="BI14" s="204">
        <f>BI13/BI9</f>
        <v>0.43442034190489875</v>
      </c>
      <c r="BJ14" s="204">
        <f>BJ13/BJ9</f>
        <v>0.45762888206835572</v>
      </c>
      <c r="BK14" s="204">
        <f>BK13/BK9</f>
        <v>0.43448288573903748</v>
      </c>
      <c r="BL14" s="74"/>
      <c r="BM14" s="204">
        <f>BM13/BM9</f>
        <v>0.43644826351593269</v>
      </c>
      <c r="BN14" s="204">
        <f>BN13/BN9</f>
        <v>0.45747140423460692</v>
      </c>
      <c r="BO14" s="204">
        <f>BO13/BO9</f>
        <v>0.43722583572833157</v>
      </c>
      <c r="BP14" s="204">
        <f>BP13/BP9</f>
        <v>0.43969210174029449</v>
      </c>
      <c r="BQ14" s="204">
        <f>BQ13/BQ9</f>
        <v>0.4433516042552465</v>
      </c>
      <c r="BR14" s="74"/>
      <c r="BS14" s="204">
        <f>BS13/BS9</f>
        <v>0.47190738832656531</v>
      </c>
      <c r="BT14" s="204">
        <f>BT13/BT9</f>
        <v>0.45571609938939606</v>
      </c>
      <c r="BU14" s="204">
        <f>BU13/BU9</f>
        <v>0.45410534469403552</v>
      </c>
      <c r="BV14" s="204">
        <f>BV13/BV9</f>
        <v>0.46004741319202336</v>
      </c>
      <c r="BW14" s="204">
        <f>BW13/BW9</f>
        <v>0.46055603270032119</v>
      </c>
      <c r="BX14" s="74"/>
      <c r="BY14" s="204">
        <f>BY13/BY9</f>
        <v>0.42611761176117602</v>
      </c>
      <c r="BZ14" s="204">
        <f>BZ13/BZ9</f>
        <v>0.42618992871924583</v>
      </c>
      <c r="CA14" s="204">
        <f>CA13/CA9</f>
        <v>0.45982585693816813</v>
      </c>
      <c r="CB14" s="204">
        <f>CB13/CB9</f>
        <v>0.47216105693614341</v>
      </c>
      <c r="CC14" s="204">
        <f>CC13/CC9</f>
        <v>0.44806322481897914</v>
      </c>
      <c r="CD14" s="74"/>
      <c r="CE14" s="204">
        <f>CE13/CE9</f>
        <v>0.47571516772998557</v>
      </c>
      <c r="CF14" s="204">
        <f>CF13/CF9</f>
        <v>0.4504140097078137</v>
      </c>
      <c r="CG14" s="204">
        <f>CG13/CG9</f>
        <v>0.42882242379668217</v>
      </c>
      <c r="CH14" s="204">
        <f>CH13/CH9</f>
        <v>0.45153101077956576</v>
      </c>
      <c r="CI14" s="204">
        <f>CI13/CI9</f>
        <v>0.45032476139978783</v>
      </c>
      <c r="CJ14" s="74"/>
      <c r="CK14" s="204">
        <f>CK13/CK9</f>
        <v>0.48730853391684903</v>
      </c>
      <c r="CL14" s="204">
        <f>CL13/CL9</f>
        <v>0.43311195445920303</v>
      </c>
      <c r="CM14" s="204">
        <f>CM13/CM9</f>
        <v>0.48121465365080507</v>
      </c>
      <c r="CN14" s="204">
        <f>CN13/CN9</f>
        <v>0.44324582338902152</v>
      </c>
      <c r="CO14" s="204">
        <f>CO13/CO9</f>
        <v>0.45953947368421061</v>
      </c>
      <c r="CP14" s="74"/>
      <c r="CQ14" s="204">
        <f>CQ13/CQ9</f>
        <v>0.41631151585841819</v>
      </c>
      <c r="CR14" s="204">
        <f>CR13/CR9</f>
        <v>0.43039059153393822</v>
      </c>
      <c r="CS14" s="204">
        <f>CS13/CS9</f>
        <v>0.43743512472794244</v>
      </c>
      <c r="CT14" s="204">
        <f>CT13/CT9</f>
        <v>0.48065107521553851</v>
      </c>
      <c r="CU14" s="204">
        <f>CU13/CU9</f>
        <v>0.4466789059129096</v>
      </c>
      <c r="CV14" s="74"/>
      <c r="CW14" s="204">
        <f>CW13/CW9</f>
        <v>0.45128247152339585</v>
      </c>
      <c r="CX14" s="204">
        <f>CX13/CX9</f>
        <v>0.48206392639143636</v>
      </c>
      <c r="CY14" s="204">
        <f>CY13/CY9</f>
        <v>0.47534108135421932</v>
      </c>
      <c r="CZ14" s="204">
        <f>CZ13/CZ9</f>
        <v>0.51975741049810775</v>
      </c>
      <c r="DA14" s="204">
        <f>DA13/DA9</f>
        <v>0.48625736851141765</v>
      </c>
      <c r="DB14" s="74"/>
      <c r="DC14" s="204">
        <f>DC13/DC9</f>
        <v>0.5390590985127981</v>
      </c>
      <c r="DD14" s="204">
        <f>DD13/DD9</f>
        <v>0.50858166260385052</v>
      </c>
      <c r="DE14" s="204">
        <f>DE13/DE9</f>
        <v>0.51731440673115447</v>
      </c>
      <c r="DF14" s="204">
        <f>DF13/DF9</f>
        <v>0.54168003851091151</v>
      </c>
      <c r="DG14" s="204">
        <f>DG13/DG9</f>
        <v>0.52705389285906179</v>
      </c>
      <c r="DH14" s="74"/>
      <c r="DI14" s="204">
        <f>DI13/DI9</f>
        <v>0.48975780896333176</v>
      </c>
      <c r="DJ14" s="204">
        <f>DJ13/DJ9</f>
        <v>0.49065463585305219</v>
      </c>
      <c r="DK14" s="204">
        <f>DK13/DK9</f>
        <v>0.51809355692850834</v>
      </c>
      <c r="DL14" s="204">
        <f>DL13/DL9</f>
        <v>0.51489844794874184</v>
      </c>
      <c r="DM14" s="204">
        <f>DM13/DM9</f>
        <v>0.50535577658760522</v>
      </c>
      <c r="DN14" s="74"/>
      <c r="DO14" s="204">
        <f>DO13/DO9</f>
        <v>0.50594408704159388</v>
      </c>
      <c r="DP14" s="204">
        <f>DP13/DP9</f>
        <v>0.5134520377265549</v>
      </c>
      <c r="DQ14" s="204">
        <f>DQ13/DQ9</f>
        <v>0.51874719016933912</v>
      </c>
      <c r="DR14" s="204">
        <f>DR13/DR9</f>
        <v>0.5136520657731104</v>
      </c>
      <c r="DS14" s="204">
        <f>DS13/DS9</f>
        <v>0.51294881796904757</v>
      </c>
      <c r="DT14" s="204"/>
      <c r="DU14" s="204">
        <f>DU13/DU9</f>
        <v>0.50975425330812851</v>
      </c>
      <c r="DV14" s="204">
        <f>DV13/DV9</f>
        <v>0.51454475555840329</v>
      </c>
      <c r="DW14" s="204">
        <f>DW13/DW9</f>
        <v>0.50800155343966358</v>
      </c>
      <c r="DX14" s="204">
        <f>DX13/DX9</f>
        <v>0.51710066070734551</v>
      </c>
      <c r="DY14" s="204">
        <f>DY13/DY9</f>
        <v>0.51275700653506895</v>
      </c>
      <c r="DZ14" s="74"/>
      <c r="EA14" s="204">
        <f>EA13/EA9</f>
        <v>0.53990828650778266</v>
      </c>
      <c r="EB14" s="204">
        <f>EB13/EB9</f>
        <v>0.53687741331565197</v>
      </c>
      <c r="EC14" s="204">
        <f t="shared" ref="EC14:ED14" si="5">EC13/EC9</f>
        <v>0.51627195316657803</v>
      </c>
      <c r="ED14" s="204">
        <f t="shared" si="5"/>
        <v>0.52558546202922407</v>
      </c>
      <c r="EE14" s="343">
        <f>EE13/EE9</f>
        <v>0.52949562619385804</v>
      </c>
      <c r="EF14" s="74"/>
      <c r="EG14" s="204">
        <f>EG13/EG9</f>
        <v>0.5298123538470314</v>
      </c>
      <c r="EH14" s="204">
        <f>EH13/EH9</f>
        <v>0.53573398565844066</v>
      </c>
      <c r="EI14" s="204">
        <f>EI13/EI9</f>
        <v>0.51870840522553607</v>
      </c>
      <c r="EJ14" s="204">
        <f>EJ13/EJ9</f>
        <v>0.519877562961652</v>
      </c>
      <c r="EK14" s="343">
        <f>EK13/EK9</f>
        <v>0.52538455568150599</v>
      </c>
      <c r="EL14" s="74"/>
      <c r="EN14" s="74"/>
      <c r="EO14" s="74"/>
      <c r="EP14" s="74"/>
      <c r="ET14" s="136">
        <v>0.41188417401585703</v>
      </c>
      <c r="EU14" s="136">
        <v>1.9514273111731532E-2</v>
      </c>
      <c r="EV14" s="136">
        <v>0.23873522468284633</v>
      </c>
      <c r="EW14" s="136">
        <v>0.23904398481400266</v>
      </c>
      <c r="EX14" s="204">
        <f t="shared" ref="EX14:FO14" si="6">EX13/EX9</f>
        <v>-631.65699323064985</v>
      </c>
      <c r="EY14" s="204">
        <f t="shared" si="6"/>
        <v>-613.78540447542412</v>
      </c>
      <c r="EZ14" s="204">
        <f t="shared" si="6"/>
        <v>-592.55692801764974</v>
      </c>
      <c r="FA14" s="204">
        <f t="shared" si="6"/>
        <v>-591.02138332254628</v>
      </c>
      <c r="FB14" s="204">
        <f t="shared" si="6"/>
        <v>-655.18662562405234</v>
      </c>
      <c r="FC14" s="204">
        <f t="shared" si="6"/>
        <v>-711.79830432758604</v>
      </c>
      <c r="FD14" s="204">
        <f t="shared" si="6"/>
        <v>-565.27254375651637</v>
      </c>
      <c r="FE14" s="204">
        <f t="shared" si="6"/>
        <v>-565.55459210759159</v>
      </c>
      <c r="FF14" s="204">
        <f t="shared" si="6"/>
        <v>0.42379794991017666</v>
      </c>
      <c r="FG14" s="204">
        <f t="shared" si="6"/>
        <v>0.43448288573903748</v>
      </c>
      <c r="FH14" s="204">
        <f t="shared" si="6"/>
        <v>0.4433516042552465</v>
      </c>
      <c r="FI14" s="204">
        <f t="shared" si="6"/>
        <v>0.46055603270032119</v>
      </c>
      <c r="FJ14" s="204">
        <f t="shared" si="6"/>
        <v>0.44806322481897914</v>
      </c>
      <c r="FK14" s="204">
        <f t="shared" si="6"/>
        <v>0.45032476139978783</v>
      </c>
      <c r="FL14" s="204">
        <f t="shared" si="6"/>
        <v>0.45953947368421061</v>
      </c>
      <c r="FM14" s="204">
        <f t="shared" si="6"/>
        <v>0.4466789059129096</v>
      </c>
      <c r="FN14" s="204">
        <f t="shared" si="6"/>
        <v>0.48625736851141765</v>
      </c>
      <c r="FO14" s="204">
        <f t="shared" si="6"/>
        <v>0.52705389285906179</v>
      </c>
      <c r="FP14" s="204">
        <f t="shared" ref="FP14:FX14" si="7">FP13/FP9</f>
        <v>0.50535577658760522</v>
      </c>
      <c r="FQ14" s="204">
        <f t="shared" si="7"/>
        <v>0.51294881796904757</v>
      </c>
      <c r="FR14" s="204">
        <f>FR13/FR9</f>
        <v>0.51275700653506895</v>
      </c>
      <c r="FS14" s="204">
        <f t="shared" si="7"/>
        <v>0.52949562619385804</v>
      </c>
      <c r="FT14" s="204">
        <f t="shared" si="7"/>
        <v>0.52538455568150588</v>
      </c>
      <c r="FU14" s="204">
        <f t="shared" si="7"/>
        <v>0.55515097472858088</v>
      </c>
      <c r="FV14" s="204">
        <f t="shared" si="7"/>
        <v>0.55120243862544271</v>
      </c>
      <c r="FW14" s="204">
        <f t="shared" ca="1" si="7"/>
        <v>0.48467984189723323</v>
      </c>
      <c r="FX14" s="204">
        <f t="shared" si="7"/>
        <v>0.48633770239013108</v>
      </c>
      <c r="FZ14" s="181"/>
      <c r="GA14" s="181"/>
      <c r="GB14" s="180" t="s">
        <v>519</v>
      </c>
      <c r="GF14" s="119">
        <v>0.55000000000000004</v>
      </c>
      <c r="GH14" s="389">
        <v>0.6</v>
      </c>
      <c r="GK14" s="360"/>
      <c r="GL14" s="360"/>
      <c r="GM14" s="360"/>
      <c r="GN14" s="360"/>
    </row>
    <row r="15" spans="1:196" hidden="1" x14ac:dyDescent="0.25">
      <c r="B15" s="103" t="s">
        <v>344</v>
      </c>
      <c r="BG15" s="87"/>
      <c r="BH15" s="87"/>
      <c r="BI15" s="87"/>
      <c r="BJ15" s="87"/>
      <c r="BK15" s="87"/>
      <c r="BM15" s="87"/>
      <c r="BN15" s="87"/>
      <c r="BO15" s="87"/>
      <c r="BP15" s="87"/>
      <c r="BQ15" s="87"/>
      <c r="BS15" s="87"/>
      <c r="BT15" s="87"/>
      <c r="BU15" s="87"/>
      <c r="BV15" s="87"/>
      <c r="BW15" s="87"/>
      <c r="BY15" s="87"/>
      <c r="BZ15" s="87"/>
      <c r="CA15" s="87"/>
      <c r="CB15" s="87"/>
      <c r="CC15" s="87"/>
      <c r="CE15" s="87"/>
      <c r="CF15" s="87"/>
      <c r="CG15" s="87"/>
      <c r="CH15" s="87"/>
      <c r="CI15" s="87"/>
      <c r="CK15" s="87"/>
      <c r="CL15" s="87"/>
      <c r="CM15" s="87"/>
      <c r="CN15" s="87"/>
      <c r="CO15" s="87"/>
      <c r="CQ15" s="87"/>
      <c r="CR15" s="87"/>
      <c r="CS15" s="87"/>
      <c r="CT15" s="87"/>
      <c r="CU15" s="87"/>
      <c r="CW15" s="87"/>
      <c r="CX15" s="87"/>
      <c r="CY15" s="87"/>
      <c r="CZ15" s="87"/>
      <c r="DA15" s="87"/>
      <c r="DC15" s="87"/>
      <c r="DD15" s="87"/>
      <c r="DE15" s="87"/>
      <c r="DF15" s="87"/>
      <c r="DG15" s="87"/>
      <c r="DI15" s="87"/>
      <c r="DJ15" s="87"/>
      <c r="DK15" s="87"/>
      <c r="DL15" s="87"/>
      <c r="DM15" s="87"/>
      <c r="DO15" s="87"/>
      <c r="DP15" s="87"/>
      <c r="DQ15" s="87"/>
      <c r="DR15" s="87"/>
      <c r="DS15" s="87"/>
      <c r="DT15" s="87"/>
      <c r="DU15" s="87"/>
      <c r="DV15" s="87"/>
      <c r="DW15" s="87"/>
      <c r="DX15" s="87"/>
      <c r="DY15" s="87"/>
      <c r="EA15" s="87"/>
      <c r="EB15" s="87"/>
      <c r="EC15" s="87"/>
      <c r="ED15" s="87"/>
      <c r="EE15" s="87"/>
      <c r="ET15" s="114"/>
      <c r="EU15" s="114"/>
      <c r="EV15" s="137"/>
      <c r="EW15" s="137"/>
      <c r="EX15" s="87"/>
      <c r="EY15" s="87"/>
      <c r="EZ15" s="87"/>
      <c r="FA15" s="87"/>
      <c r="FB15" s="87"/>
      <c r="FC15" s="87"/>
      <c r="FD15" s="87"/>
      <c r="FE15" s="87"/>
      <c r="FF15" s="87"/>
      <c r="FG15" s="87"/>
      <c r="FH15" s="87"/>
      <c r="FI15" s="87"/>
      <c r="FJ15" s="87"/>
      <c r="FK15" s="87"/>
      <c r="FL15" s="87"/>
      <c r="FM15" s="87"/>
      <c r="FN15" s="87"/>
      <c r="FZ15" s="181"/>
      <c r="GA15" s="181"/>
      <c r="GK15" s="360"/>
      <c r="GL15" s="385"/>
      <c r="GM15" s="360"/>
      <c r="GN15" s="360"/>
    </row>
    <row r="16" spans="1:196" hidden="1" x14ac:dyDescent="0.25">
      <c r="B16" s="194" t="s">
        <v>343</v>
      </c>
      <c r="BF16" s="74"/>
      <c r="BG16" s="188"/>
      <c r="BH16" s="188"/>
      <c r="BI16" s="188"/>
      <c r="BJ16" s="188"/>
      <c r="BK16" s="188"/>
      <c r="BL16" s="74"/>
      <c r="BM16" s="74"/>
      <c r="BN16" s="74"/>
      <c r="BO16" s="74"/>
      <c r="BP16" s="74"/>
      <c r="BQ16" s="74"/>
      <c r="BS16" s="74"/>
      <c r="BT16" s="74"/>
      <c r="BU16" s="74"/>
      <c r="BV16" s="74"/>
      <c r="BW16" s="74"/>
      <c r="BY16" s="74"/>
      <c r="BZ16" s="74"/>
      <c r="CA16" s="74"/>
      <c r="CB16" s="74"/>
      <c r="CC16" s="74"/>
      <c r="CE16" s="74"/>
      <c r="CF16" s="74"/>
      <c r="CG16" s="74"/>
      <c r="CH16" s="74"/>
      <c r="CI16" s="74"/>
      <c r="CK16" s="74"/>
      <c r="CL16" s="74"/>
      <c r="CM16" s="74"/>
      <c r="CN16" s="74"/>
      <c r="CO16" s="74"/>
      <c r="CQ16" s="74"/>
      <c r="CR16" s="74"/>
      <c r="CS16" s="74"/>
      <c r="CT16" s="74"/>
      <c r="CU16" s="74"/>
      <c r="CW16" s="74"/>
      <c r="CX16" s="74"/>
      <c r="CY16" s="74"/>
      <c r="CZ16" s="74"/>
      <c r="DA16" s="74"/>
      <c r="DC16" s="74"/>
      <c r="DD16" s="74"/>
      <c r="DE16" s="74"/>
      <c r="DF16" s="74"/>
      <c r="DG16" s="74"/>
      <c r="DI16" s="74"/>
      <c r="DJ16" s="74"/>
      <c r="DK16" s="74"/>
      <c r="DL16" s="74"/>
      <c r="DM16" s="74"/>
      <c r="DO16" s="74"/>
      <c r="DP16" s="74"/>
      <c r="DQ16" s="74"/>
      <c r="DR16" s="74"/>
      <c r="DS16" s="74"/>
      <c r="DT16" s="74"/>
      <c r="DU16" s="74"/>
      <c r="DV16" s="74"/>
      <c r="DW16" s="74"/>
      <c r="DX16" s="74"/>
      <c r="DY16" s="74"/>
      <c r="EA16" s="74"/>
      <c r="EB16" s="74"/>
      <c r="EC16" s="74"/>
      <c r="ED16" s="74"/>
      <c r="EE16" s="74"/>
      <c r="ET16" s="114"/>
      <c r="EU16" s="114"/>
      <c r="EV16" s="137"/>
      <c r="EW16" s="137"/>
      <c r="EX16" s="74"/>
      <c r="EY16" s="74"/>
      <c r="EZ16" s="74"/>
      <c r="FA16" s="74"/>
      <c r="FB16" s="74"/>
      <c r="FC16" s="74"/>
      <c r="FD16" s="74"/>
      <c r="FE16" s="74"/>
      <c r="FF16" s="74"/>
      <c r="FG16" s="74"/>
      <c r="FH16" s="74"/>
      <c r="FI16" s="74"/>
      <c r="FJ16" s="74"/>
      <c r="FK16" s="74"/>
      <c r="FL16" s="74"/>
      <c r="FM16" s="74"/>
      <c r="FN16" s="74"/>
      <c r="FP16" s="74"/>
      <c r="FZ16" s="181"/>
      <c r="GA16" s="181"/>
      <c r="GK16" s="360"/>
      <c r="GL16" s="360"/>
      <c r="GM16" s="360"/>
      <c r="GN16" s="360"/>
    </row>
    <row r="17" spans="2:196" x14ac:dyDescent="0.25">
      <c r="B17" s="198"/>
      <c r="C17" s="74"/>
      <c r="D17" s="74"/>
      <c r="E17" s="204"/>
      <c r="F17" s="204"/>
      <c r="G17" s="204"/>
      <c r="H17" s="204"/>
      <c r="I17" s="204"/>
      <c r="J17" s="74"/>
      <c r="K17" s="74"/>
      <c r="L17" s="204"/>
      <c r="M17" s="204"/>
      <c r="N17" s="204"/>
      <c r="O17" s="204"/>
      <c r="P17" s="74"/>
      <c r="Q17" s="74"/>
      <c r="R17" s="204"/>
      <c r="S17" s="184"/>
      <c r="T17" s="204"/>
      <c r="U17" s="188"/>
      <c r="W17" s="74"/>
      <c r="X17" s="188"/>
      <c r="Y17" s="188"/>
      <c r="Z17" s="188"/>
      <c r="AA17" s="188"/>
      <c r="AC17" s="74"/>
      <c r="AD17" s="188"/>
      <c r="AE17" s="188"/>
      <c r="AF17" s="188"/>
      <c r="AG17" s="188"/>
      <c r="AI17" s="188"/>
      <c r="AJ17" s="188"/>
      <c r="AT17" s="74"/>
      <c r="BF17" s="74"/>
      <c r="BL17" s="74"/>
      <c r="BM17" s="74"/>
      <c r="BN17" s="74"/>
      <c r="BO17" s="74"/>
      <c r="BP17" s="74"/>
      <c r="BQ17" s="74"/>
      <c r="BR17" s="74"/>
      <c r="BS17" s="74"/>
      <c r="BT17" s="74"/>
      <c r="BU17" s="74"/>
      <c r="BV17" s="74"/>
      <c r="BW17" s="74"/>
      <c r="BX17" s="74"/>
      <c r="BY17" s="74"/>
      <c r="BZ17" s="74"/>
      <c r="CA17" s="74"/>
      <c r="CB17" s="74"/>
      <c r="CC17" s="74"/>
      <c r="CD17" s="74"/>
      <c r="CE17" s="74"/>
      <c r="CF17" s="74"/>
      <c r="CG17" s="74"/>
      <c r="CH17" s="74"/>
      <c r="CI17" s="74"/>
      <c r="CJ17" s="74"/>
      <c r="CK17" s="74"/>
      <c r="CL17" s="74"/>
      <c r="CM17" s="74"/>
      <c r="CN17" s="74"/>
      <c r="CO17" s="74"/>
      <c r="CP17" s="74"/>
      <c r="CQ17" s="74"/>
      <c r="CR17" s="74"/>
      <c r="CS17" s="74"/>
      <c r="CT17" s="74"/>
      <c r="CU17" s="74"/>
      <c r="CV17" s="74"/>
      <c r="CW17" s="74"/>
      <c r="CX17" s="74"/>
      <c r="CY17" s="74"/>
      <c r="CZ17" s="74"/>
      <c r="DA17" s="74"/>
      <c r="DB17" s="74"/>
      <c r="DC17" s="74"/>
      <c r="DD17" s="74"/>
      <c r="DE17" s="74"/>
      <c r="DF17" s="74"/>
      <c r="DG17" s="74"/>
      <c r="DH17" s="74"/>
      <c r="DI17" s="74"/>
      <c r="DJ17" s="74"/>
      <c r="DK17" s="74"/>
      <c r="DL17" s="74"/>
      <c r="DM17" s="74"/>
      <c r="DN17" s="74"/>
      <c r="DO17" s="74"/>
      <c r="DP17" s="74"/>
      <c r="DQ17" s="74"/>
      <c r="DR17" s="74"/>
      <c r="DS17" s="74"/>
      <c r="DT17" s="74"/>
      <c r="DU17" s="74"/>
      <c r="DV17" s="74"/>
      <c r="DW17" s="74"/>
      <c r="DX17" s="74"/>
      <c r="DY17" s="74"/>
      <c r="DZ17" s="74"/>
      <c r="EA17" s="74"/>
      <c r="EB17" s="74"/>
      <c r="EC17" s="74"/>
      <c r="ED17" s="74"/>
      <c r="EE17" s="74"/>
      <c r="EF17" s="74"/>
      <c r="EG17" s="74"/>
      <c r="EH17" s="74"/>
      <c r="EI17" s="74"/>
      <c r="EJ17" s="74"/>
      <c r="EK17" s="74"/>
      <c r="EL17" s="74"/>
      <c r="EN17" s="74"/>
      <c r="EO17" s="74"/>
      <c r="EP17" s="74"/>
      <c r="ET17" s="114"/>
      <c r="EU17" s="114"/>
      <c r="EV17" s="114"/>
      <c r="EW17" s="114"/>
      <c r="EX17" s="74"/>
      <c r="EY17" s="74"/>
      <c r="EZ17" s="74"/>
      <c r="FA17" s="74"/>
      <c r="FB17" s="74"/>
      <c r="FC17" s="74"/>
      <c r="FD17" s="74"/>
      <c r="FE17" s="74"/>
      <c r="FF17" s="74"/>
      <c r="FG17" s="74"/>
      <c r="FH17" s="74"/>
      <c r="FI17" s="74"/>
      <c r="FJ17" s="74"/>
      <c r="FK17" s="74"/>
      <c r="FL17" s="74"/>
      <c r="FM17" s="74"/>
      <c r="FN17" s="74"/>
      <c r="FZ17" s="181"/>
      <c r="GA17" s="181"/>
      <c r="GF17" s="74"/>
      <c r="GH17" s="74"/>
      <c r="GK17" s="360"/>
      <c r="GL17" s="360"/>
      <c r="GM17" s="360"/>
      <c r="GN17" s="360"/>
    </row>
    <row r="18" spans="2:196" x14ac:dyDescent="0.25">
      <c r="B18" s="200" t="s">
        <v>210</v>
      </c>
      <c r="C18" s="74"/>
      <c r="D18" s="74"/>
      <c r="E18" s="196">
        <f>98004-F18</f>
        <v>47707</v>
      </c>
      <c r="F18" s="196">
        <v>50297</v>
      </c>
      <c r="G18" s="196">
        <v>51509</v>
      </c>
      <c r="H18" s="196">
        <f>I18-G18-F18-E18</f>
        <v>52116</v>
      </c>
      <c r="I18" s="196">
        <v>201629</v>
      </c>
      <c r="J18" s="74"/>
      <c r="K18" s="196">
        <v>50761</v>
      </c>
      <c r="L18" s="196">
        <v>54924</v>
      </c>
      <c r="M18" s="196">
        <v>48234</v>
      </c>
      <c r="N18" s="196">
        <f>O18-M18-L18-K18</f>
        <v>47285</v>
      </c>
      <c r="O18" s="196">
        <v>201204</v>
      </c>
      <c r="P18" s="74"/>
      <c r="Q18" s="196">
        <v>50267</v>
      </c>
      <c r="R18" s="196">
        <v>51023</v>
      </c>
      <c r="S18" s="196">
        <v>51442</v>
      </c>
      <c r="T18" s="196">
        <f>U18-S18-R18-Q18</f>
        <v>52067</v>
      </c>
      <c r="U18" s="196">
        <v>204799</v>
      </c>
      <c r="W18" s="196">
        <v>56330</v>
      </c>
      <c r="X18" s="196">
        <v>56396</v>
      </c>
      <c r="Y18" s="196">
        <v>56045</v>
      </c>
      <c r="Z18" s="196">
        <v>56897</v>
      </c>
      <c r="AA18" s="196">
        <v>225668</v>
      </c>
      <c r="AC18" s="196">
        <v>57328</v>
      </c>
      <c r="AD18" s="196">
        <v>56368</v>
      </c>
      <c r="AE18" s="196">
        <v>51933</v>
      </c>
      <c r="AF18" s="196">
        <v>46712</v>
      </c>
      <c r="AG18" s="196">
        <f>AD18+AF18+AC18+AE18</f>
        <v>212341</v>
      </c>
      <c r="AI18" s="196">
        <v>40995</v>
      </c>
      <c r="AJ18" s="196">
        <v>40978</v>
      </c>
      <c r="AK18" s="196">
        <v>37537</v>
      </c>
      <c r="AL18" s="196">
        <v>37134</v>
      </c>
      <c r="AM18" s="196">
        <f>AJ18+AL18+AI18+AK18</f>
        <v>156644</v>
      </c>
      <c r="AO18" s="196">
        <v>41400</v>
      </c>
      <c r="AP18" s="196">
        <v>41700</v>
      </c>
      <c r="AQ18" s="196">
        <v>47900</v>
      </c>
      <c r="AR18" s="196">
        <v>50100</v>
      </c>
      <c r="AS18" s="196">
        <f>AP18+AR18+AO18+AQ18</f>
        <v>181100</v>
      </c>
      <c r="AT18" s="74"/>
      <c r="AU18" s="196">
        <v>54400</v>
      </c>
      <c r="AV18" s="196">
        <v>50900</v>
      </c>
      <c r="AW18" s="196">
        <v>56300</v>
      </c>
      <c r="AX18" s="196">
        <v>56300</v>
      </c>
      <c r="AY18" s="196">
        <f>AV18+AX18+AU18+AW18</f>
        <v>217900</v>
      </c>
      <c r="BA18" s="196">
        <v>55.4</v>
      </c>
      <c r="BB18" s="196">
        <v>54.7</v>
      </c>
      <c r="BC18" s="196">
        <v>69.7</v>
      </c>
      <c r="BD18" s="196">
        <v>79.5</v>
      </c>
      <c r="BE18" s="196">
        <f>BB18+BD18+BA18+BC18</f>
        <v>259.3</v>
      </c>
      <c r="BF18" s="184"/>
      <c r="BG18" s="196">
        <f>Financials!BG169</f>
        <v>62.6</v>
      </c>
      <c r="BH18" s="196">
        <f>Financials!BH169</f>
        <v>67.900000000000006</v>
      </c>
      <c r="BI18" s="196">
        <f>Financials!BI169</f>
        <v>91.2</v>
      </c>
      <c r="BJ18" s="196">
        <f>Financials!BJ169</f>
        <v>90</v>
      </c>
      <c r="BK18" s="196">
        <f>BH18+BJ18+BG18+BI18</f>
        <v>311.7</v>
      </c>
      <c r="BL18" s="184"/>
      <c r="BM18" s="196">
        <f>BM169</f>
        <v>84.9</v>
      </c>
      <c r="BN18" s="196">
        <f>BN169</f>
        <v>79.900000000000006</v>
      </c>
      <c r="BO18" s="196">
        <f>BO169</f>
        <v>76.900000000000006</v>
      </c>
      <c r="BP18" s="196">
        <f>BP169</f>
        <v>79.400000000000006</v>
      </c>
      <c r="BQ18" s="196">
        <f>SUM(BM18:BP18)</f>
        <v>321.10000000000002</v>
      </c>
      <c r="BR18" s="184"/>
      <c r="BS18" s="196">
        <f>BS169</f>
        <v>82.3</v>
      </c>
      <c r="BT18" s="196">
        <f>BT169</f>
        <v>88.3</v>
      </c>
      <c r="BU18" s="196">
        <f>BU169</f>
        <v>85.6</v>
      </c>
      <c r="BV18" s="196">
        <f>BV169</f>
        <v>89.5</v>
      </c>
      <c r="BW18" s="196">
        <f>SUM(BS18:BV18)</f>
        <v>345.7</v>
      </c>
      <c r="BX18" s="184"/>
      <c r="BY18" s="196">
        <f>BY169</f>
        <v>88.8</v>
      </c>
      <c r="BZ18" s="196">
        <f>BZ169</f>
        <v>90.4</v>
      </c>
      <c r="CA18" s="196">
        <f>CA169</f>
        <v>88.8</v>
      </c>
      <c r="CB18" s="196">
        <f>CB169</f>
        <v>106.8</v>
      </c>
      <c r="CC18" s="196">
        <f>SUM(BY18:CB18)</f>
        <v>374.8</v>
      </c>
      <c r="CD18" s="184"/>
      <c r="CE18" s="196">
        <f>CE169</f>
        <v>98.6</v>
      </c>
      <c r="CF18" s="196">
        <f>CF169</f>
        <v>102</v>
      </c>
      <c r="CG18" s="196">
        <f>CG169</f>
        <v>103.3</v>
      </c>
      <c r="CH18" s="196">
        <f>CH169</f>
        <v>112.7</v>
      </c>
      <c r="CI18" s="196">
        <f>SUM(CE18:CH18)</f>
        <v>416.59999999999997</v>
      </c>
      <c r="CJ18" s="184"/>
      <c r="CK18" s="196">
        <f>CK169</f>
        <v>114.2</v>
      </c>
      <c r="CL18" s="196">
        <f>CL169</f>
        <v>117.4</v>
      </c>
      <c r="CM18" s="196">
        <f>CM169</f>
        <v>121.8</v>
      </c>
      <c r="CN18" s="196">
        <f>CN169</f>
        <v>134.6</v>
      </c>
      <c r="CO18" s="196">
        <f>SUM(CK18:CN18)</f>
        <v>488</v>
      </c>
      <c r="CP18" s="184"/>
      <c r="CQ18" s="196">
        <f>CQ169</f>
        <v>121</v>
      </c>
      <c r="CR18" s="196">
        <f>CR169</f>
        <v>123.5</v>
      </c>
      <c r="CS18" s="196">
        <f>CS169</f>
        <v>128.5</v>
      </c>
      <c r="CT18" s="196">
        <f>CT169</f>
        <v>147.6</v>
      </c>
      <c r="CU18" s="196">
        <f>SUM(CQ18:CT18)</f>
        <v>520.6</v>
      </c>
      <c r="CV18" s="184"/>
      <c r="CW18" s="196">
        <f>CW169</f>
        <v>130.69999999999999</v>
      </c>
      <c r="CX18" s="196">
        <f>CX169</f>
        <v>131.19999999999999</v>
      </c>
      <c r="CY18" s="196">
        <f>CY169</f>
        <v>131.5</v>
      </c>
      <c r="CZ18" s="196">
        <f>CZ169</f>
        <v>151.5</v>
      </c>
      <c r="DA18" s="196">
        <f>SUM(CW18:CZ18)</f>
        <v>544.9</v>
      </c>
      <c r="DB18" s="184"/>
      <c r="DC18" s="196">
        <f>DC169</f>
        <v>168.4</v>
      </c>
      <c r="DD18" s="196">
        <f>DD169</f>
        <v>171.8</v>
      </c>
      <c r="DE18" s="196">
        <f>DE169</f>
        <v>182.9</v>
      </c>
      <c r="DF18" s="196">
        <f>DF169</f>
        <v>202.5</v>
      </c>
      <c r="DG18" s="196">
        <f>SUM(DC18:DF18)</f>
        <v>725.6</v>
      </c>
      <c r="DH18" s="184"/>
      <c r="DI18" s="196">
        <f>DI169</f>
        <v>207.7</v>
      </c>
      <c r="DJ18" s="196">
        <f>DJ169</f>
        <v>222</v>
      </c>
      <c r="DK18" s="196">
        <f>DK169</f>
        <v>235.8</v>
      </c>
      <c r="DL18" s="196">
        <f>DL169</f>
        <v>280.39999999999998</v>
      </c>
      <c r="DM18" s="196">
        <f>SUM(DI18:DL18)</f>
        <v>945.9</v>
      </c>
      <c r="DN18" s="184"/>
      <c r="DO18" s="196">
        <f>DO169</f>
        <v>260.3</v>
      </c>
      <c r="DP18" s="196">
        <f>DP169</f>
        <v>281.10000000000002</v>
      </c>
      <c r="DQ18" s="196">
        <f>DQ169</f>
        <v>287.8</v>
      </c>
      <c r="DR18" s="196">
        <f>DR169</f>
        <v>284.10000000000002</v>
      </c>
      <c r="DS18" s="196">
        <f>SUM(DO18:DR18)</f>
        <v>1113.3000000000002</v>
      </c>
      <c r="DT18" s="196"/>
      <c r="DU18" s="196">
        <f>DU169</f>
        <v>273.3</v>
      </c>
      <c r="DV18" s="196">
        <f>DV169</f>
        <v>277</v>
      </c>
      <c r="DW18" s="196">
        <f>DW169</f>
        <v>297</v>
      </c>
      <c r="DX18" s="196">
        <f>DX169</f>
        <v>318.39999999999998</v>
      </c>
      <c r="DY18" s="196">
        <f>SUM(DU18:DX18)</f>
        <v>1165.6999999999998</v>
      </c>
      <c r="DZ18" s="184"/>
      <c r="EA18" s="196">
        <f>EA169</f>
        <v>280.7</v>
      </c>
      <c r="EB18" s="196">
        <f>EB169</f>
        <v>298.7</v>
      </c>
      <c r="EC18" s="196">
        <f>EC169</f>
        <v>303.2</v>
      </c>
      <c r="ED18" s="196">
        <f>ED169</f>
        <v>375.2</v>
      </c>
      <c r="EE18" s="202">
        <f>SUM(EA18:ED18)</f>
        <v>1257.8</v>
      </c>
      <c r="EF18" s="184"/>
      <c r="EG18" s="196">
        <f>EG169</f>
        <v>302.3</v>
      </c>
      <c r="EH18" s="196">
        <f>EH169</f>
        <v>305.298</v>
      </c>
      <c r="EI18" s="196">
        <f>EI169</f>
        <v>320.43790000000001</v>
      </c>
      <c r="EJ18" s="196">
        <f>EJ169</f>
        <v>345.87293200000005</v>
      </c>
      <c r="EK18" s="202">
        <f>SUM(EG18:EJ18)</f>
        <v>1273.9088320000001</v>
      </c>
      <c r="EL18" s="184"/>
      <c r="EN18" s="184"/>
      <c r="EO18" s="184"/>
      <c r="EP18" s="184"/>
      <c r="ET18" s="77">
        <v>256513</v>
      </c>
      <c r="EU18" s="77">
        <v>245962</v>
      </c>
      <c r="EV18" s="77">
        <v>263243</v>
      </c>
      <c r="EW18" s="77">
        <v>212609</v>
      </c>
      <c r="EX18" s="196">
        <f>I18</f>
        <v>201629</v>
      </c>
      <c r="EY18" s="196">
        <f>O18</f>
        <v>201204</v>
      </c>
      <c r="EZ18" s="196">
        <f>U18</f>
        <v>204799</v>
      </c>
      <c r="FA18" s="196">
        <f>AA18</f>
        <v>225668</v>
      </c>
      <c r="FB18" s="196">
        <f>AG18</f>
        <v>212341</v>
      </c>
      <c r="FC18" s="196">
        <f>AM18</f>
        <v>156644</v>
      </c>
      <c r="FD18" s="196">
        <f>AS18</f>
        <v>181100</v>
      </c>
      <c r="FE18" s="196">
        <f>AY18</f>
        <v>217900</v>
      </c>
      <c r="FF18" s="196">
        <f>BE18</f>
        <v>259.3</v>
      </c>
      <c r="FG18" s="196">
        <f>BK18</f>
        <v>311.7</v>
      </c>
      <c r="FH18" s="196">
        <f>BQ18</f>
        <v>321.10000000000002</v>
      </c>
      <c r="FI18" s="196">
        <f>BW18</f>
        <v>345.7</v>
      </c>
      <c r="FJ18" s="196">
        <f>CC18</f>
        <v>374.8</v>
      </c>
      <c r="FK18" s="196">
        <f>CI18</f>
        <v>416.59999999999997</v>
      </c>
      <c r="FL18" s="196">
        <f>CO18</f>
        <v>488</v>
      </c>
      <c r="FM18" s="77">
        <f>CU18</f>
        <v>520.6</v>
      </c>
      <c r="FN18" s="77">
        <f>DA18</f>
        <v>544.9</v>
      </c>
      <c r="FO18" s="77">
        <f>DG18</f>
        <v>725.6</v>
      </c>
      <c r="FP18" s="77">
        <f>DM18</f>
        <v>945.9</v>
      </c>
      <c r="FQ18" s="77">
        <f>DS18</f>
        <v>1113.3000000000002</v>
      </c>
      <c r="FR18" s="77">
        <f>DY18</f>
        <v>1165.6999999999998</v>
      </c>
      <c r="FS18" s="77">
        <f>EE18</f>
        <v>1257.8</v>
      </c>
      <c r="FT18" s="196">
        <f>EK18</f>
        <v>1273.9088320000001</v>
      </c>
      <c r="FU18" s="196">
        <f>FU169</f>
        <v>1311.8260969600001</v>
      </c>
      <c r="FV18" s="196">
        <f>FV169</f>
        <v>1350.8808798688001</v>
      </c>
      <c r="FW18" s="196">
        <f>FW169</f>
        <v>1391.1073062648641</v>
      </c>
      <c r="FX18" s="196">
        <f>FX169</f>
        <v>1432.54052545281</v>
      </c>
      <c r="FZ18" s="188">
        <f>(FX18/FQ18)^(1/7)-1</f>
        <v>3.6673748429242314E-2</v>
      </c>
      <c r="GA18" s="181"/>
      <c r="GF18" s="73">
        <v>1300</v>
      </c>
      <c r="GH18" s="170">
        <f>FX18</f>
        <v>1432.54052545281</v>
      </c>
      <c r="GK18" s="360"/>
      <c r="GL18" s="360"/>
      <c r="GM18" s="360"/>
      <c r="GN18" s="360"/>
    </row>
    <row r="19" spans="2:196" x14ac:dyDescent="0.25">
      <c r="B19" s="200" t="s">
        <v>204</v>
      </c>
      <c r="C19" s="74"/>
      <c r="D19" s="74"/>
      <c r="E19" s="196">
        <f>148395-9822-F19</f>
        <v>69841</v>
      </c>
      <c r="F19" s="196">
        <f>73732-5000</f>
        <v>68732</v>
      </c>
      <c r="G19" s="196">
        <f>123293-5726</f>
        <v>117567</v>
      </c>
      <c r="H19" s="196">
        <f>I19-G19-F19-E19</f>
        <v>74819</v>
      </c>
      <c r="I19" s="196">
        <f>352920-21961</f>
        <v>330959</v>
      </c>
      <c r="J19" s="74"/>
      <c r="K19" s="196">
        <f>84971-5472</f>
        <v>79499</v>
      </c>
      <c r="L19" s="196">
        <v>82176</v>
      </c>
      <c r="M19" s="196">
        <v>79943</v>
      </c>
      <c r="N19" s="196">
        <f>O19-M19-L19-K19</f>
        <v>82256</v>
      </c>
      <c r="O19" s="196">
        <f>347901-24027</f>
        <v>323874</v>
      </c>
      <c r="P19" s="74"/>
      <c r="Q19" s="196">
        <v>87011</v>
      </c>
      <c r="R19" s="196">
        <v>92320</v>
      </c>
      <c r="S19" s="196">
        <v>100321</v>
      </c>
      <c r="T19" s="196">
        <v>106915</v>
      </c>
      <c r="U19" s="196">
        <f>413708-27141</f>
        <v>386567</v>
      </c>
      <c r="W19" s="196">
        <v>116442</v>
      </c>
      <c r="X19" s="196">
        <v>120310</v>
      </c>
      <c r="Y19" s="196">
        <v>120077</v>
      </c>
      <c r="Z19" s="196">
        <v>129313</v>
      </c>
      <c r="AA19" s="196">
        <f>510503-24362</f>
        <v>486141</v>
      </c>
      <c r="AC19" s="196">
        <v>128259</v>
      </c>
      <c r="AD19" s="196">
        <v>130241</v>
      </c>
      <c r="AE19" s="196">
        <v>130157</v>
      </c>
      <c r="AF19" s="196">
        <v>127471</v>
      </c>
      <c r="AG19" s="196">
        <f>AD19+AF19+AC19+AE19</f>
        <v>516128</v>
      </c>
      <c r="AI19" s="196">
        <v>118315</v>
      </c>
      <c r="AJ19" s="196">
        <v>117890</v>
      </c>
      <c r="AK19" s="196">
        <v>115166</v>
      </c>
      <c r="AL19" s="196">
        <v>115390</v>
      </c>
      <c r="AM19" s="196">
        <f>AJ19+AL19+AI19+AK19</f>
        <v>466761</v>
      </c>
      <c r="AO19" s="196">
        <v>120300</v>
      </c>
      <c r="AP19" s="196">
        <v>125300</v>
      </c>
      <c r="AQ19" s="196">
        <v>136800</v>
      </c>
      <c r="AR19" s="196">
        <v>141000</v>
      </c>
      <c r="AS19" s="196">
        <f>AP19+AR19+AO19+AQ19</f>
        <v>523400</v>
      </c>
      <c r="AT19" s="74"/>
      <c r="AU19" s="196">
        <v>145400</v>
      </c>
      <c r="AV19" s="196">
        <v>144700</v>
      </c>
      <c r="AW19" s="196">
        <v>149800</v>
      </c>
      <c r="AX19" s="196">
        <v>150400</v>
      </c>
      <c r="AY19" s="196">
        <f>AV19+AX19+AU19+AW19</f>
        <v>590300</v>
      </c>
      <c r="BA19" s="196">
        <v>145.30000000000001</v>
      </c>
      <c r="BB19" s="196">
        <v>144.6</v>
      </c>
      <c r="BC19" s="196">
        <v>143.80000000000001</v>
      </c>
      <c r="BD19" s="196">
        <v>155.4</v>
      </c>
      <c r="BE19" s="196">
        <f>BB19+BD19+BA19+BC19</f>
        <v>589.1</v>
      </c>
      <c r="BF19" s="184"/>
      <c r="BG19" s="196">
        <f>Financials!BG178</f>
        <v>184.8</v>
      </c>
      <c r="BH19" s="196">
        <f>Financials!BH178</f>
        <v>200</v>
      </c>
      <c r="BI19" s="196">
        <f>Financials!BI178</f>
        <v>244.1</v>
      </c>
      <c r="BJ19" s="196">
        <f>Financials!BJ178</f>
        <v>253.1</v>
      </c>
      <c r="BK19" s="196">
        <f>BH19+BJ19+BG19+BI19</f>
        <v>882.00000000000011</v>
      </c>
      <c r="BL19" s="184"/>
      <c r="BM19" s="196">
        <f>BM178</f>
        <v>279.10000000000002</v>
      </c>
      <c r="BN19" s="196">
        <f>BN178</f>
        <v>266.89999999999998</v>
      </c>
      <c r="BO19" s="196">
        <f>BO178</f>
        <v>260.10000000000002</v>
      </c>
      <c r="BP19" s="196">
        <f>BP178</f>
        <v>268</v>
      </c>
      <c r="BQ19" s="196">
        <f>SUM(BM19:BP19)</f>
        <v>1074.0999999999999</v>
      </c>
      <c r="BR19" s="184"/>
      <c r="BS19" s="196">
        <f>BS178</f>
        <v>261.39999999999998</v>
      </c>
      <c r="BT19" s="196">
        <f>BT178</f>
        <v>267.39999999999998</v>
      </c>
      <c r="BU19" s="196">
        <f>BU178</f>
        <v>266.3</v>
      </c>
      <c r="BV19" s="196">
        <f>BV178</f>
        <v>273</v>
      </c>
      <c r="BW19" s="196">
        <f>SUM(BS19:BV19)</f>
        <v>1068.0999999999999</v>
      </c>
      <c r="BX19" s="184"/>
      <c r="BY19" s="196">
        <f>BY178</f>
        <v>274.7</v>
      </c>
      <c r="BZ19" s="196">
        <f>BZ178</f>
        <v>270.3</v>
      </c>
      <c r="CA19" s="196">
        <f>CA178</f>
        <v>273.39999999999998</v>
      </c>
      <c r="CB19" s="196">
        <f>CB178</f>
        <v>287.39999999999998</v>
      </c>
      <c r="CC19" s="196">
        <f>SUM(BY19:CB19)</f>
        <v>1105.8</v>
      </c>
      <c r="CD19" s="184"/>
      <c r="CE19" s="196">
        <f>CE178</f>
        <v>315.10000000000002</v>
      </c>
      <c r="CF19" s="196">
        <f>CF178</f>
        <v>312.7</v>
      </c>
      <c r="CG19" s="196">
        <f>CG178</f>
        <v>314.5</v>
      </c>
      <c r="CH19" s="196">
        <f>CH178</f>
        <v>317.39999999999998</v>
      </c>
      <c r="CI19" s="196">
        <f>SUM(CE19:CH19)</f>
        <v>1259.6999999999998</v>
      </c>
      <c r="CJ19" s="184"/>
      <c r="CK19" s="196">
        <f>CK178</f>
        <v>357.1</v>
      </c>
      <c r="CL19" s="196">
        <f>CL178</f>
        <v>380.1</v>
      </c>
      <c r="CM19" s="196">
        <f>CM178</f>
        <v>396.3</v>
      </c>
      <c r="CN19" s="196">
        <f>CN178</f>
        <v>442.4</v>
      </c>
      <c r="CO19" s="196">
        <f>SUM(CK19:CN19)</f>
        <v>1575.9</v>
      </c>
      <c r="CP19" s="184"/>
      <c r="CQ19" s="196">
        <f>CQ178</f>
        <v>472.7</v>
      </c>
      <c r="CR19" s="196">
        <f>CR178</f>
        <v>487.4</v>
      </c>
      <c r="CS19" s="196">
        <f>CS178</f>
        <v>492.3</v>
      </c>
      <c r="CT19" s="196">
        <f>CT178</f>
        <v>516.1</v>
      </c>
      <c r="CU19" s="196">
        <f>SUM(CQ19:CT19)</f>
        <v>1968.5</v>
      </c>
      <c r="CV19" s="184"/>
      <c r="CW19" s="196">
        <f>CW178</f>
        <v>544</v>
      </c>
      <c r="CX19" s="196">
        <f>CX178</f>
        <v>566.9</v>
      </c>
      <c r="CY19" s="196">
        <f>CY178</f>
        <v>534</v>
      </c>
      <c r="CZ19" s="196">
        <f>CZ178</f>
        <v>555.9</v>
      </c>
      <c r="DA19" s="196">
        <f>SUM(CW19:CZ19)</f>
        <v>2200.8000000000002</v>
      </c>
      <c r="DB19" s="184"/>
      <c r="DC19" s="196">
        <f>DC178</f>
        <v>623.4</v>
      </c>
      <c r="DD19" s="196">
        <f>DD178</f>
        <v>633.79999999999995</v>
      </c>
      <c r="DE19" s="196">
        <f>DE178</f>
        <v>609.20000000000005</v>
      </c>
      <c r="DF19" s="196">
        <f>DF178</f>
        <v>680.6</v>
      </c>
      <c r="DG19" s="196">
        <f>SUM(DC19:DF19)</f>
        <v>2547</v>
      </c>
      <c r="DH19" s="184"/>
      <c r="DI19" s="196">
        <f>DI178</f>
        <v>738.7</v>
      </c>
      <c r="DJ19" s="196">
        <f>DJ178</f>
        <v>789.1</v>
      </c>
      <c r="DK19" s="196">
        <f>DK178</f>
        <v>819.4</v>
      </c>
      <c r="DL19" s="196">
        <f>DL178</f>
        <v>906.3</v>
      </c>
      <c r="DM19" s="196">
        <f>SUM(DI19:DL19)</f>
        <v>3253.5</v>
      </c>
      <c r="DN19" s="184"/>
      <c r="DO19" s="196">
        <f>DO178</f>
        <v>947.9</v>
      </c>
      <c r="DP19" s="196">
        <f>DP178</f>
        <v>999.9</v>
      </c>
      <c r="DQ19" s="196">
        <f>DQ178</f>
        <v>991.4</v>
      </c>
      <c r="DR19" s="196">
        <f>DR178</f>
        <v>1041.3</v>
      </c>
      <c r="DS19" s="196">
        <f>SUM(DO19:DR19)</f>
        <v>3980.5</v>
      </c>
      <c r="DT19" s="196"/>
      <c r="DU19" s="196">
        <f>DU178</f>
        <v>1031.9000000000001</v>
      </c>
      <c r="DV19" s="196">
        <f>DV178</f>
        <v>1100.5999999999999</v>
      </c>
      <c r="DW19" s="196">
        <f>DW178</f>
        <v>1055.2</v>
      </c>
      <c r="DX19" s="196">
        <f>DX178</f>
        <v>1116</v>
      </c>
      <c r="DY19" s="196">
        <f>SUM(DU19:DX19)</f>
        <v>4303.7</v>
      </c>
      <c r="DZ19" s="184"/>
      <c r="EA19" s="196">
        <f>EA178</f>
        <v>1161.0999999999999</v>
      </c>
      <c r="EB19" s="196">
        <f>EB178</f>
        <v>1166.7</v>
      </c>
      <c r="EC19" s="196">
        <f>EC178</f>
        <v>1108.7</v>
      </c>
      <c r="ED19" s="196">
        <f>ED178</f>
        <v>1262.3</v>
      </c>
      <c r="EE19" s="202">
        <f>SUM(EA19:ED19)</f>
        <v>4698.8</v>
      </c>
      <c r="EF19" s="184"/>
      <c r="EG19" s="196">
        <f>EG178</f>
        <v>1184.9000000000001</v>
      </c>
      <c r="EH19" s="196">
        <f>EH178</f>
        <v>1184.9000000000001</v>
      </c>
      <c r="EI19" s="196">
        <f>EI178</f>
        <v>1219.9970000000001</v>
      </c>
      <c r="EJ19" s="196">
        <f>EJ178</f>
        <v>1244.0969400000001</v>
      </c>
      <c r="EK19" s="202">
        <f>SUM(EG19:EJ19)</f>
        <v>4833.8939400000008</v>
      </c>
      <c r="EL19" s="184"/>
      <c r="EN19" s="184"/>
      <c r="EO19" s="184"/>
      <c r="EP19" s="184"/>
      <c r="ET19" s="77">
        <v>302032</v>
      </c>
      <c r="EU19" s="77">
        <v>331110</v>
      </c>
      <c r="EV19" s="77">
        <v>298404</v>
      </c>
      <c r="EW19" s="77">
        <v>286720</v>
      </c>
      <c r="EX19" s="196">
        <f>I19</f>
        <v>330959</v>
      </c>
      <c r="EY19" s="196">
        <f>O19</f>
        <v>323874</v>
      </c>
      <c r="EZ19" s="196">
        <f>U19</f>
        <v>386567</v>
      </c>
      <c r="FA19" s="196">
        <f>AA19</f>
        <v>486141</v>
      </c>
      <c r="FB19" s="196">
        <f>AG19</f>
        <v>516128</v>
      </c>
      <c r="FC19" s="196">
        <f>AM19</f>
        <v>466761</v>
      </c>
      <c r="FD19" s="196">
        <f>AS19</f>
        <v>523400</v>
      </c>
      <c r="FE19" s="196">
        <f>AY19</f>
        <v>590300</v>
      </c>
      <c r="FF19" s="196">
        <f>BE19</f>
        <v>589.1</v>
      </c>
      <c r="FG19" s="196">
        <f>BK19</f>
        <v>882.00000000000011</v>
      </c>
      <c r="FH19" s="196">
        <f>BQ19</f>
        <v>1074.0999999999999</v>
      </c>
      <c r="FI19" s="196">
        <f>BW19</f>
        <v>1068.0999999999999</v>
      </c>
      <c r="FJ19" s="196">
        <f>CC19</f>
        <v>1105.8</v>
      </c>
      <c r="FK19" s="196">
        <f>CI19</f>
        <v>1259.6999999999998</v>
      </c>
      <c r="FL19" s="196">
        <f>CO19</f>
        <v>1575.9</v>
      </c>
      <c r="FM19" s="77">
        <f>CU19</f>
        <v>1968.5</v>
      </c>
      <c r="FN19" s="77">
        <f>DA19</f>
        <v>2200.8000000000002</v>
      </c>
      <c r="FO19" s="77">
        <f>DG19</f>
        <v>2547</v>
      </c>
      <c r="FP19" s="77">
        <f>DM19</f>
        <v>3253.5</v>
      </c>
      <c r="FQ19" s="77">
        <f>DS19</f>
        <v>3980.5</v>
      </c>
      <c r="FR19" s="77">
        <f>DY19</f>
        <v>4303.7</v>
      </c>
      <c r="FS19" s="77">
        <f>EE19</f>
        <v>4698.8</v>
      </c>
      <c r="FT19" s="196">
        <f>EK19</f>
        <v>4833.8939400000008</v>
      </c>
      <c r="FU19" s="196">
        <f>FU178</f>
        <v>5072.5886369999998</v>
      </c>
      <c r="FV19" s="196">
        <f>FV178</f>
        <v>5423.4698415900002</v>
      </c>
      <c r="FW19" s="196">
        <f>FW178</f>
        <v>5798.9127305013008</v>
      </c>
      <c r="FX19" s="196">
        <f>FX178</f>
        <v>6200.6366216363922</v>
      </c>
      <c r="FZ19" s="188">
        <f>(FX19/FQ19)^(1/7)-1</f>
        <v>6.5368391517642177E-2</v>
      </c>
      <c r="GA19" s="181"/>
      <c r="GF19" s="73">
        <v>4550</v>
      </c>
      <c r="GH19" s="170">
        <f>FX19</f>
        <v>6200.6366216363922</v>
      </c>
      <c r="GK19" s="360"/>
      <c r="GL19" s="379"/>
      <c r="GM19" s="360"/>
      <c r="GN19" s="360"/>
    </row>
    <row r="20" spans="2:196" x14ac:dyDescent="0.25">
      <c r="B20" s="78" t="s">
        <v>164</v>
      </c>
      <c r="C20" s="104"/>
      <c r="D20" s="104"/>
      <c r="E20" s="76">
        <v>-5862</v>
      </c>
      <c r="F20" s="76">
        <v>0</v>
      </c>
      <c r="G20" s="76">
        <v>0</v>
      </c>
      <c r="H20" s="76">
        <f>I20-G20-F20-E20</f>
        <v>0</v>
      </c>
      <c r="I20" s="76">
        <v>-5862</v>
      </c>
      <c r="J20" s="104"/>
      <c r="K20" s="76">
        <v>0</v>
      </c>
      <c r="L20" s="76">
        <v>0</v>
      </c>
      <c r="M20" s="76">
        <v>0</v>
      </c>
      <c r="N20" s="76">
        <f>O20-M20-L20-K20</f>
        <v>0</v>
      </c>
      <c r="O20" s="76">
        <v>0</v>
      </c>
      <c r="P20" s="104"/>
      <c r="Q20" s="76">
        <v>0</v>
      </c>
      <c r="R20" s="76">
        <v>0</v>
      </c>
      <c r="S20" s="76">
        <v>0</v>
      </c>
      <c r="T20" s="76">
        <f>U20-S20-R20-Q20</f>
        <v>0</v>
      </c>
      <c r="U20" s="76">
        <v>0</v>
      </c>
      <c r="W20" s="76">
        <v>23148</v>
      </c>
      <c r="X20" s="76">
        <v>0</v>
      </c>
      <c r="Y20" s="76">
        <v>0</v>
      </c>
      <c r="Z20" s="76">
        <f>AA20-Y20-X20-W20</f>
        <v>0</v>
      </c>
      <c r="AA20" s="76">
        <v>23148</v>
      </c>
      <c r="AC20" s="76">
        <v>0</v>
      </c>
      <c r="AD20" s="76">
        <v>0</v>
      </c>
      <c r="AE20" s="76">
        <v>0</v>
      </c>
      <c r="AF20" s="76">
        <v>0</v>
      </c>
      <c r="AG20" s="76">
        <f>AD20+AF20+AC20+AE20</f>
        <v>0</v>
      </c>
      <c r="AI20" s="76">
        <v>0</v>
      </c>
      <c r="AJ20" s="76">
        <v>0</v>
      </c>
      <c r="AK20" s="76">
        <v>0</v>
      </c>
      <c r="AL20" s="76">
        <v>0</v>
      </c>
      <c r="AM20" s="76">
        <f>AJ20+AL20+AI20+AK20</f>
        <v>0</v>
      </c>
      <c r="AO20" s="76">
        <v>0</v>
      </c>
      <c r="AP20" s="76">
        <v>0</v>
      </c>
      <c r="AQ20" s="76">
        <v>0</v>
      </c>
      <c r="AR20" s="76">
        <v>0</v>
      </c>
      <c r="AS20" s="76">
        <f>AP20+AR20+AO20+AQ20</f>
        <v>0</v>
      </c>
      <c r="AT20" s="104"/>
      <c r="AU20" s="76">
        <v>0</v>
      </c>
      <c r="AV20" s="76">
        <v>0</v>
      </c>
      <c r="AW20" s="142">
        <v>0</v>
      </c>
      <c r="AX20" s="142">
        <v>0</v>
      </c>
      <c r="AY20" s="76">
        <f>AV20+AX20+AU20+AW20</f>
        <v>0</v>
      </c>
      <c r="BA20" s="76">
        <f>AW20+AY20+AV20+AX20</f>
        <v>0</v>
      </c>
      <c r="BB20" s="76">
        <v>0</v>
      </c>
      <c r="BC20" s="76">
        <v>0</v>
      </c>
      <c r="BD20" s="76">
        <v>0</v>
      </c>
      <c r="BE20" s="76">
        <f>BB20+BD20+BA20+BC20</f>
        <v>0</v>
      </c>
      <c r="BF20" s="104"/>
      <c r="BG20" s="76">
        <f>Financials!BG181</f>
        <v>-14.2</v>
      </c>
      <c r="BH20" s="76">
        <f>Financials!BH181</f>
        <v>-16.3</v>
      </c>
      <c r="BI20" s="76">
        <f>Financials!BI181</f>
        <v>-16.7</v>
      </c>
      <c r="BJ20" s="76">
        <f>Financials!BJ181</f>
        <v>-17.2</v>
      </c>
      <c r="BK20" s="76">
        <f>BH20+BJ20+BG20+BI20</f>
        <v>-64.400000000000006</v>
      </c>
      <c r="BL20" s="104"/>
      <c r="BM20" s="76">
        <f>BM181</f>
        <v>-20.2</v>
      </c>
      <c r="BN20" s="76">
        <f>BN181</f>
        <v>-20.3</v>
      </c>
      <c r="BO20" s="76">
        <f>BO181</f>
        <v>-20.3</v>
      </c>
      <c r="BP20" s="76">
        <f>BP181</f>
        <v>-20.2</v>
      </c>
      <c r="BQ20" s="142">
        <f>SUM(BM20:BP20)</f>
        <v>-81</v>
      </c>
      <c r="BR20" s="104"/>
      <c r="BS20" s="76">
        <f>BS181</f>
        <v>-20.8</v>
      </c>
      <c r="BT20" s="76">
        <f>BT181</f>
        <v>-20.8</v>
      </c>
      <c r="BU20" s="76">
        <f>BU181</f>
        <v>-20.8</v>
      </c>
      <c r="BV20" s="76">
        <f>BV181</f>
        <v>-20.8</v>
      </c>
      <c r="BW20" s="142">
        <f>SUM(BS20:BV20)</f>
        <v>-83.2</v>
      </c>
      <c r="BX20" s="104"/>
      <c r="BY20" s="76">
        <f>BY181</f>
        <v>-23.4</v>
      </c>
      <c r="BZ20" s="76">
        <f>BZ181</f>
        <v>-23.5</v>
      </c>
      <c r="CA20" s="76">
        <f>CA181</f>
        <v>-23.4</v>
      </c>
      <c r="CB20" s="76">
        <f>CB181</f>
        <v>-23.5</v>
      </c>
      <c r="CC20" s="142">
        <f>SUM(BY20:CB20)</f>
        <v>-93.8</v>
      </c>
      <c r="CD20" s="104"/>
      <c r="CE20" s="76">
        <f>CE181</f>
        <v>-23.9</v>
      </c>
      <c r="CF20" s="76">
        <f>CF181</f>
        <v>-24</v>
      </c>
      <c r="CG20" s="76">
        <f>CG181</f>
        <v>-23.9</v>
      </c>
      <c r="CH20" s="76">
        <f>CH181</f>
        <v>-24</v>
      </c>
      <c r="CI20" s="142">
        <f>SUM(CE20:CH20)</f>
        <v>-95.8</v>
      </c>
      <c r="CJ20" s="104"/>
      <c r="CK20" s="76">
        <f>CK181</f>
        <v>0</v>
      </c>
      <c r="CL20" s="76">
        <f>CL181</f>
        <v>0</v>
      </c>
      <c r="CM20" s="76">
        <f>CM181</f>
        <v>0</v>
      </c>
      <c r="CN20" s="76">
        <f>CN181</f>
        <v>0</v>
      </c>
      <c r="CO20" s="142">
        <f>SUM(CK20:CN20)</f>
        <v>0</v>
      </c>
      <c r="CP20" s="104"/>
      <c r="CQ20" s="76">
        <f>CQ181</f>
        <v>0</v>
      </c>
      <c r="CR20" s="76">
        <f>CR181</f>
        <v>0</v>
      </c>
      <c r="CS20" s="76">
        <f>CS181</f>
        <v>0</v>
      </c>
      <c r="CT20" s="76">
        <f>CT181</f>
        <v>0</v>
      </c>
      <c r="CU20" s="142">
        <f>SUM(CQ20:CT20)</f>
        <v>0</v>
      </c>
      <c r="CV20" s="104"/>
      <c r="CW20" s="76">
        <f>CW181</f>
        <v>0</v>
      </c>
      <c r="CX20" s="76">
        <f>CX181</f>
        <v>0</v>
      </c>
      <c r="CY20" s="76">
        <f>CY181</f>
        <v>0</v>
      </c>
      <c r="CZ20" s="76">
        <f>CZ181</f>
        <v>0</v>
      </c>
      <c r="DA20" s="142">
        <f>SUM(CW20:CZ20)</f>
        <v>0</v>
      </c>
      <c r="DB20" s="104"/>
      <c r="DC20" s="76">
        <f>DC181</f>
        <v>0</v>
      </c>
      <c r="DD20" s="76">
        <f>DD181</f>
        <v>0</v>
      </c>
      <c r="DE20" s="76">
        <f>DE181</f>
        <v>0</v>
      </c>
      <c r="DF20" s="76">
        <f>DF181</f>
        <v>-213.7</v>
      </c>
      <c r="DG20" s="142">
        <f>SUM(DC20:DF20)</f>
        <v>-213.7</v>
      </c>
      <c r="DH20" s="104"/>
      <c r="DI20" s="76">
        <f>DI181</f>
        <v>0</v>
      </c>
      <c r="DJ20" s="76">
        <f>DJ181</f>
        <v>0</v>
      </c>
      <c r="DK20" s="76">
        <f>DK181</f>
        <v>0</v>
      </c>
      <c r="DL20" s="76">
        <f>DL181</f>
        <v>0</v>
      </c>
      <c r="DM20" s="142">
        <f>SUM(DI20:DL20)</f>
        <v>0</v>
      </c>
      <c r="DN20" s="104"/>
      <c r="DO20" s="76">
        <f>DO181</f>
        <v>0</v>
      </c>
      <c r="DP20" s="76">
        <f>DP181</f>
        <v>0</v>
      </c>
      <c r="DQ20" s="76">
        <f>DQ181</f>
        <v>0</v>
      </c>
      <c r="DR20" s="76">
        <f>DR181</f>
        <v>0</v>
      </c>
      <c r="DS20" s="142">
        <f>SUM(DO20:DR20)</f>
        <v>0</v>
      </c>
      <c r="DT20" s="76"/>
      <c r="DU20" s="76">
        <f>DU181</f>
        <v>0</v>
      </c>
      <c r="DV20" s="76">
        <f>DV181</f>
        <v>0</v>
      </c>
      <c r="DW20" s="76">
        <f>DW181</f>
        <v>0</v>
      </c>
      <c r="DX20" s="76">
        <f>DX181</f>
        <v>0</v>
      </c>
      <c r="DY20" s="142">
        <f>SUM(DU20:DX20)</f>
        <v>0</v>
      </c>
      <c r="DZ20" s="104"/>
      <c r="EA20" s="76">
        <f>EA181</f>
        <v>0</v>
      </c>
      <c r="EB20" s="76">
        <f>EB181</f>
        <v>0</v>
      </c>
      <c r="EC20" s="76">
        <f>EC181</f>
        <v>0</v>
      </c>
      <c r="ED20" s="76">
        <f>ED181</f>
        <v>0</v>
      </c>
      <c r="EE20" s="142">
        <f>SUM(EA20:ED20)</f>
        <v>0</v>
      </c>
      <c r="EF20" s="104"/>
      <c r="EG20" s="76">
        <f>EG181</f>
        <v>0</v>
      </c>
      <c r="EH20" s="76">
        <f>EH181</f>
        <v>0</v>
      </c>
      <c r="EI20" s="76">
        <f>EI181</f>
        <v>0</v>
      </c>
      <c r="EJ20" s="76">
        <f>EJ181</f>
        <v>0</v>
      </c>
      <c r="EK20" s="142">
        <f>SUM(EG20:EJ20)</f>
        <v>0</v>
      </c>
      <c r="EL20" s="104"/>
      <c r="EN20" s="104"/>
      <c r="EO20" s="104"/>
      <c r="EP20" s="104"/>
      <c r="ET20" s="76">
        <v>0</v>
      </c>
      <c r="EU20" s="76">
        <v>44559</v>
      </c>
      <c r="EV20" s="76">
        <v>0</v>
      </c>
      <c r="EW20" s="76">
        <v>24485</v>
      </c>
      <c r="EX20" s="76">
        <f>I20</f>
        <v>-5862</v>
      </c>
      <c r="EY20" s="76">
        <f>O20</f>
        <v>0</v>
      </c>
      <c r="EZ20" s="76">
        <f>U20</f>
        <v>0</v>
      </c>
      <c r="FA20" s="76">
        <f>AA20</f>
        <v>23148</v>
      </c>
      <c r="FB20" s="76">
        <f>AG20</f>
        <v>0</v>
      </c>
      <c r="FC20" s="76">
        <f>AM20</f>
        <v>0</v>
      </c>
      <c r="FD20" s="76">
        <f>AS20</f>
        <v>0</v>
      </c>
      <c r="FE20" s="76">
        <f>AY20</f>
        <v>0</v>
      </c>
      <c r="FF20" s="76">
        <f>BE20</f>
        <v>0</v>
      </c>
      <c r="FG20" s="76">
        <f>BK20</f>
        <v>-64.400000000000006</v>
      </c>
      <c r="FH20" s="76">
        <f>BQ20</f>
        <v>-81</v>
      </c>
      <c r="FI20" s="76">
        <f>BW20</f>
        <v>-83.2</v>
      </c>
      <c r="FJ20" s="76">
        <f>CC20</f>
        <v>-93.8</v>
      </c>
      <c r="FK20" s="76">
        <f>CI20</f>
        <v>-95.8</v>
      </c>
      <c r="FL20" s="76">
        <f>CO20</f>
        <v>0</v>
      </c>
      <c r="FM20" s="76">
        <f>CU20</f>
        <v>0</v>
      </c>
      <c r="FN20" s="76">
        <f>DA20</f>
        <v>0</v>
      </c>
      <c r="FO20" s="76">
        <f>DG20</f>
        <v>-213.7</v>
      </c>
      <c r="FP20" s="76">
        <f>DM20</f>
        <v>0</v>
      </c>
      <c r="FQ20" s="76">
        <f>DS20</f>
        <v>0</v>
      </c>
      <c r="FR20" s="76">
        <f>DY20</f>
        <v>0</v>
      </c>
      <c r="FS20" s="76">
        <f>EE20</f>
        <v>0</v>
      </c>
      <c r="FT20" s="142">
        <f>EK20</f>
        <v>0</v>
      </c>
      <c r="FU20" s="76">
        <f>FU181</f>
        <v>0</v>
      </c>
      <c r="FV20" s="76">
        <f>FV181</f>
        <v>0</v>
      </c>
      <c r="FW20" s="76">
        <f>FW181</f>
        <v>0</v>
      </c>
      <c r="FX20" s="76">
        <f>FX181</f>
        <v>0</v>
      </c>
      <c r="FZ20" s="181"/>
      <c r="GA20" s="181"/>
      <c r="GF20" s="243">
        <f>EE20</f>
        <v>0</v>
      </c>
      <c r="GH20" s="243">
        <f>EG20</f>
        <v>0</v>
      </c>
      <c r="GK20" s="360"/>
      <c r="GL20" s="360"/>
      <c r="GM20" s="360"/>
      <c r="GN20" s="360"/>
    </row>
    <row r="21" spans="2:196" x14ac:dyDescent="0.25">
      <c r="B21" s="235" t="s">
        <v>342</v>
      </c>
      <c r="C21" s="74"/>
      <c r="D21" s="74"/>
      <c r="E21" s="196">
        <f>E18+E19+E20</f>
        <v>111686</v>
      </c>
      <c r="F21" s="196">
        <f>F18+F19+F20</f>
        <v>119029</v>
      </c>
      <c r="G21" s="196">
        <f>G18+G19+G20</f>
        <v>169076</v>
      </c>
      <c r="H21" s="196">
        <f>H18+H19+H20</f>
        <v>126935</v>
      </c>
      <c r="I21" s="196">
        <f>I18+I19+I20</f>
        <v>526726</v>
      </c>
      <c r="J21" s="74"/>
      <c r="K21" s="196">
        <f>K18+K19+K20</f>
        <v>130260</v>
      </c>
      <c r="L21" s="196">
        <f>L18+L19+L20</f>
        <v>137100</v>
      </c>
      <c r="M21" s="196">
        <f>M18+M19+M20</f>
        <v>128177</v>
      </c>
      <c r="N21" s="196">
        <f>N18+N19+N20</f>
        <v>129541</v>
      </c>
      <c r="O21" s="196">
        <f>O18+O19+O20</f>
        <v>525078</v>
      </c>
      <c r="P21" s="74"/>
      <c r="Q21" s="196">
        <f>Q18+Q19+Q20</f>
        <v>137278</v>
      </c>
      <c r="R21" s="196">
        <f>R18+R19+R20</f>
        <v>143343</v>
      </c>
      <c r="S21" s="196">
        <f>S18+S19+S20</f>
        <v>151763</v>
      </c>
      <c r="T21" s="196">
        <f>T18+T19+T20</f>
        <v>158982</v>
      </c>
      <c r="U21" s="196">
        <f>U18+U19+U20</f>
        <v>591366</v>
      </c>
      <c r="W21" s="196">
        <f>W18+W19+W20</f>
        <v>195920</v>
      </c>
      <c r="X21" s="196">
        <f>X18+X19+X20</f>
        <v>176706</v>
      </c>
      <c r="Y21" s="196">
        <f>Y18+Y19+Y20</f>
        <v>176122</v>
      </c>
      <c r="Z21" s="196">
        <f>Z18+Z19+Z20</f>
        <v>186210</v>
      </c>
      <c r="AA21" s="196">
        <f>AA18+AA19+AA20</f>
        <v>734957</v>
      </c>
      <c r="AC21" s="196">
        <f>AC18+AC19+AC20</f>
        <v>185587</v>
      </c>
      <c r="AD21" s="196">
        <f>AD18+AD19+AD20</f>
        <v>186609</v>
      </c>
      <c r="AE21" s="196">
        <f>AE18+AE19+AE20</f>
        <v>182090</v>
      </c>
      <c r="AF21" s="196">
        <f>AF18+AF19+AF20</f>
        <v>174183</v>
      </c>
      <c r="AG21" s="196">
        <f>AG18+AG19+AG20</f>
        <v>728469</v>
      </c>
      <c r="AI21" s="196">
        <f>AI18+AI19+AI20</f>
        <v>159310</v>
      </c>
      <c r="AJ21" s="196">
        <f>AJ18+AJ19+AJ20</f>
        <v>158868</v>
      </c>
      <c r="AK21" s="196">
        <f>AK18+AK19+AK20</f>
        <v>152703</v>
      </c>
      <c r="AL21" s="196">
        <f>AL18+AL19+AL20</f>
        <v>152524</v>
      </c>
      <c r="AM21" s="196">
        <f>AM18+AM19+AM20</f>
        <v>623405</v>
      </c>
      <c r="AO21" s="196">
        <f>AO18+AO19+AO20</f>
        <v>161700</v>
      </c>
      <c r="AP21" s="196">
        <f>AP18+AP19+AP20</f>
        <v>167000</v>
      </c>
      <c r="AQ21" s="196">
        <f>AQ18+AQ19+AQ20</f>
        <v>184700</v>
      </c>
      <c r="AR21" s="196">
        <f>AR18+AR19+AR20</f>
        <v>191100</v>
      </c>
      <c r="AS21" s="196">
        <f>AS18+AS19+AS20</f>
        <v>704500</v>
      </c>
      <c r="AT21" s="74"/>
      <c r="AU21" s="196">
        <f>AU18+AU19+AU20</f>
        <v>199800</v>
      </c>
      <c r="AV21" s="196">
        <f>AV18+AV19+AV20</f>
        <v>195600</v>
      </c>
      <c r="AW21" s="196">
        <f>AW18+AW19+AW20</f>
        <v>206100</v>
      </c>
      <c r="AX21" s="196">
        <f>AX18+AX19+AX20</f>
        <v>206700</v>
      </c>
      <c r="AY21" s="196">
        <f>AY18+AY19+AY20</f>
        <v>808200</v>
      </c>
      <c r="BA21" s="196">
        <f>BA18+BA19+BA20</f>
        <v>200.70000000000002</v>
      </c>
      <c r="BB21" s="196">
        <f>BB18+BB19+BB20</f>
        <v>199.3</v>
      </c>
      <c r="BC21" s="196">
        <f>BC18+BC19+BC20</f>
        <v>213.5</v>
      </c>
      <c r="BD21" s="196">
        <f>BD18+BD19+BD20</f>
        <v>234.9</v>
      </c>
      <c r="BE21" s="196">
        <f>BE18+BE19+BE20</f>
        <v>848.40000000000009</v>
      </c>
      <c r="BF21" s="184"/>
      <c r="BG21" s="196">
        <f>BG18+BG19+BG20</f>
        <v>233.20000000000002</v>
      </c>
      <c r="BH21" s="196">
        <f>BH18+BH19+BH20</f>
        <v>251.59999999999997</v>
      </c>
      <c r="BI21" s="196">
        <f>BI18+BI19+BI20</f>
        <v>318.60000000000002</v>
      </c>
      <c r="BJ21" s="196">
        <f>BJ18+BJ19+BJ20</f>
        <v>325.90000000000003</v>
      </c>
      <c r="BK21" s="196">
        <f>BK18+BK19+BK20</f>
        <v>1129.3</v>
      </c>
      <c r="BL21" s="199"/>
      <c r="BM21" s="196">
        <f>BM18+BM19+BM20</f>
        <v>343.8</v>
      </c>
      <c r="BN21" s="196">
        <f>BN18+BN19+BN20</f>
        <v>326.49999999999994</v>
      </c>
      <c r="BO21" s="196">
        <f>BO18+BO19+BO20</f>
        <v>316.7</v>
      </c>
      <c r="BP21" s="196">
        <f>BP18+BP19+BP20</f>
        <v>327.2</v>
      </c>
      <c r="BQ21" s="196">
        <f>SUM(BQ18:BQ20)</f>
        <v>1314.1999999999998</v>
      </c>
      <c r="BR21" s="199"/>
      <c r="BS21" s="196">
        <f>BS18+BS19+BS20</f>
        <v>322.89999999999998</v>
      </c>
      <c r="BT21" s="196">
        <f>BT18+BT19+BT20</f>
        <v>334.9</v>
      </c>
      <c r="BU21" s="196">
        <f>BU18+BU19+BU20</f>
        <v>331.09999999999997</v>
      </c>
      <c r="BV21" s="196">
        <f>BV18+BV19+BV20</f>
        <v>341.7</v>
      </c>
      <c r="BW21" s="196">
        <f>SUM(BW18:BW20)</f>
        <v>1330.6</v>
      </c>
      <c r="BX21" s="74"/>
      <c r="BY21" s="196">
        <f>BY18+BY19+BY20</f>
        <v>340.1</v>
      </c>
      <c r="BZ21" s="196">
        <f>BZ18+BZ19+BZ20</f>
        <v>337.20000000000005</v>
      </c>
      <c r="CA21" s="196">
        <f>CA18+CA19+CA20</f>
        <v>338.8</v>
      </c>
      <c r="CB21" s="196">
        <f>CB18+CB19+CB20</f>
        <v>370.7</v>
      </c>
      <c r="CC21" s="196">
        <f>SUM(CC18:CC20)</f>
        <v>1386.8</v>
      </c>
      <c r="CD21" s="74"/>
      <c r="CE21" s="196">
        <f>CE18+CE19+CE20</f>
        <v>389.80000000000007</v>
      </c>
      <c r="CF21" s="196">
        <f>CF18+CF19+CF20</f>
        <v>390.7</v>
      </c>
      <c r="CG21" s="196">
        <f>CG18+CG19+CG20</f>
        <v>393.90000000000003</v>
      </c>
      <c r="CH21" s="196">
        <f>CH18+CH19+CH20</f>
        <v>406.09999999999997</v>
      </c>
      <c r="CI21" s="196">
        <f>SUM(CI18:CI20)</f>
        <v>1580.4999999999998</v>
      </c>
      <c r="CJ21" s="74"/>
      <c r="CK21" s="196">
        <f>CK18+CK19+CK20</f>
        <v>471.3</v>
      </c>
      <c r="CL21" s="196">
        <f>CL18+CL19+CL20</f>
        <v>497.5</v>
      </c>
      <c r="CM21" s="196">
        <f>CM18+CM19+CM20</f>
        <v>518.1</v>
      </c>
      <c r="CN21" s="196">
        <f>CN18+CN19+CN20</f>
        <v>577</v>
      </c>
      <c r="CO21" s="196">
        <f>SUM(CO18:CO20)</f>
        <v>2063.9</v>
      </c>
      <c r="CP21" s="74"/>
      <c r="CQ21" s="196">
        <f>CQ18+CQ19+CQ20</f>
        <v>593.70000000000005</v>
      </c>
      <c r="CR21" s="196">
        <f>CR18+CR19+CR20</f>
        <v>610.9</v>
      </c>
      <c r="CS21" s="196">
        <f>CS18+CS19+CS20</f>
        <v>620.79999999999995</v>
      </c>
      <c r="CT21" s="196">
        <f>CT18+CT19+CT20</f>
        <v>663.7</v>
      </c>
      <c r="CU21" s="196">
        <f>SUM(CU18:CU20)</f>
        <v>2489.1</v>
      </c>
      <c r="CV21" s="74"/>
      <c r="CW21" s="196">
        <f>CW18+CW19+CW20</f>
        <v>674.7</v>
      </c>
      <c r="CX21" s="196">
        <f>CX18+CX19+CX20</f>
        <v>698.09999999999991</v>
      </c>
      <c r="CY21" s="196">
        <f>CY18+CY19+CY20</f>
        <v>665.5</v>
      </c>
      <c r="CZ21" s="196">
        <f>CZ18+CZ19+CZ20</f>
        <v>707.4</v>
      </c>
      <c r="DA21" s="196">
        <f>SUM(DA18:DA20)</f>
        <v>2745.7000000000003</v>
      </c>
      <c r="DB21" s="74"/>
      <c r="DC21" s="196">
        <f>DC18+DC19+DC20</f>
        <v>791.8</v>
      </c>
      <c r="DD21" s="196">
        <f>DD18+DD19+DD20</f>
        <v>805.59999999999991</v>
      </c>
      <c r="DE21" s="196">
        <f>DE18+DE19+DE20</f>
        <v>792.1</v>
      </c>
      <c r="DF21" s="196">
        <f>DF18+DF19+DF20</f>
        <v>669.40000000000009</v>
      </c>
      <c r="DG21" s="196">
        <f>SUM(DG18:DG20)</f>
        <v>3058.9</v>
      </c>
      <c r="DH21" s="74"/>
      <c r="DI21" s="196">
        <f>DI18+DI19+DI20</f>
        <v>946.40000000000009</v>
      </c>
      <c r="DJ21" s="196">
        <f>DJ18+DJ19+DJ20</f>
        <v>1011.1</v>
      </c>
      <c r="DK21" s="196">
        <f>DK18+DK19+DK20</f>
        <v>1055.2</v>
      </c>
      <c r="DL21" s="196">
        <f>DL18+DL19+DL20</f>
        <v>1186.6999999999998</v>
      </c>
      <c r="DM21" s="196">
        <f>SUM(DM18:DM20)</f>
        <v>4199.3999999999996</v>
      </c>
      <c r="DN21" s="74"/>
      <c r="DO21" s="196">
        <f>DO18+DO19+DO20</f>
        <v>1208.2</v>
      </c>
      <c r="DP21" s="196">
        <f>DP18+DP19+DP20</f>
        <v>1281</v>
      </c>
      <c r="DQ21" s="196">
        <f>DQ18+DQ19+DQ20</f>
        <v>1279.2</v>
      </c>
      <c r="DR21" s="196">
        <f>DR18+DR19+DR20</f>
        <v>1325.4</v>
      </c>
      <c r="DS21" s="196">
        <f>SUM(DS18:DS20)</f>
        <v>5093.8</v>
      </c>
      <c r="DT21" s="196"/>
      <c r="DU21" s="196">
        <f>DU18+DU19+DU20</f>
        <v>1305.2</v>
      </c>
      <c r="DV21" s="196">
        <f>DV18+DV19+DV20</f>
        <v>1377.6</v>
      </c>
      <c r="DW21" s="196">
        <f>DW18+DW19+DW20</f>
        <v>1352.2</v>
      </c>
      <c r="DX21" s="196">
        <f>DX18+DX19+DX20</f>
        <v>1434.4</v>
      </c>
      <c r="DY21" s="196">
        <f>SUM(DY18:DY20)</f>
        <v>5469.4</v>
      </c>
      <c r="DZ21" s="74"/>
      <c r="EA21" s="196">
        <f>EA18+EA19+EA20</f>
        <v>1441.8</v>
      </c>
      <c r="EB21" s="196">
        <f>EB18+EB19+EB20</f>
        <v>1465.4</v>
      </c>
      <c r="EC21" s="196">
        <f>EC18+EC19+EC20</f>
        <v>1411.9</v>
      </c>
      <c r="ED21" s="196">
        <f>ED18+ED19+ED20</f>
        <v>1637.5</v>
      </c>
      <c r="EE21" s="196">
        <f>SUM(EE18:EE20)</f>
        <v>5956.6</v>
      </c>
      <c r="EF21" s="74"/>
      <c r="EG21" s="196">
        <f>EG18+EG19+EG20</f>
        <v>1487.2</v>
      </c>
      <c r="EH21" s="196">
        <f>EH18+EH19+EH20</f>
        <v>1490.1980000000001</v>
      </c>
      <c r="EI21" s="196">
        <f>EI18+EI19+EI20</f>
        <v>1540.4349000000002</v>
      </c>
      <c r="EJ21" s="196">
        <f>EJ18+EJ19+EJ20</f>
        <v>1589.9698720000001</v>
      </c>
      <c r="EK21" s="196">
        <f>SUM(EK18:EK20)</f>
        <v>6107.8027720000009</v>
      </c>
      <c r="EL21" s="74"/>
      <c r="EN21" s="74"/>
      <c r="EO21" s="74"/>
      <c r="EP21" s="74"/>
      <c r="ET21" s="77">
        <v>558545</v>
      </c>
      <c r="EU21" s="77">
        <v>621631</v>
      </c>
      <c r="EV21" s="77">
        <v>561647</v>
      </c>
      <c r="EW21" s="77">
        <v>523814</v>
      </c>
      <c r="EX21" s="196">
        <f t="shared" ref="EX21:FE21" si="8">EX18+EX19+EX20</f>
        <v>526726</v>
      </c>
      <c r="EY21" s="196">
        <f t="shared" si="8"/>
        <v>525078</v>
      </c>
      <c r="EZ21" s="196">
        <f t="shared" si="8"/>
        <v>591366</v>
      </c>
      <c r="FA21" s="196">
        <f t="shared" si="8"/>
        <v>734957</v>
      </c>
      <c r="FB21" s="196">
        <f t="shared" si="8"/>
        <v>728469</v>
      </c>
      <c r="FC21" s="196">
        <f t="shared" si="8"/>
        <v>623405</v>
      </c>
      <c r="FD21" s="196">
        <f t="shared" si="8"/>
        <v>704500</v>
      </c>
      <c r="FE21" s="196">
        <f t="shared" si="8"/>
        <v>808200</v>
      </c>
      <c r="FF21" s="196">
        <f>SUM(FF18:FF20)</f>
        <v>848.40000000000009</v>
      </c>
      <c r="FG21" s="196">
        <f t="shared" ref="FG21:FP21" si="9">SUM(FG18:FG20)</f>
        <v>1129.3</v>
      </c>
      <c r="FH21" s="196">
        <f t="shared" si="9"/>
        <v>1314.1999999999998</v>
      </c>
      <c r="FI21" s="196">
        <f t="shared" si="9"/>
        <v>1330.6</v>
      </c>
      <c r="FJ21" s="196">
        <f t="shared" si="9"/>
        <v>1386.8</v>
      </c>
      <c r="FK21" s="196">
        <f t="shared" si="9"/>
        <v>1580.4999999999998</v>
      </c>
      <c r="FL21" s="196">
        <f t="shared" si="9"/>
        <v>2063.9</v>
      </c>
      <c r="FM21" s="196">
        <f t="shared" si="9"/>
        <v>2489.1</v>
      </c>
      <c r="FN21" s="196">
        <f t="shared" si="9"/>
        <v>2745.7000000000003</v>
      </c>
      <c r="FO21" s="196">
        <f t="shared" si="9"/>
        <v>3058.9</v>
      </c>
      <c r="FP21" s="196">
        <f t="shared" si="9"/>
        <v>4199.3999999999996</v>
      </c>
      <c r="FQ21" s="196">
        <f>SUM(FQ18:FQ20)</f>
        <v>5093.8</v>
      </c>
      <c r="FR21" s="196">
        <f>SUM(FR18:FR20)</f>
        <v>5469.4</v>
      </c>
      <c r="FS21" s="196">
        <f t="shared" ref="FS21:FX21" si="10">FS18+FS19+FS20</f>
        <v>5956.6</v>
      </c>
      <c r="FT21" s="196">
        <f t="shared" si="10"/>
        <v>6107.8027720000009</v>
      </c>
      <c r="FU21" s="196">
        <f t="shared" si="10"/>
        <v>6384.4147339600004</v>
      </c>
      <c r="FV21" s="196">
        <f>FV18+FV19+FV20</f>
        <v>6774.3507214588008</v>
      </c>
      <c r="FW21" s="196">
        <f t="shared" si="10"/>
        <v>7190.0200367661646</v>
      </c>
      <c r="FX21" s="196">
        <f t="shared" si="10"/>
        <v>7633.1771470892018</v>
      </c>
      <c r="FZ21" s="188">
        <f>(FX21/FQ21)^(1/7)-1</f>
        <v>5.9484918217087124E-2</v>
      </c>
      <c r="GA21" s="181"/>
      <c r="GF21" s="196">
        <f>SUM(GF18:GF20)</f>
        <v>5850</v>
      </c>
      <c r="GH21" s="196">
        <f>SUM(GH18:GH20)</f>
        <v>7633.1771470892018</v>
      </c>
      <c r="GK21" s="360"/>
      <c r="GL21" s="360"/>
      <c r="GM21" s="360"/>
      <c r="GN21" s="360"/>
    </row>
    <row r="22" spans="2:196" x14ac:dyDescent="0.25">
      <c r="B22" s="198"/>
      <c r="C22" s="74"/>
      <c r="D22" s="74"/>
      <c r="E22" s="199"/>
      <c r="F22" s="199"/>
      <c r="G22" s="199"/>
      <c r="H22" s="199"/>
      <c r="I22" s="199"/>
      <c r="J22" s="74"/>
      <c r="K22" s="199"/>
      <c r="L22" s="199"/>
      <c r="M22" s="199"/>
      <c r="N22" s="199"/>
      <c r="O22" s="199"/>
      <c r="P22" s="74"/>
      <c r="Q22" s="199"/>
      <c r="R22" s="199"/>
      <c r="S22" s="199"/>
      <c r="T22" s="199"/>
      <c r="U22" s="199"/>
      <c r="W22" s="199"/>
      <c r="X22" s="199"/>
      <c r="Y22" s="199"/>
      <c r="Z22" s="199"/>
      <c r="AA22" s="199"/>
      <c r="AC22" s="199"/>
      <c r="AD22" s="199"/>
      <c r="AE22" s="199"/>
      <c r="AF22" s="199"/>
      <c r="AG22" s="199"/>
      <c r="AI22" s="199"/>
      <c r="AJ22" s="199"/>
      <c r="AK22" s="199"/>
      <c r="AL22" s="199"/>
      <c r="AM22" s="199"/>
      <c r="AO22" s="199"/>
      <c r="AP22" s="199"/>
      <c r="AQ22" s="199"/>
      <c r="AR22" s="199"/>
      <c r="AS22" s="199"/>
      <c r="AT22" s="74"/>
      <c r="AU22" s="199"/>
      <c r="AV22" s="199"/>
      <c r="AW22" s="199"/>
      <c r="AX22" s="199"/>
      <c r="AY22" s="199"/>
      <c r="BA22" s="199"/>
      <c r="BB22" s="199"/>
      <c r="BC22" s="199"/>
      <c r="BD22" s="199"/>
      <c r="BE22" s="199"/>
      <c r="BF22" s="74"/>
      <c r="BG22" s="199"/>
      <c r="BH22" s="199"/>
      <c r="BI22" s="199"/>
      <c r="BJ22" s="199"/>
      <c r="BK22" s="199"/>
      <c r="BL22" s="74"/>
      <c r="BM22" s="199"/>
      <c r="BN22" s="199"/>
      <c r="BO22" s="199"/>
      <c r="BP22" s="199"/>
      <c r="BQ22" s="199"/>
      <c r="BR22" s="74"/>
      <c r="BS22" s="199"/>
      <c r="BT22" s="199"/>
      <c r="BU22" s="199"/>
      <c r="BV22" s="199"/>
      <c r="BW22" s="199"/>
      <c r="BX22" s="74"/>
      <c r="BY22" s="199"/>
      <c r="BZ22" s="199"/>
      <c r="CA22" s="199"/>
      <c r="CB22" s="199"/>
      <c r="CC22" s="199"/>
      <c r="CD22" s="74"/>
      <c r="CE22" s="199"/>
      <c r="CF22" s="199"/>
      <c r="CG22" s="199"/>
      <c r="CH22" s="199"/>
      <c r="CI22" s="199"/>
      <c r="CJ22" s="74"/>
      <c r="CK22" s="199"/>
      <c r="CL22" s="199"/>
      <c r="CM22" s="199"/>
      <c r="CN22" s="199"/>
      <c r="CO22" s="199"/>
      <c r="CP22" s="74"/>
      <c r="CQ22" s="199"/>
      <c r="CR22" s="199"/>
      <c r="CS22" s="199"/>
      <c r="CT22" s="199"/>
      <c r="CU22" s="199"/>
      <c r="CV22" s="74"/>
      <c r="CW22" s="199"/>
      <c r="CX22" s="199"/>
      <c r="CY22" s="199"/>
      <c r="CZ22" s="199"/>
      <c r="DA22" s="199"/>
      <c r="DB22" s="74"/>
      <c r="DC22" s="199"/>
      <c r="DD22" s="199"/>
      <c r="DE22" s="199"/>
      <c r="DF22" s="199"/>
      <c r="DG22" s="199"/>
      <c r="DH22" s="74"/>
      <c r="DI22" s="199"/>
      <c r="DJ22" s="199"/>
      <c r="DK22" s="199"/>
      <c r="DL22" s="199"/>
      <c r="DM22" s="199"/>
      <c r="DN22" s="199"/>
      <c r="DO22" s="199"/>
      <c r="DP22" s="199"/>
      <c r="DQ22" s="199"/>
      <c r="DR22" s="199"/>
      <c r="DS22" s="199"/>
      <c r="DT22" s="199"/>
      <c r="DU22" s="199"/>
      <c r="DV22" s="199"/>
      <c r="DW22" s="199"/>
      <c r="DX22" s="199"/>
      <c r="DY22" s="199"/>
      <c r="DZ22" s="74"/>
      <c r="EA22" s="199"/>
      <c r="EB22" s="199"/>
      <c r="EC22" s="199"/>
      <c r="ED22" s="199"/>
      <c r="EE22" s="199"/>
      <c r="EF22" s="74"/>
      <c r="EG22" s="199"/>
      <c r="EH22" s="199"/>
      <c r="EI22" s="199"/>
      <c r="EJ22" s="199"/>
      <c r="EK22" s="199"/>
      <c r="EL22" s="74"/>
      <c r="EN22" s="74"/>
      <c r="EO22" s="74"/>
      <c r="EP22" s="74"/>
      <c r="ET22" s="77"/>
      <c r="EU22" s="77"/>
      <c r="EV22" s="77"/>
      <c r="EW22" s="77"/>
      <c r="EX22" s="199"/>
      <c r="EY22" s="199"/>
      <c r="EZ22" s="199"/>
      <c r="FA22" s="199"/>
      <c r="FB22" s="199"/>
      <c r="FC22" s="199"/>
      <c r="FD22" s="199"/>
      <c r="FE22" s="199"/>
      <c r="FF22" s="199"/>
      <c r="FG22" s="199"/>
      <c r="FH22" s="199"/>
      <c r="FI22" s="199"/>
      <c r="FJ22" s="199"/>
      <c r="FK22" s="199"/>
      <c r="FL22" s="199"/>
      <c r="FM22" s="199"/>
      <c r="FN22" s="199"/>
      <c r="FQ22" s="184">
        <f>FQ21/FQ9</f>
        <v>0.18483589455159025</v>
      </c>
      <c r="FR22" s="184">
        <f t="shared" ref="FR22:FW22" si="11">FR21/FR9</f>
        <v>0.19351871180947461</v>
      </c>
      <c r="FS22" s="184">
        <f t="shared" si="11"/>
        <v>0.18234192094822943</v>
      </c>
      <c r="FT22" s="184">
        <f t="shared" si="11"/>
        <v>0.16212423507764528</v>
      </c>
      <c r="FU22" s="184">
        <f t="shared" si="11"/>
        <v>0.13297554170888867</v>
      </c>
      <c r="FV22" s="184">
        <f t="shared" si="11"/>
        <v>0.16404207754983721</v>
      </c>
      <c r="FW22" s="184">
        <f t="shared" ca="1" si="11"/>
        <v>0.3247891603282288</v>
      </c>
      <c r="FX22" s="184">
        <f>FX21/FX9</f>
        <v>0.29426280443674641</v>
      </c>
      <c r="GF22" s="74"/>
      <c r="GH22" s="74"/>
      <c r="GK22" s="360"/>
      <c r="GL22" s="360"/>
      <c r="GM22" s="360"/>
      <c r="GN22" s="360"/>
    </row>
    <row r="23" spans="2:196" x14ac:dyDescent="0.25">
      <c r="B23" s="74"/>
      <c r="BX23" s="74"/>
      <c r="CD23" s="74"/>
      <c r="CJ23" s="74"/>
      <c r="CP23" s="74"/>
      <c r="CV23" s="74"/>
      <c r="DB23" s="74"/>
      <c r="DH23" s="74"/>
      <c r="DN23" s="74"/>
      <c r="DZ23" s="74"/>
      <c r="EF23" s="74"/>
      <c r="EL23" s="74"/>
      <c r="EN23" s="74"/>
      <c r="EO23" s="74"/>
      <c r="EP23" s="74"/>
      <c r="ET23" s="137"/>
      <c r="EU23" s="137"/>
      <c r="EV23" s="137"/>
      <c r="EW23" s="137"/>
      <c r="GF23" s="74"/>
      <c r="GH23" s="74"/>
      <c r="GK23" s="360"/>
      <c r="GL23" s="385"/>
      <c r="GM23" s="360"/>
      <c r="GN23" s="360"/>
    </row>
    <row r="24" spans="2:196" x14ac:dyDescent="0.25">
      <c r="B24" s="169" t="s">
        <v>341</v>
      </c>
      <c r="C24" s="74"/>
      <c r="D24" s="74"/>
      <c r="E24" s="167">
        <f>E13-E21</f>
        <v>-418748.51500000001</v>
      </c>
      <c r="F24" s="167">
        <f>F13-F21</f>
        <v>-515128.74200000003</v>
      </c>
      <c r="G24" s="167">
        <f>G13-G21</f>
        <v>-546645.52799999993</v>
      </c>
      <c r="H24" s="167">
        <f>H13-H21</f>
        <v>-603475.83799999999</v>
      </c>
      <c r="I24" s="167">
        <f>I13-I21</f>
        <v>-2083998.6229999999</v>
      </c>
      <c r="J24" s="74"/>
      <c r="K24" s="167">
        <f>K13-K21</f>
        <v>-540141.32000000007</v>
      </c>
      <c r="L24" s="167">
        <f>L13-L21</f>
        <v>-600868.73499999999</v>
      </c>
      <c r="M24" s="167">
        <f>M13-M21</f>
        <v>-463593.84700000001</v>
      </c>
      <c r="N24" s="167">
        <f>N13-N21</f>
        <v>-472717.13099999999</v>
      </c>
      <c r="O24" s="167">
        <f>O13-O21</f>
        <v>-2077321.0330000001</v>
      </c>
      <c r="P24" s="74"/>
      <c r="Q24" s="167">
        <f>Q13-Q21</f>
        <v>-514417.61</v>
      </c>
      <c r="R24" s="167">
        <f>R13-R21</f>
        <v>-703232.24600000004</v>
      </c>
      <c r="S24" s="167">
        <f>S13-S21</f>
        <v>-718323.56700000004</v>
      </c>
      <c r="T24" s="167">
        <f>T13-T21</f>
        <v>-786880.473</v>
      </c>
      <c r="U24" s="167">
        <f>U13-U21</f>
        <v>-2722854.8960000002</v>
      </c>
      <c r="V24" s="74"/>
      <c r="W24" s="167">
        <f>W13-W21</f>
        <v>-762603.75699999998</v>
      </c>
      <c r="X24" s="167">
        <f>X13-X21</f>
        <v>-722731.77800000005</v>
      </c>
      <c r="Y24" s="167">
        <f>Y13-Y21</f>
        <v>-724598.62600000005</v>
      </c>
      <c r="Z24" s="167">
        <f>Z13-Z21</f>
        <v>-761989.11300000001</v>
      </c>
      <c r="AA24" s="167">
        <f>AA13-AA21</f>
        <v>-2979494.2740000002</v>
      </c>
      <c r="AB24" s="74"/>
      <c r="AC24" s="167">
        <f>AC13-AC21</f>
        <v>-730250.79200000002</v>
      </c>
      <c r="AD24" s="167">
        <f>AD13-AD21</f>
        <v>-692453.84299999999</v>
      </c>
      <c r="AE24" s="167">
        <f>AE13-AE21</f>
        <v>-612455.50699999998</v>
      </c>
      <c r="AF24" s="167">
        <f>AF13-AF21</f>
        <v>-628519.17999999993</v>
      </c>
      <c r="AG24" s="167">
        <f>AG13-AG21</f>
        <v>-2663679.3219999997</v>
      </c>
      <c r="AH24" s="74"/>
      <c r="AI24" s="167">
        <f>AI13-AI21</f>
        <v>-330389.375</v>
      </c>
      <c r="AJ24" s="167">
        <f>AJ13-AJ21</f>
        <v>-400753.4</v>
      </c>
      <c r="AK24" s="167">
        <f>AK13-AK21</f>
        <v>-516160.728</v>
      </c>
      <c r="AL24" s="167">
        <f>AL13-AL21</f>
        <v>-512176.43400000001</v>
      </c>
      <c r="AM24" s="167">
        <f>AM13-AM21</f>
        <v>-1759479.9369999999</v>
      </c>
      <c r="AN24" s="74"/>
      <c r="AO24" s="167">
        <f>AO13-AO21</f>
        <v>-604158.19999999995</v>
      </c>
      <c r="AP24" s="167">
        <f>AP13-AP21</f>
        <v>-775231.3</v>
      </c>
      <c r="AQ24" s="167">
        <f>AQ13-AQ21</f>
        <v>-847024</v>
      </c>
      <c r="AR24" s="167">
        <f>AR13-AR21</f>
        <v>-1026278.6</v>
      </c>
      <c r="AS24" s="167">
        <f>AS13-AS21</f>
        <v>-3252692.1</v>
      </c>
      <c r="AT24" s="74"/>
      <c r="AU24" s="167">
        <f>AU13-AU21</f>
        <v>-1000947.8</v>
      </c>
      <c r="AV24" s="167">
        <f>AV13-AV21</f>
        <v>-1033470.6</v>
      </c>
      <c r="AW24" s="167">
        <f>AW13-AW21</f>
        <v>-1049741.5</v>
      </c>
      <c r="AX24" s="167">
        <f>AX13-AX21</f>
        <v>-919989.1</v>
      </c>
      <c r="AY24" s="167">
        <f>AY13-AY21</f>
        <v>-4004149</v>
      </c>
      <c r="AZ24" s="74"/>
      <c r="BA24" s="167">
        <f>BA13-BA21</f>
        <v>322.90000000000009</v>
      </c>
      <c r="BB24" s="167">
        <f>BB13-BB21</f>
        <v>331.10000000000008</v>
      </c>
      <c r="BC24" s="167">
        <f>BC13-BC21</f>
        <v>317.5</v>
      </c>
      <c r="BD24" s="167">
        <f>BD13-BD21</f>
        <v>185.30000000000004</v>
      </c>
      <c r="BE24" s="167">
        <f>BE13-BE21</f>
        <v>1156.8000000000011</v>
      </c>
      <c r="BF24" s="74"/>
      <c r="BG24" s="167">
        <f>BG13-BG21</f>
        <v>107.49999999999991</v>
      </c>
      <c r="BH24" s="167">
        <f>BH13-BH21</f>
        <v>280.40000000000003</v>
      </c>
      <c r="BI24" s="167">
        <f>BI13-BI21</f>
        <v>286.20000000000005</v>
      </c>
      <c r="BJ24" s="167">
        <f>BJ13-BJ21</f>
        <v>553.80000000000018</v>
      </c>
      <c r="BK24" s="167">
        <f>BK13-BK21</f>
        <v>1227.9000000000003</v>
      </c>
      <c r="BL24" s="74"/>
      <c r="BM24" s="167">
        <f>BM13-BM21</f>
        <v>265.7</v>
      </c>
      <c r="BN24" s="167">
        <f>BN13-BN21</f>
        <v>425.39999999999992</v>
      </c>
      <c r="BO24" s="167">
        <f>BO13-BO21</f>
        <v>261.40000000000003</v>
      </c>
      <c r="BP24" s="167">
        <f>BP13-BP21</f>
        <v>329.7</v>
      </c>
      <c r="BQ24" s="167">
        <f>BQ13-BQ21</f>
        <v>1282.2000000000003</v>
      </c>
      <c r="BR24" s="199"/>
      <c r="BS24" s="167">
        <f>BS13-BS21</f>
        <v>455.70000000000016</v>
      </c>
      <c r="BT24" s="167">
        <f>BT13-BT21</f>
        <v>418.9</v>
      </c>
      <c r="BU24" s="167">
        <f>BU13-BU21</f>
        <v>372.39999999999981</v>
      </c>
      <c r="BV24" s="167">
        <f>BV13-BV21</f>
        <v>318.09999999999985</v>
      </c>
      <c r="BW24" s="167">
        <f>BW13-BW21</f>
        <v>1565.0999999999995</v>
      </c>
      <c r="BY24" s="167">
        <f>BY13-BY21</f>
        <v>227.99999999999977</v>
      </c>
      <c r="BZ24" s="167">
        <f>BZ13-BZ21</f>
        <v>404.20000000000005</v>
      </c>
      <c r="CA24" s="167">
        <f>CA13-CA21</f>
        <v>495.59999999999985</v>
      </c>
      <c r="CB24" s="167">
        <f>CB13-CB21</f>
        <v>529.89999999999986</v>
      </c>
      <c r="CC24" s="167">
        <f>CC13-CC21</f>
        <v>1657.6999999999991</v>
      </c>
      <c r="CE24" s="167">
        <f>CE13-CE21</f>
        <v>534.79999999999984</v>
      </c>
      <c r="CF24" s="167">
        <f>CF13-CF21</f>
        <v>555.7999999999995</v>
      </c>
      <c r="CG24" s="167">
        <f>CG13-CG21</f>
        <v>655.59999999999991</v>
      </c>
      <c r="CH24" s="167">
        <f>CH13-CH21</f>
        <v>750.00000000000023</v>
      </c>
      <c r="CI24" s="167">
        <f>CI13-CI21</f>
        <v>2496.1999999999989</v>
      </c>
      <c r="CK24" s="167">
        <f>CK13-CK21</f>
        <v>642.20000000000005</v>
      </c>
      <c r="CL24" s="167">
        <f>CL13-CL21</f>
        <v>689.40000000000009</v>
      </c>
      <c r="CM24" s="167">
        <f>CM13-CM21</f>
        <v>817.79999999999984</v>
      </c>
      <c r="CN24" s="167">
        <f>CN13-CN21</f>
        <v>815.90000000000009</v>
      </c>
      <c r="CO24" s="167">
        <f>CO13-CO21</f>
        <v>2965.3000000000006</v>
      </c>
      <c r="CQ24" s="167">
        <f>CQ13-CQ21</f>
        <v>334.29999999999995</v>
      </c>
      <c r="CR24" s="167">
        <f>CR13-CR21</f>
        <v>494.30000000000007</v>
      </c>
      <c r="CS24" s="167">
        <f>CS13-CS21</f>
        <v>685.60000000000014</v>
      </c>
      <c r="CT24" s="167">
        <f>CT13-CT21</f>
        <v>1276.3999999999994</v>
      </c>
      <c r="CU24" s="167">
        <f>CU13-CU21</f>
        <v>2790.6</v>
      </c>
      <c r="CW24" s="167">
        <f>CW13-CW21</f>
        <v>426.69999999999982</v>
      </c>
      <c r="CX24" s="167">
        <f>CX13-CX21</f>
        <v>905.09999999999991</v>
      </c>
      <c r="CY24" s="167">
        <f>CY13-CY21</f>
        <v>1215.9000000000001</v>
      </c>
      <c r="CZ24" s="167">
        <f>CZ13-CZ21</f>
        <v>1503.7000000000003</v>
      </c>
      <c r="DA24" s="167">
        <f>DA13-DA21</f>
        <v>4051.4</v>
      </c>
      <c r="DC24" s="167">
        <f>DC13-DC21</f>
        <v>1560.5999999999997</v>
      </c>
      <c r="DD24" s="167">
        <f>DD13-DD21</f>
        <v>1239</v>
      </c>
      <c r="DE24" s="167">
        <f>DE13-DE21</f>
        <v>1919.3000000000002</v>
      </c>
      <c r="DF24" s="167">
        <f>DF13-DF21</f>
        <v>2031.2000000000003</v>
      </c>
      <c r="DG24" s="167">
        <f>DG13-DG21</f>
        <v>6750.1</v>
      </c>
      <c r="DI24" s="167">
        <f>DI13-DI21</f>
        <v>784.59999999999945</v>
      </c>
      <c r="DJ24" s="167">
        <f>DJ13-DJ21</f>
        <v>1653.4</v>
      </c>
      <c r="DK24" s="167">
        <f>DK13-DK21</f>
        <v>1938.4999999999993</v>
      </c>
      <c r="DL24" s="167">
        <f>DL13-DL21</f>
        <v>2124.1999999999998</v>
      </c>
      <c r="DM24" s="167">
        <f>DM13-DM21</f>
        <v>6500.6999999999989</v>
      </c>
      <c r="DO24" s="167">
        <f>DO13-DO21</f>
        <v>2205.0000000000009</v>
      </c>
      <c r="DP24" s="167">
        <f>DP13-DP21</f>
        <v>2263</v>
      </c>
      <c r="DQ24" s="167">
        <f>DQ13-DQ21</f>
        <v>2182.3999999999996</v>
      </c>
      <c r="DR24" s="167">
        <f>DR13-DR21</f>
        <v>2391.9</v>
      </c>
      <c r="DS24" s="167">
        <f>DS13-DS21</f>
        <v>9042.2999999999993</v>
      </c>
      <c r="DT24" s="167"/>
      <c r="DU24" s="167">
        <f>DU13-DU21</f>
        <v>1391.3999999999999</v>
      </c>
      <c r="DV24" s="167">
        <f>DV13-DV21</f>
        <v>1834.5999999999995</v>
      </c>
      <c r="DW24" s="167">
        <f>DW13-DW21</f>
        <v>2441.1999999999998</v>
      </c>
      <c r="DX24" s="167">
        <f>DX13-DX21</f>
        <v>3355.3999999999992</v>
      </c>
      <c r="DY24" s="167">
        <f>DY13-DY21</f>
        <v>9022.5999999999985</v>
      </c>
      <c r="EA24" s="167">
        <f>EA13-EA21</f>
        <v>2737.8999999999996</v>
      </c>
      <c r="EB24" s="167">
        <f>EB13-EB21</f>
        <v>2664.1000000000008</v>
      </c>
      <c r="EC24" s="167">
        <f>EC13-EC21</f>
        <v>2468.4</v>
      </c>
      <c r="ED24" s="167">
        <f>ED13-ED21</f>
        <v>3470.1395199999997</v>
      </c>
      <c r="EE24" s="167">
        <f>EE13-EE21</f>
        <v>11340.53952</v>
      </c>
      <c r="EG24" s="167">
        <f>EG13-EG21</f>
        <v>3157.4000000000005</v>
      </c>
      <c r="EH24" s="167">
        <f>EH13-EH21</f>
        <v>2977.5019999999995</v>
      </c>
      <c r="EI24" s="167">
        <f>EI13-EI21</f>
        <v>3720.5650999999998</v>
      </c>
      <c r="EJ24" s="167">
        <f>EJ13-EJ21</f>
        <v>3829.8550979999977</v>
      </c>
      <c r="EK24" s="167">
        <f>EK13-EK21</f>
        <v>13685.322198000003</v>
      </c>
      <c r="ET24" s="87">
        <v>542269</v>
      </c>
      <c r="EU24" s="87">
        <v>-590618</v>
      </c>
      <c r="EV24" s="87">
        <v>-94043</v>
      </c>
      <c r="EW24" s="87">
        <v>-155032</v>
      </c>
      <c r="EX24" s="167">
        <f t="shared" ref="EX24:FS24" si="12">EX13-EX21</f>
        <v>-2083998.6229999999</v>
      </c>
      <c r="EY24" s="167">
        <f t="shared" si="12"/>
        <v>-2077321.0330000001</v>
      </c>
      <c r="EZ24" s="167">
        <f t="shared" si="12"/>
        <v>-2722854.8960000002</v>
      </c>
      <c r="FA24" s="167">
        <f t="shared" si="12"/>
        <v>-2979494.2740000002</v>
      </c>
      <c r="FB24" s="167">
        <f t="shared" si="12"/>
        <v>-2663679.3219999997</v>
      </c>
      <c r="FC24" s="167">
        <f t="shared" si="12"/>
        <v>-1759479.9369999999</v>
      </c>
      <c r="FD24" s="167">
        <f t="shared" si="12"/>
        <v>-3252692.1</v>
      </c>
      <c r="FE24" s="167">
        <f t="shared" si="12"/>
        <v>-4004149</v>
      </c>
      <c r="FF24" s="167">
        <f t="shared" si="12"/>
        <v>1156.8000000000011</v>
      </c>
      <c r="FG24" s="167">
        <f t="shared" si="12"/>
        <v>1227.9000000000003</v>
      </c>
      <c r="FH24" s="167">
        <f t="shared" si="12"/>
        <v>1282.2000000000003</v>
      </c>
      <c r="FI24" s="167">
        <f t="shared" si="12"/>
        <v>1565.0999999999995</v>
      </c>
      <c r="FJ24" s="167">
        <f t="shared" si="12"/>
        <v>1657.6999999999991</v>
      </c>
      <c r="FK24" s="167">
        <f t="shared" si="12"/>
        <v>2496.1999999999989</v>
      </c>
      <c r="FL24" s="167">
        <f t="shared" si="12"/>
        <v>2965.3000000000006</v>
      </c>
      <c r="FM24" s="167">
        <f t="shared" si="12"/>
        <v>2790.6</v>
      </c>
      <c r="FN24" s="167">
        <f t="shared" si="12"/>
        <v>4051.4</v>
      </c>
      <c r="FO24" s="167">
        <f t="shared" si="12"/>
        <v>6750.1</v>
      </c>
      <c r="FP24" s="167">
        <f t="shared" si="12"/>
        <v>6500.6999999999989</v>
      </c>
      <c r="FQ24" s="167">
        <f>FQ13-FQ21</f>
        <v>9042.2999999999993</v>
      </c>
      <c r="FR24" s="167">
        <f>FR13-FR21</f>
        <v>9022.5999999999985</v>
      </c>
      <c r="FS24" s="167">
        <f t="shared" si="12"/>
        <v>11340.53952</v>
      </c>
      <c r="FT24" s="167">
        <f>FT13-FT21</f>
        <v>13685.322197999996</v>
      </c>
      <c r="FU24" s="167">
        <f>FU13-FU21</f>
        <v>20269.464747040001</v>
      </c>
      <c r="FV24" s="167">
        <f>FV13-FV21</f>
        <v>15988.337325074195</v>
      </c>
      <c r="FW24" s="167">
        <f>FW13-FW21</f>
        <v>3539.5799632338358</v>
      </c>
      <c r="FX24" s="167">
        <f>FX13-FX21</f>
        <v>4982.4228529107986</v>
      </c>
      <c r="GF24" s="167">
        <f>GF13-GF21</f>
        <v>13400</v>
      </c>
      <c r="GH24" s="167">
        <f>GH13-GH21</f>
        <v>28655.55873617416</v>
      </c>
      <c r="GK24" s="360"/>
      <c r="GL24" s="360"/>
      <c r="GM24" s="360"/>
      <c r="GN24" s="360"/>
    </row>
    <row r="25" spans="2:196" x14ac:dyDescent="0.25">
      <c r="B25" s="236" t="s">
        <v>339</v>
      </c>
      <c r="C25" s="74"/>
      <c r="D25" s="74"/>
      <c r="E25" s="237">
        <f>E24/E$9</f>
        <v>-923.40102759738465</v>
      </c>
      <c r="F25" s="237">
        <f>F24/F$9</f>
        <v>-835.89785771543734</v>
      </c>
      <c r="G25" s="237">
        <f>G24/G$9</f>
        <v>-895.44733910809987</v>
      </c>
      <c r="H25" s="237">
        <f>H24/H$9</f>
        <v>-768.60041367259237</v>
      </c>
      <c r="I25" s="237">
        <f>I24/I$9</f>
        <v>-845.30626472137931</v>
      </c>
      <c r="J25" s="74"/>
      <c r="K25" s="237">
        <f>K24/K$9</f>
        <v>-788.89600981480419</v>
      </c>
      <c r="L25" s="237">
        <f>L24/L$9</f>
        <v>-787.23475463960744</v>
      </c>
      <c r="M25" s="237">
        <f>M24/M$9</f>
        <v>-869.53247379270113</v>
      </c>
      <c r="N25" s="237">
        <f>N24/N$9</f>
        <v>-862.82876198507302</v>
      </c>
      <c r="O25" s="237">
        <f>O24/O$9</f>
        <v>-821.41088950547794</v>
      </c>
      <c r="P25" s="125"/>
      <c r="Q25" s="237">
        <f>Q24/Q$9</f>
        <v>-817.3272692607128</v>
      </c>
      <c r="R25" s="237">
        <f>R24/R$9</f>
        <v>-746.72605160158605</v>
      </c>
      <c r="S25" s="237">
        <f>S24/S$9</f>
        <v>-749.47708081837754</v>
      </c>
      <c r="T25" s="237">
        <f>T24/T$9</f>
        <v>-737.1059214427363</v>
      </c>
      <c r="U25" s="237">
        <f>U24/U$9</f>
        <v>-756.95751248782358</v>
      </c>
      <c r="V25" s="74"/>
      <c r="W25" s="237">
        <f>W24/W$9</f>
        <v>-794.17788726395304</v>
      </c>
      <c r="X25" s="237">
        <f>X24/X$9</f>
        <v>-776.94547968119446</v>
      </c>
      <c r="Y25" s="237">
        <f>Y24/Y$9</f>
        <v>-775.49099825123562</v>
      </c>
      <c r="Z25" s="237">
        <f>Z24/Z$9</f>
        <v>-783.22468385331501</v>
      </c>
      <c r="AA25" s="237">
        <f>AA24/AA$9</f>
        <v>-784.54692992596108</v>
      </c>
      <c r="AB25" s="74"/>
      <c r="AC25" s="237">
        <f>AC24/AC$9</f>
        <v>-794.43476558080442</v>
      </c>
      <c r="AD25" s="237">
        <f>AD24/AD$9</f>
        <v>-820.29035238705592</v>
      </c>
      <c r="AE25" s="237">
        <f>AE24/AE$9</f>
        <v>-879.34194169934233</v>
      </c>
      <c r="AF25" s="237">
        <f>AF24/AF$9</f>
        <v>-1272.7697946620224</v>
      </c>
      <c r="AG25" s="237">
        <f>AG24/AG$9</f>
        <v>-901.81777499104487</v>
      </c>
      <c r="AH25" s="74"/>
      <c r="AI25" s="237">
        <f>AI24/AI$9</f>
        <v>-1799.2614023144997</v>
      </c>
      <c r="AJ25" s="237">
        <f>AJ24/AJ$9</f>
        <v>-1448.8553868402028</v>
      </c>
      <c r="AK25" s="237">
        <f>AK24/AK$9</f>
        <v>-929.56375974297293</v>
      </c>
      <c r="AL25" s="237">
        <f>AL24/AL$9</f>
        <v>-882.20190986037755</v>
      </c>
      <c r="AM25" s="237">
        <f>AM24/AM$9</f>
        <v>-1102.3875229235939</v>
      </c>
      <c r="AN25" s="74"/>
      <c r="AO25" s="237">
        <f>AO24/AO$9</f>
        <v>-814.44890806147191</v>
      </c>
      <c r="AP25" s="237">
        <f>AP24/AP$9</f>
        <v>-725.39655656404977</v>
      </c>
      <c r="AQ25" s="237">
        <f>AQ24/AQ$9</f>
        <v>-720.2585034013606</v>
      </c>
      <c r="AR25" s="237">
        <f>AR24/AR$9</f>
        <v>-674.56198238464572</v>
      </c>
      <c r="AS25" s="237">
        <f>AS24/AS$9</f>
        <v>-721.55373899154824</v>
      </c>
      <c r="AT25" s="74"/>
      <c r="AU25" s="237">
        <f>AU24/AU$9</f>
        <v>-689.26304916678146</v>
      </c>
      <c r="AV25" s="237">
        <f>AV24/AV$9</f>
        <v>-675.73597489211465</v>
      </c>
      <c r="AW25" s="237">
        <f>AW24/AW$9</f>
        <v>-719.74048680150838</v>
      </c>
      <c r="AX25" s="237">
        <f>AX24/AX$9</f>
        <v>-759.75646213560151</v>
      </c>
      <c r="AY25" s="237">
        <f>AY24/AY$9</f>
        <v>-708.57352680941426</v>
      </c>
      <c r="AZ25" s="74"/>
      <c r="BA25" s="237">
        <f>BA24/BA$9</f>
        <v>0.25792794951673464</v>
      </c>
      <c r="BB25" s="237">
        <f>BB24/BB$9</f>
        <v>0.26969129266107361</v>
      </c>
      <c r="BC25" s="237">
        <f>BC24/BC$9</f>
        <v>0.25838216145833337</v>
      </c>
      <c r="BD25" s="237">
        <f>BD24/BD$9</f>
        <v>0.18111621542371228</v>
      </c>
      <c r="BE25" s="237">
        <f>BE24/BE$9</f>
        <v>0.24448906266511694</v>
      </c>
      <c r="BF25" s="74"/>
      <c r="BG25" s="237">
        <f>BG24/BG$9</f>
        <v>0.12050218585360377</v>
      </c>
      <c r="BH25" s="237">
        <f>BH24/BH$9</f>
        <v>0.23008123410191189</v>
      </c>
      <c r="BI25" s="237">
        <f>BI24/BI$9</f>
        <v>0.20557391179428244</v>
      </c>
      <c r="BJ25" s="237">
        <f>BJ24/BJ$9</f>
        <v>0.28809238932528747</v>
      </c>
      <c r="BK25" s="237">
        <f>BK24/BK$9</f>
        <v>0.22632849796324633</v>
      </c>
      <c r="BL25" s="74"/>
      <c r="BM25" s="237">
        <f>BM24/BM$9</f>
        <v>0.19026136770497673</v>
      </c>
      <c r="BN25" s="237">
        <f>BN24/BN$9</f>
        <v>0.25882209783402282</v>
      </c>
      <c r="BO25" s="237">
        <f>BO24/BO$9</f>
        <v>0.19770080169414614</v>
      </c>
      <c r="BP25" s="237">
        <f>BP24/BP$9</f>
        <v>0.22068273092369478</v>
      </c>
      <c r="BQ25" s="237">
        <f>BQ24/BQ$9</f>
        <v>0.2189437016546284</v>
      </c>
      <c r="BR25" s="74"/>
      <c r="BS25" s="237">
        <f>BS24/BS$9</f>
        <v>0.27619855748833272</v>
      </c>
      <c r="BT25" s="237">
        <f>BT24/BT$9</f>
        <v>0.25324950123934464</v>
      </c>
      <c r="BU25" s="237">
        <f>BU24/BU$9</f>
        <v>0.24038213271365858</v>
      </c>
      <c r="BV25" s="237">
        <f>BV24/BV$9</f>
        <v>0.22179612327429918</v>
      </c>
      <c r="BW25" s="237">
        <f>BW24/BW$9</f>
        <v>0.24892642427712561</v>
      </c>
      <c r="BY25" s="237">
        <f>BY24/BY$9</f>
        <v>0.17101710171017087</v>
      </c>
      <c r="BZ25" s="237">
        <f>BZ24/BZ$9</f>
        <v>0.23235226488848013</v>
      </c>
      <c r="CA25" s="237">
        <f>CA24/CA$9</f>
        <v>0.27311804254381122</v>
      </c>
      <c r="CB25" s="237">
        <f>CB24/CB$9</f>
        <v>0.27781272936982276</v>
      </c>
      <c r="CC25" s="237">
        <f>CC24/CC$9</f>
        <v>0.24396597398010234</v>
      </c>
      <c r="CE25" s="237">
        <f>CE24/CE$9</f>
        <v>0.27515949783906146</v>
      </c>
      <c r="CF25" s="237">
        <f>CF24/CF$9</f>
        <v>0.26449033977348413</v>
      </c>
      <c r="CG25" s="237">
        <f>CG24/CG$9</f>
        <v>0.26787611342649337</v>
      </c>
      <c r="CH25" s="237">
        <f>CH24/CH$9</f>
        <v>0.29292298078425255</v>
      </c>
      <c r="CI25" s="237">
        <f>CI24/CI$9</f>
        <v>0.27573789324849762</v>
      </c>
      <c r="CK25" s="237">
        <f>CK24/CK$9</f>
        <v>0.28105032822757114</v>
      </c>
      <c r="CL25" s="237">
        <f>CL24/CL$9</f>
        <v>0.25156911399795651</v>
      </c>
      <c r="CM25" s="237">
        <f>CM24/CM$9</f>
        <v>0.29458592990166055</v>
      </c>
      <c r="CN25" s="237">
        <f>CN24/CN$9</f>
        <v>0.25963404932378681</v>
      </c>
      <c r="CO25" s="237">
        <f>CO24/CO$9</f>
        <v>0.27095211988304102</v>
      </c>
      <c r="CQ25" s="237">
        <f>CQ24/CQ$9</f>
        <v>0.149970840249428</v>
      </c>
      <c r="CR25" s="237">
        <f>CR24/CR$9</f>
        <v>0.19249191946726898</v>
      </c>
      <c r="CS25" s="237">
        <f>CS24/CS$9</f>
        <v>0.22956638205256993</v>
      </c>
      <c r="CT25" s="237">
        <f>CT24/CT$9</f>
        <v>0.31622237637498751</v>
      </c>
      <c r="CU25" s="237">
        <f>CU24/CU$9</f>
        <v>0.23609336796419597</v>
      </c>
      <c r="CW25" s="237">
        <f>CW24/CW$9</f>
        <v>0.17483405719904935</v>
      </c>
      <c r="CX25" s="237">
        <f>CX24/CX$9</f>
        <v>0.27215323089875815</v>
      </c>
      <c r="CY25" s="237">
        <f>CY24/CY$9</f>
        <v>0.30720060636685198</v>
      </c>
      <c r="CZ25" s="237">
        <f>CZ24/CZ$9</f>
        <v>0.3534707693754261</v>
      </c>
      <c r="DA25" s="237">
        <f>DA24/DA$9</f>
        <v>0.28983288502260635</v>
      </c>
      <c r="DC25" s="237">
        <f>DC24/DC$9</f>
        <v>0.35761589403973504</v>
      </c>
      <c r="DD25" s="237">
        <f>DD24/DD$9</f>
        <v>0.30819362220785035</v>
      </c>
      <c r="DE25" s="237">
        <f>DE24/DE$9</f>
        <v>0.36618777784137524</v>
      </c>
      <c r="DF25" s="237">
        <f>DF24/DF$9</f>
        <v>0.407413350449294</v>
      </c>
      <c r="DG25" s="237">
        <f>DG24/DG$9</f>
        <v>0.3626941056364516</v>
      </c>
      <c r="DI25" s="237">
        <f>DI24/DI$9</f>
        <v>0.22198958804889077</v>
      </c>
      <c r="DJ25" s="237">
        <f>DJ24/DJ$9</f>
        <v>0.30446551882883716</v>
      </c>
      <c r="DK25" s="237">
        <f>DK24/DK$9</f>
        <v>0.33547929321772835</v>
      </c>
      <c r="DL25" s="237">
        <f>DL24/DL$9</f>
        <v>0.33034742309725978</v>
      </c>
      <c r="DM25" s="237">
        <f>DM24/DM$9</f>
        <v>0.30702201819263791</v>
      </c>
      <c r="DO25" s="237">
        <f>DO24/DO$9</f>
        <v>0.32685067148913471</v>
      </c>
      <c r="DP25" s="237">
        <f>DP24/DP$9</f>
        <v>0.32786172725033685</v>
      </c>
      <c r="DQ25" s="237">
        <f>DQ24/DQ$9</f>
        <v>0.32704930316199604</v>
      </c>
      <c r="DR25" s="237">
        <f>DR24/DR$9</f>
        <v>0.33050987978444107</v>
      </c>
      <c r="DS25" s="237">
        <f>DS24/DS$9</f>
        <v>0.3281129234174574</v>
      </c>
      <c r="DT25" s="237"/>
      <c r="DU25" s="237">
        <f>DU24/DU$9</f>
        <v>0.26302457466918711</v>
      </c>
      <c r="DV25" s="237">
        <f>DV24/DV$9</f>
        <v>0.29387454347408209</v>
      </c>
      <c r="DW25" s="237">
        <f>DW24/DW$9</f>
        <v>0.32691869886036451</v>
      </c>
      <c r="DX25" s="237">
        <f>DX24/DX$9</f>
        <v>0.36224467763527224</v>
      </c>
      <c r="DY25" s="237">
        <f>DY24/DY$9</f>
        <v>0.31923829472559428</v>
      </c>
      <c r="EA25" s="237">
        <f>EA24/EA$9</f>
        <v>0.35366531034037324</v>
      </c>
      <c r="EB25" s="237">
        <f>EB24/EB$9</f>
        <v>0.34636036246863511</v>
      </c>
      <c r="EC25" s="237">
        <f>EC24/EC$9</f>
        <v>0.32841937200638638</v>
      </c>
      <c r="ED25" s="237">
        <f>ED24/ED$9</f>
        <v>0.35708371269808598</v>
      </c>
      <c r="EE25" s="237">
        <f>EE24/EE$9</f>
        <v>0.34715370524562866</v>
      </c>
      <c r="EG25" s="237">
        <f>EG24/EG$9</f>
        <v>0.36016654309017287</v>
      </c>
      <c r="EH25" s="237">
        <f>EH24/EH$9</f>
        <v>0.35704031465093405</v>
      </c>
      <c r="EI25" s="237">
        <f>EI24/EI$9</f>
        <v>0.36682919398570368</v>
      </c>
      <c r="EJ25" s="237">
        <f>EJ24/EJ$9</f>
        <v>0.36736532007314965</v>
      </c>
      <c r="EK25" s="237">
        <f>EK24/EK$9</f>
        <v>0.36326032060386071</v>
      </c>
      <c r="ET25" s="136">
        <v>0.20289714625668348</v>
      </c>
      <c r="EU25" s="136">
        <v>-0.3716338618226116</v>
      </c>
      <c r="EV25" s="136">
        <v>-4.8013654149342E-2</v>
      </c>
      <c r="EW25" s="136">
        <v>-0.10049152901628729</v>
      </c>
      <c r="EX25" s="237">
        <f t="shared" ref="EX25:FL25" si="13">EX24/EX$9</f>
        <v>-845.30626472137931</v>
      </c>
      <c r="EY25" s="237">
        <f t="shared" si="13"/>
        <v>-821.41088950547794</v>
      </c>
      <c r="EZ25" s="237">
        <f t="shared" si="13"/>
        <v>-756.95751248782358</v>
      </c>
      <c r="FA25" s="237">
        <f t="shared" si="13"/>
        <v>-784.54692992596108</v>
      </c>
      <c r="FB25" s="237">
        <f t="shared" si="13"/>
        <v>-901.81777499104487</v>
      </c>
      <c r="FC25" s="237">
        <f t="shared" si="13"/>
        <v>-1102.3875229235939</v>
      </c>
      <c r="FD25" s="237">
        <f t="shared" si="13"/>
        <v>-721.55373899154824</v>
      </c>
      <c r="FE25" s="237">
        <f t="shared" si="13"/>
        <v>-708.57352680941426</v>
      </c>
      <c r="FF25" s="237">
        <f t="shared" si="13"/>
        <v>0.24448906266511694</v>
      </c>
      <c r="FG25" s="237">
        <f t="shared" si="13"/>
        <v>0.22632849796324633</v>
      </c>
      <c r="FH25" s="237">
        <f t="shared" si="13"/>
        <v>0.2189437016546284</v>
      </c>
      <c r="FI25" s="237">
        <f t="shared" si="13"/>
        <v>0.24892642427712561</v>
      </c>
      <c r="FJ25" s="237">
        <f t="shared" si="13"/>
        <v>0.24396597398010234</v>
      </c>
      <c r="FK25" s="237">
        <f t="shared" si="13"/>
        <v>0.27573789324849762</v>
      </c>
      <c r="FL25" s="237">
        <f t="shared" si="13"/>
        <v>0.27095211988304102</v>
      </c>
      <c r="FM25" s="237">
        <f t="shared" ref="FM25:FX25" si="14">FM24/FM$9</f>
        <v>0.23609336796419597</v>
      </c>
      <c r="FN25" s="237">
        <f t="shared" si="14"/>
        <v>0.28983288502260635</v>
      </c>
      <c r="FO25" s="237">
        <f t="shared" si="14"/>
        <v>0.3626941056364516</v>
      </c>
      <c r="FP25" s="237">
        <f t="shared" si="14"/>
        <v>0.30702201819263791</v>
      </c>
      <c r="FQ25" s="237">
        <f>FQ24/FQ$9</f>
        <v>0.3281129234174574</v>
      </c>
      <c r="FR25" s="237">
        <f>FR24/FR$9</f>
        <v>0.31923829472559428</v>
      </c>
      <c r="FS25" s="237">
        <f t="shared" si="14"/>
        <v>0.34715370524562866</v>
      </c>
      <c r="FT25" s="237">
        <f t="shared" si="14"/>
        <v>0.36326032060386054</v>
      </c>
      <c r="FU25" s="237">
        <f t="shared" si="14"/>
        <v>0.42217543301969224</v>
      </c>
      <c r="FV25" s="237">
        <f>FV24/FV$9</f>
        <v>0.38716036107560547</v>
      </c>
      <c r="FW25" s="237">
        <f t="shared" ca="1" si="14"/>
        <v>0.15989068156900443</v>
      </c>
      <c r="FX25" s="237">
        <f t="shared" si="14"/>
        <v>0.19207489795338467</v>
      </c>
      <c r="GF25" s="237">
        <f>GF24/GF$9</f>
        <v>0.38285714285714284</v>
      </c>
      <c r="GH25" s="237">
        <f>GH24/GH$9</f>
        <v>0.47379261975433512</v>
      </c>
      <c r="GK25" s="360"/>
      <c r="GL25" s="360"/>
      <c r="GM25" s="360"/>
      <c r="GN25" s="360"/>
    </row>
    <row r="26" spans="2:196" hidden="1" x14ac:dyDescent="0.25">
      <c r="B26" s="168" t="s">
        <v>340</v>
      </c>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167">
        <f>BG15-(BG18+BG19)</f>
        <v>-247.4</v>
      </c>
      <c r="BH26" s="167">
        <f>BH15-(BH18+BH19)</f>
        <v>-267.89999999999998</v>
      </c>
      <c r="BI26" s="167">
        <f>BI15-(BI18+BI19)</f>
        <v>-335.3</v>
      </c>
      <c r="BJ26" s="167">
        <f>BJ15-(BJ18+BJ19)</f>
        <v>-343.1</v>
      </c>
      <c r="BK26" s="167">
        <f>BK15-(BK18+BK19)</f>
        <v>-1193.7</v>
      </c>
      <c r="BL26" s="74"/>
      <c r="BM26" s="167"/>
      <c r="BN26" s="167"/>
      <c r="BO26" s="167"/>
      <c r="BP26" s="167"/>
      <c r="BQ26" s="167"/>
      <c r="BR26" s="199"/>
      <c r="BS26" s="167"/>
      <c r="BT26" s="167"/>
      <c r="BU26" s="167"/>
      <c r="BV26" s="167"/>
      <c r="BW26" s="167"/>
      <c r="BY26" s="167"/>
      <c r="BZ26" s="167"/>
      <c r="CA26" s="167"/>
      <c r="CB26" s="167"/>
      <c r="CC26" s="167"/>
      <c r="CE26" s="167"/>
      <c r="CF26" s="167"/>
      <c r="CG26" s="167"/>
      <c r="CH26" s="167"/>
      <c r="CI26" s="167"/>
      <c r="CK26" s="167"/>
      <c r="CL26" s="167"/>
      <c r="CM26" s="167"/>
      <c r="CN26" s="167"/>
      <c r="CO26" s="167"/>
      <c r="CQ26" s="167"/>
      <c r="CR26" s="167"/>
      <c r="CS26" s="167"/>
      <c r="CT26" s="167"/>
      <c r="CU26" s="167"/>
      <c r="CW26" s="167"/>
      <c r="CX26" s="167"/>
      <c r="CY26" s="167"/>
      <c r="CZ26" s="167"/>
      <c r="DA26" s="167"/>
      <c r="DC26" s="167"/>
      <c r="DD26" s="167"/>
      <c r="DE26" s="167"/>
      <c r="DF26" s="167"/>
      <c r="DG26" s="167"/>
      <c r="DI26" s="167"/>
      <c r="DJ26" s="167"/>
      <c r="DK26" s="167"/>
      <c r="DL26" s="167"/>
      <c r="DM26" s="167"/>
      <c r="DO26" s="167"/>
      <c r="DP26" s="167"/>
      <c r="DQ26" s="167"/>
      <c r="DR26" s="167"/>
      <c r="DS26" s="167"/>
      <c r="DT26" s="167"/>
      <c r="DW26" s="167"/>
      <c r="DX26" s="167"/>
      <c r="GK26" s="360"/>
      <c r="GL26" s="360" t="e">
        <f>GL22/GL24*1000</f>
        <v>#DIV/0!</v>
      </c>
      <c r="GM26" s="360"/>
      <c r="GN26" s="360"/>
    </row>
    <row r="27" spans="2:196" hidden="1" x14ac:dyDescent="0.25">
      <c r="B27" s="238" t="s">
        <v>339</v>
      </c>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237">
        <f>BG26/BG$9</f>
        <v>-0.2773231700482009</v>
      </c>
      <c r="BH27" s="237">
        <f>BH26/BH$9</f>
        <v>-0.21982440305243289</v>
      </c>
      <c r="BI27" s="237">
        <f>BI26/BI$9</f>
        <v>-0.24084183306996121</v>
      </c>
      <c r="BJ27" s="237">
        <f>BJ26/BJ$9</f>
        <v>-0.17848410757946209</v>
      </c>
      <c r="BK27" s="237">
        <f>BK26/BK$9</f>
        <v>-0.22002469909498093</v>
      </c>
      <c r="BL27" s="74"/>
      <c r="BM27" s="204"/>
      <c r="BN27" s="204"/>
      <c r="BO27" s="204"/>
      <c r="BP27" s="204"/>
      <c r="BQ27" s="204"/>
      <c r="BR27" s="74"/>
      <c r="BS27" s="204"/>
      <c r="BT27" s="204"/>
      <c r="BU27" s="204"/>
      <c r="BV27" s="204"/>
      <c r="BW27" s="204"/>
      <c r="BY27" s="204"/>
      <c r="BZ27" s="204"/>
      <c r="CA27" s="204"/>
      <c r="CB27" s="204"/>
      <c r="CC27" s="204"/>
      <c r="CE27" s="204"/>
      <c r="CF27" s="204"/>
      <c r="CG27" s="204"/>
      <c r="CH27" s="204"/>
      <c r="CI27" s="204"/>
      <c r="CK27" s="204"/>
      <c r="CL27" s="204"/>
      <c r="CM27" s="204"/>
      <c r="CN27" s="204"/>
      <c r="CO27" s="204"/>
      <c r="CQ27" s="204"/>
      <c r="CR27" s="204"/>
      <c r="CS27" s="204"/>
      <c r="CT27" s="204"/>
      <c r="CU27" s="204"/>
      <c r="CW27" s="204"/>
      <c r="CX27" s="204"/>
      <c r="CY27" s="204"/>
      <c r="CZ27" s="204"/>
      <c r="DA27" s="204"/>
      <c r="DC27" s="204"/>
      <c r="DD27" s="204"/>
      <c r="DE27" s="204"/>
      <c r="DF27" s="204"/>
      <c r="DG27" s="204"/>
      <c r="DI27" s="204"/>
      <c r="DJ27" s="204"/>
      <c r="DK27" s="204"/>
      <c r="DL27" s="204"/>
      <c r="DM27" s="204"/>
      <c r="DO27" s="204"/>
      <c r="DP27" s="204"/>
      <c r="DQ27" s="204"/>
      <c r="DR27" s="204"/>
      <c r="DS27" s="204"/>
      <c r="DT27" s="204"/>
      <c r="DW27" s="204"/>
      <c r="DX27" s="204"/>
      <c r="GK27" s="360"/>
      <c r="GL27" s="360"/>
      <c r="GM27" s="360"/>
      <c r="GN27" s="360"/>
    </row>
    <row r="28" spans="2:196" x14ac:dyDescent="0.25">
      <c r="C28" s="74"/>
      <c r="D28" s="74"/>
      <c r="E28" s="188"/>
      <c r="F28" s="188"/>
      <c r="G28" s="188"/>
      <c r="H28" s="188"/>
      <c r="I28" s="188"/>
      <c r="J28" s="74"/>
      <c r="K28" s="74"/>
      <c r="L28" s="188"/>
      <c r="M28" s="188"/>
      <c r="N28" s="188"/>
      <c r="O28" s="188"/>
      <c r="P28" s="125"/>
      <c r="Q28" s="74"/>
      <c r="R28" s="188"/>
      <c r="S28" s="184"/>
      <c r="T28" s="188"/>
      <c r="U28" s="188"/>
      <c r="W28" s="74"/>
      <c r="X28" s="188"/>
      <c r="Y28" s="188"/>
      <c r="Z28" s="188"/>
      <c r="AA28" s="188"/>
      <c r="AC28" s="74"/>
      <c r="AD28" s="188"/>
      <c r="AE28" s="188"/>
      <c r="AF28" s="188"/>
      <c r="AG28" s="188"/>
      <c r="AI28" s="188"/>
      <c r="AJ28" s="188"/>
      <c r="AT28" s="74"/>
      <c r="BR28" s="74"/>
      <c r="ET28" s="114"/>
      <c r="EU28" s="114"/>
      <c r="EV28" s="114"/>
      <c r="EW28" s="114"/>
      <c r="GK28" s="360"/>
      <c r="GN28" s="360"/>
    </row>
    <row r="29" spans="2:196" x14ac:dyDescent="0.25">
      <c r="C29" s="74"/>
      <c r="D29" s="74"/>
      <c r="E29" s="188"/>
      <c r="F29" s="188"/>
      <c r="G29" s="188"/>
      <c r="H29" s="188"/>
      <c r="I29" s="188"/>
      <c r="J29" s="74"/>
      <c r="K29" s="74"/>
      <c r="L29" s="188"/>
      <c r="M29" s="188"/>
      <c r="N29" s="188"/>
      <c r="O29" s="188"/>
      <c r="P29" s="125"/>
      <c r="Q29" s="74"/>
      <c r="R29" s="188"/>
      <c r="S29" s="184"/>
      <c r="T29" s="188"/>
      <c r="U29" s="188"/>
      <c r="W29" s="74"/>
      <c r="X29" s="188"/>
      <c r="Y29" s="188"/>
      <c r="Z29" s="188"/>
      <c r="AA29" s="188"/>
      <c r="AC29" s="74"/>
      <c r="AD29" s="188"/>
      <c r="AE29" s="188"/>
      <c r="AF29" s="188"/>
      <c r="AG29" s="188"/>
      <c r="AI29" s="188"/>
      <c r="AJ29" s="188"/>
      <c r="AT29" s="74"/>
      <c r="BR29" s="74"/>
      <c r="ET29" s="114"/>
      <c r="EU29" s="114"/>
      <c r="EV29" s="114"/>
      <c r="EW29" s="114"/>
      <c r="GK29" s="360"/>
      <c r="GN29" s="360"/>
    </row>
    <row r="30" spans="2:196" x14ac:dyDescent="0.25">
      <c r="B30" s="200" t="s">
        <v>200</v>
      </c>
      <c r="E30" s="196">
        <f>-8457-F30</f>
        <v>-4058</v>
      </c>
      <c r="F30" s="196">
        <v>-4399</v>
      </c>
      <c r="G30" s="196">
        <v>-3051</v>
      </c>
      <c r="H30" s="196">
        <f>I30-G30-F30-E30</f>
        <v>-4565</v>
      </c>
      <c r="I30" s="196">
        <f>Financials!I187-Financials!I190+Financials!I191</f>
        <v>-16073</v>
      </c>
      <c r="J30" s="74"/>
      <c r="K30" s="196">
        <v>-4601</v>
      </c>
      <c r="L30" s="196">
        <v>-3799</v>
      </c>
      <c r="M30" s="196">
        <v>-3911</v>
      </c>
      <c r="N30" s="196">
        <f>O30-M30-L30-K30</f>
        <v>-37057</v>
      </c>
      <c r="O30" s="196">
        <f>Financials!O187-Financials!O190+Financials!O191</f>
        <v>-49368</v>
      </c>
      <c r="P30" s="125"/>
      <c r="Q30" s="196">
        <v>-4376</v>
      </c>
      <c r="R30" s="196">
        <v>-1888</v>
      </c>
      <c r="S30" s="196">
        <v>-365</v>
      </c>
      <c r="T30" s="196">
        <v>5775</v>
      </c>
      <c r="U30" s="196">
        <f>Financials!U187-Financials!U190+Financials!U191</f>
        <v>-854</v>
      </c>
      <c r="W30" s="196">
        <v>10260</v>
      </c>
      <c r="X30" s="196">
        <v>8170</v>
      </c>
      <c r="Y30" s="196">
        <v>9527</v>
      </c>
      <c r="Z30" s="196">
        <v>5494</v>
      </c>
      <c r="AA30" s="196">
        <f>Financials!AA187-Financials!AA190+Financials!AA191</f>
        <v>33451</v>
      </c>
      <c r="AC30" s="196">
        <v>4203</v>
      </c>
      <c r="AD30" s="196">
        <v>6372</v>
      </c>
      <c r="AE30" s="196">
        <v>7059</v>
      </c>
      <c r="AF30" s="196">
        <v>4965</v>
      </c>
      <c r="AG30" s="196">
        <f>Financials!AG187-Financials!AG190+Financials!AG191</f>
        <v>22599</v>
      </c>
      <c r="AI30" s="196">
        <v>-1031</v>
      </c>
      <c r="AJ30" s="196">
        <v>-238</v>
      </c>
      <c r="AK30" s="196">
        <v>-2383</v>
      </c>
      <c r="AL30" s="196">
        <v>-2885</v>
      </c>
      <c r="AM30" s="196">
        <f>Financials!AM187-Financials!AM190+Financials!AM191</f>
        <v>-6537</v>
      </c>
      <c r="AO30" s="196">
        <v>-2800</v>
      </c>
      <c r="AP30" s="196">
        <v>-2700</v>
      </c>
      <c r="AQ30" s="196">
        <v>-1600</v>
      </c>
      <c r="AR30" s="196">
        <v>-1100</v>
      </c>
      <c r="AS30" s="196">
        <f>Financials!AS187-Financials!AS190+Financials!AS191</f>
        <v>-8200</v>
      </c>
      <c r="AU30" s="196">
        <v>1900</v>
      </c>
      <c r="AV30" s="196">
        <v>1800</v>
      </c>
      <c r="AW30" s="196">
        <v>2200</v>
      </c>
      <c r="AX30" s="196">
        <v>1500</v>
      </c>
      <c r="AY30" s="196">
        <f>Financials!AY187-Financials!AY190+Financials!AY191</f>
        <v>7400</v>
      </c>
      <c r="BA30" s="196">
        <v>0.6</v>
      </c>
      <c r="BB30" s="196">
        <v>-0.9</v>
      </c>
      <c r="BC30" s="196">
        <v>-2.5</v>
      </c>
      <c r="BD30" s="196">
        <v>-3.4</v>
      </c>
      <c r="BE30" s="196">
        <f>Financials!BE187-Financials!BE190+Financials!BE191</f>
        <v>-6.2000000000043656</v>
      </c>
      <c r="BG30" s="196">
        <f>Financials!BG193</f>
        <v>-3.3</v>
      </c>
      <c r="BH30" s="196">
        <f>Financials!BH193</f>
        <v>-6</v>
      </c>
      <c r="BI30" s="196">
        <f>Financials!BI193</f>
        <v>-11.6</v>
      </c>
      <c r="BJ30" s="196">
        <f>Financials!BJ193</f>
        <v>-3.5</v>
      </c>
      <c r="BK30" s="196">
        <f>BH30+BJ30+BG30+BI30</f>
        <v>-24.4</v>
      </c>
      <c r="BM30" s="196">
        <f>BM193</f>
        <v>-2.6</v>
      </c>
      <c r="BN30" s="196">
        <f>BN193</f>
        <v>-1.4</v>
      </c>
      <c r="BO30" s="196">
        <f>BO193</f>
        <v>-2</v>
      </c>
      <c r="BP30" s="196">
        <f>BP193</f>
        <v>-2.6</v>
      </c>
      <c r="BQ30" s="196">
        <f>SUM(BM30:BP30)</f>
        <v>-8.6</v>
      </c>
      <c r="BR30" s="74"/>
      <c r="BS30" s="196">
        <f>BS193</f>
        <v>-3.5</v>
      </c>
      <c r="BT30" s="196">
        <f>BT193</f>
        <v>-4.2</v>
      </c>
      <c r="BU30" s="196">
        <f>BU193</f>
        <v>-4.2</v>
      </c>
      <c r="BV30" s="196">
        <f>BV193</f>
        <v>-4.5999999999999996</v>
      </c>
      <c r="BW30" s="196">
        <f>SUM(BS30:BV30)</f>
        <v>-16.5</v>
      </c>
      <c r="BY30" s="196">
        <f>BY193</f>
        <v>-3.6</v>
      </c>
      <c r="BZ30" s="196">
        <f>BZ193</f>
        <v>-3.6</v>
      </c>
      <c r="CA30" s="196">
        <f>CA193</f>
        <v>-33.9</v>
      </c>
      <c r="CB30" s="196">
        <f>CB193</f>
        <v>-74.8</v>
      </c>
      <c r="CC30" s="196">
        <f>SUM(BY30:CB30)</f>
        <v>-115.9</v>
      </c>
      <c r="CE30" s="196">
        <f>CE193</f>
        <v>-14.1</v>
      </c>
      <c r="CF30" s="196">
        <f>CF193</f>
        <v>-10.8</v>
      </c>
      <c r="CG30" s="196">
        <f>CG193</f>
        <v>-12.5</v>
      </c>
      <c r="CH30" s="196">
        <f>CH193</f>
        <v>-12.9</v>
      </c>
      <c r="CI30" s="196">
        <f>SUM(CE30:CH30)</f>
        <v>-50.3</v>
      </c>
      <c r="CK30" s="196">
        <f>CK193</f>
        <v>-10.5</v>
      </c>
      <c r="CL30" s="196">
        <f>CL193</f>
        <v>-2.2000000000000002</v>
      </c>
      <c r="CM30" s="196">
        <f>CM193</f>
        <v>-8.1</v>
      </c>
      <c r="CN30" s="196">
        <f>CN193</f>
        <v>-7.5</v>
      </c>
      <c r="CO30" s="196">
        <f>SUM(CK30:CN30)</f>
        <v>-28.299999999999997</v>
      </c>
      <c r="CQ30" s="196">
        <f>CQ193</f>
        <v>-7.9</v>
      </c>
      <c r="CR30" s="196">
        <f>CR193</f>
        <v>-6.9</v>
      </c>
      <c r="CS30" s="196">
        <f>CS193</f>
        <v>-5.4</v>
      </c>
      <c r="CT30" s="196">
        <f>CT193</f>
        <v>-4.8</v>
      </c>
      <c r="CU30" s="196">
        <f>SUM(CQ30:CT30)</f>
        <v>-25.000000000000004</v>
      </c>
      <c r="CW30" s="196">
        <f>CW193</f>
        <v>-11.4</v>
      </c>
      <c r="CX30" s="196">
        <f>CX193</f>
        <v>-7.1</v>
      </c>
      <c r="CY30" s="196">
        <f>CY193</f>
        <v>-8.4</v>
      </c>
      <c r="CZ30" s="196">
        <f>CZ193</f>
        <v>-8</v>
      </c>
      <c r="DA30" s="196">
        <f>SUM(CW30:CZ30)</f>
        <v>-34.9</v>
      </c>
      <c r="DC30" s="196">
        <f>DC193</f>
        <v>-12.1</v>
      </c>
      <c r="DD30" s="196">
        <f>DD193</f>
        <v>-9.8000000000000007</v>
      </c>
      <c r="DE30" s="196">
        <f>DE193</f>
        <v>-10.5</v>
      </c>
      <c r="DF30" s="196">
        <f>DF193</f>
        <v>-12.2</v>
      </c>
      <c r="DG30" s="196">
        <f>SUM(DC30:DF30)</f>
        <v>-44.599999999999994</v>
      </c>
      <c r="DI30" s="196">
        <f>DI193</f>
        <v>-15.6</v>
      </c>
      <c r="DJ30" s="196">
        <f>DJ193</f>
        <v>-10.8</v>
      </c>
      <c r="DK30" s="196">
        <f>DK193</f>
        <v>-15.1</v>
      </c>
      <c r="DL30" s="196">
        <f>DL193</f>
        <v>-3.1</v>
      </c>
      <c r="DM30" s="196">
        <f>SUM(DI30:DL30)</f>
        <v>-44.6</v>
      </c>
      <c r="DO30" s="196">
        <f>DO193</f>
        <v>12.2</v>
      </c>
      <c r="DP30" s="196">
        <f>DP193</f>
        <v>16.7</v>
      </c>
      <c r="DQ30" s="196">
        <f>DQ193</f>
        <v>7.1</v>
      </c>
      <c r="DR30" s="196">
        <f>DR193</f>
        <v>5.2</v>
      </c>
      <c r="DS30" s="196">
        <f>SUM(DO30:DR30)</f>
        <v>41.2</v>
      </c>
      <c r="DT30" s="196"/>
      <c r="DU30" s="249">
        <f>DU193</f>
        <v>26.2</v>
      </c>
      <c r="DV30" s="249">
        <f>DV193</f>
        <v>-11.9</v>
      </c>
      <c r="DW30" s="196">
        <f>DW193</f>
        <v>-0.8</v>
      </c>
      <c r="DX30" s="196">
        <f>DX193</f>
        <v>6.3</v>
      </c>
      <c r="DY30" s="249">
        <f>SUM(DU30:DX30)</f>
        <v>19.799999999999997</v>
      </c>
      <c r="EA30" s="249">
        <f>EA193</f>
        <v>49.2</v>
      </c>
      <c r="EB30" s="249">
        <f>EB193</f>
        <v>24.8</v>
      </c>
      <c r="EC30" s="249">
        <f>EC193</f>
        <v>19.399999999999999</v>
      </c>
      <c r="ED30" s="249">
        <f>ED193</f>
        <v>11.2</v>
      </c>
      <c r="EE30" s="249">
        <f>SUM(EA30:ED30)</f>
        <v>104.60000000000001</v>
      </c>
      <c r="EG30" s="249">
        <f>EG193</f>
        <v>40.9</v>
      </c>
      <c r="EH30" s="249">
        <f>EH193</f>
        <v>34.248719999999999</v>
      </c>
      <c r="EI30" s="249">
        <f>EI193</f>
        <v>-16.129329105140414</v>
      </c>
      <c r="EJ30" s="249">
        <f>EJ193</f>
        <v>-35.748106628707518</v>
      </c>
      <c r="EK30" s="249">
        <f>SUM(EG30:EJ30)</f>
        <v>23.271284266152065</v>
      </c>
      <c r="ET30" s="166">
        <f>12593-3205</f>
        <v>9388</v>
      </c>
      <c r="EU30" s="166">
        <f>-7207+3606</f>
        <v>-3601</v>
      </c>
      <c r="EV30" s="166">
        <f>23700-60481</f>
        <v>-36781</v>
      </c>
      <c r="EW30" s="166">
        <f>25413-54562</f>
        <v>-29149</v>
      </c>
      <c r="EX30" s="196">
        <f>I30</f>
        <v>-16073</v>
      </c>
      <c r="EY30" s="196">
        <f>O30</f>
        <v>-49368</v>
      </c>
      <c r="EZ30" s="196">
        <f>U30</f>
        <v>-854</v>
      </c>
      <c r="FA30" s="196">
        <f>AA30</f>
        <v>33451</v>
      </c>
      <c r="FB30" s="196">
        <f>AG30</f>
        <v>22599</v>
      </c>
      <c r="FC30" s="196">
        <f>AM30</f>
        <v>-6537</v>
      </c>
      <c r="FD30" s="196">
        <f>AS30</f>
        <v>-8200</v>
      </c>
      <c r="FE30" s="196">
        <f>AY30</f>
        <v>7400</v>
      </c>
      <c r="FF30" s="196">
        <f>BE30</f>
        <v>-6.2000000000043656</v>
      </c>
      <c r="FG30" s="196">
        <f>BK30</f>
        <v>-24.4</v>
      </c>
      <c r="FH30" s="196">
        <f>BQ30</f>
        <v>-8.6</v>
      </c>
      <c r="FI30" s="196">
        <f>BW30</f>
        <v>-16.5</v>
      </c>
      <c r="FJ30" s="196">
        <f>CC30</f>
        <v>-115.9</v>
      </c>
      <c r="FK30" s="196">
        <f>CI30</f>
        <v>-50.3</v>
      </c>
      <c r="FL30" s="196">
        <f>CO30</f>
        <v>-28.299999999999997</v>
      </c>
      <c r="FM30" s="77">
        <f>CU30</f>
        <v>-25.000000000000004</v>
      </c>
      <c r="FN30" s="77">
        <f>DA30</f>
        <v>-34.9</v>
      </c>
      <c r="FO30" s="77">
        <f>DG30</f>
        <v>-44.599999999999994</v>
      </c>
      <c r="FP30" s="77">
        <f>DM30</f>
        <v>-44.6</v>
      </c>
      <c r="FQ30" s="77">
        <f>DS30</f>
        <v>41.2</v>
      </c>
      <c r="FR30" s="77">
        <f>DY30</f>
        <v>19.799999999999997</v>
      </c>
      <c r="FS30" s="77">
        <f>EE30</f>
        <v>104.60000000000001</v>
      </c>
      <c r="FT30" s="77">
        <f>EK30</f>
        <v>23.271284266152065</v>
      </c>
      <c r="FU30" s="196">
        <f>FU193</f>
        <v>49.840278976860759</v>
      </c>
      <c r="FV30" s="196">
        <f>FV193</f>
        <v>238.7275654277675</v>
      </c>
      <c r="FW30" s="196">
        <f>FW193</f>
        <v>739.87378583886812</v>
      </c>
      <c r="FX30" s="196">
        <f ca="1">FX193</f>
        <v>813.64461853661555</v>
      </c>
      <c r="GF30" s="191">
        <f>EE30</f>
        <v>104.60000000000001</v>
      </c>
      <c r="GH30" s="191">
        <f ca="1">FX30</f>
        <v>813.64461853661555</v>
      </c>
      <c r="GK30" s="360"/>
      <c r="GN30" s="360"/>
    </row>
    <row r="31" spans="2:196" x14ac:dyDescent="0.25">
      <c r="ET31" s="87"/>
      <c r="EU31" s="87"/>
      <c r="EV31" s="87"/>
      <c r="EW31" s="87"/>
      <c r="FP31" s="74"/>
      <c r="FQ31" s="74"/>
    </row>
    <row r="32" spans="2:196" x14ac:dyDescent="0.25">
      <c r="B32" s="74" t="s">
        <v>338</v>
      </c>
      <c r="C32" s="74"/>
      <c r="D32" s="74"/>
      <c r="E32" s="87">
        <f>E24+E30</f>
        <v>-422806.51500000001</v>
      </c>
      <c r="F32" s="87">
        <f>F24+F30</f>
        <v>-519527.74200000003</v>
      </c>
      <c r="G32" s="87">
        <f>G24+G30</f>
        <v>-549696.52799999993</v>
      </c>
      <c r="H32" s="87">
        <f>H24+H30</f>
        <v>-608040.83799999999</v>
      </c>
      <c r="I32" s="87">
        <f>I24+I30</f>
        <v>-2100071.6229999997</v>
      </c>
      <c r="J32" s="74"/>
      <c r="K32" s="87">
        <f>K24+K30</f>
        <v>-544742.32000000007</v>
      </c>
      <c r="L32" s="87">
        <f>L24+L30</f>
        <v>-604667.73499999999</v>
      </c>
      <c r="M32" s="87">
        <f>M24+M30</f>
        <v>-467504.84700000001</v>
      </c>
      <c r="N32" s="87">
        <f>N24+N30</f>
        <v>-509774.13099999999</v>
      </c>
      <c r="O32" s="87">
        <f>O24+O30</f>
        <v>-2126689.0329999998</v>
      </c>
      <c r="P32" s="74"/>
      <c r="Q32" s="87">
        <f>Q24+Q30</f>
        <v>-518793.61</v>
      </c>
      <c r="R32" s="87">
        <f>R24+R30</f>
        <v>-705120.24600000004</v>
      </c>
      <c r="S32" s="87">
        <f>S24+S30</f>
        <v>-718688.56700000004</v>
      </c>
      <c r="T32" s="87">
        <f>T24+T30</f>
        <v>-781105.473</v>
      </c>
      <c r="U32" s="87">
        <f>U24+U30</f>
        <v>-2723708.8960000002</v>
      </c>
      <c r="W32" s="87">
        <f>W24+W30</f>
        <v>-752343.75699999998</v>
      </c>
      <c r="X32" s="87">
        <f>X24+X30</f>
        <v>-714561.77800000005</v>
      </c>
      <c r="Y32" s="87">
        <f>Y24+Y30</f>
        <v>-715071.62600000005</v>
      </c>
      <c r="Z32" s="87">
        <f>Z24+Z30</f>
        <v>-756495.11300000001</v>
      </c>
      <c r="AA32" s="87">
        <f>AA24+AA30</f>
        <v>-2946043.2740000002</v>
      </c>
      <c r="AC32" s="87">
        <f>AC24+AC30</f>
        <v>-726047.79200000002</v>
      </c>
      <c r="AD32" s="87">
        <f>AD24+AD30</f>
        <v>-686081.84299999999</v>
      </c>
      <c r="AE32" s="87">
        <f>AE24+AE30</f>
        <v>-605396.50699999998</v>
      </c>
      <c r="AF32" s="87">
        <f>AF24+AF30</f>
        <v>-623554.17999999993</v>
      </c>
      <c r="AG32" s="87">
        <f>AG24+AG30</f>
        <v>-2641080.3219999997</v>
      </c>
      <c r="AI32" s="87">
        <f>AI24+AI30</f>
        <v>-331420.375</v>
      </c>
      <c r="AJ32" s="87">
        <f>AJ24+AJ30</f>
        <v>-400991.4</v>
      </c>
      <c r="AK32" s="87">
        <f>AK24+AK30</f>
        <v>-518543.728</v>
      </c>
      <c r="AL32" s="87">
        <f>AL24+AL30</f>
        <v>-515061.43400000001</v>
      </c>
      <c r="AM32" s="87">
        <f>AM24+AM30</f>
        <v>-1766016.9369999999</v>
      </c>
      <c r="AO32" s="87">
        <f>AO24+AO30</f>
        <v>-606958.19999999995</v>
      </c>
      <c r="AP32" s="87">
        <f>AP24+AP30</f>
        <v>-777931.3</v>
      </c>
      <c r="AQ32" s="87">
        <f>AQ24+AQ30</f>
        <v>-848624</v>
      </c>
      <c r="AR32" s="87">
        <f>AR24+AR30</f>
        <v>-1027378.6</v>
      </c>
      <c r="AS32" s="87">
        <f>AS24+AS30</f>
        <v>-3260892.1</v>
      </c>
      <c r="AU32" s="87">
        <f>AU24+AU30</f>
        <v>-999047.8</v>
      </c>
      <c r="AV32" s="87">
        <f>AV24+AV30</f>
        <v>-1031670.6</v>
      </c>
      <c r="AW32" s="87">
        <f>AW24+AW30</f>
        <v>-1047541.5</v>
      </c>
      <c r="AX32" s="87">
        <f>AX24+AX30</f>
        <v>-918489.1</v>
      </c>
      <c r="AY32" s="87">
        <f>AY24+AY30</f>
        <v>-3996749</v>
      </c>
      <c r="BA32" s="87">
        <f>BA24+BA30</f>
        <v>323.50000000000011</v>
      </c>
      <c r="BB32" s="87">
        <f>BB24+BB30</f>
        <v>330.2000000000001</v>
      </c>
      <c r="BC32" s="87">
        <f>BC24+BC30</f>
        <v>315</v>
      </c>
      <c r="BD32" s="87">
        <f>BD24+BD30</f>
        <v>181.90000000000003</v>
      </c>
      <c r="BE32" s="87">
        <f>BE24+BE30</f>
        <v>1150.5999999999967</v>
      </c>
      <c r="BG32" s="87">
        <f>BG24+BG30</f>
        <v>104.19999999999992</v>
      </c>
      <c r="BH32" s="87">
        <f>BH24+BH30</f>
        <v>274.40000000000003</v>
      </c>
      <c r="BI32" s="87">
        <f>BI24+BI30</f>
        <v>274.60000000000002</v>
      </c>
      <c r="BJ32" s="87">
        <f>BJ24+BJ30</f>
        <v>550.30000000000018</v>
      </c>
      <c r="BK32" s="87">
        <f>BK24+BK30</f>
        <v>1203.5000000000002</v>
      </c>
      <c r="BM32" s="87">
        <f>BM24+BM30</f>
        <v>263.09999999999997</v>
      </c>
      <c r="BN32" s="87">
        <f>BN24+BN30</f>
        <v>423.99999999999994</v>
      </c>
      <c r="BO32" s="87">
        <f>BO24+BO30</f>
        <v>259.40000000000003</v>
      </c>
      <c r="BP32" s="87">
        <f>BP24+BP30</f>
        <v>327.09999999999997</v>
      </c>
      <c r="BQ32" s="87">
        <f>BQ24+BQ30</f>
        <v>1273.6000000000004</v>
      </c>
      <c r="BS32" s="87">
        <f>BS24+BS30</f>
        <v>452.20000000000016</v>
      </c>
      <c r="BT32" s="87">
        <f>BT24+BT30</f>
        <v>414.7</v>
      </c>
      <c r="BU32" s="87">
        <f>BU24+BU30</f>
        <v>368.19999999999982</v>
      </c>
      <c r="BV32" s="87">
        <f>BV24+BV30</f>
        <v>313.49999999999983</v>
      </c>
      <c r="BW32" s="87">
        <f>BW24+BW30</f>
        <v>1548.5999999999995</v>
      </c>
      <c r="BY32" s="87">
        <f>BY24+BY30</f>
        <v>224.39999999999978</v>
      </c>
      <c r="BZ32" s="87">
        <f>BZ24+BZ30</f>
        <v>400.6</v>
      </c>
      <c r="CA32" s="87">
        <f>CA24+CA30</f>
        <v>461.69999999999987</v>
      </c>
      <c r="CB32" s="87">
        <f>CB24+CB30</f>
        <v>455.09999999999985</v>
      </c>
      <c r="CC32" s="87">
        <f>CC24+CC30</f>
        <v>1541.799999999999</v>
      </c>
      <c r="CE32" s="87">
        <f>CE24+CE30</f>
        <v>520.69999999999982</v>
      </c>
      <c r="CF32" s="87">
        <f>CF24+CF30</f>
        <v>544.99999999999955</v>
      </c>
      <c r="CG32" s="87">
        <f>CG24+CG30</f>
        <v>643.09999999999991</v>
      </c>
      <c r="CH32" s="87">
        <f>CH24+CH30</f>
        <v>737.10000000000025</v>
      </c>
      <c r="CI32" s="87">
        <f>CI24+CI30</f>
        <v>2445.8999999999987</v>
      </c>
      <c r="CK32" s="87">
        <f>CK24+CK30</f>
        <v>631.70000000000005</v>
      </c>
      <c r="CL32" s="87">
        <f>CL24+CL30</f>
        <v>687.2</v>
      </c>
      <c r="CM32" s="87">
        <f>CM24+CM30</f>
        <v>809.69999999999982</v>
      </c>
      <c r="CN32" s="87">
        <f>CN24+CN30</f>
        <v>808.40000000000009</v>
      </c>
      <c r="CO32" s="87">
        <f>CO24+CO30</f>
        <v>2937.0000000000005</v>
      </c>
      <c r="CQ32" s="87">
        <f>CQ24+CQ30</f>
        <v>326.39999999999998</v>
      </c>
      <c r="CR32" s="87">
        <f>CR24+CR30</f>
        <v>487.40000000000009</v>
      </c>
      <c r="CS32" s="87">
        <f>CS24+CS30</f>
        <v>680.20000000000016</v>
      </c>
      <c r="CT32" s="87">
        <f>CT24+CT30</f>
        <v>1271.5999999999995</v>
      </c>
      <c r="CU32" s="87">
        <f>CU24+CU30</f>
        <v>2765.6</v>
      </c>
      <c r="CW32" s="87">
        <f>CW24+CW30</f>
        <v>415.29999999999984</v>
      </c>
      <c r="CX32" s="87">
        <f>CX24+CX30</f>
        <v>897.99999999999989</v>
      </c>
      <c r="CY32" s="87">
        <f>CY24+CY30</f>
        <v>1207.5</v>
      </c>
      <c r="CZ32" s="87">
        <f>CZ24+CZ30</f>
        <v>1495.7000000000003</v>
      </c>
      <c r="DA32" s="87">
        <f>DA24+DA30</f>
        <v>4016.5</v>
      </c>
      <c r="DC32" s="87">
        <f>DC24+DC30</f>
        <v>1548.4999999999998</v>
      </c>
      <c r="DD32" s="87">
        <f>DD24+DD30</f>
        <v>1229.2</v>
      </c>
      <c r="DE32" s="87">
        <f>DE24+DE30</f>
        <v>1908.8000000000002</v>
      </c>
      <c r="DF32" s="87">
        <f>DF24+DF30</f>
        <v>2019.0000000000002</v>
      </c>
      <c r="DG32" s="87">
        <f>DG24+DG30</f>
        <v>6705.5</v>
      </c>
      <c r="DI32" s="87">
        <f>DI24+DI30</f>
        <v>768.99999999999943</v>
      </c>
      <c r="DJ32" s="87">
        <f>DJ24+DJ30</f>
        <v>1642.6000000000001</v>
      </c>
      <c r="DK32" s="87">
        <f>DK24+DK30</f>
        <v>1923.3999999999994</v>
      </c>
      <c r="DL32" s="87">
        <f>DL24+DL30</f>
        <v>2121.1</v>
      </c>
      <c r="DM32" s="87">
        <f>DM24+DM30</f>
        <v>6456.0999999999985</v>
      </c>
      <c r="DO32" s="87">
        <f>DO24+DO30</f>
        <v>2217.2000000000007</v>
      </c>
      <c r="DP32" s="87">
        <f>DP24+DP30</f>
        <v>2279.6999999999998</v>
      </c>
      <c r="DQ32" s="87">
        <f>DQ24+DQ30</f>
        <v>2189.4999999999995</v>
      </c>
      <c r="DR32" s="87">
        <f>DR24+DR30</f>
        <v>2397.1</v>
      </c>
      <c r="DS32" s="87">
        <f>DS24+DS30</f>
        <v>9083.5</v>
      </c>
      <c r="DT32" s="87"/>
      <c r="DU32" s="87">
        <f>DU24+DU30</f>
        <v>1417.6</v>
      </c>
      <c r="DV32" s="87">
        <f>DV24+DV30</f>
        <v>1822.6999999999994</v>
      </c>
      <c r="DW32" s="87">
        <f>DW24+DW30</f>
        <v>2440.3999999999996</v>
      </c>
      <c r="DX32" s="87">
        <f>DX24+DX30</f>
        <v>3361.6999999999994</v>
      </c>
      <c r="DY32" s="87">
        <f>DY24+DY30</f>
        <v>9042.3999999999978</v>
      </c>
      <c r="EA32" s="87">
        <f>EA24+EA30</f>
        <v>2787.0999999999995</v>
      </c>
      <c r="EB32" s="87">
        <f>EB24+EB30</f>
        <v>2688.900000000001</v>
      </c>
      <c r="EC32" s="87">
        <f>EC24+EC30</f>
        <v>2487.8000000000002</v>
      </c>
      <c r="ED32" s="87">
        <f>ED24+ED30</f>
        <v>3481.3395199999995</v>
      </c>
      <c r="EE32" s="87">
        <f>EE24+EE30</f>
        <v>11445.139520000001</v>
      </c>
      <c r="EG32" s="87">
        <f>EG24+EG30</f>
        <v>3198.3000000000006</v>
      </c>
      <c r="EH32" s="87">
        <f>EH24+EH30</f>
        <v>3011.7507199999995</v>
      </c>
      <c r="EI32" s="87">
        <f>EI24+EI30</f>
        <v>3704.4357708948592</v>
      </c>
      <c r="EJ32" s="87">
        <f>EJ24+EJ30</f>
        <v>3794.1069913712904</v>
      </c>
      <c r="EK32" s="87">
        <f>EK24+EK30</f>
        <v>13708.593482266155</v>
      </c>
      <c r="ET32" s="87">
        <v>551657</v>
      </c>
      <c r="EU32" s="87">
        <v>-594219</v>
      </c>
      <c r="EV32" s="87">
        <v>-130824</v>
      </c>
      <c r="EW32" s="87">
        <v>-184181</v>
      </c>
      <c r="EX32" s="87">
        <f t="shared" ref="EX32:FP32" si="15">EX24+EX30</f>
        <v>-2100071.6229999997</v>
      </c>
      <c r="EY32" s="87">
        <f t="shared" si="15"/>
        <v>-2126689.0329999998</v>
      </c>
      <c r="EZ32" s="87">
        <f t="shared" si="15"/>
        <v>-2723708.8960000002</v>
      </c>
      <c r="FA32" s="87">
        <f t="shared" si="15"/>
        <v>-2946043.2740000002</v>
      </c>
      <c r="FB32" s="87">
        <f t="shared" si="15"/>
        <v>-2641080.3219999997</v>
      </c>
      <c r="FC32" s="87">
        <f t="shared" si="15"/>
        <v>-1766016.9369999999</v>
      </c>
      <c r="FD32" s="87">
        <f t="shared" si="15"/>
        <v>-3260892.1</v>
      </c>
      <c r="FE32" s="87">
        <f t="shared" si="15"/>
        <v>-3996749</v>
      </c>
      <c r="FF32" s="87">
        <f t="shared" si="15"/>
        <v>1150.5999999999967</v>
      </c>
      <c r="FG32" s="87">
        <f t="shared" si="15"/>
        <v>1203.5000000000002</v>
      </c>
      <c r="FH32" s="87">
        <f t="shared" si="15"/>
        <v>1273.6000000000004</v>
      </c>
      <c r="FI32" s="87">
        <f t="shared" si="15"/>
        <v>1548.5999999999995</v>
      </c>
      <c r="FJ32" s="87">
        <f t="shared" si="15"/>
        <v>1541.799999999999</v>
      </c>
      <c r="FK32" s="87">
        <f t="shared" si="15"/>
        <v>2445.8999999999987</v>
      </c>
      <c r="FL32" s="87">
        <f t="shared" si="15"/>
        <v>2937.0000000000005</v>
      </c>
      <c r="FM32" s="87">
        <f t="shared" si="15"/>
        <v>2765.6</v>
      </c>
      <c r="FN32" s="87">
        <f t="shared" si="15"/>
        <v>4016.5</v>
      </c>
      <c r="FO32" s="87">
        <f t="shared" si="15"/>
        <v>6705.5</v>
      </c>
      <c r="FP32" s="87">
        <f t="shared" si="15"/>
        <v>6456.0999999999985</v>
      </c>
      <c r="FQ32" s="87">
        <f t="shared" ref="FQ32:FX32" si="16">FQ24+FQ30</f>
        <v>9083.5</v>
      </c>
      <c r="FR32" s="87">
        <f t="shared" si="16"/>
        <v>9042.3999999999978</v>
      </c>
      <c r="FS32" s="87">
        <f t="shared" si="16"/>
        <v>11445.139520000001</v>
      </c>
      <c r="FT32" s="87">
        <f t="shared" si="16"/>
        <v>13708.593482266147</v>
      </c>
      <c r="FU32" s="87">
        <f t="shared" si="16"/>
        <v>20319.305026016864</v>
      </c>
      <c r="FV32" s="87">
        <f>FV24+FV30</f>
        <v>16227.064890501963</v>
      </c>
      <c r="FW32" s="87">
        <f>FW24+FW30</f>
        <v>4279.4537490727034</v>
      </c>
      <c r="FX32" s="87">
        <f t="shared" ca="1" si="16"/>
        <v>5796.0674714474144</v>
      </c>
      <c r="GF32" s="87">
        <f>GF24+GF30</f>
        <v>13504.6</v>
      </c>
      <c r="GH32" s="87">
        <f ca="1">GH24+GH30</f>
        <v>29469.203354710775</v>
      </c>
    </row>
    <row r="33" spans="2:190" x14ac:dyDescent="0.25">
      <c r="B33" s="200" t="s">
        <v>336</v>
      </c>
      <c r="C33" s="74"/>
      <c r="D33" s="74"/>
      <c r="E33" s="204">
        <f>E32/E$9</f>
        <v>-932.34950439375064</v>
      </c>
      <c r="F33" s="204">
        <f>F32/F$9</f>
        <v>-843.03610176257348</v>
      </c>
      <c r="G33" s="204">
        <f>G32/G$9</f>
        <v>-900.44511132369701</v>
      </c>
      <c r="H33" s="204">
        <f>H32/H$9</f>
        <v>-774.41450044704141</v>
      </c>
      <c r="I33" s="204">
        <f>I32/I$9</f>
        <v>-851.82575443836777</v>
      </c>
      <c r="J33" s="74"/>
      <c r="K33" s="204">
        <f>K32/K$9</f>
        <v>-795.61593737220323</v>
      </c>
      <c r="L33" s="204">
        <f>L32/L$9</f>
        <v>-792.212056101092</v>
      </c>
      <c r="M33" s="204">
        <f>M32/M$9</f>
        <v>-876.86807914426061</v>
      </c>
      <c r="N33" s="204">
        <f>N32/N$9</f>
        <v>-930.46719379997762</v>
      </c>
      <c r="O33" s="204">
        <f>O32/O$9</f>
        <v>-840.93190342143635</v>
      </c>
      <c r="P33" s="74"/>
      <c r="Q33" s="204">
        <f>Q32/Q$9</f>
        <v>-824.28003304787171</v>
      </c>
      <c r="R33" s="204">
        <f>R32/R$9</f>
        <v>-748.73082142470332</v>
      </c>
      <c r="S33" s="204">
        <f>S32/S$9</f>
        <v>-749.85791077727924</v>
      </c>
      <c r="T33" s="204">
        <f>T32/T$9</f>
        <v>-731.69622220327915</v>
      </c>
      <c r="U33" s="204">
        <f>U32/U$9</f>
        <v>-757.19492569578199</v>
      </c>
      <c r="W33" s="204">
        <f>W32/W$9</f>
        <v>-783.49309185279151</v>
      </c>
      <c r="X33" s="204">
        <f>X32/X$9</f>
        <v>-768.16262999585047</v>
      </c>
      <c r="Y33" s="204">
        <f>Y32/Y$9</f>
        <v>-765.29486693765023</v>
      </c>
      <c r="Z33" s="204">
        <f>Z32/Z$9</f>
        <v>-777.57757375728124</v>
      </c>
      <c r="AA33" s="204">
        <f>AA32/AA$9</f>
        <v>-775.73876419731187</v>
      </c>
      <c r="AC33" s="204">
        <f>AC32/AC$9</f>
        <v>-789.86235106744073</v>
      </c>
      <c r="AD33" s="204">
        <f>AD32/AD$9</f>
        <v>-812.74199349173193</v>
      </c>
      <c r="AE33" s="204">
        <f>AE32/AE$9</f>
        <v>-869.20687932254884</v>
      </c>
      <c r="AF33" s="204">
        <f>AF32/AF$9</f>
        <v>-1262.7155238750961</v>
      </c>
      <c r="AG33" s="204">
        <f>AG32/AG$9</f>
        <v>-894.16663630903554</v>
      </c>
      <c r="AI33" s="204">
        <f>AI32/AI$9</f>
        <v>-1804.8761061946902</v>
      </c>
      <c r="AJ33" s="204">
        <f>AJ32/AJ$9</f>
        <v>-1449.715835140998</v>
      </c>
      <c r="AK33" s="204">
        <f>AK32/AK$9</f>
        <v>-933.85535017072721</v>
      </c>
      <c r="AL33" s="204">
        <f>AL32/AL$9</f>
        <v>-887.17119845116656</v>
      </c>
      <c r="AM33" s="204">
        <f>AM32/AM$9</f>
        <v>-1106.4832259127616</v>
      </c>
      <c r="AO33" s="204">
        <f>AO32/AO$9</f>
        <v>-818.2235103801562</v>
      </c>
      <c r="AP33" s="204">
        <f>AP32/AP$9</f>
        <v>-727.92299054926548</v>
      </c>
      <c r="AQ33" s="204">
        <f>AQ32/AQ$9</f>
        <v>-721.61904761904759</v>
      </c>
      <c r="AR33" s="204">
        <f>AR32/AR$9</f>
        <v>-675.2850006572894</v>
      </c>
      <c r="AS33" s="204">
        <f>AS32/AS$9</f>
        <v>-723.3727678076267</v>
      </c>
      <c r="AU33" s="204">
        <f>AU32/AU$9</f>
        <v>-687.95468943671676</v>
      </c>
      <c r="AV33" s="204">
        <f>AV32/AV$9</f>
        <v>-674.55904276186743</v>
      </c>
      <c r="AW33" s="204">
        <f>AW32/AW$9</f>
        <v>-718.2320877613987</v>
      </c>
      <c r="AX33" s="204">
        <f>AX32/AX$9</f>
        <v>-758.51771409695266</v>
      </c>
      <c r="AY33" s="204">
        <f>AY32/AY$9</f>
        <v>-707.26402406653688</v>
      </c>
      <c r="BA33" s="204">
        <f>BA32/BA$9</f>
        <v>0.25840722102404351</v>
      </c>
      <c r="BB33" s="204">
        <f>BB32/BB$9</f>
        <v>0.268958214547528</v>
      </c>
      <c r="BC33" s="204">
        <f>BC32/BC$9</f>
        <v>0.25634765625</v>
      </c>
      <c r="BD33" s="204">
        <f>BD32/BD$9</f>
        <v>0.17779298211318545</v>
      </c>
      <c r="BE33" s="204">
        <f>BE32/BE$9</f>
        <v>0.24317869597379194</v>
      </c>
      <c r="BG33" s="204">
        <f>BG32/BG$9</f>
        <v>0.11680304898553966</v>
      </c>
      <c r="BH33" s="204">
        <f>BH32/BH$9</f>
        <v>0.22515795519816201</v>
      </c>
      <c r="BI33" s="204">
        <f>BI32/BI$9</f>
        <v>0.19724177560695302</v>
      </c>
      <c r="BJ33" s="204">
        <f>BJ32/BJ$9</f>
        <v>0.28627165374811431</v>
      </c>
      <c r="BK33" s="204">
        <f>BK32/BK$9</f>
        <v>0.22183105081746635</v>
      </c>
      <c r="BM33" s="204">
        <f>BM32/BM$9</f>
        <v>0.18839957035445754</v>
      </c>
      <c r="BN33" s="204">
        <f>BN32/BN$9</f>
        <v>0.25797030907763446</v>
      </c>
      <c r="BO33" s="204">
        <f>BO32/BO$9</f>
        <v>0.19618817122976859</v>
      </c>
      <c r="BP33" s="204">
        <f>BP32/BP$9</f>
        <v>0.21894243641231589</v>
      </c>
      <c r="BQ33" s="204">
        <f>BQ32/BQ$9</f>
        <v>0.21747519765039364</v>
      </c>
      <c r="BS33" s="204">
        <f>BS32/BS$9</f>
        <v>0.27407721680101832</v>
      </c>
      <c r="BT33" s="204">
        <f>BT32/BT$9</f>
        <v>0.25071035608488002</v>
      </c>
      <c r="BU33" s="204">
        <f>BU32/BU$9</f>
        <v>0.23767105602891805</v>
      </c>
      <c r="BV33" s="204">
        <f>BV32/BV$9</f>
        <v>0.21858876028447907</v>
      </c>
      <c r="BW33" s="204">
        <f>BW32/BW$9</f>
        <v>0.24630212806565505</v>
      </c>
      <c r="BY33" s="204">
        <f>BY32/BY$9</f>
        <v>0.16831683168316816</v>
      </c>
      <c r="BZ33" s="204">
        <f>BZ32/BZ$9</f>
        <v>0.23028282363761785</v>
      </c>
      <c r="CA33" s="204">
        <f>CA32/CA$9</f>
        <v>0.25443623939160143</v>
      </c>
      <c r="CB33" s="204">
        <f>CB32/CB$9</f>
        <v>0.23859704309531293</v>
      </c>
      <c r="CC33" s="204">
        <f>CC32/CC$9</f>
        <v>0.22690881262141627</v>
      </c>
      <c r="CE33" s="204">
        <f>CE32/CE$9</f>
        <v>0.2679049187075529</v>
      </c>
      <c r="CF33" s="204">
        <f>CF32/CF$9</f>
        <v>0.25935090891786411</v>
      </c>
      <c r="CG33" s="204">
        <f>CG32/CG$9</f>
        <v>0.26276865244749525</v>
      </c>
      <c r="CH33" s="204">
        <f>CH32/CH$9</f>
        <v>0.28788470551476342</v>
      </c>
      <c r="CI33" s="204">
        <f>CI32/CI$9</f>
        <v>0.27018160127253432</v>
      </c>
      <c r="CK33" s="204">
        <f>CK32/CK$9</f>
        <v>0.2764551422319475</v>
      </c>
      <c r="CL33" s="204">
        <f>CL32/CL$9</f>
        <v>0.25076631148737411</v>
      </c>
      <c r="CM33" s="204">
        <f>CM32/CM$9</f>
        <v>0.29166816757321418</v>
      </c>
      <c r="CN33" s="204">
        <f>CN32/CN$9</f>
        <v>0.25724741447891808</v>
      </c>
      <c r="CO33" s="204">
        <f>CO32/CO$9</f>
        <v>0.26836622807017546</v>
      </c>
      <c r="CQ33" s="204">
        <f>CQ32/CQ$9</f>
        <v>0.14642680902606434</v>
      </c>
      <c r="CR33" s="204">
        <f>CR32/CR$9</f>
        <v>0.18980489894466299</v>
      </c>
      <c r="CS33" s="204">
        <f>CS32/CS$9</f>
        <v>0.22775824543780351</v>
      </c>
      <c r="CT33" s="204">
        <f>CT32/CT$9</f>
        <v>0.31503319789911793</v>
      </c>
      <c r="CU33" s="204">
        <f>CU32/CU$9</f>
        <v>0.23397829084848434</v>
      </c>
      <c r="CW33" s="204">
        <f>CW32/CW$9</f>
        <v>0.17016307465377362</v>
      </c>
      <c r="CX33" s="204">
        <f>CX32/CX$9</f>
        <v>0.27001834200318731</v>
      </c>
      <c r="CY33" s="204">
        <f>CY32/CY$9</f>
        <v>0.30507832238504295</v>
      </c>
      <c r="CZ33" s="204">
        <f>CZ32/CZ$9</f>
        <v>0.35159023060106726</v>
      </c>
      <c r="DA33" s="204">
        <f>DA32/DA$9</f>
        <v>0.28733617581411319</v>
      </c>
      <c r="DC33" s="204">
        <f>DC32/DC$9</f>
        <v>0.35484314489332935</v>
      </c>
      <c r="DD33" s="204">
        <f>DD32/DD$9</f>
        <v>0.30575593254066963</v>
      </c>
      <c r="DE33" s="204">
        <f>DE32/DE$9</f>
        <v>0.36418445805429955</v>
      </c>
      <c r="DF33" s="204">
        <f>DF32/DF$9</f>
        <v>0.40496630295250324</v>
      </c>
      <c r="DG33" s="204">
        <f>DG32/DG$9</f>
        <v>0.36029767341894581</v>
      </c>
      <c r="DI33" s="204">
        <f>DI32/DI$9</f>
        <v>0.21757582616568569</v>
      </c>
      <c r="DJ33" s="204">
        <f>DJ32/DJ$9</f>
        <v>0.30247675168032412</v>
      </c>
      <c r="DK33" s="204">
        <f>DK32/DK$9</f>
        <v>0.33286606787463435</v>
      </c>
      <c r="DL33" s="204">
        <f>DL32/DL$9</f>
        <v>0.32986532300706045</v>
      </c>
      <c r="DM33" s="204">
        <f>DM32/DM$9</f>
        <v>0.30491560165112824</v>
      </c>
      <c r="DO33" s="204">
        <f>DO32/DO$9</f>
        <v>0.32865909697311085</v>
      </c>
      <c r="DP33" s="204">
        <f>DP32/DP$9</f>
        <v>0.33028121061095572</v>
      </c>
      <c r="DQ33" s="204">
        <f>DQ32/DQ$9</f>
        <v>0.32811329237224629</v>
      </c>
      <c r="DR33" s="204">
        <f>DR32/DR$9</f>
        <v>0.33122840956197319</v>
      </c>
      <c r="DS33" s="204">
        <f>DS32/DS$9</f>
        <v>0.32960792495963132</v>
      </c>
      <c r="DT33" s="204"/>
      <c r="DU33" s="204">
        <f>DU32/DU$9</f>
        <v>0.26797731568998107</v>
      </c>
      <c r="DV33" s="204">
        <f>DV32/DV$9</f>
        <v>0.29196834753636181</v>
      </c>
      <c r="DW33" s="204">
        <f>DW32/DW$9</f>
        <v>0.326811565090461</v>
      </c>
      <c r="DX33" s="204">
        <f>DX32/DX$9</f>
        <v>0.36292481754976891</v>
      </c>
      <c r="DY33" s="204">
        <f>DY32/DY$9</f>
        <v>0.31993885977730518</v>
      </c>
      <c r="EA33" s="204">
        <f>EA32/EA$9</f>
        <v>0.36002066782923198</v>
      </c>
      <c r="EB33" s="204">
        <f>EB32/EB$9</f>
        <v>0.3495846171847577</v>
      </c>
      <c r="EC33" s="204">
        <f>EC32/EC$9</f>
        <v>0.33100053219797765</v>
      </c>
      <c r="ED33" s="204">
        <f>ED32/ED$9</f>
        <v>0.35823621321259513</v>
      </c>
      <c r="EE33" s="204">
        <f>EE32/EE$9</f>
        <v>0.3503556937845913</v>
      </c>
      <c r="EG33" s="204">
        <f>EG32/EG$9</f>
        <v>0.36483203102720591</v>
      </c>
      <c r="EH33" s="204">
        <f>EH32/EH$9</f>
        <v>0.36114717125932316</v>
      </c>
      <c r="EI33" s="204">
        <f>EI32/EI$9</f>
        <v>0.36523892244464967</v>
      </c>
      <c r="EJ33" s="204">
        <f>EJ32/EJ$9</f>
        <v>0.36393630923654585</v>
      </c>
      <c r="EK33" s="204">
        <f>EK32/EK$9</f>
        <v>0.36387802869001895</v>
      </c>
      <c r="ET33" s="136">
        <v>0.20640979110464225</v>
      </c>
      <c r="EU33" s="136">
        <v>-0.37389971477058004</v>
      </c>
      <c r="EV33" s="136">
        <v>-6.6792193894638821E-2</v>
      </c>
      <c r="EW33" s="136">
        <v>-0.11938587069604216</v>
      </c>
      <c r="EX33" s="204">
        <f t="shared" ref="EX33:FL33" si="17">EX32/EX$9</f>
        <v>-851.82575443836777</v>
      </c>
      <c r="EY33" s="204">
        <f t="shared" si="17"/>
        <v>-840.93190342143635</v>
      </c>
      <c r="EZ33" s="204">
        <f t="shared" si="17"/>
        <v>-757.19492569578199</v>
      </c>
      <c r="FA33" s="204">
        <f t="shared" si="17"/>
        <v>-775.73876419731187</v>
      </c>
      <c r="FB33" s="204">
        <f t="shared" si="17"/>
        <v>-894.16663630903554</v>
      </c>
      <c r="FC33" s="204">
        <f t="shared" si="17"/>
        <v>-1106.4832259127616</v>
      </c>
      <c r="FD33" s="204">
        <f t="shared" si="17"/>
        <v>-723.3727678076267</v>
      </c>
      <c r="FE33" s="204">
        <f t="shared" si="17"/>
        <v>-707.26402406653688</v>
      </c>
      <c r="FF33" s="204">
        <f t="shared" si="17"/>
        <v>0.24317869597379194</v>
      </c>
      <c r="FG33" s="204">
        <f t="shared" si="17"/>
        <v>0.22183105081746635</v>
      </c>
      <c r="FH33" s="204">
        <f t="shared" si="17"/>
        <v>0.21747519765039364</v>
      </c>
      <c r="FI33" s="204">
        <f t="shared" si="17"/>
        <v>0.24630212806565505</v>
      </c>
      <c r="FJ33" s="204">
        <f t="shared" si="17"/>
        <v>0.22690881262141627</v>
      </c>
      <c r="FK33" s="204">
        <f t="shared" si="17"/>
        <v>0.27018160127253432</v>
      </c>
      <c r="FL33" s="204">
        <f t="shared" si="17"/>
        <v>0.26836622807017546</v>
      </c>
      <c r="FM33" s="204">
        <f t="shared" ref="FM33:FX33" si="18">FM32/FM$9</f>
        <v>0.23397829084848434</v>
      </c>
      <c r="FN33" s="204">
        <f t="shared" si="18"/>
        <v>0.28733617581411319</v>
      </c>
      <c r="FO33" s="204">
        <f t="shared" si="18"/>
        <v>0.36029767341894581</v>
      </c>
      <c r="FP33" s="204">
        <f t="shared" si="18"/>
        <v>0.30491560165112824</v>
      </c>
      <c r="FQ33" s="204">
        <f>FQ32/FQ$9</f>
        <v>0.32960792495963132</v>
      </c>
      <c r="FR33" s="204">
        <f>FR32/FR$9</f>
        <v>0.31993885977730518</v>
      </c>
      <c r="FS33" s="204">
        <f t="shared" si="18"/>
        <v>0.3503556937845913</v>
      </c>
      <c r="FT33" s="204">
        <f t="shared" si="18"/>
        <v>0.36387802869001884</v>
      </c>
      <c r="FU33" s="204">
        <f t="shared" si="18"/>
        <v>0.42321351377917316</v>
      </c>
      <c r="FV33" s="204">
        <f>FV32/FV$9</f>
        <v>0.39294119047334186</v>
      </c>
      <c r="FW33" s="204">
        <f t="shared" ca="1" si="18"/>
        <v>0.19331242231836041</v>
      </c>
      <c r="FX33" s="204">
        <f t="shared" ca="1" si="18"/>
        <v>0.22344130576127272</v>
      </c>
      <c r="GF33" s="204">
        <f>GF32/GF$9</f>
        <v>0.38584571428571429</v>
      </c>
      <c r="GH33" s="204">
        <f ca="1">GH32/GH$9</f>
        <v>0.48724546563721211</v>
      </c>
    </row>
    <row r="34" spans="2:190" hidden="1" x14ac:dyDescent="0.25">
      <c r="B34" s="103" t="s">
        <v>337</v>
      </c>
      <c r="C34" s="74"/>
      <c r="D34" s="74"/>
      <c r="E34" s="87"/>
      <c r="F34" s="87"/>
      <c r="G34" s="87"/>
      <c r="H34" s="87"/>
      <c r="I34" s="87"/>
      <c r="J34" s="74"/>
      <c r="K34" s="87"/>
      <c r="L34" s="87"/>
      <c r="M34" s="87"/>
      <c r="N34" s="87"/>
      <c r="O34" s="87"/>
      <c r="P34" s="125"/>
      <c r="Q34" s="87"/>
      <c r="R34" s="87"/>
      <c r="S34" s="199"/>
      <c r="T34" s="87"/>
      <c r="U34" s="87"/>
      <c r="W34" s="87"/>
      <c r="X34" s="87"/>
      <c r="Y34" s="87"/>
      <c r="Z34" s="87"/>
      <c r="AA34" s="87"/>
      <c r="AC34" s="87"/>
      <c r="AD34" s="87"/>
      <c r="AE34" s="87"/>
      <c r="AF34" s="87"/>
      <c r="AG34" s="87"/>
      <c r="AI34" s="87"/>
      <c r="AJ34" s="87"/>
      <c r="AK34" s="87"/>
      <c r="AL34" s="87"/>
      <c r="AM34" s="87"/>
      <c r="AO34" s="87"/>
      <c r="AP34" s="87"/>
      <c r="AQ34" s="87"/>
      <c r="AR34" s="87"/>
      <c r="AS34" s="87"/>
      <c r="AU34" s="87"/>
      <c r="AV34" s="87"/>
      <c r="AW34" s="87"/>
      <c r="AX34" s="87"/>
      <c r="AY34" s="87"/>
      <c r="BA34" s="87"/>
      <c r="BB34" s="87"/>
      <c r="BC34" s="87"/>
      <c r="BD34" s="87"/>
      <c r="BE34" s="87"/>
      <c r="BG34" s="87">
        <f>BG26+BG30</f>
        <v>-250.70000000000002</v>
      </c>
      <c r="BH34" s="87">
        <f>BH26+BH30</f>
        <v>-273.89999999999998</v>
      </c>
      <c r="BI34" s="87">
        <f>BI26+BI30</f>
        <v>-346.90000000000003</v>
      </c>
      <c r="BJ34" s="87">
        <f>BJ26+BJ30</f>
        <v>-346.6</v>
      </c>
      <c r="BK34" s="87">
        <f>BK26+BK30</f>
        <v>-1218.1000000000001</v>
      </c>
      <c r="BM34" s="87"/>
      <c r="BN34" s="87"/>
      <c r="BO34" s="87"/>
      <c r="BP34" s="87"/>
      <c r="BQ34" s="87"/>
      <c r="BS34" s="87"/>
      <c r="BT34" s="87"/>
      <c r="BU34" s="87"/>
      <c r="BV34" s="87"/>
      <c r="BW34" s="87"/>
      <c r="BY34" s="87"/>
      <c r="BZ34" s="87"/>
      <c r="CA34" s="87"/>
      <c r="CB34" s="87"/>
      <c r="CC34" s="87"/>
      <c r="CE34" s="87"/>
      <c r="CF34" s="87"/>
      <c r="CG34" s="87"/>
      <c r="CH34" s="87"/>
      <c r="CI34" s="87"/>
      <c r="CK34" s="87"/>
      <c r="CL34" s="87"/>
      <c r="CM34" s="87"/>
      <c r="CN34" s="87"/>
      <c r="CO34" s="87"/>
      <c r="CQ34" s="87"/>
      <c r="CR34" s="87"/>
      <c r="CS34" s="87"/>
      <c r="CT34" s="87"/>
      <c r="CU34" s="87"/>
      <c r="CW34" s="87"/>
      <c r="CX34" s="87"/>
      <c r="CY34" s="87"/>
      <c r="CZ34" s="87"/>
      <c r="DA34" s="87"/>
      <c r="DC34" s="87"/>
      <c r="DD34" s="87"/>
      <c r="DE34" s="87"/>
      <c r="DF34" s="87"/>
      <c r="DG34" s="87"/>
      <c r="DI34" s="87"/>
      <c r="DJ34" s="87"/>
      <c r="DK34" s="87"/>
      <c r="DL34" s="87"/>
      <c r="DM34" s="87"/>
      <c r="DO34" s="87"/>
      <c r="DP34" s="87"/>
      <c r="DQ34" s="87"/>
      <c r="DR34" s="87"/>
      <c r="DS34" s="87"/>
      <c r="DT34" s="87"/>
      <c r="DU34" s="87"/>
      <c r="DV34" s="87"/>
      <c r="DW34" s="87"/>
      <c r="DX34" s="87"/>
      <c r="DY34" s="87"/>
      <c r="EA34" s="87"/>
      <c r="EB34" s="87"/>
      <c r="EC34" s="87"/>
      <c r="ED34" s="87"/>
      <c r="EE34" s="87"/>
      <c r="EG34" s="87"/>
      <c r="EH34" s="87"/>
      <c r="EI34" s="87"/>
      <c r="EJ34" s="87"/>
      <c r="EK34" s="87"/>
      <c r="ET34" s="87"/>
      <c r="EU34" s="87"/>
      <c r="EV34" s="87"/>
      <c r="EW34" s="87"/>
      <c r="EX34" s="87"/>
      <c r="EY34" s="87"/>
      <c r="EZ34" s="87"/>
      <c r="FA34" s="87"/>
      <c r="FB34" s="87"/>
      <c r="FC34" s="87"/>
      <c r="FD34" s="87"/>
      <c r="FE34" s="87"/>
      <c r="FF34" s="87"/>
      <c r="FG34" s="87"/>
      <c r="FH34" s="87"/>
      <c r="FI34" s="87"/>
      <c r="FJ34" s="87"/>
      <c r="FK34" s="87"/>
      <c r="FL34" s="87"/>
      <c r="FM34" s="87"/>
      <c r="FN34" s="87"/>
    </row>
    <row r="35" spans="2:190" hidden="1" x14ac:dyDescent="0.25">
      <c r="B35" s="194" t="s">
        <v>336</v>
      </c>
      <c r="C35" s="74"/>
      <c r="D35" s="74"/>
      <c r="E35" s="87"/>
      <c r="F35" s="87"/>
      <c r="G35" s="87"/>
      <c r="H35" s="87"/>
      <c r="I35" s="87"/>
      <c r="J35" s="74"/>
      <c r="K35" s="87"/>
      <c r="L35" s="87"/>
      <c r="M35" s="87"/>
      <c r="N35" s="87"/>
      <c r="O35" s="87"/>
      <c r="P35" s="125"/>
      <c r="Q35" s="87"/>
      <c r="R35" s="87"/>
      <c r="S35" s="199"/>
      <c r="T35" s="87"/>
      <c r="U35" s="87"/>
      <c r="W35" s="87"/>
      <c r="X35" s="87"/>
      <c r="Y35" s="87"/>
      <c r="Z35" s="87"/>
      <c r="AA35" s="87"/>
      <c r="AC35" s="87"/>
      <c r="AD35" s="87"/>
      <c r="AE35" s="87"/>
      <c r="AF35" s="87"/>
      <c r="AG35" s="87"/>
      <c r="AI35" s="196"/>
      <c r="AJ35" s="196"/>
      <c r="AK35" s="196"/>
      <c r="AL35" s="196"/>
      <c r="AM35" s="87"/>
      <c r="AO35" s="196"/>
      <c r="AP35" s="196"/>
      <c r="AQ35" s="196"/>
      <c r="AR35" s="196"/>
      <c r="AS35" s="87"/>
      <c r="AU35" s="196"/>
      <c r="AV35" s="196"/>
      <c r="AW35" s="196"/>
      <c r="AX35" s="196"/>
      <c r="AY35" s="87"/>
      <c r="BA35" s="196"/>
      <c r="BB35" s="196"/>
      <c r="BC35" s="196"/>
      <c r="BD35" s="196"/>
      <c r="BE35" s="87"/>
      <c r="BG35" s="204">
        <f>BG34/BG$9</f>
        <v>-0.28102230691626506</v>
      </c>
      <c r="BH35" s="204">
        <f>BH34/BH$9</f>
        <v>-0.2247476819561828</v>
      </c>
      <c r="BI35" s="204">
        <f>BI34/BI$9</f>
        <v>-0.24917396925729063</v>
      </c>
      <c r="BJ35" s="204">
        <f>BJ34/BJ$9</f>
        <v>-0.18030484315663528</v>
      </c>
      <c r="BK35" s="204">
        <f>BK34/BK$9</f>
        <v>-0.22452214624076089</v>
      </c>
      <c r="BM35" s="204"/>
      <c r="BN35" s="204"/>
      <c r="BO35" s="204"/>
      <c r="BP35" s="204"/>
      <c r="BQ35" s="204"/>
      <c r="BS35" s="204"/>
      <c r="BT35" s="204"/>
      <c r="BU35" s="204"/>
      <c r="BV35" s="204"/>
      <c r="BW35" s="204"/>
      <c r="BY35" s="204"/>
      <c r="BZ35" s="204"/>
      <c r="CA35" s="204"/>
      <c r="CB35" s="204"/>
      <c r="CC35" s="204"/>
      <c r="CE35" s="204"/>
      <c r="CF35" s="204"/>
      <c r="CG35" s="204"/>
      <c r="CH35" s="204"/>
      <c r="CI35" s="204"/>
      <c r="CK35" s="204"/>
      <c r="CL35" s="204"/>
      <c r="CM35" s="204"/>
      <c r="CN35" s="204"/>
      <c r="CO35" s="204"/>
      <c r="CQ35" s="204"/>
      <c r="CR35" s="204"/>
      <c r="CS35" s="204"/>
      <c r="CT35" s="204"/>
      <c r="CU35" s="204"/>
      <c r="CW35" s="204"/>
      <c r="CX35" s="204"/>
      <c r="CY35" s="204"/>
      <c r="CZ35" s="204"/>
      <c r="DA35" s="204"/>
      <c r="DC35" s="204"/>
      <c r="DD35" s="204"/>
      <c r="DE35" s="204"/>
      <c r="DF35" s="204"/>
      <c r="DG35" s="204"/>
      <c r="DI35" s="204"/>
      <c r="DJ35" s="204"/>
      <c r="DK35" s="204"/>
      <c r="DL35" s="204"/>
      <c r="DM35" s="204"/>
      <c r="DO35" s="204"/>
      <c r="DP35" s="204"/>
      <c r="DQ35" s="204"/>
      <c r="DR35" s="204"/>
      <c r="DS35" s="204"/>
      <c r="DT35" s="204"/>
      <c r="DU35" s="204"/>
      <c r="DV35" s="204"/>
      <c r="DW35" s="204"/>
      <c r="DX35" s="204"/>
      <c r="DY35" s="204"/>
      <c r="EA35" s="204"/>
      <c r="EB35" s="204"/>
      <c r="EC35" s="204"/>
      <c r="ED35" s="204"/>
      <c r="EE35" s="204"/>
      <c r="EG35" s="204"/>
      <c r="EH35" s="204"/>
      <c r="EI35" s="204"/>
      <c r="EJ35" s="204"/>
      <c r="EK35" s="204"/>
      <c r="ET35" s="114"/>
      <c r="EU35" s="114"/>
      <c r="EV35" s="114"/>
      <c r="EW35" s="114"/>
      <c r="EX35" s="204"/>
      <c r="EY35" s="204"/>
      <c r="EZ35" s="204"/>
      <c r="FA35" s="204"/>
      <c r="FB35" s="204"/>
      <c r="FC35" s="204"/>
      <c r="FD35" s="204"/>
      <c r="FE35" s="204"/>
      <c r="FF35" s="204"/>
      <c r="FG35" s="204"/>
      <c r="FH35" s="204"/>
      <c r="FI35" s="204"/>
      <c r="FJ35" s="204"/>
      <c r="FK35" s="204"/>
      <c r="FL35" s="204"/>
      <c r="FM35" s="204"/>
      <c r="FN35" s="204"/>
    </row>
    <row r="36" spans="2:190" x14ac:dyDescent="0.25">
      <c r="B36" s="74"/>
      <c r="ET36" s="114"/>
      <c r="EU36" s="114"/>
      <c r="EV36" s="114"/>
      <c r="EW36" s="114"/>
    </row>
    <row r="37" spans="2:190" x14ac:dyDescent="0.25">
      <c r="C37" s="74"/>
      <c r="D37" s="74"/>
      <c r="E37" s="87"/>
      <c r="F37" s="87"/>
      <c r="G37" s="87"/>
      <c r="H37" s="87"/>
      <c r="I37" s="87"/>
      <c r="J37" s="74"/>
      <c r="K37" s="87"/>
      <c r="L37" s="87"/>
      <c r="M37" s="87"/>
      <c r="N37" s="87"/>
      <c r="O37" s="87"/>
      <c r="P37" s="74"/>
      <c r="Q37" s="87"/>
      <c r="R37" s="87"/>
      <c r="S37" s="184"/>
      <c r="T37" s="87"/>
      <c r="U37" s="87"/>
      <c r="W37" s="87"/>
      <c r="X37" s="87"/>
      <c r="Y37" s="87"/>
      <c r="Z37" s="87"/>
      <c r="AA37" s="87"/>
      <c r="AC37" s="87"/>
      <c r="AD37" s="87"/>
      <c r="AE37" s="87"/>
      <c r="AF37" s="87"/>
      <c r="AG37" s="87"/>
      <c r="AI37" s="87"/>
      <c r="AJ37" s="87"/>
      <c r="AK37" s="87"/>
      <c r="AL37" s="87"/>
      <c r="AM37" s="87"/>
      <c r="AO37" s="87"/>
      <c r="AP37" s="87"/>
      <c r="AQ37" s="87"/>
      <c r="AR37" s="87"/>
      <c r="AS37" s="87"/>
      <c r="AU37" s="87"/>
      <c r="AV37" s="87"/>
      <c r="AW37" s="87"/>
      <c r="AX37" s="87"/>
      <c r="AY37" s="87"/>
      <c r="BE37" s="87"/>
      <c r="BK37" s="87"/>
      <c r="ET37" s="114"/>
      <c r="EU37" s="114"/>
      <c r="EV37" s="114"/>
      <c r="EW37" s="114"/>
    </row>
    <row r="38" spans="2:190" x14ac:dyDescent="0.25">
      <c r="B38" s="200" t="s">
        <v>335</v>
      </c>
      <c r="C38" s="74"/>
      <c r="D38" s="74"/>
      <c r="E38" s="196">
        <f>40428-F38</f>
        <v>9672</v>
      </c>
      <c r="F38" s="196">
        <v>30756</v>
      </c>
      <c r="G38" s="196">
        <v>19253</v>
      </c>
      <c r="H38" s="196">
        <f>I38-G38-F38-E38</f>
        <v>67699</v>
      </c>
      <c r="I38" s="196">
        <v>127380</v>
      </c>
      <c r="J38" s="74"/>
      <c r="K38" s="196">
        <v>38991</v>
      </c>
      <c r="L38" s="196">
        <v>46019</v>
      </c>
      <c r="M38" s="196">
        <v>17349</v>
      </c>
      <c r="N38" s="196">
        <f>O38-M38-L38-K38</f>
        <v>21200</v>
      </c>
      <c r="O38" s="196">
        <v>123559</v>
      </c>
      <c r="P38" s="74"/>
      <c r="Q38" s="196">
        <v>29933</v>
      </c>
      <c r="R38" s="196">
        <v>68580</v>
      </c>
      <c r="S38" s="196">
        <v>66768</v>
      </c>
      <c r="T38" s="196">
        <v>79828</v>
      </c>
      <c r="U38" s="196">
        <v>245109</v>
      </c>
      <c r="W38" s="196">
        <v>53639</v>
      </c>
      <c r="X38" s="196">
        <v>55225</v>
      </c>
      <c r="Y38" s="196">
        <v>52089</v>
      </c>
      <c r="Z38" s="196">
        <v>9368</v>
      </c>
      <c r="AA38" s="196">
        <v>170995</v>
      </c>
      <c r="AC38" s="196">
        <v>47118</v>
      </c>
      <c r="AD38" s="196">
        <v>-34746</v>
      </c>
      <c r="AE38" s="196">
        <v>17106</v>
      </c>
      <c r="AF38" s="196">
        <v>-42204</v>
      </c>
      <c r="AG38" s="196">
        <f>AD38+AF38+AC38+AE38</f>
        <v>-12726</v>
      </c>
      <c r="AI38" s="196">
        <v>-30788</v>
      </c>
      <c r="AJ38" s="196">
        <v>-20715</v>
      </c>
      <c r="AK38" s="196">
        <v>16434</v>
      </c>
      <c r="AL38" s="196">
        <v>14444</v>
      </c>
      <c r="AM38" s="196">
        <f>AJ38+AL38+AI38+AK38</f>
        <v>-20625</v>
      </c>
      <c r="AO38" s="196">
        <v>26800</v>
      </c>
      <c r="AP38" s="196">
        <v>50500</v>
      </c>
      <c r="AQ38" s="196">
        <v>57700</v>
      </c>
      <c r="AR38" s="196">
        <v>85700</v>
      </c>
      <c r="AS38" s="196">
        <f>AP38+AR38+AO38+AQ38</f>
        <v>220700</v>
      </c>
      <c r="AU38" s="196">
        <v>56700</v>
      </c>
      <c r="AV38" s="196">
        <v>64100</v>
      </c>
      <c r="AW38" s="196">
        <v>54300</v>
      </c>
      <c r="AX38" s="196">
        <v>6500</v>
      </c>
      <c r="AY38" s="196">
        <f>AV38+AX38+AU38+AW38</f>
        <v>181600</v>
      </c>
      <c r="BA38" s="196">
        <v>41.5</v>
      </c>
      <c r="BB38" s="196">
        <v>38.299999999999997</v>
      </c>
      <c r="BC38" s="196">
        <v>40.299999999999997</v>
      </c>
      <c r="BD38" s="196">
        <f>3.7-119.5</f>
        <v>-115.8</v>
      </c>
      <c r="BE38" s="196">
        <f>BB38+BD38+BA38+BC38</f>
        <v>4.2999999999999972</v>
      </c>
      <c r="BG38" s="196">
        <f>Financials!BG198</f>
        <v>8</v>
      </c>
      <c r="BH38" s="196">
        <f>Financials!BH198</f>
        <v>-2.7</v>
      </c>
      <c r="BI38" s="196">
        <f>Financials!BI198</f>
        <v>7.5</v>
      </c>
      <c r="BJ38" s="196">
        <f>Financials!BJ198</f>
        <v>-4.8</v>
      </c>
      <c r="BK38" s="196">
        <f>BH38+BJ38+BG38+BI38</f>
        <v>8</v>
      </c>
      <c r="BM38" s="196">
        <f>BM198</f>
        <v>14</v>
      </c>
      <c r="BN38" s="196">
        <f>BN198</f>
        <v>25.3</v>
      </c>
      <c r="BO38" s="196">
        <f>BO198</f>
        <v>15.4</v>
      </c>
      <c r="BP38" s="196">
        <f>BP198</f>
        <v>22.3</v>
      </c>
      <c r="BQ38" s="196">
        <f>SUM(BM38:BP38)</f>
        <v>77</v>
      </c>
      <c r="BS38" s="196">
        <f>BS198</f>
        <v>49.5</v>
      </c>
      <c r="BT38" s="196">
        <f>BT198</f>
        <v>45</v>
      </c>
      <c r="BU38" s="196">
        <f>BU198</f>
        <v>45.8</v>
      </c>
      <c r="BV38" s="196">
        <f>BV198</f>
        <v>21.1</v>
      </c>
      <c r="BW38" s="196">
        <f>SUM(BS38:BV38)</f>
        <v>161.4</v>
      </c>
      <c r="BY38" s="196">
        <f>BY198</f>
        <v>26.4</v>
      </c>
      <c r="BZ38" s="196">
        <f>BZ198</f>
        <v>46.8</v>
      </c>
      <c r="CA38" s="196">
        <f>CA198</f>
        <v>65.8</v>
      </c>
      <c r="CB38" s="196">
        <f>CB198</f>
        <v>80.5</v>
      </c>
      <c r="CC38" s="196">
        <f>SUM(BY38:CB38)</f>
        <v>219.5</v>
      </c>
      <c r="CE38" s="196">
        <f>CE198</f>
        <v>68.599999999999994</v>
      </c>
      <c r="CF38" s="196">
        <f>CF198</f>
        <v>78.7</v>
      </c>
      <c r="CG38" s="196">
        <f>CG198</f>
        <v>86</v>
      </c>
      <c r="CH38" s="196">
        <f>CH198</f>
        <v>77.400000000000006</v>
      </c>
      <c r="CI38" s="196">
        <f>SUM(CE38:CH38)</f>
        <v>310.70000000000005</v>
      </c>
      <c r="CK38" s="196">
        <f>CK198</f>
        <v>74.400000000000006</v>
      </c>
      <c r="CL38" s="196">
        <f>CL198</f>
        <v>107.5</v>
      </c>
      <c r="CM38" s="196">
        <f>CM198</f>
        <v>129.6</v>
      </c>
      <c r="CN38" s="196">
        <f>CN198</f>
        <v>40.1</v>
      </c>
      <c r="CO38" s="196">
        <f>SUM(CK38:CN38)</f>
        <v>351.6</v>
      </c>
      <c r="CQ38" s="196">
        <f>CQ198</f>
        <v>-17</v>
      </c>
      <c r="CR38" s="196">
        <f>CR198</f>
        <v>19.100000000000001</v>
      </c>
      <c r="CS38" s="196">
        <f>CS198</f>
        <v>65</v>
      </c>
      <c r="CT38" s="196">
        <f>CT198</f>
        <v>124.5</v>
      </c>
      <c r="CU38" s="196">
        <f>SUM(CQ38:CT38)</f>
        <v>191.6</v>
      </c>
      <c r="CW38" s="196">
        <f>CW198</f>
        <v>48.5</v>
      </c>
      <c r="CX38" s="196">
        <f>CX198</f>
        <v>166.4</v>
      </c>
      <c r="CY38" s="196">
        <f>CY198</f>
        <v>166.5</v>
      </c>
      <c r="CZ38" s="196">
        <f>CZ198</f>
        <v>170.2</v>
      </c>
      <c r="DA38" s="196">
        <f>SUM(CW38:CZ38)</f>
        <v>551.59999999999991</v>
      </c>
      <c r="DC38" s="196">
        <f>DC198</f>
        <v>230.3</v>
      </c>
      <c r="DD38" s="196">
        <f>DD198</f>
        <v>204.2</v>
      </c>
      <c r="DE38" s="196">
        <f>DE198</f>
        <v>270.89999999999998</v>
      </c>
      <c r="DF38" s="196">
        <f>DF198</f>
        <v>316</v>
      </c>
      <c r="DG38" s="196">
        <f>SUM(DC38:DF38)</f>
        <v>1021.4</v>
      </c>
      <c r="DI38" s="196">
        <f>DI198</f>
        <v>114.4</v>
      </c>
      <c r="DJ38" s="196">
        <f>DJ198</f>
        <v>246.2</v>
      </c>
      <c r="DK38" s="196">
        <f>DK198</f>
        <v>252</v>
      </c>
      <c r="DL38" s="196">
        <f>DL198</f>
        <v>357.3</v>
      </c>
      <c r="DM38" s="196">
        <f>SUM(DI38:DL38)</f>
        <v>969.90000000000009</v>
      </c>
      <c r="DO38" s="196">
        <f>DO198</f>
        <v>302.60000000000002</v>
      </c>
      <c r="DP38" s="196">
        <f>DP198</f>
        <v>403.9</v>
      </c>
      <c r="DQ38" s="196">
        <f>DQ198</f>
        <v>343.7</v>
      </c>
      <c r="DR38" s="196">
        <f>DR198</f>
        <v>385.6</v>
      </c>
      <c r="DS38" s="196">
        <f>SUM(DO38:DR38)</f>
        <v>1435.8000000000002</v>
      </c>
      <c r="DT38" s="196"/>
      <c r="DU38" s="196">
        <f>DU198</f>
        <v>224</v>
      </c>
      <c r="DV38" s="196">
        <f>DV198</f>
        <v>291.60000000000002</v>
      </c>
      <c r="DW38" s="196">
        <f>DW198</f>
        <v>441.2</v>
      </c>
      <c r="DX38" s="196">
        <f>DX198</f>
        <v>723.8</v>
      </c>
      <c r="DY38" s="196">
        <f>SUM(DU38:DX38)</f>
        <v>1680.6</v>
      </c>
      <c r="EA38" s="196">
        <f>EA198</f>
        <v>465.1</v>
      </c>
      <c r="EB38" s="196">
        <f>EB198</f>
        <v>487.4</v>
      </c>
      <c r="EC38" s="196">
        <f>EC198</f>
        <v>442.2</v>
      </c>
      <c r="ED38" s="196">
        <f>ED198</f>
        <v>618.70000000000005</v>
      </c>
      <c r="EE38" s="196">
        <f>SUM(EA38:ED38)</f>
        <v>2013.4</v>
      </c>
      <c r="EG38" s="196">
        <f>EG198</f>
        <v>546.6</v>
      </c>
      <c r="EH38" s="196">
        <f>EH198</f>
        <v>496.93886879999997</v>
      </c>
      <c r="EI38" s="196">
        <f>EI198</f>
        <v>629.75408105212614</v>
      </c>
      <c r="EJ38" s="196">
        <f>EJ198</f>
        <v>626.02765357626299</v>
      </c>
      <c r="EK38" s="196">
        <f>SUM(EG38:EJ38)</f>
        <v>2299.3206034283894</v>
      </c>
      <c r="ET38" s="77">
        <v>170599</v>
      </c>
      <c r="EU38" s="77">
        <v>-179017</v>
      </c>
      <c r="EV38" s="77">
        <v>-42779</v>
      </c>
      <c r="EW38" s="77">
        <v>-59675</v>
      </c>
      <c r="EX38" s="196">
        <f>I38</f>
        <v>127380</v>
      </c>
      <c r="EY38" s="196">
        <f>O38</f>
        <v>123559</v>
      </c>
      <c r="EZ38" s="196">
        <f>U38</f>
        <v>245109</v>
      </c>
      <c r="FA38" s="196">
        <f>AA38</f>
        <v>170995</v>
      </c>
      <c r="FB38" s="196">
        <f>AG38</f>
        <v>-12726</v>
      </c>
      <c r="FC38" s="196">
        <f>AM38</f>
        <v>-20625</v>
      </c>
      <c r="FD38" s="196">
        <f>AS38</f>
        <v>220700</v>
      </c>
      <c r="FE38" s="196">
        <f>AY38</f>
        <v>181600</v>
      </c>
      <c r="FF38" s="196">
        <f>BE38</f>
        <v>4.2999999999999972</v>
      </c>
      <c r="FG38" s="196">
        <f>BK38</f>
        <v>8</v>
      </c>
      <c r="FH38" s="196">
        <f>BQ38</f>
        <v>77</v>
      </c>
      <c r="FI38" s="196">
        <f>BW38</f>
        <v>161.4</v>
      </c>
      <c r="FJ38" s="196">
        <f>CC38</f>
        <v>219.5</v>
      </c>
      <c r="FK38" s="196">
        <f>CI38</f>
        <v>310.70000000000005</v>
      </c>
      <c r="FL38" s="196">
        <f>CO38</f>
        <v>351.6</v>
      </c>
      <c r="FM38" s="77">
        <f>CU38</f>
        <v>191.6</v>
      </c>
      <c r="FN38" s="77">
        <f>DA38</f>
        <v>551.59999999999991</v>
      </c>
      <c r="FO38" s="77">
        <f>DG38</f>
        <v>1021.4</v>
      </c>
      <c r="FP38" s="77">
        <f>DM38</f>
        <v>969.90000000000009</v>
      </c>
      <c r="FQ38" s="77">
        <f>DS38</f>
        <v>1435.8000000000002</v>
      </c>
      <c r="FR38" s="77">
        <f>DY38</f>
        <v>1680.6</v>
      </c>
      <c r="FS38" s="77">
        <f>EE38</f>
        <v>2013.4</v>
      </c>
      <c r="FT38" s="196">
        <f>EK38</f>
        <v>2299.3206034283894</v>
      </c>
      <c r="FU38" s="196">
        <f>FU198</f>
        <v>3149.4922790326141</v>
      </c>
      <c r="FV38" s="196">
        <f>FV198</f>
        <v>2515.195058027804</v>
      </c>
      <c r="FW38" s="196">
        <f>FW198</f>
        <v>663.31533110626901</v>
      </c>
      <c r="FX38" s="196">
        <f ca="1">FX198</f>
        <v>898.39045807434923</v>
      </c>
      <c r="GF38" s="196">
        <f>GF39*GF32</f>
        <v>2228.259</v>
      </c>
      <c r="GH38" s="196">
        <f ca="1">GH39*GH32</f>
        <v>4862.4185535272782</v>
      </c>
    </row>
    <row r="39" spans="2:190" x14ac:dyDescent="0.25">
      <c r="B39" s="200" t="s">
        <v>197</v>
      </c>
      <c r="C39" s="74"/>
      <c r="D39" s="74"/>
      <c r="E39" s="184">
        <f>E38/E32</f>
        <v>-2.2875711837127201E-2</v>
      </c>
      <c r="F39" s="184">
        <f>F38/F32</f>
        <v>-5.9199918529085974E-2</v>
      </c>
      <c r="G39" s="184">
        <f>G38/G32</f>
        <v>-3.502478007283321E-2</v>
      </c>
      <c r="H39" s="184">
        <f>H38/H32</f>
        <v>-0.11133956104441788</v>
      </c>
      <c r="I39" s="184">
        <f>I38/I32</f>
        <v>-6.0655074143630777E-2</v>
      </c>
      <c r="J39" s="74"/>
      <c r="K39" s="184">
        <f>K38/K32</f>
        <v>-7.1576961378730403E-2</v>
      </c>
      <c r="L39" s="184">
        <f>L38/L32</f>
        <v>-7.6106260242246926E-2</v>
      </c>
      <c r="M39" s="184">
        <f>M38/M32</f>
        <v>-3.7109775676828438E-2</v>
      </c>
      <c r="N39" s="184">
        <f>N38/N32</f>
        <v>-4.1587045538016912E-2</v>
      </c>
      <c r="O39" s="184">
        <f>O38/O32</f>
        <v>-5.8099232225645288E-2</v>
      </c>
      <c r="P39" s="74"/>
      <c r="Q39" s="184">
        <f>Q38/Q32</f>
        <v>-5.769731820713829E-2</v>
      </c>
      <c r="R39" s="184">
        <f>R38/R32</f>
        <v>-9.7260006912352925E-2</v>
      </c>
      <c r="S39" s="184">
        <f>S38/S32</f>
        <v>-9.2902549262342718E-2</v>
      </c>
      <c r="T39" s="184">
        <f>T38/T32</f>
        <v>-0.10219874621208806</v>
      </c>
      <c r="U39" s="184">
        <f>U38/U32</f>
        <v>-8.9990894533539742E-2</v>
      </c>
      <c r="W39" s="184">
        <f>W38/W32</f>
        <v>-7.1295866418680201E-2</v>
      </c>
      <c r="X39" s="184">
        <f>X38/X32</f>
        <v>-7.7285130131883428E-2</v>
      </c>
      <c r="Y39" s="184">
        <f>Y38/Y32</f>
        <v>-7.2844450969727054E-2</v>
      </c>
      <c r="Z39" s="184">
        <f>Z38/Z32</f>
        <v>-1.2383424346060514E-2</v>
      </c>
      <c r="AA39" s="184">
        <f>AA38/AA32</f>
        <v>-5.8042256713979279E-2</v>
      </c>
      <c r="AC39" s="184">
        <f>AC38/AC32</f>
        <v>-6.4896554357953343E-2</v>
      </c>
      <c r="AD39" s="184">
        <f>AD38/AD32</f>
        <v>5.0644103694783248E-2</v>
      </c>
      <c r="AE39" s="184">
        <f>AE38/AE32</f>
        <v>-2.8255861740543543E-2</v>
      </c>
      <c r="AF39" s="184">
        <f>AF38/AF32</f>
        <v>6.7682971830932165E-2</v>
      </c>
      <c r="AG39" s="184">
        <f>AG38/AG32</f>
        <v>4.8184827602528336E-3</v>
      </c>
      <c r="AI39" s="184">
        <f>AI38/AI32</f>
        <v>9.2897124988166463E-2</v>
      </c>
      <c r="AJ39" s="184">
        <f>AJ38/AJ32</f>
        <v>5.1659462023375062E-2</v>
      </c>
      <c r="AK39" s="184">
        <f>AK38/AK32</f>
        <v>-3.1692602017162959E-2</v>
      </c>
      <c r="AL39" s="184">
        <f>AL38/AL32</f>
        <v>-2.8043256680716652E-2</v>
      </c>
      <c r="AM39" s="184">
        <f>AM38/AM32</f>
        <v>1.1678823440411885E-2</v>
      </c>
      <c r="AO39" s="184">
        <f>AO38/AO32</f>
        <v>-4.4154605704313746E-2</v>
      </c>
      <c r="AP39" s="184">
        <f>AP38/AP32</f>
        <v>-6.4915757985313099E-2</v>
      </c>
      <c r="AQ39" s="184">
        <f>AQ38/AQ32</f>
        <v>-6.7992420671581288E-2</v>
      </c>
      <c r="AR39" s="184">
        <f>AR38/AR32</f>
        <v>-8.3416181726969976E-2</v>
      </c>
      <c r="AS39" s="184">
        <f>AS38/AS32</f>
        <v>-6.7680865613431368E-2</v>
      </c>
      <c r="AU39" s="184">
        <f>AU38/AU32</f>
        <v>-5.6754041198028758E-2</v>
      </c>
      <c r="AV39" s="184">
        <f>AV38/AV32</f>
        <v>-6.2132234843175718E-2</v>
      </c>
      <c r="AW39" s="184">
        <f>AW38/AW32</f>
        <v>-5.1835655198385934E-2</v>
      </c>
      <c r="AX39" s="184">
        <f>AX38/AX32</f>
        <v>-7.0768395618412893E-3</v>
      </c>
      <c r="AY39" s="184">
        <f>AY38/AY32</f>
        <v>-4.5436928863934162E-2</v>
      </c>
      <c r="BA39" s="184">
        <f>BA38/BA32</f>
        <v>0.12828438948995358</v>
      </c>
      <c r="BB39" s="184">
        <f>BB38/BB32</f>
        <v>0.11599030890369469</v>
      </c>
      <c r="BC39" s="184">
        <f>BC38/BC32</f>
        <v>0.12793650793650793</v>
      </c>
      <c r="BD39" s="184">
        <f>BD38/BD32</f>
        <v>-0.63661352391423842</v>
      </c>
      <c r="BE39" s="184">
        <f>BE38/BE32</f>
        <v>3.7371806014253515E-3</v>
      </c>
      <c r="BG39" s="184">
        <f>BG38/BG32</f>
        <v>7.6775431861804286E-2</v>
      </c>
      <c r="BH39" s="184">
        <f>BH38/BH32</f>
        <v>-9.8396501457725938E-3</v>
      </c>
      <c r="BI39" s="184">
        <f>BI38/BI32</f>
        <v>2.7312454479242531E-2</v>
      </c>
      <c r="BJ39" s="184">
        <f>BJ38/BJ32</f>
        <v>-8.7225149918226386E-3</v>
      </c>
      <c r="BK39" s="184">
        <f>BK38/BK32</f>
        <v>6.6472787702534265E-3</v>
      </c>
      <c r="BM39" s="184">
        <f>BM38/BM32</f>
        <v>5.3211706575446605E-2</v>
      </c>
      <c r="BN39" s="184">
        <f>BN38/BN32</f>
        <v>5.9669811320754725E-2</v>
      </c>
      <c r="BO39" s="184">
        <f>BO38/BO32</f>
        <v>5.9367771781033148E-2</v>
      </c>
      <c r="BP39" s="184">
        <f>BP38/BP32</f>
        <v>6.8174870070314891E-2</v>
      </c>
      <c r="BQ39" s="184">
        <f>BQ38/BQ32</f>
        <v>6.045854271356782E-2</v>
      </c>
      <c r="BS39" s="184">
        <f>BS38/BS32</f>
        <v>0.10946483856700572</v>
      </c>
      <c r="BT39" s="184">
        <f>BT38/BT32</f>
        <v>0.10851217747769472</v>
      </c>
      <c r="BU39" s="184">
        <f>BU38/BU32</f>
        <v>0.1243889190657252</v>
      </c>
      <c r="BV39" s="184">
        <f>BV38/BV32</f>
        <v>6.7304625199362089E-2</v>
      </c>
      <c r="BW39" s="184">
        <f>BW38/BW32</f>
        <v>0.10422316931421934</v>
      </c>
      <c r="BY39" s="184">
        <f>BY38/BY32</f>
        <v>0.11764705882352952</v>
      </c>
      <c r="BZ39" s="184">
        <f>BZ38/BZ32</f>
        <v>0.11682476285571641</v>
      </c>
      <c r="CA39" s="184">
        <f>CA38/CA32</f>
        <v>0.14251678579163962</v>
      </c>
      <c r="CB39" s="184">
        <f>CB38/CB32</f>
        <v>0.17688420127444524</v>
      </c>
      <c r="CC39" s="184">
        <f>CC38/CC32</f>
        <v>0.14236606563756657</v>
      </c>
      <c r="CE39" s="184">
        <f>CE38/CE32</f>
        <v>0.13174572690608799</v>
      </c>
      <c r="CF39" s="184">
        <f>CF38/CF32</f>
        <v>0.14440366972477076</v>
      </c>
      <c r="CG39" s="184">
        <f>CG38/CG32</f>
        <v>0.13372725859119891</v>
      </c>
      <c r="CH39" s="184">
        <f>CH38/CH32</f>
        <v>0.10500610500610498</v>
      </c>
      <c r="CI39" s="184">
        <f>CI38/CI32</f>
        <v>0.12702890551535231</v>
      </c>
      <c r="CK39" s="184">
        <f>CK38/CK32</f>
        <v>0.11777742599335128</v>
      </c>
      <c r="CL39" s="184">
        <f>CL38/CL32</f>
        <v>0.15643189755529685</v>
      </c>
      <c r="CM39" s="184">
        <f>CM38/CM32</f>
        <v>0.16005928121526494</v>
      </c>
      <c r="CN39" s="184">
        <f>CN38/CN32</f>
        <v>4.9604156358238491E-2</v>
      </c>
      <c r="CO39" s="184">
        <f>CO38/CO32</f>
        <v>0.11971399387129723</v>
      </c>
      <c r="CQ39" s="184">
        <f>CQ38/CQ32</f>
        <v>-5.2083333333333336E-2</v>
      </c>
      <c r="CR39" s="184">
        <f>CR38/CR32</f>
        <v>3.9187525646286414E-2</v>
      </c>
      <c r="CS39" s="184">
        <f>CS38/CS32</f>
        <v>9.5560129373713595E-2</v>
      </c>
      <c r="CT39" s="184">
        <f>CT38/CT32</f>
        <v>9.7908147216105731E-2</v>
      </c>
      <c r="CU39" s="184">
        <f>CU38/CU32</f>
        <v>6.9279722302574481E-2</v>
      </c>
      <c r="CW39" s="184">
        <f>CW38/CW32</f>
        <v>0.11678304839874794</v>
      </c>
      <c r="CX39" s="184">
        <f>CX38/CX32</f>
        <v>0.18530066815144769</v>
      </c>
      <c r="CY39" s="184">
        <f>CY38/CY32</f>
        <v>0.13788819875776398</v>
      </c>
      <c r="CZ39" s="184">
        <f>CZ38/CZ32</f>
        <v>0.11379287290231996</v>
      </c>
      <c r="DA39" s="184">
        <f>DA38/DA32</f>
        <v>0.13733349931532426</v>
      </c>
      <c r="DC39" s="184">
        <f>DC38/DC32</f>
        <v>0.14872457216661289</v>
      </c>
      <c r="DD39" s="184">
        <f>DD38/DD32</f>
        <v>0.16612430849332899</v>
      </c>
      <c r="DE39" s="184">
        <f>DE38/DE32</f>
        <v>0.14192162615255655</v>
      </c>
      <c r="DF39" s="184">
        <f>DF38/DF32</f>
        <v>0.15651312530955916</v>
      </c>
      <c r="DG39" s="184">
        <f>DG38/DG32</f>
        <v>0.15232272015509657</v>
      </c>
      <c r="DI39" s="184">
        <f>DI38/DI32</f>
        <v>0.14876462938881677</v>
      </c>
      <c r="DJ39" s="184">
        <f>DJ38/DJ32</f>
        <v>0.14988432972117374</v>
      </c>
      <c r="DK39" s="184">
        <f>DK38/DK32</f>
        <v>0.13101798897785177</v>
      </c>
      <c r="DL39" s="184">
        <f>DL38/DL32</f>
        <v>0.16845033237471124</v>
      </c>
      <c r="DM39" s="184">
        <f>DM38/DM32</f>
        <v>0.15023001502455047</v>
      </c>
      <c r="DO39" s="184">
        <f>DO38/DO32</f>
        <v>0.13647844127728664</v>
      </c>
      <c r="DP39" s="184">
        <f>DP38/DP32</f>
        <v>0.17717243496951354</v>
      </c>
      <c r="DQ39" s="184">
        <f>DQ38/DQ32</f>
        <v>0.15697647864809319</v>
      </c>
      <c r="DR39" s="184">
        <f>DR38/DR32</f>
        <v>0.1608610404238455</v>
      </c>
      <c r="DS39" s="184">
        <f>DS38/DS32</f>
        <v>0.15806682446193651</v>
      </c>
      <c r="DT39" s="184"/>
      <c r="DU39" s="184">
        <f>DU38/DU32</f>
        <v>0.1580135440180587</v>
      </c>
      <c r="DV39" s="184">
        <f>DV38/DV32</f>
        <v>0.15998244362758551</v>
      </c>
      <c r="DW39" s="184">
        <f>DW38/DW32</f>
        <v>0.1807900344205868</v>
      </c>
      <c r="DX39" s="184">
        <f>DX38/DX32</f>
        <v>0.21530773120742483</v>
      </c>
      <c r="DY39" s="184">
        <f>DY38/DY32</f>
        <v>0.18585773688401314</v>
      </c>
      <c r="EA39" s="184">
        <f>EA38/EA32</f>
        <v>0.16687596426393028</v>
      </c>
      <c r="EB39" s="184">
        <f>EB38/EB32</f>
        <v>0.1812637137863066</v>
      </c>
      <c r="EC39" s="184">
        <f>EC38/EC32</f>
        <v>0.17774740734785752</v>
      </c>
      <c r="ED39" s="184">
        <f>ED38/ED32</f>
        <v>0.17771894882576697</v>
      </c>
      <c r="EE39" s="331">
        <f>EE38/EE32</f>
        <v>0.17591747103490094</v>
      </c>
      <c r="EG39" s="184">
        <f>EG38/EG32</f>
        <v>0.1709032923740737</v>
      </c>
      <c r="EH39" s="184">
        <f>EH38/EH32</f>
        <v>0.16500000000000001</v>
      </c>
      <c r="EI39" s="184">
        <f>EI38/EI32</f>
        <v>0.17</v>
      </c>
      <c r="EJ39" s="184">
        <f>EJ38/EJ32</f>
        <v>0.16500000000000001</v>
      </c>
      <c r="EK39" s="331">
        <f>EK38/EK32</f>
        <v>0.16772841111692888</v>
      </c>
      <c r="ET39" s="97">
        <v>0.30924831915483714</v>
      </c>
      <c r="EU39" s="97">
        <v>0.30126434866606422</v>
      </c>
      <c r="EV39" s="97">
        <v>0.32699657555188649</v>
      </c>
      <c r="EW39" s="97">
        <v>0.32400193288124179</v>
      </c>
      <c r="EX39" s="184">
        <f t="shared" ref="EX39:FX39" si="19">EX38/EX32</f>
        <v>-6.0655074143630777E-2</v>
      </c>
      <c r="EY39" s="184">
        <f t="shared" si="19"/>
        <v>-5.8099232225645288E-2</v>
      </c>
      <c r="EZ39" s="184">
        <f t="shared" si="19"/>
        <v>-8.9990894533539742E-2</v>
      </c>
      <c r="FA39" s="184">
        <f t="shared" si="19"/>
        <v>-5.8042256713979279E-2</v>
      </c>
      <c r="FB39" s="184">
        <f t="shared" si="19"/>
        <v>4.8184827602528336E-3</v>
      </c>
      <c r="FC39" s="184">
        <f t="shared" si="19"/>
        <v>1.1678823440411885E-2</v>
      </c>
      <c r="FD39" s="184">
        <f t="shared" si="19"/>
        <v>-6.7680865613431368E-2</v>
      </c>
      <c r="FE39" s="184">
        <f t="shared" si="19"/>
        <v>-4.5436928863934162E-2</v>
      </c>
      <c r="FF39" s="184">
        <f t="shared" si="19"/>
        <v>3.7371806014253515E-3</v>
      </c>
      <c r="FG39" s="184">
        <f t="shared" si="19"/>
        <v>6.6472787702534265E-3</v>
      </c>
      <c r="FH39" s="184">
        <f t="shared" si="19"/>
        <v>6.045854271356782E-2</v>
      </c>
      <c r="FI39" s="184">
        <f t="shared" si="19"/>
        <v>0.10422316931421934</v>
      </c>
      <c r="FJ39" s="184">
        <f t="shared" si="19"/>
        <v>0.14236606563756657</v>
      </c>
      <c r="FK39" s="184">
        <f t="shared" si="19"/>
        <v>0.12702890551535231</v>
      </c>
      <c r="FL39" s="184">
        <f t="shared" si="19"/>
        <v>0.11971399387129723</v>
      </c>
      <c r="FM39" s="184">
        <f t="shared" si="19"/>
        <v>6.9279722302574481E-2</v>
      </c>
      <c r="FN39" s="184">
        <f t="shared" si="19"/>
        <v>0.13733349931532426</v>
      </c>
      <c r="FO39" s="184">
        <f t="shared" si="19"/>
        <v>0.15232272015509657</v>
      </c>
      <c r="FP39" s="184">
        <f t="shared" si="19"/>
        <v>0.15023001502455047</v>
      </c>
      <c r="FQ39" s="184">
        <f>FQ38/FQ32</f>
        <v>0.15806682446193651</v>
      </c>
      <c r="FR39" s="184">
        <f>FR38/FR32</f>
        <v>0.18585773688401314</v>
      </c>
      <c r="FS39" s="184">
        <f t="shared" si="19"/>
        <v>0.17591747103490094</v>
      </c>
      <c r="FT39" s="184">
        <f t="shared" si="19"/>
        <v>0.16772841111692899</v>
      </c>
      <c r="FU39" s="184">
        <f t="shared" si="19"/>
        <v>0.155</v>
      </c>
      <c r="FV39" s="184">
        <f>FV38/FV32</f>
        <v>0.155</v>
      </c>
      <c r="FW39" s="184">
        <f t="shared" si="19"/>
        <v>0.155</v>
      </c>
      <c r="FX39" s="184">
        <f t="shared" ca="1" si="19"/>
        <v>0.155</v>
      </c>
      <c r="GF39" s="131">
        <v>0.16500000000000001</v>
      </c>
      <c r="GH39" s="131">
        <v>0.16500000000000001</v>
      </c>
    </row>
    <row r="40" spans="2:190" x14ac:dyDescent="0.25">
      <c r="C40" s="74"/>
      <c r="D40" s="74"/>
      <c r="E40" s="184"/>
      <c r="F40" s="184"/>
      <c r="G40" s="184"/>
      <c r="H40" s="184"/>
      <c r="I40" s="184"/>
      <c r="J40" s="74"/>
      <c r="K40" s="184"/>
      <c r="L40" s="184"/>
      <c r="M40" s="184"/>
      <c r="N40" s="184"/>
      <c r="O40" s="184"/>
      <c r="P40" s="74"/>
      <c r="Q40" s="184"/>
      <c r="R40" s="184"/>
      <c r="S40" s="184"/>
      <c r="T40" s="184"/>
      <c r="U40" s="184"/>
      <c r="W40" s="184"/>
      <c r="X40" s="184"/>
      <c r="Y40" s="184"/>
      <c r="Z40" s="184"/>
      <c r="AA40" s="184"/>
      <c r="AC40" s="184"/>
      <c r="AD40" s="160"/>
      <c r="AE40" s="160"/>
      <c r="AF40" s="160"/>
      <c r="AG40" s="184"/>
      <c r="AI40" s="160"/>
      <c r="AJ40" s="160"/>
      <c r="AK40" s="160"/>
      <c r="AL40" s="160"/>
      <c r="AM40" s="184"/>
      <c r="AO40" s="160"/>
      <c r="AP40" s="160"/>
      <c r="AQ40" s="160"/>
      <c r="AR40" s="160"/>
      <c r="AS40" s="184"/>
      <c r="AU40" s="160"/>
      <c r="AV40" s="160"/>
      <c r="AW40" s="160"/>
      <c r="AX40" s="160"/>
      <c r="AY40" s="184"/>
      <c r="BA40" s="160"/>
      <c r="BB40" s="160"/>
      <c r="BC40" s="160"/>
      <c r="BD40" s="184"/>
      <c r="BE40" s="184"/>
      <c r="BG40" s="160"/>
      <c r="BH40" s="160"/>
      <c r="BI40" s="160"/>
      <c r="BJ40" s="160"/>
      <c r="BK40" s="184"/>
      <c r="ET40" s="97"/>
      <c r="EU40" s="97"/>
      <c r="EV40" s="97"/>
      <c r="EW40" s="97"/>
    </row>
    <row r="41" spans="2:190" x14ac:dyDescent="0.25">
      <c r="B41" s="198" t="s">
        <v>334</v>
      </c>
      <c r="C41" s="74"/>
      <c r="D41" s="74"/>
      <c r="E41" s="184"/>
      <c r="F41" s="184"/>
      <c r="G41" s="184"/>
      <c r="H41" s="184"/>
      <c r="I41" s="184"/>
      <c r="J41" s="74"/>
      <c r="K41" s="184"/>
      <c r="L41" s="184"/>
      <c r="M41" s="184"/>
      <c r="N41" s="184"/>
      <c r="O41" s="184"/>
      <c r="P41" s="74"/>
      <c r="Q41" s="184"/>
      <c r="R41" s="184"/>
      <c r="S41" s="184"/>
      <c r="T41" s="184"/>
      <c r="U41" s="184"/>
      <c r="W41" s="184"/>
      <c r="X41" s="184"/>
      <c r="Y41" s="184"/>
      <c r="Z41" s="184"/>
      <c r="AA41" s="184"/>
      <c r="AC41" s="184"/>
      <c r="AD41" s="160"/>
      <c r="AE41" s="160"/>
      <c r="AF41" s="160"/>
      <c r="AG41" s="184"/>
      <c r="AI41" s="160"/>
      <c r="AJ41" s="160"/>
      <c r="AK41" s="160"/>
      <c r="AL41" s="160"/>
      <c r="AM41" s="184"/>
      <c r="AO41" s="160"/>
      <c r="AP41" s="160"/>
      <c r="AQ41" s="160"/>
      <c r="AR41" s="160"/>
      <c r="AS41" s="184"/>
      <c r="AU41" s="160"/>
      <c r="AV41" s="160"/>
      <c r="AW41" s="160"/>
      <c r="AX41" s="160"/>
      <c r="AY41" s="184"/>
      <c r="BA41" s="160"/>
      <c r="BB41" s="160"/>
      <c r="BC41" s="160"/>
      <c r="BD41" s="184"/>
      <c r="BE41" s="184"/>
      <c r="BG41" s="160"/>
      <c r="BH41" s="160"/>
      <c r="BI41" s="160"/>
      <c r="BJ41" s="160"/>
      <c r="BK41" s="184"/>
      <c r="BM41" s="196"/>
      <c r="BN41" s="196"/>
      <c r="BO41" s="196"/>
      <c r="BP41" s="196"/>
      <c r="BQ41" s="196"/>
      <c r="BS41" s="196"/>
      <c r="BT41" s="196"/>
      <c r="BU41" s="196"/>
      <c r="BV41" s="196"/>
      <c r="BW41" s="196"/>
      <c r="BY41" s="196"/>
      <c r="BZ41" s="196"/>
      <c r="CA41" s="196"/>
      <c r="CB41" s="196"/>
      <c r="CC41" s="196"/>
      <c r="CE41" s="196"/>
      <c r="CF41" s="196"/>
      <c r="CG41" s="196"/>
      <c r="CH41" s="196">
        <f>CH201</f>
        <v>-16.7</v>
      </c>
      <c r="CI41" s="196">
        <f>SUM(CE41:CH41)</f>
        <v>-16.7</v>
      </c>
      <c r="CK41" s="196">
        <f>CK201</f>
        <v>-17.600000000000001</v>
      </c>
      <c r="CL41" s="196">
        <f>CL201</f>
        <v>4.3</v>
      </c>
      <c r="CM41" s="196">
        <f>CM201</f>
        <v>0.3</v>
      </c>
      <c r="CN41" s="196">
        <f>CN201</f>
        <v>19.2</v>
      </c>
      <c r="CO41" s="196">
        <f>SUM(CK41:CN41)</f>
        <v>6.1999999999999993</v>
      </c>
      <c r="CQ41" s="196">
        <f>CQ201</f>
        <v>12</v>
      </c>
      <c r="CR41" s="196">
        <f>CR201</f>
        <v>7.7</v>
      </c>
      <c r="CS41" s="196">
        <f>CS201</f>
        <v>11.6</v>
      </c>
      <c r="CT41" s="196">
        <f>CT201</f>
        <v>-13.1</v>
      </c>
      <c r="CU41" s="196">
        <f>SUM(CQ41:CT41)</f>
        <v>18.199999999999996</v>
      </c>
      <c r="CW41" s="196">
        <f>CW201</f>
        <v>23.8</v>
      </c>
      <c r="CX41" s="196">
        <f>CX201</f>
        <v>19.399999999999999</v>
      </c>
      <c r="CY41" s="196">
        <f>CY201</f>
        <v>20.5</v>
      </c>
      <c r="CZ41" s="196">
        <f>CZ201</f>
        <v>25</v>
      </c>
      <c r="DA41" s="196">
        <f>SUM(CW41:CZ41)</f>
        <v>88.7</v>
      </c>
      <c r="DC41" s="196">
        <f>DC201</f>
        <v>13.2</v>
      </c>
      <c r="DD41" s="196">
        <f>DD201</f>
        <v>13.2</v>
      </c>
      <c r="DE41" s="196">
        <f>DE201</f>
        <v>102.3</v>
      </c>
      <c r="DF41" s="196">
        <f>DF201</f>
        <v>70.400000000000006</v>
      </c>
      <c r="DG41" s="196">
        <f>SUM(DC41:DF41)</f>
        <v>199.1</v>
      </c>
      <c r="DI41" s="196">
        <f>DI201</f>
        <v>40.700000000000003</v>
      </c>
      <c r="DJ41" s="196">
        <f>DJ201</f>
        <v>14.5</v>
      </c>
      <c r="DK41" s="196">
        <f>DK201</f>
        <v>30.1</v>
      </c>
      <c r="DL41" s="196">
        <f>DL201</f>
        <v>52.7</v>
      </c>
      <c r="DM41" s="196">
        <f>SUM(DI41:DL41)</f>
        <v>138</v>
      </c>
      <c r="DO41" s="196">
        <f>DO201</f>
        <v>41.2</v>
      </c>
      <c r="DP41" s="196">
        <f>DP201</f>
        <v>65.900000000000006</v>
      </c>
      <c r="DQ41" s="196">
        <f>DQ201</f>
        <v>47.6</v>
      </c>
      <c r="DR41" s="196">
        <f>DR201</f>
        <v>36.6</v>
      </c>
      <c r="DS41" s="196">
        <f>SUM(DO41:DR41)</f>
        <v>191.3</v>
      </c>
      <c r="DT41" s="196"/>
      <c r="DU41" s="196">
        <f>DU201</f>
        <v>30.2</v>
      </c>
      <c r="DV41" s="196">
        <f>DV201</f>
        <v>46.8</v>
      </c>
      <c r="DW41" s="196">
        <f>DW201</f>
        <v>77.3</v>
      </c>
      <c r="DX41" s="196">
        <f>DX201</f>
        <v>55.5</v>
      </c>
      <c r="DY41" s="196">
        <f>SUM(DU41:DX41)</f>
        <v>209.8</v>
      </c>
      <c r="EA41" s="196">
        <f>EA201</f>
        <v>33</v>
      </c>
      <c r="EB41" s="196">
        <f>EB201</f>
        <v>88.8</v>
      </c>
      <c r="EC41" s="196">
        <f>EC201</f>
        <v>78.900000000000006</v>
      </c>
      <c r="ED41" s="196">
        <f>ED201</f>
        <v>16</v>
      </c>
      <c r="EE41" s="196">
        <f>SUM(EA41:ED41)</f>
        <v>216.7</v>
      </c>
      <c r="EG41" s="196">
        <f>EG201</f>
        <v>104.6</v>
      </c>
      <c r="EH41" s="196">
        <f>EH201</f>
        <v>75</v>
      </c>
      <c r="EI41" s="196">
        <f>EI201</f>
        <v>75</v>
      </c>
      <c r="EJ41" s="196">
        <f>EJ201</f>
        <v>75</v>
      </c>
      <c r="EK41" s="196">
        <f>SUM(EG41:EJ41)</f>
        <v>329.6</v>
      </c>
      <c r="ET41" s="97"/>
      <c r="EU41" s="97"/>
      <c r="EV41" s="97"/>
      <c r="EW41" s="97"/>
      <c r="FF41" s="196"/>
      <c r="FG41" s="196"/>
      <c r="FH41" s="196"/>
      <c r="FI41" s="196"/>
      <c r="FJ41" s="196"/>
      <c r="FK41" s="196">
        <f>CI41</f>
        <v>-16.7</v>
      </c>
      <c r="FL41" s="196">
        <f>CO41</f>
        <v>6.1999999999999993</v>
      </c>
      <c r="FM41" s="77">
        <f>CU41</f>
        <v>18.199999999999996</v>
      </c>
      <c r="FN41" s="77">
        <f>DA41</f>
        <v>88.7</v>
      </c>
      <c r="FO41" s="77">
        <f>DG41</f>
        <v>199.1</v>
      </c>
      <c r="FP41" s="77">
        <f>DM41</f>
        <v>138</v>
      </c>
      <c r="FQ41" s="77">
        <f>DS41</f>
        <v>191.3</v>
      </c>
      <c r="FR41" s="77">
        <f>DY41</f>
        <v>209.8</v>
      </c>
      <c r="FS41" s="77">
        <f>EE41</f>
        <v>216.7</v>
      </c>
      <c r="FT41" s="196">
        <f>EK41</f>
        <v>329.6</v>
      </c>
      <c r="FU41" s="196">
        <f>FU201</f>
        <v>405.38929494080003</v>
      </c>
      <c r="FV41" s="196">
        <f>FV201</f>
        <v>319.76674650148391</v>
      </c>
      <c r="FW41" s="196">
        <f>FW201</f>
        <v>70.791599264676719</v>
      </c>
      <c r="FX41" s="196">
        <f>FX201</f>
        <v>99.648457058215968</v>
      </c>
      <c r="GF41" s="191">
        <f>EE41</f>
        <v>216.7</v>
      </c>
      <c r="GH41" s="191">
        <f>FX41</f>
        <v>99.648457058215968</v>
      </c>
    </row>
    <row r="42" spans="2:190" x14ac:dyDescent="0.25">
      <c r="C42" s="74"/>
      <c r="D42" s="74"/>
      <c r="E42" s="184"/>
      <c r="F42" s="184"/>
      <c r="G42" s="184"/>
      <c r="H42" s="184"/>
      <c r="I42" s="184"/>
      <c r="J42" s="74"/>
      <c r="K42" s="184"/>
      <c r="L42" s="184"/>
      <c r="M42" s="184"/>
      <c r="N42" s="184"/>
      <c r="O42" s="184"/>
      <c r="P42" s="74"/>
      <c r="Q42" s="184"/>
      <c r="R42" s="184"/>
      <c r="S42" s="184"/>
      <c r="T42" s="184"/>
      <c r="U42" s="184"/>
      <c r="W42" s="184"/>
      <c r="X42" s="184"/>
      <c r="Y42" s="184"/>
      <c r="Z42" s="184"/>
      <c r="AA42" s="184"/>
      <c r="AC42" s="184"/>
      <c r="AD42" s="160"/>
      <c r="AE42" s="160"/>
      <c r="AF42" s="160"/>
      <c r="AG42" s="184"/>
      <c r="AI42" s="160"/>
      <c r="AJ42" s="160"/>
      <c r="AK42" s="160"/>
      <c r="AL42" s="160"/>
      <c r="AM42" s="184"/>
      <c r="AO42" s="160"/>
      <c r="AP42" s="160"/>
      <c r="AQ42" s="160"/>
      <c r="AR42" s="160"/>
      <c r="AS42" s="184"/>
      <c r="AU42" s="160"/>
      <c r="AV42" s="160"/>
      <c r="AW42" s="160"/>
      <c r="AX42" s="160"/>
      <c r="AY42" s="184"/>
      <c r="BA42" s="160"/>
      <c r="BB42" s="160"/>
      <c r="BC42" s="160"/>
      <c r="BD42" s="184"/>
      <c r="BE42" s="184"/>
      <c r="BG42" s="160"/>
      <c r="BH42" s="160"/>
      <c r="BI42" s="160"/>
      <c r="BJ42" s="160"/>
      <c r="BK42" s="184"/>
      <c r="ET42" s="97"/>
      <c r="EU42" s="97"/>
      <c r="EV42" s="97"/>
      <c r="EW42" s="97"/>
    </row>
    <row r="43" spans="2:190" x14ac:dyDescent="0.25">
      <c r="B43" s="74" t="s">
        <v>333</v>
      </c>
      <c r="E43" s="87">
        <f>E32-E38</f>
        <v>-432478.51500000001</v>
      </c>
      <c r="F43" s="87">
        <f>F32-F38</f>
        <v>-550283.74200000009</v>
      </c>
      <c r="G43" s="87">
        <f>G32-G38</f>
        <v>-568949.52799999993</v>
      </c>
      <c r="H43" s="87">
        <f>H32-H38</f>
        <v>-675739.83799999999</v>
      </c>
      <c r="I43" s="87">
        <f>I32-I38</f>
        <v>-2227451.6229999997</v>
      </c>
      <c r="K43" s="87">
        <f>K32-K38</f>
        <v>-583733.32000000007</v>
      </c>
      <c r="L43" s="87">
        <f>L32-L38</f>
        <v>-650686.73499999999</v>
      </c>
      <c r="M43" s="87">
        <f>M32-M38</f>
        <v>-484853.84700000001</v>
      </c>
      <c r="N43" s="87">
        <f>N32-N38</f>
        <v>-530974.13100000005</v>
      </c>
      <c r="O43" s="87">
        <f>O32-O38</f>
        <v>-2250248.0329999998</v>
      </c>
      <c r="Q43" s="87">
        <f>Q32-Q38</f>
        <v>-548726.61</v>
      </c>
      <c r="R43" s="87">
        <f>R32-R38</f>
        <v>-773700.24600000004</v>
      </c>
      <c r="S43" s="87">
        <f>S32-S38</f>
        <v>-785456.56700000004</v>
      </c>
      <c r="T43" s="87">
        <f>T32-T38</f>
        <v>-860933.473</v>
      </c>
      <c r="U43" s="87">
        <f>U32-U38</f>
        <v>-2968817.8960000002</v>
      </c>
      <c r="W43" s="87">
        <f>W32-W38</f>
        <v>-805982.75699999998</v>
      </c>
      <c r="X43" s="87">
        <f>X32-X38</f>
        <v>-769786.77800000005</v>
      </c>
      <c r="Y43" s="87">
        <f>Y32-Y38</f>
        <v>-767160.62600000005</v>
      </c>
      <c r="Z43" s="87">
        <f>Z32-Z38</f>
        <v>-765863.11300000001</v>
      </c>
      <c r="AA43" s="87">
        <f>AA32-AA38</f>
        <v>-3117038.2740000002</v>
      </c>
      <c r="AC43" s="87">
        <f>AC32-AC38</f>
        <v>-773165.79200000002</v>
      </c>
      <c r="AD43" s="87">
        <f>AD32-AD38</f>
        <v>-651335.84299999999</v>
      </c>
      <c r="AE43" s="87">
        <f>AE32-AE38</f>
        <v>-622502.50699999998</v>
      </c>
      <c r="AF43" s="87">
        <f>AF32-AF38</f>
        <v>-581350.17999999993</v>
      </c>
      <c r="AG43" s="87">
        <f>AG32-AG38</f>
        <v>-2628354.3219999997</v>
      </c>
      <c r="AI43" s="87">
        <f>AI32-AI38</f>
        <v>-300632.375</v>
      </c>
      <c r="AJ43" s="87">
        <f>AJ32-AJ38</f>
        <v>-380276.4</v>
      </c>
      <c r="AK43" s="87">
        <f>AK32-AK38</f>
        <v>-534977.728</v>
      </c>
      <c r="AL43" s="87">
        <f>AL32-AL38</f>
        <v>-529505.43400000001</v>
      </c>
      <c r="AM43" s="87">
        <f>AM32-AM38</f>
        <v>-1745391.9369999999</v>
      </c>
      <c r="AO43" s="87">
        <f>AO32-AO38</f>
        <v>-633758.19999999995</v>
      </c>
      <c r="AP43" s="87">
        <f>AP32-AP38</f>
        <v>-828431.3</v>
      </c>
      <c r="AQ43" s="87">
        <f>AQ32-AQ38</f>
        <v>-906324</v>
      </c>
      <c r="AR43" s="87">
        <f>AR32-AR38</f>
        <v>-1113078.6000000001</v>
      </c>
      <c r="AS43" s="87">
        <f>AS32-AS38</f>
        <v>-3481592.1</v>
      </c>
      <c r="AU43" s="87">
        <f>AU32-AU38</f>
        <v>-1055747.8</v>
      </c>
      <c r="AV43" s="87">
        <f>AV32-AV38</f>
        <v>-1095770.6000000001</v>
      </c>
      <c r="AW43" s="87">
        <f>AW32-AW38</f>
        <v>-1101841.5</v>
      </c>
      <c r="AX43" s="87">
        <f>AX32-AX38</f>
        <v>-924989.1</v>
      </c>
      <c r="AY43" s="87">
        <f>AY32-AY38</f>
        <v>-4178349</v>
      </c>
      <c r="BA43" s="87">
        <f>BA32-BA38</f>
        <v>282.00000000000011</v>
      </c>
      <c r="BB43" s="87">
        <f>BB32-BB38</f>
        <v>291.90000000000009</v>
      </c>
      <c r="BC43" s="87">
        <f>BC32-BC38</f>
        <v>274.7</v>
      </c>
      <c r="BD43" s="87">
        <f>BD32-BD38</f>
        <v>297.70000000000005</v>
      </c>
      <c r="BE43" s="87">
        <f>BE32-BE38</f>
        <v>1146.2999999999968</v>
      </c>
      <c r="BG43" s="87">
        <f>BG32-BG38</f>
        <v>96.199999999999918</v>
      </c>
      <c r="BH43" s="87">
        <f>BH32-BH38</f>
        <v>277.10000000000002</v>
      </c>
      <c r="BI43" s="87">
        <f>BI32-BI38</f>
        <v>267.10000000000002</v>
      </c>
      <c r="BJ43" s="87">
        <f>BJ32-BJ38</f>
        <v>555.10000000000014</v>
      </c>
      <c r="BK43" s="87">
        <f>BK32-BK38</f>
        <v>1195.5000000000002</v>
      </c>
      <c r="BM43" s="87">
        <f>BM32-BM38+BM41</f>
        <v>249.09999999999997</v>
      </c>
      <c r="BN43" s="87">
        <f>BN32-BN38+BN41</f>
        <v>398.69999999999993</v>
      </c>
      <c r="BO43" s="87">
        <f>BO32-BO38+BO41</f>
        <v>244.00000000000003</v>
      </c>
      <c r="BP43" s="87">
        <f>BP32-BP38+BP41</f>
        <v>304.79999999999995</v>
      </c>
      <c r="BQ43" s="87">
        <f>BQ32-BQ38+BQ41</f>
        <v>1196.6000000000004</v>
      </c>
      <c r="BS43" s="87">
        <f>BS32-BS38+BS41</f>
        <v>402.70000000000016</v>
      </c>
      <c r="BT43" s="87">
        <f>BT32-BT38+BT41</f>
        <v>369.7</v>
      </c>
      <c r="BU43" s="87">
        <f>BU32-BU38+BU41</f>
        <v>322.39999999999981</v>
      </c>
      <c r="BV43" s="87">
        <f>BV32-BV38+BV41</f>
        <v>292.39999999999981</v>
      </c>
      <c r="BW43" s="87">
        <f>BW32-BW38+BW41</f>
        <v>1387.1999999999994</v>
      </c>
      <c r="BY43" s="87">
        <f>BY32-BY38+BY41</f>
        <v>197.99999999999977</v>
      </c>
      <c r="BZ43" s="87">
        <f>BZ32-BZ38+BZ41</f>
        <v>353.8</v>
      </c>
      <c r="CA43" s="87">
        <f>CA32-CA38+CA41</f>
        <v>395.89999999999986</v>
      </c>
      <c r="CB43" s="87">
        <f>CB32-CB38+CB41</f>
        <v>374.59999999999985</v>
      </c>
      <c r="CC43" s="87">
        <f>CC32-CC38+CC41</f>
        <v>1322.299999999999</v>
      </c>
      <c r="CE43" s="87">
        <f>CE32-CE38+CE41</f>
        <v>452.0999999999998</v>
      </c>
      <c r="CF43" s="87">
        <f>CF32-CF38+CF41</f>
        <v>466.29999999999956</v>
      </c>
      <c r="CG43" s="87">
        <f>CG32-CG38+CG41</f>
        <v>557.09999999999991</v>
      </c>
      <c r="CH43" s="87">
        <f>CH32-CH38+CH41</f>
        <v>643.00000000000023</v>
      </c>
      <c r="CI43" s="87">
        <f>CI32-CI38+CI41</f>
        <v>2118.4999999999991</v>
      </c>
      <c r="CK43" s="87">
        <f>CK32-CK38+CK41</f>
        <v>539.70000000000005</v>
      </c>
      <c r="CL43" s="87">
        <f>CL32-CL38+CL41</f>
        <v>584</v>
      </c>
      <c r="CM43" s="87">
        <f>CM32-CM38+CM41</f>
        <v>680.39999999999975</v>
      </c>
      <c r="CN43" s="87">
        <f>CN32-CN38+CN41</f>
        <v>787.50000000000011</v>
      </c>
      <c r="CO43" s="87">
        <f>CO32-CO38+CO41</f>
        <v>2591.6000000000004</v>
      </c>
      <c r="CQ43" s="87">
        <f>CQ32-CQ38+CQ41</f>
        <v>355.4</v>
      </c>
      <c r="CR43" s="87">
        <f>CR32-CR38+CR41</f>
        <v>476.00000000000006</v>
      </c>
      <c r="CS43" s="87">
        <f>CS32-CS38+CS41</f>
        <v>626.80000000000018</v>
      </c>
      <c r="CT43" s="87">
        <f>CT32-CT38+CT41</f>
        <v>1133.9999999999995</v>
      </c>
      <c r="CU43" s="87">
        <f>CU32-CU38+CU41</f>
        <v>2592.1999999999998</v>
      </c>
      <c r="CW43" s="87">
        <f>CW32-CW38+CW41</f>
        <v>390.59999999999985</v>
      </c>
      <c r="CX43" s="87">
        <f>CX32-CX38+CX41</f>
        <v>750.99999999999989</v>
      </c>
      <c r="CY43" s="87">
        <f>CY32-CY38+CY41</f>
        <v>1061.5</v>
      </c>
      <c r="CZ43" s="87">
        <f>CZ32-CZ38+CZ41</f>
        <v>1350.5000000000002</v>
      </c>
      <c r="DA43" s="87">
        <f>DA32-DA38+DA41</f>
        <v>3553.6</v>
      </c>
      <c r="DC43" s="87">
        <f>DC32-DC38+DC41</f>
        <v>1331.3999999999999</v>
      </c>
      <c r="DD43" s="87">
        <f>DD32-DD38+DD41</f>
        <v>1038.2</v>
      </c>
      <c r="DE43" s="87">
        <f>DE32-DE38+DE41</f>
        <v>1740.2</v>
      </c>
      <c r="DF43" s="87">
        <f>DF32-DF38+DF41</f>
        <v>1773.4000000000003</v>
      </c>
      <c r="DG43" s="87">
        <f>DG32-DG38+DG41</f>
        <v>5883.2000000000007</v>
      </c>
      <c r="DI43" s="87">
        <f>DI32-DI38+DI41</f>
        <v>695.2999999999995</v>
      </c>
      <c r="DJ43" s="87">
        <f>DJ32-DJ38+DJ41</f>
        <v>1410.9</v>
      </c>
      <c r="DK43" s="87">
        <f>DK32-DK38+DK41</f>
        <v>1701.4999999999993</v>
      </c>
      <c r="DL43" s="87">
        <f>DL32-DL38+DL41</f>
        <v>1816.5</v>
      </c>
      <c r="DM43" s="87">
        <f>DM32-DM38+DM41</f>
        <v>5624.1999999999989</v>
      </c>
      <c r="DO43" s="87">
        <f>DO32-DO38+DO41</f>
        <v>1955.8000000000009</v>
      </c>
      <c r="DP43" s="87">
        <f>DP32-DP38+DP41</f>
        <v>1941.6999999999998</v>
      </c>
      <c r="DQ43" s="87">
        <f>DQ32-DQ38+DQ41</f>
        <v>1893.3999999999994</v>
      </c>
      <c r="DR43" s="87">
        <f>DR32-DR38+DR41</f>
        <v>2048.1</v>
      </c>
      <c r="DS43" s="87">
        <f>DS32-DS38+DS41</f>
        <v>7839</v>
      </c>
      <c r="DT43" s="87"/>
      <c r="DU43" s="87">
        <f>DU32-DU38+DU41</f>
        <v>1223.8</v>
      </c>
      <c r="DV43" s="87">
        <f>DV32-DV38+DV41</f>
        <v>1577.8999999999994</v>
      </c>
      <c r="DW43" s="87">
        <f>DW32-DW38+DW41</f>
        <v>2076.4999999999995</v>
      </c>
      <c r="DX43" s="87">
        <f>DX32-DX38+DX41</f>
        <v>2693.3999999999996</v>
      </c>
      <c r="DY43" s="87">
        <f>DY32-DY38+DY41</f>
        <v>7571.5999999999976</v>
      </c>
      <c r="EA43" s="87">
        <f>EA32-EA38+EA41</f>
        <v>2354.9999999999995</v>
      </c>
      <c r="EB43" s="87">
        <f>EB32-EB38+EB41</f>
        <v>2290.3000000000011</v>
      </c>
      <c r="EC43" s="87">
        <f>EC32-EC38+EC41</f>
        <v>2124.5</v>
      </c>
      <c r="ED43" s="87">
        <f>ED32-ED38+ED41</f>
        <v>2878.6395199999997</v>
      </c>
      <c r="EE43" s="87">
        <f>EE32-EE38+EE41</f>
        <v>9648.4395200000017</v>
      </c>
      <c r="EG43" s="87">
        <f>EG32-EG38+EG41</f>
        <v>2756.3000000000006</v>
      </c>
      <c r="EH43" s="87">
        <f>EH32-EH38+EH41</f>
        <v>2589.8118511999996</v>
      </c>
      <c r="EI43" s="87">
        <f>EI32-EI38+EI41</f>
        <v>3149.6816898427332</v>
      </c>
      <c r="EJ43" s="87">
        <f>EJ32-EJ38+EJ41</f>
        <v>3243.0793377950276</v>
      </c>
      <c r="EK43" s="87">
        <f>EK32-EK38+EK41</f>
        <v>11738.872878837765</v>
      </c>
      <c r="ET43" s="87">
        <v>381058</v>
      </c>
      <c r="EU43" s="87">
        <v>-415202</v>
      </c>
      <c r="EV43" s="87">
        <v>-88045</v>
      </c>
      <c r="EW43" s="87">
        <v>-124506</v>
      </c>
      <c r="EX43" s="87">
        <f t="shared" ref="EX43:FE43" si="20">EX32-EX38</f>
        <v>-2227451.6229999997</v>
      </c>
      <c r="EY43" s="87">
        <f t="shared" si="20"/>
        <v>-2250248.0329999998</v>
      </c>
      <c r="EZ43" s="87">
        <f t="shared" si="20"/>
        <v>-2968817.8960000002</v>
      </c>
      <c r="FA43" s="87">
        <f t="shared" si="20"/>
        <v>-3117038.2740000002</v>
      </c>
      <c r="FB43" s="87">
        <f t="shared" si="20"/>
        <v>-2628354.3219999997</v>
      </c>
      <c r="FC43" s="87">
        <f t="shared" si="20"/>
        <v>-1745391.9369999999</v>
      </c>
      <c r="FD43" s="87">
        <f t="shared" si="20"/>
        <v>-3481592.1</v>
      </c>
      <c r="FE43" s="87">
        <f t="shared" si="20"/>
        <v>-4178349</v>
      </c>
      <c r="FF43" s="87">
        <f t="shared" ref="FF43:FP43" si="21">FF32-FF38+FF41</f>
        <v>1146.2999999999968</v>
      </c>
      <c r="FG43" s="87">
        <f t="shared" si="21"/>
        <v>1195.5000000000002</v>
      </c>
      <c r="FH43" s="87">
        <f t="shared" si="21"/>
        <v>1196.6000000000004</v>
      </c>
      <c r="FI43" s="87">
        <f t="shared" si="21"/>
        <v>1387.1999999999994</v>
      </c>
      <c r="FJ43" s="87">
        <f t="shared" si="21"/>
        <v>1322.299999999999</v>
      </c>
      <c r="FK43" s="87">
        <f t="shared" si="21"/>
        <v>2118.4999999999991</v>
      </c>
      <c r="FL43" s="87">
        <f t="shared" si="21"/>
        <v>2591.6000000000004</v>
      </c>
      <c r="FM43" s="87">
        <f t="shared" si="21"/>
        <v>2592.1999999999998</v>
      </c>
      <c r="FN43" s="87">
        <f t="shared" si="21"/>
        <v>3553.6</v>
      </c>
      <c r="FO43" s="87">
        <f t="shared" si="21"/>
        <v>5883.2000000000007</v>
      </c>
      <c r="FP43" s="87">
        <f t="shared" si="21"/>
        <v>5624.1999999999989</v>
      </c>
      <c r="FQ43" s="87">
        <f t="shared" ref="FQ43:FX43" si="22">FQ32-FQ38+FQ41</f>
        <v>7839</v>
      </c>
      <c r="FR43" s="87">
        <f t="shared" si="22"/>
        <v>7571.5999999999976</v>
      </c>
      <c r="FS43" s="87">
        <f t="shared" si="22"/>
        <v>9648.4395200000017</v>
      </c>
      <c r="FT43" s="87">
        <f t="shared" si="22"/>
        <v>11738.872878837758</v>
      </c>
      <c r="FU43" s="87">
        <f t="shared" si="22"/>
        <v>17575.202041925051</v>
      </c>
      <c r="FV43" s="87">
        <f>FV32-FV38+FV41</f>
        <v>14031.636578975642</v>
      </c>
      <c r="FW43" s="87">
        <f>FW32-FW38+FW41</f>
        <v>3686.9300172311114</v>
      </c>
      <c r="FX43" s="87">
        <f t="shared" ca="1" si="22"/>
        <v>4997.3254704312812</v>
      </c>
      <c r="GF43" s="87">
        <f>GF32-GF38+GF41</f>
        <v>11493.041000000001</v>
      </c>
      <c r="GH43" s="87">
        <f ca="1">GH32-GH38+GH41</f>
        <v>24706.433258241712</v>
      </c>
    </row>
    <row r="44" spans="2:190" x14ac:dyDescent="0.25">
      <c r="C44" s="74"/>
      <c r="D44" s="74"/>
      <c r="E44" s="188">
        <f>E43/E$9</f>
        <v>-953.67766298775041</v>
      </c>
      <c r="F44" s="188">
        <f>F43/F$9</f>
        <v>-892.94377030399619</v>
      </c>
      <c r="G44" s="188">
        <f>G43/G$9</f>
        <v>-931.98300331546727</v>
      </c>
      <c r="H44" s="188">
        <f>H43/H$9</f>
        <v>-860.63747099324723</v>
      </c>
      <c r="I44" s="188">
        <f>I43/I$9</f>
        <v>-903.4933087312811</v>
      </c>
      <c r="J44" s="74"/>
      <c r="K44" s="188">
        <f>K43/K$9</f>
        <v>-852.56370859379581</v>
      </c>
      <c r="L44" s="188">
        <f>L43/L$9</f>
        <v>-852.50435300976721</v>
      </c>
      <c r="M44" s="188">
        <f>M43/M$9</f>
        <v>-909.40845685947556</v>
      </c>
      <c r="N44" s="188">
        <f>N43/N$9</f>
        <v>-969.16257536016826</v>
      </c>
      <c r="O44" s="188">
        <f>O43/O$9</f>
        <v>-889.78940136427229</v>
      </c>
      <c r="P44" s="74"/>
      <c r="Q44" s="188">
        <f>Q43/Q$9</f>
        <v>-871.83878040642526</v>
      </c>
      <c r="R44" s="188">
        <f>R43/R$9</f>
        <v>-821.55238629196162</v>
      </c>
      <c r="S44" s="188">
        <f>S43/S$9</f>
        <v>-819.52162227302279</v>
      </c>
      <c r="T44" s="188">
        <f>T43/T$9</f>
        <v>-806.47465872057569</v>
      </c>
      <c r="U44" s="188">
        <f>U43/U$9</f>
        <v>-825.33557439540255</v>
      </c>
      <c r="W44" s="188">
        <f>W43/W$9</f>
        <v>-839.35291066948685</v>
      </c>
      <c r="X44" s="188">
        <f>X43/X$9</f>
        <v>-827.53017881752965</v>
      </c>
      <c r="Y44" s="188">
        <f>Y43/Y$9</f>
        <v>-821.04235134967371</v>
      </c>
      <c r="Z44" s="188">
        <f>Z43/Z$9</f>
        <v>-787.20664681509777</v>
      </c>
      <c r="AA44" s="188">
        <f>AA43/AA$9</f>
        <v>-820.76439269183732</v>
      </c>
      <c r="AC44" s="188">
        <f>AC43/AC$9</f>
        <v>-841.12169606878967</v>
      </c>
      <c r="AD44" s="188">
        <f>AD43/AD$9</f>
        <v>-771.58140369623186</v>
      </c>
      <c r="AE44" s="188">
        <f>AE43/AE$9</f>
        <v>-893.7670687286161</v>
      </c>
      <c r="AF44" s="188">
        <f>AF43/AF$9</f>
        <v>-1177.2511846421771</v>
      </c>
      <c r="AG44" s="188">
        <f>AG43/AG$9</f>
        <v>-889.85810978718712</v>
      </c>
      <c r="AI44" s="188">
        <f>AI43/AI$9</f>
        <v>-1637.208304969367</v>
      </c>
      <c r="AJ44" s="188">
        <f>AJ43/AJ$9</f>
        <v>-1374.8242950108463</v>
      </c>
      <c r="AK44" s="188">
        <f>AK43/AK$9</f>
        <v>-963.45165612528649</v>
      </c>
      <c r="AL44" s="188">
        <f>AL43/AL$9</f>
        <v>-912.05036808907164</v>
      </c>
      <c r="AM44" s="188">
        <f>AM43/AM$9</f>
        <v>-1093.5608036775491</v>
      </c>
      <c r="AO44" s="188">
        <f>AO43/AO$9</f>
        <v>-854.35184685899151</v>
      </c>
      <c r="AP44" s="188">
        <f>AP43/AP$9</f>
        <v>-775.176663235707</v>
      </c>
      <c r="AQ44" s="188">
        <f>AQ43/AQ$9</f>
        <v>-770.68367346938771</v>
      </c>
      <c r="AR44" s="188">
        <f>AR43/AR$9</f>
        <v>-731.61469698961491</v>
      </c>
      <c r="AS44" s="188">
        <f>AS43/AS$9</f>
        <v>-772.3312628940306</v>
      </c>
      <c r="AU44" s="188">
        <f>AU43/AU$9</f>
        <v>-726.99889822338525</v>
      </c>
      <c r="AV44" s="188">
        <f>AV43/AV$9</f>
        <v>-716.47090362233564</v>
      </c>
      <c r="AW44" s="188">
        <f>AW43/AW$9</f>
        <v>-755.46211861501547</v>
      </c>
      <c r="AX44" s="188">
        <f>AX43/AX$9</f>
        <v>-763.88562226443139</v>
      </c>
      <c r="AY44" s="188">
        <f>AY43/AY$9</f>
        <v>-739.3999292160679</v>
      </c>
      <c r="BA44" s="188">
        <f>BA43/BA$9</f>
        <v>0.22525760843517861</v>
      </c>
      <c r="BB44" s="188">
        <f>BB43/BB$9</f>
        <v>0.23776166815997399</v>
      </c>
      <c r="BC44" s="188">
        <f>BC43/BC$9</f>
        <v>0.22355143229166666</v>
      </c>
      <c r="BD44" s="188">
        <f>BD43/BD$9</f>
        <v>0.2909783989834816</v>
      </c>
      <c r="BE44" s="188">
        <f>BE43/BE$9</f>
        <v>0.24226989326851878</v>
      </c>
      <c r="BG44" s="188">
        <f>BG43/BG$9</f>
        <v>0.10783544445689937</v>
      </c>
      <c r="BH44" s="188">
        <f>BH43/BH$9</f>
        <v>0.22737343070484944</v>
      </c>
      <c r="BI44" s="188">
        <f>BI43/BI$9</f>
        <v>0.19185461858928315</v>
      </c>
      <c r="BJ44" s="188">
        <f>BJ43/BJ$9</f>
        <v>0.28876866253966604</v>
      </c>
      <c r="BK44" s="188">
        <f>BK43/BK$9</f>
        <v>0.2203564779827844</v>
      </c>
      <c r="BM44" s="188">
        <f>BM43/BM$9</f>
        <v>0.17837450769781593</v>
      </c>
      <c r="BN44" s="188">
        <f>BN43/BN$9</f>
        <v>0.24257726940861521</v>
      </c>
      <c r="BO44" s="188">
        <f>BO43/BO$9</f>
        <v>0.18454091665406142</v>
      </c>
      <c r="BP44" s="188">
        <f>BP43/BP$9</f>
        <v>0.20401606425702809</v>
      </c>
      <c r="BQ44" s="188">
        <f>BQ43/BQ$9</f>
        <v>0.20432696412410573</v>
      </c>
      <c r="BS44" s="188">
        <f>BS43/BS$9</f>
        <v>0.24407539850900062</v>
      </c>
      <c r="BT44" s="188">
        <f>BT43/BT$9</f>
        <v>0.22350522942990148</v>
      </c>
      <c r="BU44" s="188">
        <f>BU43/BU$9</f>
        <v>0.20810741027627153</v>
      </c>
      <c r="BV44" s="188">
        <f>BV43/BV$9</f>
        <v>0.20387672570073898</v>
      </c>
      <c r="BW44" s="188">
        <f>BW43/BW$9</f>
        <v>0.22063173966981572</v>
      </c>
      <c r="BY44" s="188">
        <f>BY43/BY$9</f>
        <v>0.14851485148514837</v>
      </c>
      <c r="BZ44" s="188">
        <f>BZ43/BZ$9</f>
        <v>0.20338008737640836</v>
      </c>
      <c r="CA44" s="188">
        <f>CA43/CA$9</f>
        <v>0.21817480436459818</v>
      </c>
      <c r="CB44" s="188">
        <f>CB43/CB$9</f>
        <v>0.19639299570095411</v>
      </c>
      <c r="CC44" s="188">
        <f>CC43/CC$9</f>
        <v>0.19460469771001343</v>
      </c>
      <c r="CE44" s="188">
        <f>CE43/CE$9</f>
        <v>0.23260959045070992</v>
      </c>
      <c r="CF44" s="188">
        <f>CF43/CF$9</f>
        <v>0.22189968592366976</v>
      </c>
      <c r="CG44" s="188">
        <f>CG43/CG$9</f>
        <v>0.22762932091198818</v>
      </c>
      <c r="CH44" s="188">
        <f>CH43/CH$9</f>
        <v>0.2511326355256992</v>
      </c>
      <c r="CI44" s="188">
        <f>CI43/CI$9</f>
        <v>0.23401599505125478</v>
      </c>
      <c r="CK44" s="188">
        <f>CK43/CK$9</f>
        <v>0.23619256017505472</v>
      </c>
      <c r="CL44" s="188">
        <f>CL43/CL$9</f>
        <v>0.21310757553641804</v>
      </c>
      <c r="CM44" s="188">
        <f>CM43/CM$9</f>
        <v>0.24509203558949597</v>
      </c>
      <c r="CN44" s="188">
        <f>CN43/CN$9</f>
        <v>0.25059665871121722</v>
      </c>
      <c r="CO44" s="188">
        <f>CO43/CO$9</f>
        <v>0.2368055555555556</v>
      </c>
      <c r="CQ44" s="188">
        <f>CQ43/CQ$9</f>
        <v>0.15943654389663989</v>
      </c>
      <c r="CR44" s="188">
        <f>CR43/CR$9</f>
        <v>0.18536547373340084</v>
      </c>
      <c r="CS44" s="188">
        <f>CS43/CS$9</f>
        <v>0.2098777833584464</v>
      </c>
      <c r="CT44" s="188">
        <f>CT43/CT$9</f>
        <v>0.28094341492418978</v>
      </c>
      <c r="CU44" s="188">
        <f>CU43/CU$9</f>
        <v>0.2193081159739084</v>
      </c>
      <c r="CW44" s="188">
        <f>CW43/CW$9</f>
        <v>0.1600426124723428</v>
      </c>
      <c r="CX44" s="188">
        <f>CX43/CX$9</f>
        <v>0.22581712120756531</v>
      </c>
      <c r="CY44" s="188">
        <f>CY43/CY$9</f>
        <v>0.26819100555836278</v>
      </c>
      <c r="CZ44" s="188">
        <f>CZ43/CZ$9</f>
        <v>0.31745845184645405</v>
      </c>
      <c r="DA44" s="188">
        <f>DA43/DA$9</f>
        <v>0.25422079780232359</v>
      </c>
      <c r="DC44" s="188">
        <f>DC43/DC$9</f>
        <v>0.30509406723343796</v>
      </c>
      <c r="DD44" s="188">
        <f>DD43/DD$9</f>
        <v>0.25824585841500425</v>
      </c>
      <c r="DE44" s="188">
        <f>DE43/DE$9</f>
        <v>0.33201686604468356</v>
      </c>
      <c r="DF44" s="188">
        <f>DF43/DF$9</f>
        <v>0.35570442875481389</v>
      </c>
      <c r="DG44" s="188">
        <f>DG43/DG$9</f>
        <v>0.31611412605448397</v>
      </c>
      <c r="DI44" s="188">
        <f>DI43/DI$9</f>
        <v>0.19672363060208226</v>
      </c>
      <c r="DJ44" s="188">
        <f>DJ43/DJ$9</f>
        <v>0.25981033054046593</v>
      </c>
      <c r="DK44" s="188">
        <f>DK43/DK$9</f>
        <v>0.29446376962082266</v>
      </c>
      <c r="DL44" s="188">
        <f>DL43/DL$9</f>
        <v>0.28249510124101895</v>
      </c>
      <c r="DM44" s="188">
        <f>DM43/DM$9</f>
        <v>0.26562573795422556</v>
      </c>
      <c r="DO44" s="188">
        <f>DO43/DO$9</f>
        <v>0.28991135750496583</v>
      </c>
      <c r="DP44" s="188">
        <f>DP43/DP$9</f>
        <v>0.28131202642597392</v>
      </c>
      <c r="DQ44" s="188">
        <f>DQ43/DQ$9</f>
        <v>0.28374044657575292</v>
      </c>
      <c r="DR44" s="188">
        <f>DR43/DR$9</f>
        <v>0.28300400718529778</v>
      </c>
      <c r="DS44" s="188">
        <f>DS43/DS$9</f>
        <v>0.28444944391022736</v>
      </c>
      <c r="DT44" s="188"/>
      <c r="DU44" s="188">
        <f>DU43/DU$9</f>
        <v>0.23134215500945179</v>
      </c>
      <c r="DV44" s="188">
        <f>DV43/DV$9</f>
        <v>0.25275517396040231</v>
      </c>
      <c r="DW44" s="188">
        <f>DW43/DW$9</f>
        <v>0.27807909150563115</v>
      </c>
      <c r="DX44" s="188">
        <f>DX43/DX$9</f>
        <v>0.29077600725482572</v>
      </c>
      <c r="DY44" s="188">
        <f>DY43/DY$9</f>
        <v>0.26789890634011365</v>
      </c>
      <c r="EA44" s="188">
        <f>EA43/EA$9</f>
        <v>0.30420461150939737</v>
      </c>
      <c r="EB44" s="188">
        <f>EB43/EB$9</f>
        <v>0.297762523239336</v>
      </c>
      <c r="EC44" s="188">
        <f>EC43/EC$9</f>
        <v>0.28266365087812667</v>
      </c>
      <c r="ED44" s="188">
        <f>ED43/ED$9</f>
        <v>0.29621727927557107</v>
      </c>
      <c r="EE44" s="188">
        <f>EE43/EE$9</f>
        <v>0.29535557133761087</v>
      </c>
      <c r="EG44" s="188">
        <f>EG43/EG$9</f>
        <v>0.31441282153653116</v>
      </c>
      <c r="EH44" s="188">
        <f>EH43/EH$9</f>
        <v>0.3105513407679209</v>
      </c>
      <c r="EI44" s="188">
        <f>EI43/EI$9</f>
        <v>0.3105429322004174</v>
      </c>
      <c r="EJ44" s="188">
        <f>EJ43/EJ$9</f>
        <v>0.31108092825074535</v>
      </c>
      <c r="EK44" s="188">
        <f>EK43/EK$9</f>
        <v>0.31159417833200587</v>
      </c>
      <c r="ET44" s="136">
        <v>0.14257791014843058</v>
      </c>
      <c r="EU44" s="136">
        <v>-0.26125706073379407</v>
      </c>
      <c r="EV44" s="136">
        <v>-4.4951375217494302E-2</v>
      </c>
      <c r="EW44" s="136">
        <v>-8.0704617831814499E-2</v>
      </c>
      <c r="EX44" s="188">
        <f t="shared" ref="EX44:FL44" si="23">EX43/EX$9</f>
        <v>-903.4933087312811</v>
      </c>
      <c r="EY44" s="188">
        <f t="shared" si="23"/>
        <v>-889.78940136427229</v>
      </c>
      <c r="EZ44" s="188">
        <f t="shared" si="23"/>
        <v>-825.33557439540255</v>
      </c>
      <c r="FA44" s="188">
        <f t="shared" si="23"/>
        <v>-820.76439269183732</v>
      </c>
      <c r="FB44" s="188">
        <f t="shared" si="23"/>
        <v>-889.85810978718712</v>
      </c>
      <c r="FC44" s="188">
        <f t="shared" si="23"/>
        <v>-1093.5608036775491</v>
      </c>
      <c r="FD44" s="188">
        <f t="shared" si="23"/>
        <v>-772.3312628940306</v>
      </c>
      <c r="FE44" s="188">
        <f t="shared" si="23"/>
        <v>-739.3999292160679</v>
      </c>
      <c r="FF44" s="188">
        <f t="shared" si="23"/>
        <v>0.24226989326851878</v>
      </c>
      <c r="FG44" s="188">
        <f t="shared" si="23"/>
        <v>0.2203564779827844</v>
      </c>
      <c r="FH44" s="188">
        <f t="shared" si="23"/>
        <v>0.20432696412410573</v>
      </c>
      <c r="FI44" s="188">
        <f t="shared" si="23"/>
        <v>0.22063173966981572</v>
      </c>
      <c r="FJ44" s="188">
        <f t="shared" si="23"/>
        <v>0.19460469771001343</v>
      </c>
      <c r="FK44" s="188">
        <f t="shared" si="23"/>
        <v>0.23401599505125478</v>
      </c>
      <c r="FL44" s="188">
        <f t="shared" si="23"/>
        <v>0.2368055555555556</v>
      </c>
      <c r="FM44" s="188">
        <f t="shared" ref="FM44:FX44" si="24">FM43/FM$9</f>
        <v>0.2193081159739084</v>
      </c>
      <c r="FN44" s="188">
        <f t="shared" si="24"/>
        <v>0.25422079780232359</v>
      </c>
      <c r="FO44" s="188">
        <f t="shared" si="24"/>
        <v>0.31611412605448397</v>
      </c>
      <c r="FP44" s="188">
        <f t="shared" si="24"/>
        <v>0.26562573795422556</v>
      </c>
      <c r="FQ44" s="188">
        <f>FQ43/FQ$9</f>
        <v>0.28444944391022736</v>
      </c>
      <c r="FR44" s="188">
        <f>FR43/FR$9</f>
        <v>0.26789890634011365</v>
      </c>
      <c r="FS44" s="188">
        <f t="shared" si="24"/>
        <v>0.29535557133761087</v>
      </c>
      <c r="FT44" s="188">
        <f t="shared" si="24"/>
        <v>0.31159417833200576</v>
      </c>
      <c r="FU44" s="188">
        <f t="shared" si="24"/>
        <v>0.36605892780379523</v>
      </c>
      <c r="FV44" s="188">
        <f>FV43/FV$9</f>
        <v>0.339778513171486</v>
      </c>
      <c r="FW44" s="188">
        <f t="shared" ca="1" si="24"/>
        <v>0.16654681049039463</v>
      </c>
      <c r="FX44" s="188">
        <f t="shared" ca="1" si="24"/>
        <v>0.19264940132734315</v>
      </c>
      <c r="GF44" s="188">
        <f>GF43/GF$9</f>
        <v>0.32837260000000001</v>
      </c>
      <c r="GH44" s="188">
        <f ca="1">GH43/GH$9</f>
        <v>0.40849755700037771</v>
      </c>
    </row>
    <row r="45" spans="2:190" hidden="1" x14ac:dyDescent="0.25">
      <c r="B45" s="103" t="s">
        <v>332</v>
      </c>
      <c r="C45" s="74"/>
      <c r="D45" s="74"/>
      <c r="E45" s="87"/>
      <c r="F45" s="87"/>
      <c r="G45" s="87"/>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f>BG34-BG38</f>
        <v>-258.70000000000005</v>
      </c>
      <c r="BH45" s="87">
        <f>BH34-BH38</f>
        <v>-271.2</v>
      </c>
      <c r="BI45" s="87">
        <f>BI34-BI38</f>
        <v>-354.40000000000003</v>
      </c>
      <c r="BJ45" s="87">
        <f>BJ34-BJ38</f>
        <v>-341.8</v>
      </c>
      <c r="BK45" s="87">
        <f>BK34-BK38</f>
        <v>-1226.1000000000001</v>
      </c>
      <c r="BL45" s="74"/>
      <c r="BM45" s="87"/>
      <c r="BN45" s="87"/>
      <c r="BO45" s="87"/>
      <c r="BP45" s="87"/>
      <c r="BQ45" s="87"/>
      <c r="BR45" s="74"/>
      <c r="BS45" s="87"/>
      <c r="BT45" s="87"/>
      <c r="BU45" s="87"/>
      <c r="BV45" s="87"/>
      <c r="BW45" s="87"/>
      <c r="BY45" s="87"/>
      <c r="BZ45" s="87"/>
      <c r="CA45" s="87"/>
      <c r="CB45" s="87"/>
      <c r="CC45" s="87"/>
      <c r="CE45" s="87"/>
      <c r="CF45" s="87"/>
      <c r="CG45" s="87"/>
      <c r="CH45" s="87"/>
      <c r="CI45" s="87"/>
      <c r="CK45" s="87"/>
      <c r="CL45" s="87"/>
      <c r="CM45" s="87"/>
      <c r="CN45" s="87"/>
      <c r="CO45" s="87"/>
      <c r="CQ45" s="87"/>
      <c r="CR45" s="87"/>
      <c r="CS45" s="87"/>
      <c r="CT45" s="87"/>
      <c r="CU45" s="87"/>
      <c r="CW45" s="87"/>
      <c r="CX45" s="87"/>
      <c r="CY45" s="87"/>
      <c r="CZ45" s="87"/>
      <c r="DA45" s="87"/>
      <c r="DC45" s="87"/>
      <c r="DD45" s="87"/>
      <c r="DE45" s="87"/>
      <c r="DF45" s="87"/>
      <c r="DG45" s="87"/>
      <c r="DI45" s="87"/>
      <c r="DJ45" s="87"/>
      <c r="DK45" s="87"/>
      <c r="DL45" s="87"/>
      <c r="DM45" s="87"/>
      <c r="DO45" s="87"/>
      <c r="DP45" s="87"/>
      <c r="DQ45" s="87"/>
      <c r="DR45" s="87"/>
      <c r="DS45" s="87"/>
      <c r="DT45" s="87"/>
      <c r="DW45" s="87"/>
      <c r="DX45" s="87"/>
      <c r="ET45" s="114"/>
      <c r="EU45" s="114"/>
      <c r="EV45" s="114"/>
      <c r="EW45" s="114"/>
      <c r="EX45" s="87">
        <f t="shared" ref="EX45:FF45" si="25">EX34-EX38</f>
        <v>-127380</v>
      </c>
      <c r="EY45" s="87">
        <f t="shared" si="25"/>
        <v>-123559</v>
      </c>
      <c r="EZ45" s="87">
        <f t="shared" si="25"/>
        <v>-245109</v>
      </c>
      <c r="FA45" s="87">
        <f t="shared" si="25"/>
        <v>-170995</v>
      </c>
      <c r="FB45" s="87">
        <f t="shared" si="25"/>
        <v>12726</v>
      </c>
      <c r="FC45" s="87">
        <f t="shared" si="25"/>
        <v>20625</v>
      </c>
      <c r="FD45" s="87">
        <f t="shared" si="25"/>
        <v>-220700</v>
      </c>
      <c r="FE45" s="87">
        <f t="shared" si="25"/>
        <v>-181600</v>
      </c>
      <c r="FF45" s="87">
        <f t="shared" si="25"/>
        <v>-4.2999999999999972</v>
      </c>
      <c r="FG45" s="87"/>
      <c r="FH45" s="87"/>
      <c r="FI45" s="87"/>
      <c r="FJ45" s="87"/>
      <c r="FK45" s="87"/>
      <c r="FL45" s="87"/>
      <c r="FM45" s="87"/>
      <c r="FN45" s="87"/>
    </row>
    <row r="46" spans="2:190" hidden="1" x14ac:dyDescent="0.25">
      <c r="B46" s="205"/>
      <c r="C46" s="74"/>
      <c r="D46" s="74"/>
      <c r="E46" s="199"/>
      <c r="F46" s="199"/>
      <c r="G46" s="199"/>
      <c r="H46" s="199"/>
      <c r="I46" s="199"/>
      <c r="J46" s="199"/>
      <c r="K46" s="199"/>
      <c r="L46" s="199"/>
      <c r="M46" s="199"/>
      <c r="N46" s="199"/>
      <c r="O46" s="199"/>
      <c r="P46" s="199"/>
      <c r="Q46" s="199"/>
      <c r="R46" s="199"/>
      <c r="S46" s="199"/>
      <c r="T46" s="199"/>
      <c r="U46" s="199"/>
      <c r="V46" s="199"/>
      <c r="W46" s="199"/>
      <c r="X46" s="199"/>
      <c r="Y46" s="199"/>
      <c r="Z46" s="199"/>
      <c r="AA46" s="199"/>
      <c r="AB46" s="199"/>
      <c r="AC46" s="199"/>
      <c r="AD46" s="199"/>
      <c r="AE46" s="199"/>
      <c r="AF46" s="199"/>
      <c r="AG46" s="199"/>
      <c r="AH46" s="199"/>
      <c r="AI46" s="199"/>
      <c r="AJ46" s="199"/>
      <c r="AK46" s="199"/>
      <c r="AL46" s="199"/>
      <c r="AM46" s="199"/>
      <c r="AN46" s="199"/>
      <c r="AO46" s="199"/>
      <c r="AP46" s="199"/>
      <c r="AQ46" s="199"/>
      <c r="AR46" s="199"/>
      <c r="AS46" s="199"/>
      <c r="AT46" s="199"/>
      <c r="AU46" s="199"/>
      <c r="AV46" s="199"/>
      <c r="AW46" s="199"/>
      <c r="AX46" s="199"/>
      <c r="AY46" s="199"/>
      <c r="AZ46" s="199"/>
      <c r="BA46" s="199"/>
      <c r="BB46" s="199"/>
      <c r="BC46" s="199"/>
      <c r="BD46" s="199"/>
      <c r="BE46" s="199"/>
      <c r="BF46" s="199"/>
      <c r="BG46" s="204">
        <f>BG45/BG$9</f>
        <v>-0.28998991144490538</v>
      </c>
      <c r="BH46" s="204">
        <f>BH45/BH$9</f>
        <v>-0.22253220644949534</v>
      </c>
      <c r="BI46" s="204">
        <f>BI45/BI$9</f>
        <v>-0.25456112627496053</v>
      </c>
      <c r="BJ46" s="204">
        <f>BJ45/BJ$9</f>
        <v>-0.17780783436508349</v>
      </c>
      <c r="BK46" s="204">
        <f>BK45/BK$9</f>
        <v>-0.22599671907544286</v>
      </c>
      <c r="BL46" s="74"/>
      <c r="BM46" s="204"/>
      <c r="BN46" s="204"/>
      <c r="BO46" s="204"/>
      <c r="BP46" s="204"/>
      <c r="BQ46" s="204"/>
      <c r="BR46" s="74"/>
      <c r="BS46" s="204"/>
      <c r="BT46" s="204"/>
      <c r="BU46" s="204"/>
      <c r="BV46" s="204"/>
      <c r="BW46" s="204"/>
      <c r="BY46" s="204"/>
      <c r="BZ46" s="204"/>
      <c r="CA46" s="204"/>
      <c r="CB46" s="204"/>
      <c r="CC46" s="204"/>
      <c r="CE46" s="204"/>
      <c r="CF46" s="204"/>
      <c r="CG46" s="204"/>
      <c r="CH46" s="204"/>
      <c r="CI46" s="204"/>
      <c r="CK46" s="204"/>
      <c r="CL46" s="204"/>
      <c r="CM46" s="204"/>
      <c r="CN46" s="204"/>
      <c r="CO46" s="204"/>
      <c r="CQ46" s="204"/>
      <c r="CR46" s="204"/>
      <c r="CS46" s="204"/>
      <c r="CT46" s="204"/>
      <c r="CU46" s="204"/>
      <c r="CW46" s="204"/>
      <c r="CX46" s="204"/>
      <c r="CY46" s="204"/>
      <c r="CZ46" s="204"/>
      <c r="DA46" s="204"/>
      <c r="DC46" s="204"/>
      <c r="DD46" s="204"/>
      <c r="DE46" s="204"/>
      <c r="DF46" s="204"/>
      <c r="DG46" s="204"/>
      <c r="DI46" s="204"/>
      <c r="DJ46" s="204"/>
      <c r="DK46" s="204"/>
      <c r="DL46" s="204"/>
      <c r="DM46" s="204"/>
      <c r="DO46" s="204"/>
      <c r="DP46" s="204"/>
      <c r="DQ46" s="204"/>
      <c r="DR46" s="204"/>
      <c r="DS46" s="204"/>
      <c r="DT46" s="204"/>
      <c r="DW46" s="204"/>
      <c r="DX46" s="204"/>
      <c r="ET46" s="114"/>
      <c r="EU46" s="114"/>
      <c r="EV46" s="114"/>
      <c r="EW46" s="114"/>
      <c r="EX46" s="204">
        <f t="shared" ref="EX46:FF46" si="26">EX45/EX$9</f>
        <v>-51.667554292913415</v>
      </c>
      <c r="EY46" s="204">
        <f t="shared" si="26"/>
        <v>-48.857497942835948</v>
      </c>
      <c r="EZ46" s="204">
        <f t="shared" si="26"/>
        <v>-68.140648699620584</v>
      </c>
      <c r="FA46" s="204">
        <f t="shared" si="26"/>
        <v>-45.025628494525414</v>
      </c>
      <c r="FB46" s="204">
        <f t="shared" si="26"/>
        <v>4.3085265218483526</v>
      </c>
      <c r="FC46" s="204">
        <f t="shared" si="26"/>
        <v>12.922422235212521</v>
      </c>
      <c r="FD46" s="204">
        <f t="shared" si="26"/>
        <v>-48.958495086403872</v>
      </c>
      <c r="FE46" s="204">
        <f t="shared" si="26"/>
        <v>-32.135905149531055</v>
      </c>
      <c r="FF46" s="204">
        <f t="shared" si="26"/>
        <v>-9.0880270527316843E-4</v>
      </c>
      <c r="FG46" s="204"/>
      <c r="FH46" s="204"/>
      <c r="FI46" s="204"/>
      <c r="FJ46" s="204"/>
      <c r="FK46" s="204"/>
      <c r="FL46" s="204"/>
      <c r="FM46" s="204"/>
      <c r="FN46" s="204"/>
      <c r="FP46" s="74"/>
      <c r="FQ46" s="74"/>
    </row>
    <row r="47" spans="2:190" x14ac:dyDescent="0.25">
      <c r="B47" s="144"/>
      <c r="C47" s="74"/>
      <c r="D47" s="74"/>
      <c r="E47" s="239"/>
      <c r="F47" s="239"/>
      <c r="G47" s="239"/>
      <c r="H47" s="239"/>
      <c r="I47" s="239"/>
      <c r="J47" s="74"/>
      <c r="K47" s="74"/>
      <c r="L47" s="239"/>
      <c r="M47" s="239"/>
      <c r="N47" s="239"/>
      <c r="O47" s="239"/>
      <c r="P47" s="74"/>
      <c r="Q47" s="74"/>
      <c r="R47" s="239"/>
      <c r="S47" s="239"/>
      <c r="T47" s="239"/>
      <c r="U47" s="239"/>
      <c r="W47" s="74"/>
      <c r="X47" s="239"/>
      <c r="Y47" s="239"/>
      <c r="Z47" s="199">
        <f>(Y50-Z50)/(Z337/22)</f>
        <v>-0.63784956958646899</v>
      </c>
      <c r="AA47" s="239"/>
      <c r="AC47" s="74"/>
      <c r="AD47" s="239"/>
      <c r="AE47" s="239"/>
      <c r="AF47" s="239"/>
      <c r="AG47" s="239"/>
      <c r="AI47" s="239"/>
      <c r="AJ47" s="239"/>
      <c r="AK47" s="239"/>
      <c r="AL47" s="239"/>
      <c r="AM47" s="239"/>
      <c r="ET47" s="165"/>
      <c r="EU47" s="165"/>
      <c r="EV47" s="165"/>
      <c r="EW47" s="165"/>
      <c r="EX47" s="140">
        <f>I43</f>
        <v>-2227451.6229999997</v>
      </c>
      <c r="EY47" s="140">
        <f>O43</f>
        <v>-2250248.0329999998</v>
      </c>
      <c r="EZ47" s="140">
        <f>U43</f>
        <v>-2968817.8960000002</v>
      </c>
      <c r="FA47" s="140">
        <f>AA43</f>
        <v>-3117038.2740000002</v>
      </c>
      <c r="FB47" s="140">
        <f>AG43</f>
        <v>-2628354.3219999997</v>
      </c>
      <c r="FC47" s="140">
        <f>AM43</f>
        <v>-1745391.9369999999</v>
      </c>
      <c r="FD47" s="140">
        <f>AS43</f>
        <v>-3481592.1</v>
      </c>
      <c r="FE47" s="140">
        <f>AY43</f>
        <v>-4178349</v>
      </c>
      <c r="FF47" s="140"/>
      <c r="FG47" s="140"/>
      <c r="FH47" s="140"/>
      <c r="FI47" s="140"/>
      <c r="FJ47" s="140"/>
      <c r="FK47" s="140"/>
      <c r="FL47" s="140"/>
      <c r="FP47" s="74"/>
      <c r="FQ47" s="74"/>
    </row>
    <row r="48" spans="2:190" x14ac:dyDescent="0.25">
      <c r="B48" s="109"/>
      <c r="C48" s="74"/>
      <c r="D48" s="74"/>
      <c r="E48" s="74"/>
      <c r="F48" s="74"/>
      <c r="G48" s="74"/>
      <c r="H48" s="74"/>
      <c r="I48" s="74"/>
      <c r="J48" s="74"/>
      <c r="K48" s="74"/>
      <c r="L48" s="74"/>
      <c r="M48" s="74"/>
      <c r="N48" s="74"/>
      <c r="O48" s="74"/>
      <c r="P48" s="74"/>
      <c r="Q48" s="74"/>
      <c r="R48" s="74"/>
      <c r="S48" s="74"/>
      <c r="T48" s="74"/>
      <c r="U48" s="74"/>
      <c r="W48" s="74"/>
      <c r="X48" s="74"/>
      <c r="Y48" s="74"/>
      <c r="Z48" s="74"/>
      <c r="AA48" s="74"/>
      <c r="AC48" s="74"/>
      <c r="AD48" s="74"/>
      <c r="AE48" s="74"/>
      <c r="AF48" s="74"/>
      <c r="AG48" s="74"/>
      <c r="AI48" s="74"/>
      <c r="AJ48" s="74"/>
      <c r="AK48" s="74"/>
      <c r="AL48" s="74"/>
      <c r="AM48" s="74"/>
      <c r="AO48" s="74"/>
      <c r="AP48" s="74"/>
      <c r="AQ48" s="74"/>
      <c r="AR48" s="74"/>
      <c r="AS48" s="74"/>
      <c r="AU48" s="74"/>
      <c r="AV48" s="74"/>
      <c r="AW48" s="74"/>
      <c r="AX48" s="74"/>
      <c r="AY48" s="74"/>
      <c r="BA48" s="74"/>
      <c r="BB48" s="74"/>
      <c r="BC48" s="74"/>
      <c r="BD48" s="74"/>
      <c r="BE48" s="74"/>
      <c r="BG48" s="74"/>
      <c r="BH48" s="74"/>
      <c r="BI48" s="74"/>
      <c r="BJ48" s="74"/>
      <c r="BK48" s="74"/>
      <c r="ET48" s="114"/>
      <c r="EU48" s="114"/>
      <c r="EV48" s="114"/>
      <c r="EW48" s="114"/>
      <c r="FP48" s="74"/>
      <c r="FQ48" s="74"/>
    </row>
    <row r="49" spans="2:193" x14ac:dyDescent="0.25">
      <c r="B49" s="75" t="s">
        <v>331</v>
      </c>
      <c r="ET49" s="114"/>
      <c r="EU49" s="114"/>
      <c r="EV49" s="114"/>
      <c r="EW49" s="114"/>
      <c r="FP49" s="74"/>
      <c r="FQ49" s="74"/>
    </row>
    <row r="50" spans="2:193" x14ac:dyDescent="0.25">
      <c r="B50" s="200" t="s">
        <v>619</v>
      </c>
      <c r="C50" s="74"/>
      <c r="D50" s="74"/>
      <c r="E50" s="196">
        <f>483133*2-F50</f>
        <v>482864</v>
      </c>
      <c r="F50" s="196">
        <v>483402</v>
      </c>
      <c r="G50" s="196">
        <v>483605</v>
      </c>
      <c r="H50" s="196">
        <f>4*I50-G50-F50-E50</f>
        <v>483649</v>
      </c>
      <c r="I50" s="196">
        <v>483380</v>
      </c>
      <c r="J50" s="74"/>
      <c r="K50" s="196">
        <v>483787</v>
      </c>
      <c r="L50" s="196">
        <v>483787</v>
      </c>
      <c r="M50" s="196">
        <v>484157</v>
      </c>
      <c r="N50" s="196">
        <f>4*O50-M50-L50-K50</f>
        <v>484681</v>
      </c>
      <c r="O50" s="196">
        <v>484103</v>
      </c>
      <c r="P50" s="74"/>
      <c r="Q50" s="196">
        <v>484984</v>
      </c>
      <c r="R50" s="196">
        <v>479058</v>
      </c>
      <c r="S50" s="196">
        <v>460739</v>
      </c>
      <c r="T50" s="196">
        <v>474485</v>
      </c>
      <c r="U50" s="196">
        <v>474860</v>
      </c>
      <c r="W50" s="196">
        <v>473573</v>
      </c>
      <c r="X50" s="196">
        <v>470395</v>
      </c>
      <c r="Y50" s="196">
        <v>474557</v>
      </c>
      <c r="Z50" s="196">
        <v>439317</v>
      </c>
      <c r="AA50" s="196">
        <v>462406</v>
      </c>
      <c r="AC50" s="196">
        <v>431600</v>
      </c>
      <c r="AD50" s="196">
        <v>431221</v>
      </c>
      <c r="AE50" s="196">
        <v>431672</v>
      </c>
      <c r="AF50" s="196">
        <v>431989</v>
      </c>
      <c r="AG50" s="196">
        <v>431620</v>
      </c>
      <c r="AI50" s="196">
        <v>432112</v>
      </c>
      <c r="AJ50" s="196">
        <v>432454</v>
      </c>
      <c r="AK50" s="196">
        <v>432675</v>
      </c>
      <c r="AL50" s="196">
        <v>433230</v>
      </c>
      <c r="AM50" s="196">
        <f>AVERAGE(AI50,AJ50,AK50,AL50)</f>
        <v>432617.75</v>
      </c>
      <c r="AO50" s="196">
        <v>434000</v>
      </c>
      <c r="AP50" s="196">
        <v>435100</v>
      </c>
      <c r="AQ50" s="196">
        <v>435500</v>
      </c>
      <c r="AR50" s="196">
        <v>435900</v>
      </c>
      <c r="AS50" s="196">
        <v>435100</v>
      </c>
      <c r="AU50" s="196">
        <v>436600</v>
      </c>
      <c r="AV50" s="196">
        <v>429500</v>
      </c>
      <c r="AW50" s="196">
        <v>421900</v>
      </c>
      <c r="AX50" s="196">
        <v>415600</v>
      </c>
      <c r="AY50" s="196">
        <v>425600</v>
      </c>
      <c r="BA50" s="196">
        <v>411.8</v>
      </c>
      <c r="BB50" s="196">
        <v>409.5</v>
      </c>
      <c r="BC50" s="196">
        <v>422.5</v>
      </c>
      <c r="BD50" s="196">
        <v>452.5</v>
      </c>
      <c r="BE50" s="196">
        <f>AVERAGE(BA50,BB50,BC50,BD50)</f>
        <v>424.07499999999999</v>
      </c>
      <c r="BG50" s="196">
        <f>Financials!BG206</f>
        <v>407.5</v>
      </c>
      <c r="BH50" s="196">
        <f>Financials!BH206</f>
        <v>426.1</v>
      </c>
      <c r="BI50" s="196">
        <f>Financials!BI206</f>
        <v>443</v>
      </c>
      <c r="BJ50" s="196">
        <f>Financials!BJ206</f>
        <v>442</v>
      </c>
      <c r="BK50" s="196">
        <v>429.8</v>
      </c>
      <c r="BM50" s="196">
        <f>BM206</f>
        <v>440</v>
      </c>
      <c r="BN50" s="196">
        <f>BN206</f>
        <v>438.5</v>
      </c>
      <c r="BO50" s="196">
        <f>BO206</f>
        <v>436.1</v>
      </c>
      <c r="BP50" s="196">
        <f>BP206</f>
        <v>434.1</v>
      </c>
      <c r="BQ50" s="196">
        <f>AVERAGE(BM50,BN50,BO50,BP50)</f>
        <v>437.17499999999995</v>
      </c>
      <c r="BS50" s="196">
        <f>BS206</f>
        <v>432.6</v>
      </c>
      <c r="BT50" s="196">
        <f>BT206</f>
        <v>431.4</v>
      </c>
      <c r="BU50" s="196">
        <f>BU206</f>
        <v>429.9</v>
      </c>
      <c r="BV50" s="196">
        <f>BV206</f>
        <v>428.8</v>
      </c>
      <c r="BW50" s="196">
        <f>AVERAGE(BS50,BT50,BU50,BV50)</f>
        <v>430.67500000000001</v>
      </c>
      <c r="BY50" s="196">
        <f>BY206</f>
        <v>427</v>
      </c>
      <c r="BZ50" s="196">
        <f>BZ206</f>
        <v>424.5</v>
      </c>
      <c r="CA50" s="196">
        <f>CA206</f>
        <v>423.8</v>
      </c>
      <c r="CB50" s="196">
        <f>CB206</f>
        <v>427.1</v>
      </c>
      <c r="CC50" s="196">
        <f>AVERAGE(BY50,BZ50,CA50,CB50)</f>
        <v>425.6</v>
      </c>
      <c r="CE50" s="196">
        <f>CE206</f>
        <v>430.1</v>
      </c>
      <c r="CF50" s="196">
        <f>CF206</f>
        <v>430.4</v>
      </c>
      <c r="CG50" s="196">
        <f>CG206</f>
        <v>430.1</v>
      </c>
      <c r="CH50" s="196">
        <f>CH206</f>
        <v>428.4</v>
      </c>
      <c r="CI50" s="196">
        <f>AVERAGE(CE50,CF50,CG50,CH50)</f>
        <v>429.75</v>
      </c>
      <c r="CK50" s="196">
        <f>CK206</f>
        <v>427.2</v>
      </c>
      <c r="CL50" s="196">
        <f>CL206</f>
        <v>426</v>
      </c>
      <c r="CM50" s="196">
        <f>CM206</f>
        <v>424.3</v>
      </c>
      <c r="CN50" s="196">
        <f>CN206</f>
        <v>422.2</v>
      </c>
      <c r="CO50" s="196">
        <f>AVERAGE(CK50,CL50,CM50,CN50)</f>
        <v>424.92500000000001</v>
      </c>
      <c r="CQ50" s="196">
        <f>CQ206</f>
        <v>421.1</v>
      </c>
      <c r="CR50" s="196">
        <f>CR206</f>
        <v>421.1</v>
      </c>
      <c r="CS50" s="196">
        <f>CS206</f>
        <v>420.9</v>
      </c>
      <c r="CT50" s="196">
        <f>CT206</f>
        <v>420.1</v>
      </c>
      <c r="CU50" s="196">
        <f>AVERAGE(CQ50,CR50,CS50,CT50)</f>
        <v>420.79999999999995</v>
      </c>
      <c r="CW50" s="196">
        <f>CW206</f>
        <v>419</v>
      </c>
      <c r="CX50" s="196">
        <f>CX206</f>
        <v>418.4</v>
      </c>
      <c r="CY50" s="196">
        <f>CY206</f>
        <v>418.4</v>
      </c>
      <c r="CZ50" s="196">
        <f>CZ206</f>
        <v>417.5</v>
      </c>
      <c r="DA50" s="196">
        <f>AVERAGE(CW50,CX50,CY50,CZ50)</f>
        <v>418.32499999999999</v>
      </c>
      <c r="DC50" s="196">
        <f>DC206</f>
        <v>415.3</v>
      </c>
      <c r="DD50" s="196">
        <f>DD206</f>
        <v>411.5</v>
      </c>
      <c r="DE50" s="196">
        <f>DE206</f>
        <v>407.9</v>
      </c>
      <c r="DF50" s="196">
        <f>DF206</f>
        <v>404.3</v>
      </c>
      <c r="DG50" s="196">
        <f>AVERAGE(DC50,DD50,DE50,DF50)</f>
        <v>409.74999999999994</v>
      </c>
      <c r="DI50" s="196">
        <f>DI206</f>
        <v>401.1</v>
      </c>
      <c r="DJ50" s="196">
        <f>DJ206</f>
        <v>398.3</v>
      </c>
      <c r="DK50" s="196">
        <f>DK206</f>
        <v>396.2</v>
      </c>
      <c r="DL50" s="196">
        <f>DL206</f>
        <v>394.9</v>
      </c>
      <c r="DM50" s="196">
        <f>AVERAGE(DI50,DJ50,DK50,DL50)</f>
        <v>397.625</v>
      </c>
      <c r="DO50" s="196">
        <f>DO206</f>
        <v>394.5</v>
      </c>
      <c r="DP50" s="196">
        <f>DP206</f>
        <v>393.8</v>
      </c>
      <c r="DQ50" s="196">
        <f>DQ206</f>
        <v>393.7</v>
      </c>
      <c r="DR50" s="196">
        <f>DR206</f>
        <v>393.4</v>
      </c>
      <c r="DS50" s="196">
        <f>AVERAGE(DO50,DP50,DQ50,DR50)</f>
        <v>393.85</v>
      </c>
      <c r="DT50" s="196"/>
      <c r="DU50" s="196">
        <f>DU206</f>
        <v>393.4</v>
      </c>
      <c r="DV50" s="196">
        <f>DV206</f>
        <v>393.2</v>
      </c>
      <c r="DW50" s="196">
        <f>DW206</f>
        <v>393.2</v>
      </c>
      <c r="DX50" s="196">
        <f>DX206</f>
        <v>393.3</v>
      </c>
      <c r="DY50" s="196">
        <f>AVERAGE(DU50,DV50,DW50,DX50)</f>
        <v>393.27499999999998</v>
      </c>
      <c r="EA50" s="196">
        <f>EA206</f>
        <v>392.3</v>
      </c>
      <c r="EB50" s="196">
        <f>EB206</f>
        <v>388.2</v>
      </c>
      <c r="EC50" s="196">
        <f>EC206</f>
        <v>387.3</v>
      </c>
      <c r="ED50" s="196">
        <f>ED206</f>
        <v>385.5</v>
      </c>
      <c r="EE50" s="196">
        <f>AVERAGE(EA50,EB50,EC50,ED50)</f>
        <v>388.32499999999999</v>
      </c>
      <c r="EG50" s="196">
        <f>EG206</f>
        <v>385.4</v>
      </c>
      <c r="EH50" s="196">
        <f>EH206</f>
        <v>384.60848504036721</v>
      </c>
      <c r="EI50" s="196">
        <f>EI206</f>
        <v>383.81697008073445</v>
      </c>
      <c r="EJ50" s="196">
        <f>EJ206</f>
        <v>383.02545512110169</v>
      </c>
      <c r="EK50" s="196">
        <f>AVERAGE(EG50,EH50,EI50,EJ50)</f>
        <v>384.21272756055083</v>
      </c>
      <c r="ET50" s="77">
        <v>461887</v>
      </c>
      <c r="EU50" s="77">
        <v>465866</v>
      </c>
      <c r="EV50" s="77">
        <v>476866</v>
      </c>
      <c r="EW50" s="77">
        <v>482240</v>
      </c>
      <c r="EX50" s="196">
        <f>I50</f>
        <v>483380</v>
      </c>
      <c r="EY50" s="196">
        <f>O50</f>
        <v>484103</v>
      </c>
      <c r="EZ50" s="196">
        <f>U50</f>
        <v>474860</v>
      </c>
      <c r="FA50" s="196">
        <f>AA50</f>
        <v>462406</v>
      </c>
      <c r="FB50" s="196">
        <f>AG50</f>
        <v>431620</v>
      </c>
      <c r="FC50" s="196">
        <f>AM50</f>
        <v>432617.75</v>
      </c>
      <c r="FD50" s="196">
        <f>AS50</f>
        <v>435100</v>
      </c>
      <c r="FE50" s="196">
        <f>AY50</f>
        <v>425600</v>
      </c>
      <c r="FF50" s="196">
        <f>BE50</f>
        <v>424.07499999999999</v>
      </c>
      <c r="FG50" s="196">
        <f>BK50</f>
        <v>429.8</v>
      </c>
      <c r="FH50" s="196">
        <f>BQ50</f>
        <v>437.17499999999995</v>
      </c>
      <c r="FI50" s="196">
        <f>BW50</f>
        <v>430.67500000000001</v>
      </c>
      <c r="FJ50" s="196">
        <f>CC50</f>
        <v>425.6</v>
      </c>
      <c r="FK50" s="196">
        <f>CI50</f>
        <v>429.75</v>
      </c>
      <c r="FL50" s="196">
        <f>CO50</f>
        <v>424.92500000000001</v>
      </c>
      <c r="FM50" s="77">
        <f>CU50</f>
        <v>420.79999999999995</v>
      </c>
      <c r="FN50" s="77">
        <f>DA50</f>
        <v>418.32499999999999</v>
      </c>
      <c r="FO50" s="77">
        <f>DG50</f>
        <v>409.74999999999994</v>
      </c>
      <c r="FP50" s="77">
        <f>DM50</f>
        <v>397.625</v>
      </c>
      <c r="FQ50" s="77">
        <f>DS50</f>
        <v>393.85</v>
      </c>
      <c r="FR50" s="77">
        <f>DY50</f>
        <v>393.27499999999998</v>
      </c>
      <c r="FS50" s="77">
        <f>EE50</f>
        <v>388.32499999999999</v>
      </c>
      <c r="FT50" s="196">
        <f>EK50</f>
        <v>384.21272756055083</v>
      </c>
      <c r="FU50" s="196">
        <f>FU206</f>
        <v>377.88060788348895</v>
      </c>
      <c r="FV50" s="196">
        <f>FV206</f>
        <v>374.71454804495801</v>
      </c>
      <c r="FW50" s="196">
        <f>FW206</f>
        <v>371.54848820642707</v>
      </c>
      <c r="FX50" s="196">
        <f>FX206</f>
        <v>368.38242836789613</v>
      </c>
      <c r="GF50" s="191">
        <f>EE50</f>
        <v>388.32499999999999</v>
      </c>
      <c r="GH50" s="191">
        <f>FX50</f>
        <v>368.38242836789613</v>
      </c>
    </row>
    <row r="51" spans="2:193" x14ac:dyDescent="0.25">
      <c r="B51" s="200" t="s">
        <v>330</v>
      </c>
      <c r="C51" s="74"/>
      <c r="D51" s="74"/>
      <c r="E51" s="196">
        <f>E52-E50</f>
        <v>28299</v>
      </c>
      <c r="F51" s="196">
        <f>F52-F50</f>
        <v>28301</v>
      </c>
      <c r="G51" s="196">
        <f>G52-G50</f>
        <v>600</v>
      </c>
      <c r="H51" s="196">
        <f>H52-H50</f>
        <v>1012</v>
      </c>
      <c r="I51" s="196">
        <f>I52-I50</f>
        <v>1281</v>
      </c>
      <c r="J51" s="74"/>
      <c r="K51" s="196">
        <f>K52-K50</f>
        <v>58561</v>
      </c>
      <c r="L51" s="196">
        <f>L52-L50</f>
        <v>58561</v>
      </c>
      <c r="M51" s="196">
        <f>M52-M50</f>
        <v>1999</v>
      </c>
      <c r="N51" s="196">
        <f>N52-N50</f>
        <v>58298</v>
      </c>
      <c r="O51" s="196">
        <f>O52-O50</f>
        <v>58876</v>
      </c>
      <c r="P51" s="74"/>
      <c r="Q51" s="196">
        <v>5992.277</v>
      </c>
      <c r="R51" s="196">
        <f>R52-R50</f>
        <v>60145</v>
      </c>
      <c r="S51" s="196">
        <f>S52-S50</f>
        <v>60623</v>
      </c>
      <c r="T51" s="196">
        <f>T52-T50</f>
        <v>29090</v>
      </c>
      <c r="U51" s="196">
        <f>U52-U50</f>
        <v>29123</v>
      </c>
      <c r="W51" s="196">
        <f>W52-W50</f>
        <v>29040</v>
      </c>
      <c r="X51" s="196">
        <f>X52-X50</f>
        <v>29041</v>
      </c>
      <c r="Y51" s="196">
        <f>Y52-Y50</f>
        <v>7167</v>
      </c>
      <c r="Z51" s="196">
        <f>Z52-Z50</f>
        <v>5252</v>
      </c>
      <c r="AA51" s="196">
        <f>AA52-AA50</f>
        <v>23237</v>
      </c>
      <c r="AC51" s="196">
        <f>AC52-AC50</f>
        <v>3359</v>
      </c>
      <c r="AD51" s="196">
        <f>AD52-AD50</f>
        <v>3364</v>
      </c>
      <c r="AE51" s="196">
        <f>AE52-AE50</f>
        <v>2819</v>
      </c>
      <c r="AF51" s="196">
        <f>AF52-AF50</f>
        <v>0</v>
      </c>
      <c r="AG51" s="196">
        <f>AG52-AG50</f>
        <v>2585</v>
      </c>
      <c r="AI51" s="196">
        <f>AI52-AI50</f>
        <v>0</v>
      </c>
      <c r="AJ51" s="196">
        <f>AI51</f>
        <v>0</v>
      </c>
      <c r="AK51" s="196">
        <f>AJ51</f>
        <v>0</v>
      </c>
      <c r="AL51" s="196">
        <f>AK51</f>
        <v>0</v>
      </c>
      <c r="AM51" s="196">
        <f>AL51</f>
        <v>0</v>
      </c>
      <c r="AO51" s="196">
        <f>AO52-AO50</f>
        <v>3900</v>
      </c>
      <c r="AP51" s="196">
        <f>AP52-AP50</f>
        <v>3800</v>
      </c>
      <c r="AQ51" s="196">
        <f>AQ52-AQ50</f>
        <v>3800</v>
      </c>
      <c r="AR51" s="196">
        <f>AR52-AR50</f>
        <v>4000</v>
      </c>
      <c r="AS51" s="196">
        <f>AS52-AS50</f>
        <v>3900</v>
      </c>
      <c r="AU51" s="196">
        <f>AU52-AU50</f>
        <v>4000</v>
      </c>
      <c r="AV51" s="196">
        <f>AV52-AV50</f>
        <v>3400</v>
      </c>
      <c r="AW51" s="196">
        <f>AV51</f>
        <v>3400</v>
      </c>
      <c r="AX51" s="196">
        <f>AW51</f>
        <v>3400</v>
      </c>
      <c r="AY51" s="196">
        <f>AX51</f>
        <v>3400</v>
      </c>
      <c r="BA51" s="196">
        <v>3.2</v>
      </c>
      <c r="BB51" s="196">
        <f>BB52-BB50</f>
        <v>3.1999999999999886</v>
      </c>
      <c r="BC51" s="196">
        <f>BB51</f>
        <v>3.1999999999999886</v>
      </c>
      <c r="BD51" s="196">
        <f>BD52-BD50</f>
        <v>2.8999999999999773</v>
      </c>
      <c r="BE51" s="196">
        <f>BD51</f>
        <v>2.8999999999999773</v>
      </c>
      <c r="BG51" s="196">
        <f>BG52-BG50</f>
        <v>3.1000000000000227</v>
      </c>
      <c r="BH51" s="196">
        <f>BH52-BH50</f>
        <v>4.2999999999999545</v>
      </c>
      <c r="BI51" s="196">
        <f>BI52-BI50</f>
        <v>4.1000000000000227</v>
      </c>
      <c r="BJ51" s="196">
        <f>BJ52-BJ50</f>
        <v>3.6999999999999886</v>
      </c>
      <c r="BK51" s="196">
        <f>+BK52-BK50</f>
        <v>3.5999999999999659</v>
      </c>
      <c r="BM51" s="196">
        <f>BM52-BM50</f>
        <v>3.5</v>
      </c>
      <c r="BN51" s="196">
        <f>BN52-BN50</f>
        <v>3.1000000000000227</v>
      </c>
      <c r="BO51" s="196">
        <f>BO52-BO50</f>
        <v>2.8999999999999773</v>
      </c>
      <c r="BP51" s="196">
        <f>BP52-BP50</f>
        <v>2.5999999999999659</v>
      </c>
      <c r="BQ51" s="196">
        <f>AVERAGE(BM51,BN51,BO51,BP51)</f>
        <v>3.0249999999999915</v>
      </c>
      <c r="BS51" s="196">
        <f>BS52-BS50</f>
        <v>2.6999999999999886</v>
      </c>
      <c r="BT51" s="196">
        <f>BT52-BT50</f>
        <v>2.4000000000000341</v>
      </c>
      <c r="BU51" s="196">
        <f>BU52-BU50</f>
        <v>2.4000000000000341</v>
      </c>
      <c r="BV51" s="196">
        <f>BV52-BV50</f>
        <v>2</v>
      </c>
      <c r="BW51" s="196">
        <f>AVERAGE(BS51,BT51,BU51,BV51)</f>
        <v>2.3750000000000142</v>
      </c>
      <c r="BY51" s="196">
        <f>BY52-BY50</f>
        <v>2.1000000000000227</v>
      </c>
      <c r="BZ51" s="196">
        <f>BZ52-BZ50</f>
        <v>2</v>
      </c>
      <c r="CA51" s="196">
        <f>CA52-CA50</f>
        <v>2</v>
      </c>
      <c r="CB51" s="196">
        <f>CB52-CB50</f>
        <v>2.0999999999999659</v>
      </c>
      <c r="CC51" s="196">
        <f>AVERAGE(BY51,BZ51,CA51,CB51)</f>
        <v>2.0499999999999972</v>
      </c>
      <c r="CE51" s="196">
        <f>CE52-CE50</f>
        <v>2.1999999999999886</v>
      </c>
      <c r="CF51" s="196">
        <f>CF52-CF50</f>
        <v>2</v>
      </c>
      <c r="CG51" s="196">
        <f>CG52-CG50</f>
        <v>1.8999999999999773</v>
      </c>
      <c r="CH51" s="196">
        <f>CH52-CH50</f>
        <v>1.9000000000000341</v>
      </c>
      <c r="CI51" s="196">
        <f>AVERAGE(CE51,CF51,CG51,CH51)</f>
        <v>2</v>
      </c>
      <c r="CK51" s="196">
        <f>CK52-CK50</f>
        <v>1.6999999999999886</v>
      </c>
      <c r="CL51" s="196">
        <f>CL52-CL50</f>
        <v>1.6000000000000227</v>
      </c>
      <c r="CM51" s="196">
        <f>CM52-CM50</f>
        <v>1.5999999999999659</v>
      </c>
      <c r="CN51" s="196">
        <f>CN52-CN50</f>
        <v>1.4000000000000341</v>
      </c>
      <c r="CO51" s="196">
        <f>AVERAGE(CK51,CL51,CM51,CN51)</f>
        <v>1.5750000000000028</v>
      </c>
      <c r="CQ51" s="196">
        <f>CQ52-CQ50</f>
        <v>1.3999999999999773</v>
      </c>
      <c r="CR51" s="196">
        <f>CR52-CR50</f>
        <v>0.69999999999998863</v>
      </c>
      <c r="CS51" s="196">
        <f>CS52-CS50</f>
        <v>0.80000000000001137</v>
      </c>
      <c r="CT51" s="196">
        <f>CT52-CT50</f>
        <v>1</v>
      </c>
      <c r="CU51" s="196">
        <f>AVERAGE(CQ51,CR51,CS51,CT51)</f>
        <v>0.97499999999999432</v>
      </c>
      <c r="CW51" s="196">
        <f>CW52-CW50</f>
        <v>0.69999999999998863</v>
      </c>
      <c r="CX51" s="196">
        <f>CX52-CX50</f>
        <v>0.60000000000002274</v>
      </c>
      <c r="CY51" s="196">
        <f>CY52-CY50</f>
        <v>0.80000000000001137</v>
      </c>
      <c r="CZ51" s="196">
        <f>CZ52-CZ50</f>
        <v>0.89999999999997726</v>
      </c>
      <c r="DA51" s="196">
        <f>AVERAGE(CW51,CX51,CY51,CZ51)</f>
        <v>0.75</v>
      </c>
      <c r="DC51" s="196">
        <f>DC52-DC50</f>
        <v>0.5</v>
      </c>
      <c r="DD51" s="196">
        <f>DD52-DD50</f>
        <v>0.5</v>
      </c>
      <c r="DE51" s="196">
        <f>DE52-DE50</f>
        <v>0.70000000000004547</v>
      </c>
      <c r="DF51" s="196">
        <f>DF52-DF50</f>
        <v>0.69999999999998863</v>
      </c>
      <c r="DG51" s="196">
        <f>AVERAGE(DC51,DD51,DE51,DF51)</f>
        <v>0.60000000000000853</v>
      </c>
      <c r="DI51" s="196">
        <f>DI52-DI50</f>
        <v>0.39999999999997726</v>
      </c>
      <c r="DJ51" s="196">
        <f>DJ52-DJ50</f>
        <v>0.30000000000001137</v>
      </c>
      <c r="DK51" s="196">
        <f>DK52-DK50</f>
        <v>0.40000000000003411</v>
      </c>
      <c r="DL51" s="196">
        <f>DL52-DL50</f>
        <v>0.30000000000001137</v>
      </c>
      <c r="DM51" s="196">
        <f>AVERAGE(DI51,DJ51,DK51,DL51)</f>
        <v>0.35000000000000853</v>
      </c>
      <c r="DO51" s="196">
        <f>DO52-DO50</f>
        <v>0.30000000000001137</v>
      </c>
      <c r="DP51" s="196">
        <f>DP52-DP50</f>
        <v>0.19999999999998863</v>
      </c>
      <c r="DQ51" s="196">
        <f>DQ52-DQ50</f>
        <v>-0.30000000000001137</v>
      </c>
      <c r="DR51" s="196">
        <f>DR52-DR50</f>
        <v>0.40000000000003411</v>
      </c>
      <c r="DS51" s="196">
        <f>AVERAGE(DO51,DP51,DQ51,DR51)</f>
        <v>0.15000000000000568</v>
      </c>
      <c r="DT51" s="196"/>
      <c r="DU51" s="196">
        <f>DU52-DU50</f>
        <v>0.30000000000001137</v>
      </c>
      <c r="DV51" s="196">
        <f>DV52-DV50</f>
        <v>0.30000000000001137</v>
      </c>
      <c r="DW51" s="196">
        <f>DW52-DW50</f>
        <v>0.40000000000003411</v>
      </c>
      <c r="DX51" s="196">
        <f>DX52-DX50</f>
        <v>0.30000000000001137</v>
      </c>
      <c r="DY51" s="196">
        <f>AVERAGE(DU51,DV51,DW51,DX51)</f>
        <v>0.32500000000001705</v>
      </c>
      <c r="EA51" s="196">
        <f>EA52-EA50</f>
        <v>0.19999999999998863</v>
      </c>
      <c r="EB51" s="196">
        <f>EB52-EB50</f>
        <v>0.19999999999998863</v>
      </c>
      <c r="EC51" s="196">
        <f>EC52-EC50</f>
        <v>0.30000000000001137</v>
      </c>
      <c r="ED51" s="196">
        <f>ED52-ED50</f>
        <v>1.5</v>
      </c>
      <c r="EE51" s="196">
        <f>AVERAGE(EA51,EB51,EC51,ED51)</f>
        <v>0.54999999999999716</v>
      </c>
      <c r="EG51" s="196">
        <f>EG52-EG50</f>
        <v>0.30000000000001137</v>
      </c>
      <c r="EH51" s="196">
        <f>EH52-EH50</f>
        <v>0</v>
      </c>
      <c r="EI51" s="196">
        <f>EI52-EI50</f>
        <v>0</v>
      </c>
      <c r="EJ51" s="196">
        <f>EJ52-EJ50</f>
        <v>0</v>
      </c>
      <c r="EK51" s="196">
        <f>AVERAGE(EG51,EH51,EI51,EJ51)</f>
        <v>7.5000000000002842E-2</v>
      </c>
      <c r="EX51" s="196">
        <f>I51</f>
        <v>1281</v>
      </c>
      <c r="EY51" s="196">
        <f>O51</f>
        <v>58876</v>
      </c>
      <c r="EZ51" s="196">
        <f>U51</f>
        <v>29123</v>
      </c>
      <c r="FA51" s="196">
        <f>AA51</f>
        <v>23237</v>
      </c>
      <c r="FB51" s="196">
        <f>AG51</f>
        <v>2585</v>
      </c>
      <c r="FC51" s="196">
        <f>AM51</f>
        <v>0</v>
      </c>
      <c r="FD51" s="196">
        <f>AS51</f>
        <v>3900</v>
      </c>
      <c r="FE51" s="196">
        <f>AY51</f>
        <v>3400</v>
      </c>
      <c r="FF51" s="196">
        <f>BE51</f>
        <v>2.8999999999999773</v>
      </c>
      <c r="FG51" s="196">
        <f>BK51</f>
        <v>3.5999999999999659</v>
      </c>
      <c r="FH51" s="196">
        <f>BQ51</f>
        <v>3.0249999999999915</v>
      </c>
      <c r="FI51" s="196">
        <f>BW51</f>
        <v>2.3750000000000142</v>
      </c>
      <c r="FJ51" s="196">
        <f>CC51</f>
        <v>2.0499999999999972</v>
      </c>
      <c r="FK51" s="196">
        <f>CI51</f>
        <v>2</v>
      </c>
      <c r="FL51" s="196">
        <f>CO51</f>
        <v>1.5750000000000028</v>
      </c>
      <c r="FM51" s="77">
        <f>CU51</f>
        <v>0.97499999999999432</v>
      </c>
      <c r="FN51" s="77">
        <f>DA51</f>
        <v>0.75</v>
      </c>
      <c r="FO51" s="77">
        <f>DG51</f>
        <v>0.60000000000000853</v>
      </c>
      <c r="FP51" s="77">
        <f>DM51</f>
        <v>0.35000000000000853</v>
      </c>
      <c r="FQ51" s="77">
        <f>DS51</f>
        <v>0.15000000000000568</v>
      </c>
      <c r="FR51" s="77">
        <f>DY51</f>
        <v>0.32500000000001705</v>
      </c>
      <c r="FS51" s="77">
        <f>EE51</f>
        <v>0.54999999999999716</v>
      </c>
      <c r="FT51" s="196">
        <f>EK51</f>
        <v>7.5000000000002842E-2</v>
      </c>
      <c r="FU51" s="196">
        <f>FU52-FU50</f>
        <v>7.5000000000045475E-2</v>
      </c>
      <c r="FV51" s="196">
        <f>FV52-FV50</f>
        <v>7.5000000000045475E-2</v>
      </c>
      <c r="FW51" s="196">
        <f>FW52-FW50</f>
        <v>7.5000000000045475E-2</v>
      </c>
      <c r="FX51" s="196">
        <f>FX52-FX50</f>
        <v>7.5000000000045475E-2</v>
      </c>
      <c r="GF51" s="191">
        <f>EE51</f>
        <v>0.54999999999999716</v>
      </c>
      <c r="GH51" s="191">
        <f>FX51</f>
        <v>7.5000000000045475E-2</v>
      </c>
    </row>
    <row r="52" spans="2:193" x14ac:dyDescent="0.25">
      <c r="B52" s="200" t="s">
        <v>620</v>
      </c>
      <c r="C52" s="74"/>
      <c r="D52" s="74"/>
      <c r="E52" s="196">
        <f>511433*2-F52</f>
        <v>511163</v>
      </c>
      <c r="F52" s="196">
        <v>511703</v>
      </c>
      <c r="G52" s="196">
        <v>484205</v>
      </c>
      <c r="H52" s="196">
        <f>I52</f>
        <v>484661</v>
      </c>
      <c r="I52" s="196">
        <v>484661</v>
      </c>
      <c r="J52" s="74"/>
      <c r="K52" s="196">
        <v>542348</v>
      </c>
      <c r="L52" s="196">
        <v>542348</v>
      </c>
      <c r="M52" s="196">
        <v>486156</v>
      </c>
      <c r="N52" s="196">
        <f>O52</f>
        <v>542979</v>
      </c>
      <c r="O52" s="196">
        <v>542979</v>
      </c>
      <c r="P52" s="74"/>
      <c r="Q52" s="196">
        <v>545732</v>
      </c>
      <c r="R52" s="196">
        <v>539203</v>
      </c>
      <c r="S52" s="196">
        <v>521362</v>
      </c>
      <c r="T52" s="196">
        <v>503575</v>
      </c>
      <c r="U52" s="196">
        <v>503983</v>
      </c>
      <c r="W52" s="196">
        <v>502613</v>
      </c>
      <c r="X52" s="196">
        <v>499436</v>
      </c>
      <c r="Y52" s="196">
        <v>481724</v>
      </c>
      <c r="Z52" s="196">
        <v>444569</v>
      </c>
      <c r="AA52" s="196">
        <v>485643</v>
      </c>
      <c r="AC52" s="196">
        <v>434959</v>
      </c>
      <c r="AD52" s="196">
        <v>434585</v>
      </c>
      <c r="AE52" s="196">
        <v>434491</v>
      </c>
      <c r="AF52" s="196">
        <v>431989</v>
      </c>
      <c r="AG52" s="196">
        <v>434205</v>
      </c>
      <c r="AI52" s="196">
        <v>432112</v>
      </c>
      <c r="AJ52" s="196">
        <f>AJ50+AJ51</f>
        <v>432454</v>
      </c>
      <c r="AK52" s="196">
        <v>434975</v>
      </c>
      <c r="AL52" s="196">
        <v>436953</v>
      </c>
      <c r="AM52" s="196">
        <f>AM50+AM51</f>
        <v>432617.75</v>
      </c>
      <c r="AO52" s="196">
        <v>437900</v>
      </c>
      <c r="AP52" s="196">
        <v>438900</v>
      </c>
      <c r="AQ52" s="196">
        <v>439300</v>
      </c>
      <c r="AR52" s="196">
        <v>439900</v>
      </c>
      <c r="AS52" s="196">
        <v>439000</v>
      </c>
      <c r="AU52" s="196">
        <v>440600</v>
      </c>
      <c r="AV52" s="196">
        <v>432900</v>
      </c>
      <c r="AW52" s="196">
        <v>425300</v>
      </c>
      <c r="AX52" s="196">
        <f>AX50+AX51</f>
        <v>419000</v>
      </c>
      <c r="AY52" s="196">
        <v>429100</v>
      </c>
      <c r="BA52" s="196">
        <f>BA50+BA51</f>
        <v>415</v>
      </c>
      <c r="BB52" s="196">
        <v>412.7</v>
      </c>
      <c r="BC52" s="196">
        <f>BC50+BC51</f>
        <v>425.7</v>
      </c>
      <c r="BD52" s="196">
        <v>455.4</v>
      </c>
      <c r="BE52" s="196">
        <f>BE50+BE51</f>
        <v>426.97499999999997</v>
      </c>
      <c r="BG52" s="196">
        <f>Financials!BG207</f>
        <v>410.6</v>
      </c>
      <c r="BH52" s="196">
        <f>Financials!BH207</f>
        <v>430.4</v>
      </c>
      <c r="BI52" s="196">
        <f>Financials!BI207</f>
        <v>447.1</v>
      </c>
      <c r="BJ52" s="196">
        <f>Financials!BJ207</f>
        <v>445.7</v>
      </c>
      <c r="BK52" s="196">
        <v>433.4</v>
      </c>
      <c r="BM52" s="196">
        <f>BM207</f>
        <v>443.5</v>
      </c>
      <c r="BN52" s="196">
        <f>BN207</f>
        <v>441.6</v>
      </c>
      <c r="BO52" s="196">
        <f>BO207</f>
        <v>439</v>
      </c>
      <c r="BP52" s="196">
        <f>BP207</f>
        <v>436.7</v>
      </c>
      <c r="BQ52" s="196">
        <f>BQ50+BQ51</f>
        <v>440.19999999999993</v>
      </c>
      <c r="BS52" s="196">
        <f>BS207</f>
        <v>435.3</v>
      </c>
      <c r="BT52" s="196">
        <f>BT207</f>
        <v>433.8</v>
      </c>
      <c r="BU52" s="196">
        <f>BU207</f>
        <v>432.3</v>
      </c>
      <c r="BV52" s="196">
        <f>BV207</f>
        <v>430.8</v>
      </c>
      <c r="BW52" s="196">
        <f>BW50+BW51</f>
        <v>433.05</v>
      </c>
      <c r="BY52" s="196">
        <f>BY207</f>
        <v>429.1</v>
      </c>
      <c r="BZ52" s="196">
        <f>BZ207</f>
        <v>426.5</v>
      </c>
      <c r="CA52" s="196">
        <f>CA207</f>
        <v>425.8</v>
      </c>
      <c r="CB52" s="196">
        <f>CB207</f>
        <v>429.2</v>
      </c>
      <c r="CC52" s="196">
        <f>CC50+CC51</f>
        <v>427.65000000000003</v>
      </c>
      <c r="CE52" s="196">
        <f>CE207</f>
        <v>432.3</v>
      </c>
      <c r="CF52" s="196">
        <f>CF207</f>
        <v>432.4</v>
      </c>
      <c r="CG52" s="196">
        <f>CG207</f>
        <v>432</v>
      </c>
      <c r="CH52" s="196">
        <f>CH207</f>
        <v>430.3</v>
      </c>
      <c r="CI52" s="196">
        <f>CI50+CI51</f>
        <v>431.75</v>
      </c>
      <c r="CK52" s="196">
        <f>CK207</f>
        <v>428.9</v>
      </c>
      <c r="CL52" s="196">
        <f>CL207</f>
        <v>427.6</v>
      </c>
      <c r="CM52" s="196">
        <f>CM207</f>
        <v>425.9</v>
      </c>
      <c r="CN52" s="196">
        <f>CN207</f>
        <v>423.6</v>
      </c>
      <c r="CO52" s="196">
        <f>CO50+CO51</f>
        <v>426.5</v>
      </c>
      <c r="CQ52" s="196">
        <f>CQ207</f>
        <v>422.5</v>
      </c>
      <c r="CR52" s="196">
        <f>CR207</f>
        <v>421.8</v>
      </c>
      <c r="CS52" s="196">
        <f>CS207</f>
        <v>421.7</v>
      </c>
      <c r="CT52" s="196">
        <f>CT207</f>
        <v>421.1</v>
      </c>
      <c r="CU52" s="196">
        <f>CU50+CU51</f>
        <v>421.77499999999998</v>
      </c>
      <c r="CW52" s="196">
        <f>CW207</f>
        <v>419.7</v>
      </c>
      <c r="CX52" s="196">
        <f>CX207</f>
        <v>419</v>
      </c>
      <c r="CY52" s="196">
        <f>CY207</f>
        <v>419.2</v>
      </c>
      <c r="CZ52" s="196">
        <f>CZ207</f>
        <v>418.4</v>
      </c>
      <c r="DA52" s="196">
        <f>DA50+DA51</f>
        <v>419.07499999999999</v>
      </c>
      <c r="DC52" s="196">
        <f>DC207</f>
        <v>415.8</v>
      </c>
      <c r="DD52" s="196">
        <f>DD207</f>
        <v>412</v>
      </c>
      <c r="DE52" s="196">
        <f>DE207</f>
        <v>408.6</v>
      </c>
      <c r="DF52" s="196">
        <f>DF207</f>
        <v>405</v>
      </c>
      <c r="DG52" s="196">
        <f>DG50+DG51</f>
        <v>410.34999999999997</v>
      </c>
      <c r="DI52" s="196">
        <f>DI207</f>
        <v>401.5</v>
      </c>
      <c r="DJ52" s="196">
        <f>DJ207</f>
        <v>398.6</v>
      </c>
      <c r="DK52" s="196">
        <f>DK207</f>
        <v>396.6</v>
      </c>
      <c r="DL52" s="196">
        <f>DL207</f>
        <v>395.2</v>
      </c>
      <c r="DM52" s="196">
        <f>DM50+DM51</f>
        <v>397.97500000000002</v>
      </c>
      <c r="DO52" s="196">
        <f>DO207</f>
        <v>394.8</v>
      </c>
      <c r="DP52" s="196">
        <f>DP207</f>
        <v>394</v>
      </c>
      <c r="DQ52" s="196">
        <f>DQ207</f>
        <v>393.4</v>
      </c>
      <c r="DR52" s="196">
        <f>DR207</f>
        <v>393.8</v>
      </c>
      <c r="DS52" s="196">
        <f>DS50+DS51</f>
        <v>394</v>
      </c>
      <c r="DT52" s="196"/>
      <c r="DU52" s="196">
        <f>DU207</f>
        <v>393.7</v>
      </c>
      <c r="DV52" s="196">
        <f>DV207</f>
        <v>393.5</v>
      </c>
      <c r="DW52" s="196">
        <f>DW207</f>
        <v>393.6</v>
      </c>
      <c r="DX52" s="196">
        <f>DX207</f>
        <v>393.6</v>
      </c>
      <c r="DY52" s="196">
        <f>DY50+DY51</f>
        <v>393.6</v>
      </c>
      <c r="EA52" s="196">
        <f>EA207</f>
        <v>392.5</v>
      </c>
      <c r="EB52" s="196">
        <f>EB207</f>
        <v>388.4</v>
      </c>
      <c r="EC52" s="196">
        <f>EC207</f>
        <v>387.6</v>
      </c>
      <c r="ED52" s="196">
        <f>ED207</f>
        <v>387</v>
      </c>
      <c r="EE52" s="196">
        <f>EE50+EE51</f>
        <v>388.875</v>
      </c>
      <c r="EG52" s="196">
        <f>EG207</f>
        <v>385.7</v>
      </c>
      <c r="EH52" s="196">
        <f>EH207</f>
        <v>384.60848504036721</v>
      </c>
      <c r="EI52" s="196">
        <f>EI207</f>
        <v>383.81697008073445</v>
      </c>
      <c r="EJ52" s="196">
        <f>EJ207</f>
        <v>383.02545512110169</v>
      </c>
      <c r="EK52" s="196">
        <f>EK50+EK51</f>
        <v>384.28772756055082</v>
      </c>
      <c r="ET52" s="77">
        <v>483127</v>
      </c>
      <c r="EU52" s="77">
        <v>465866</v>
      </c>
      <c r="EV52" s="77">
        <v>476866</v>
      </c>
      <c r="EW52" s="77">
        <v>482240</v>
      </c>
      <c r="EX52" s="196">
        <f>I52</f>
        <v>484661</v>
      </c>
      <c r="EY52" s="196">
        <f>O52</f>
        <v>542979</v>
      </c>
      <c r="EZ52" s="196">
        <f>U52</f>
        <v>503983</v>
      </c>
      <c r="FA52" s="196">
        <f>AA52</f>
        <v>485643</v>
      </c>
      <c r="FB52" s="196">
        <f>AG52</f>
        <v>434205</v>
      </c>
      <c r="FC52" s="196">
        <f>AM52</f>
        <v>432617.75</v>
      </c>
      <c r="FD52" s="196">
        <f>AS52</f>
        <v>439000</v>
      </c>
      <c r="FE52" s="196">
        <f>AY52</f>
        <v>429100</v>
      </c>
      <c r="FF52" s="196">
        <f>BE52</f>
        <v>426.97499999999997</v>
      </c>
      <c r="FG52" s="196">
        <f>BK52</f>
        <v>433.4</v>
      </c>
      <c r="FH52" s="196">
        <f>BQ52</f>
        <v>440.19999999999993</v>
      </c>
      <c r="FI52" s="196">
        <f>BW52</f>
        <v>433.05</v>
      </c>
      <c r="FJ52" s="196">
        <f>CC52</f>
        <v>427.65000000000003</v>
      </c>
      <c r="FK52" s="196">
        <f>CI52</f>
        <v>431.75</v>
      </c>
      <c r="FL52" s="196">
        <f>CO52</f>
        <v>426.5</v>
      </c>
      <c r="FM52" s="77">
        <f>CU52</f>
        <v>421.77499999999998</v>
      </c>
      <c r="FN52" s="77">
        <f>DA52</f>
        <v>419.07499999999999</v>
      </c>
      <c r="FO52" s="77">
        <f>DG52</f>
        <v>410.34999999999997</v>
      </c>
      <c r="FP52" s="77">
        <f>DM52</f>
        <v>397.97500000000002</v>
      </c>
      <c r="FQ52" s="77">
        <f>DS52</f>
        <v>394</v>
      </c>
      <c r="FR52" s="77">
        <f>DY52</f>
        <v>393.6</v>
      </c>
      <c r="FS52" s="77">
        <f>EE52</f>
        <v>388.875</v>
      </c>
      <c r="FT52" s="196">
        <f>EK52</f>
        <v>384.28772756055082</v>
      </c>
      <c r="FU52" s="196">
        <f>FU207</f>
        <v>377.95560788348899</v>
      </c>
      <c r="FV52" s="196">
        <f>FV207</f>
        <v>374.78954804495805</v>
      </c>
      <c r="FW52" s="196">
        <f>FW207</f>
        <v>371.62348820642711</v>
      </c>
      <c r="FX52" s="196">
        <f>FX207</f>
        <v>368.45742836789617</v>
      </c>
      <c r="GF52" s="191">
        <f>EE52</f>
        <v>388.875</v>
      </c>
      <c r="GH52" s="191">
        <f>FX52</f>
        <v>368.45742836789617</v>
      </c>
    </row>
    <row r="53" spans="2:193" hidden="1" x14ac:dyDescent="0.25">
      <c r="B53" s="75" t="s">
        <v>329</v>
      </c>
      <c r="C53" s="74"/>
      <c r="D53" s="74"/>
      <c r="E53" s="196"/>
      <c r="F53" s="196"/>
      <c r="G53" s="196"/>
      <c r="H53" s="196"/>
      <c r="I53" s="196"/>
      <c r="J53" s="74"/>
      <c r="K53" s="196"/>
      <c r="L53" s="196"/>
      <c r="M53" s="196"/>
      <c r="N53" s="196"/>
      <c r="O53" s="196"/>
      <c r="P53" s="74"/>
      <c r="Q53" s="196"/>
      <c r="R53" s="196"/>
      <c r="S53" s="196"/>
      <c r="T53" s="196"/>
      <c r="U53" s="196"/>
      <c r="W53" s="196"/>
      <c r="X53" s="196"/>
      <c r="Y53" s="196"/>
      <c r="Z53" s="196"/>
      <c r="AA53" s="196"/>
      <c r="AC53" s="196"/>
      <c r="AD53" s="196"/>
      <c r="AE53" s="196"/>
      <c r="AF53" s="196"/>
      <c r="AG53" s="196"/>
      <c r="AI53" s="196"/>
      <c r="AJ53" s="196"/>
      <c r="AK53" s="196"/>
      <c r="AL53" s="196"/>
      <c r="AM53" s="196"/>
      <c r="AO53" s="196"/>
      <c r="AP53" s="196"/>
      <c r="AQ53" s="196"/>
      <c r="AR53" s="196"/>
      <c r="AS53" s="196"/>
      <c r="AU53" s="196"/>
      <c r="AV53" s="196"/>
      <c r="AW53" s="196"/>
      <c r="AX53" s="196"/>
      <c r="AY53" s="196"/>
      <c r="BA53" s="196"/>
      <c r="BB53" s="196"/>
      <c r="BC53" s="196"/>
      <c r="BD53" s="196"/>
      <c r="BE53" s="196"/>
      <c r="BG53" s="196"/>
      <c r="BH53" s="196"/>
      <c r="BI53" s="196"/>
      <c r="BJ53" s="196"/>
      <c r="BK53" s="196"/>
      <c r="BM53" s="196"/>
      <c r="BN53" s="196"/>
      <c r="BO53" s="196"/>
      <c r="BP53" s="196"/>
      <c r="BQ53" s="196"/>
      <c r="BS53" s="196"/>
      <c r="BT53" s="196"/>
      <c r="BU53" s="196"/>
      <c r="BV53" s="196"/>
      <c r="BW53" s="196"/>
      <c r="BY53" s="196"/>
      <c r="BZ53" s="196"/>
      <c r="CA53" s="196"/>
      <c r="CB53" s="196"/>
      <c r="CC53" s="196"/>
      <c r="CE53" s="196"/>
      <c r="CF53" s="196"/>
      <c r="CG53" s="196"/>
      <c r="CH53" s="196"/>
      <c r="CI53" s="196"/>
      <c r="CK53" s="196"/>
      <c r="CL53" s="196"/>
      <c r="CM53" s="196"/>
      <c r="CN53" s="196"/>
      <c r="CO53" s="196"/>
      <c r="CQ53" s="196"/>
      <c r="CR53" s="196"/>
      <c r="CS53" s="196"/>
      <c r="CT53" s="196"/>
      <c r="CU53" s="196"/>
      <c r="CW53" s="196"/>
      <c r="CX53" s="196"/>
      <c r="CY53" s="196"/>
      <c r="CZ53" s="196"/>
      <c r="DA53" s="196"/>
      <c r="DC53" s="196"/>
      <c r="DD53" s="196"/>
      <c r="DE53" s="196"/>
      <c r="DF53" s="196"/>
      <c r="DG53" s="196"/>
      <c r="DI53" s="196"/>
      <c r="DJ53" s="196"/>
      <c r="DK53" s="196"/>
      <c r="DL53" s="196"/>
      <c r="DM53" s="196"/>
      <c r="DO53" s="196"/>
      <c r="DP53" s="196"/>
      <c r="DQ53" s="196"/>
      <c r="DR53" s="196"/>
      <c r="DS53" s="196"/>
      <c r="DT53" s="196"/>
      <c r="DU53" s="196"/>
      <c r="DV53" s="196"/>
      <c r="DW53" s="196"/>
      <c r="DX53" s="196"/>
      <c r="DY53" s="196"/>
      <c r="EA53" s="196"/>
      <c r="EB53" s="196"/>
      <c r="EC53" s="196"/>
      <c r="ED53" s="196"/>
      <c r="EE53" s="196"/>
      <c r="EG53" s="196"/>
      <c r="EH53" s="196"/>
      <c r="EI53" s="196"/>
      <c r="EJ53" s="196"/>
      <c r="EK53" s="196"/>
      <c r="EX53" s="196"/>
      <c r="EY53" s="196"/>
      <c r="EZ53" s="196"/>
      <c r="FA53" s="196"/>
      <c r="FB53" s="196"/>
      <c r="FC53" s="196"/>
      <c r="FD53" s="196"/>
      <c r="FE53" s="196"/>
      <c r="FF53" s="196"/>
      <c r="FG53" s="196"/>
      <c r="FH53" s="196"/>
      <c r="FI53" s="196"/>
      <c r="FJ53" s="196"/>
      <c r="FK53" s="196"/>
      <c r="FL53" s="196"/>
      <c r="FM53" s="196"/>
      <c r="FN53" s="196"/>
      <c r="FS53" s="196"/>
      <c r="FT53" s="196"/>
      <c r="FU53" s="196"/>
      <c r="FV53" s="196"/>
      <c r="FW53" s="196"/>
      <c r="FX53" s="196"/>
    </row>
    <row r="54" spans="2:193" hidden="1" x14ac:dyDescent="0.25">
      <c r="B54" s="200" t="s">
        <v>327</v>
      </c>
      <c r="E54" s="196"/>
      <c r="F54" s="196"/>
      <c r="G54" s="196"/>
      <c r="H54" s="196"/>
      <c r="I54" s="240"/>
      <c r="K54" s="196"/>
      <c r="L54" s="196"/>
      <c r="M54" s="196"/>
      <c r="N54" s="196"/>
      <c r="O54" s="240"/>
      <c r="Q54" s="196"/>
      <c r="R54" s="196"/>
      <c r="S54" s="196"/>
      <c r="T54" s="196"/>
      <c r="U54" s="240"/>
      <c r="W54" s="196"/>
      <c r="X54" s="196"/>
      <c r="Y54" s="196"/>
      <c r="Z54" s="196"/>
      <c r="AA54" s="240"/>
      <c r="AC54" s="196"/>
      <c r="AD54" s="196"/>
      <c r="AE54" s="196"/>
      <c r="AF54" s="196"/>
      <c r="AG54" s="240"/>
      <c r="AI54" s="196"/>
      <c r="AJ54" s="196"/>
      <c r="AK54" s="196"/>
      <c r="AL54" s="196"/>
      <c r="AM54" s="240"/>
      <c r="AO54" s="196"/>
      <c r="AP54" s="196"/>
      <c r="AQ54" s="196"/>
      <c r="AR54" s="196"/>
      <c r="AS54" s="240"/>
      <c r="AU54" s="196"/>
      <c r="AV54" s="196"/>
      <c r="AW54" s="196"/>
      <c r="AX54" s="196"/>
      <c r="AY54" s="240"/>
      <c r="BA54" s="196"/>
      <c r="BB54" s="196"/>
      <c r="BC54" s="196"/>
      <c r="BD54" s="196"/>
      <c r="BE54" s="240"/>
      <c r="BG54" s="240">
        <f>BG45/BG50</f>
        <v>-0.63484662576687123</v>
      </c>
      <c r="BH54" s="240">
        <f>BH45/BH50</f>
        <v>-0.63647031213330196</v>
      </c>
      <c r="BI54" s="240">
        <f>BI45/BI50</f>
        <v>-0.8</v>
      </c>
      <c r="BJ54" s="240">
        <f>BJ45/BJ50</f>
        <v>-0.77330316742081451</v>
      </c>
      <c r="BK54" s="240">
        <f>BK45/BK50</f>
        <v>-2.8527221963704052</v>
      </c>
      <c r="BM54" s="240"/>
      <c r="BN54" s="240"/>
      <c r="BO54" s="240"/>
      <c r="BP54" s="240"/>
      <c r="BQ54" s="240"/>
      <c r="BS54" s="240"/>
      <c r="BT54" s="240"/>
      <c r="BU54" s="240"/>
      <c r="BV54" s="240"/>
      <c r="BW54" s="240"/>
      <c r="BY54" s="240"/>
      <c r="BZ54" s="240"/>
      <c r="CA54" s="240"/>
      <c r="CB54" s="240"/>
      <c r="CC54" s="240"/>
      <c r="CE54" s="240"/>
      <c r="CF54" s="240"/>
      <c r="CG54" s="240"/>
      <c r="CH54" s="240"/>
      <c r="CI54" s="240"/>
      <c r="CK54" s="240"/>
      <c r="CL54" s="240"/>
      <c r="CM54" s="240"/>
      <c r="CN54" s="240"/>
      <c r="CO54" s="240"/>
      <c r="CQ54" s="240"/>
      <c r="CR54" s="240"/>
      <c r="CS54" s="240"/>
      <c r="CT54" s="240"/>
      <c r="CU54" s="240"/>
      <c r="CW54" s="240"/>
      <c r="CX54" s="240"/>
      <c r="CY54" s="240"/>
      <c r="CZ54" s="240"/>
      <c r="DA54" s="240"/>
      <c r="DC54" s="240"/>
      <c r="DD54" s="240"/>
      <c r="DE54" s="240"/>
      <c r="DF54" s="240"/>
      <c r="DG54" s="240"/>
      <c r="DI54" s="240"/>
      <c r="DJ54" s="240"/>
      <c r="DK54" s="240"/>
      <c r="DL54" s="240"/>
      <c r="DM54" s="240"/>
      <c r="DO54" s="240"/>
      <c r="DP54" s="240"/>
      <c r="DQ54" s="240"/>
      <c r="DR54" s="240"/>
      <c r="DS54" s="240"/>
      <c r="DT54" s="240"/>
      <c r="DU54" s="240"/>
      <c r="DV54" s="240"/>
      <c r="DW54" s="240"/>
      <c r="DX54" s="240"/>
      <c r="DY54" s="240"/>
      <c r="EA54" s="240"/>
      <c r="EB54" s="240"/>
      <c r="EC54" s="240"/>
      <c r="ED54" s="240"/>
      <c r="EE54" s="240"/>
      <c r="EG54" s="240"/>
      <c r="EH54" s="240"/>
      <c r="EI54" s="240"/>
      <c r="EJ54" s="240"/>
      <c r="EK54" s="240"/>
      <c r="EX54" s="240">
        <f t="shared" ref="EX54:FN54" si="27">EX45/EX50</f>
        <v>-0.26351938433530558</v>
      </c>
      <c r="EY54" s="240">
        <f t="shared" si="27"/>
        <v>-0.25523287399582323</v>
      </c>
      <c r="EZ54" s="240">
        <f t="shared" si="27"/>
        <v>-0.51617108200311668</v>
      </c>
      <c r="FA54" s="240">
        <f t="shared" si="27"/>
        <v>-0.36979407706647405</v>
      </c>
      <c r="FB54" s="240">
        <f t="shared" si="27"/>
        <v>2.9484268569575089E-2</v>
      </c>
      <c r="FC54" s="240">
        <f t="shared" si="27"/>
        <v>4.7674881578483548E-2</v>
      </c>
      <c r="FD54" s="240">
        <f t="shared" si="27"/>
        <v>-0.5072397150080441</v>
      </c>
      <c r="FE54" s="240">
        <f t="shared" si="27"/>
        <v>-0.42669172932330829</v>
      </c>
      <c r="FF54" s="240">
        <f t="shared" si="27"/>
        <v>-1.0139715852148788E-2</v>
      </c>
      <c r="FG54" s="240">
        <f t="shared" si="27"/>
        <v>0</v>
      </c>
      <c r="FH54" s="240">
        <f t="shared" si="27"/>
        <v>0</v>
      </c>
      <c r="FI54" s="240">
        <f t="shared" si="27"/>
        <v>0</v>
      </c>
      <c r="FJ54" s="240">
        <f t="shared" si="27"/>
        <v>0</v>
      </c>
      <c r="FK54" s="240">
        <f t="shared" si="27"/>
        <v>0</v>
      </c>
      <c r="FL54" s="240">
        <f t="shared" si="27"/>
        <v>0</v>
      </c>
      <c r="FM54" s="240">
        <f t="shared" si="27"/>
        <v>0</v>
      </c>
      <c r="FN54" s="240">
        <f t="shared" si="27"/>
        <v>0</v>
      </c>
      <c r="FS54" s="240"/>
      <c r="FT54" s="240"/>
      <c r="FU54" s="240"/>
      <c r="FV54" s="240"/>
      <c r="FW54" s="240"/>
      <c r="FX54" s="240"/>
    </row>
    <row r="55" spans="2:193" hidden="1" x14ac:dyDescent="0.25">
      <c r="B55" s="200" t="s">
        <v>326</v>
      </c>
      <c r="E55" s="196"/>
      <c r="F55" s="196"/>
      <c r="G55" s="196"/>
      <c r="H55" s="196"/>
      <c r="I55" s="240"/>
      <c r="K55" s="196"/>
      <c r="L55" s="196"/>
      <c r="M55" s="196"/>
      <c r="N55" s="196"/>
      <c r="O55" s="240"/>
      <c r="Q55" s="196"/>
      <c r="R55" s="196"/>
      <c r="S55" s="196"/>
      <c r="T55" s="196"/>
      <c r="U55" s="240"/>
      <c r="W55" s="196"/>
      <c r="X55" s="196"/>
      <c r="Y55" s="196"/>
      <c r="Z55" s="196"/>
      <c r="AA55" s="240"/>
      <c r="AC55" s="196"/>
      <c r="AD55" s="196"/>
      <c r="AE55" s="196"/>
      <c r="AF55" s="196"/>
      <c r="AG55" s="240"/>
      <c r="AI55" s="196"/>
      <c r="AJ55" s="196"/>
      <c r="AK55" s="196"/>
      <c r="AL55" s="196"/>
      <c r="AM55" s="240"/>
      <c r="AO55" s="196"/>
      <c r="AP55" s="196"/>
      <c r="AQ55" s="196"/>
      <c r="AR55" s="196"/>
      <c r="AS55" s="240"/>
      <c r="AU55" s="196"/>
      <c r="AV55" s="196"/>
      <c r="AW55" s="196"/>
      <c r="AX55" s="196"/>
      <c r="AY55" s="240"/>
      <c r="BA55" s="196"/>
      <c r="BB55" s="196"/>
      <c r="BC55" s="196"/>
      <c r="BD55" s="196"/>
      <c r="BE55" s="240"/>
      <c r="BF55" s="162"/>
      <c r="BG55" s="240">
        <f>BG45/BG52</f>
        <v>-0.63005358012664403</v>
      </c>
      <c r="BH55" s="240">
        <f>BH45/BH52</f>
        <v>-0.63011152416356875</v>
      </c>
      <c r="BI55" s="240">
        <f>BI45/BI52</f>
        <v>-0.79266383359427428</v>
      </c>
      <c r="BJ55" s="240">
        <f>BJ45/BJ52</f>
        <v>-0.76688355396006291</v>
      </c>
      <c r="BK55" s="240">
        <f>BK45/BK52</f>
        <v>-2.8290263036455934</v>
      </c>
      <c r="BL55" s="162"/>
      <c r="BM55" s="240"/>
      <c r="BN55" s="240"/>
      <c r="BO55" s="240"/>
      <c r="BP55" s="240"/>
      <c r="BQ55" s="240"/>
      <c r="BR55" s="162"/>
      <c r="BS55" s="240"/>
      <c r="BT55" s="240"/>
      <c r="BU55" s="240"/>
      <c r="BV55" s="240"/>
      <c r="BW55" s="240"/>
      <c r="BX55" s="162"/>
      <c r="BY55" s="240"/>
      <c r="BZ55" s="240"/>
      <c r="CA55" s="240"/>
      <c r="CB55" s="240"/>
      <c r="CC55" s="240"/>
      <c r="CD55" s="162"/>
      <c r="CE55" s="240"/>
      <c r="CF55" s="240"/>
      <c r="CG55" s="240"/>
      <c r="CH55" s="240"/>
      <c r="CI55" s="240"/>
      <c r="CJ55" s="162"/>
      <c r="CK55" s="240"/>
      <c r="CL55" s="240"/>
      <c r="CM55" s="240"/>
      <c r="CN55" s="240"/>
      <c r="CO55" s="240"/>
      <c r="CP55" s="162"/>
      <c r="CQ55" s="240"/>
      <c r="CR55" s="240"/>
      <c r="CS55" s="240"/>
      <c r="CT55" s="240"/>
      <c r="CU55" s="240"/>
      <c r="CV55" s="162"/>
      <c r="CW55" s="240"/>
      <c r="CX55" s="240"/>
      <c r="CY55" s="240"/>
      <c r="CZ55" s="240"/>
      <c r="DA55" s="240"/>
      <c r="DB55" s="162"/>
      <c r="DC55" s="240"/>
      <c r="DD55" s="240"/>
      <c r="DE55" s="240"/>
      <c r="DF55" s="240"/>
      <c r="DG55" s="240"/>
      <c r="DH55" s="162"/>
      <c r="DI55" s="240"/>
      <c r="DJ55" s="240"/>
      <c r="DK55" s="240"/>
      <c r="DL55" s="240"/>
      <c r="DM55" s="240"/>
      <c r="DN55" s="162"/>
      <c r="DO55" s="240"/>
      <c r="DP55" s="240"/>
      <c r="DQ55" s="240"/>
      <c r="DR55" s="240"/>
      <c r="DS55" s="240"/>
      <c r="DT55" s="240"/>
      <c r="DU55" s="240"/>
      <c r="DV55" s="240"/>
      <c r="DW55" s="240"/>
      <c r="DX55" s="240"/>
      <c r="DY55" s="240"/>
      <c r="DZ55" s="162"/>
      <c r="EA55" s="240"/>
      <c r="EB55" s="240"/>
      <c r="EC55" s="240"/>
      <c r="ED55" s="240"/>
      <c r="EE55" s="240"/>
      <c r="EF55" s="162"/>
      <c r="EG55" s="240"/>
      <c r="EH55" s="240"/>
      <c r="EI55" s="240"/>
      <c r="EJ55" s="240"/>
      <c r="EK55" s="240"/>
      <c r="EL55" s="162"/>
      <c r="EN55" s="162"/>
      <c r="EO55" s="162"/>
      <c r="EP55" s="162"/>
      <c r="EX55" s="240">
        <f t="shared" ref="EX55:FN55" si="28">EX45/EX52</f>
        <v>-0.2628228803225347</v>
      </c>
      <c r="EY55" s="240">
        <f t="shared" si="28"/>
        <v>-0.22755760351689475</v>
      </c>
      <c r="EZ55" s="240">
        <f t="shared" si="28"/>
        <v>-0.48634378540546008</v>
      </c>
      <c r="FA55" s="240">
        <f t="shared" si="28"/>
        <v>-0.35210020529483593</v>
      </c>
      <c r="FB55" s="240">
        <f t="shared" si="28"/>
        <v>2.9308736656648356E-2</v>
      </c>
      <c r="FC55" s="240">
        <f t="shared" si="28"/>
        <v>4.7674881578483548E-2</v>
      </c>
      <c r="FD55" s="240">
        <f t="shared" si="28"/>
        <v>-0.50273348519362182</v>
      </c>
      <c r="FE55" s="240">
        <f t="shared" si="28"/>
        <v>-0.42321137264041014</v>
      </c>
      <c r="FF55" s="240">
        <f t="shared" si="28"/>
        <v>-1.007084723929972E-2</v>
      </c>
      <c r="FG55" s="240">
        <f t="shared" si="28"/>
        <v>0</v>
      </c>
      <c r="FH55" s="240">
        <f t="shared" si="28"/>
        <v>0</v>
      </c>
      <c r="FI55" s="240">
        <f t="shared" si="28"/>
        <v>0</v>
      </c>
      <c r="FJ55" s="240">
        <f t="shared" si="28"/>
        <v>0</v>
      </c>
      <c r="FK55" s="240">
        <f t="shared" si="28"/>
        <v>0</v>
      </c>
      <c r="FL55" s="240">
        <f t="shared" si="28"/>
        <v>0</v>
      </c>
      <c r="FM55" s="240">
        <f t="shared" si="28"/>
        <v>0</v>
      </c>
      <c r="FN55" s="240">
        <f t="shared" si="28"/>
        <v>0</v>
      </c>
      <c r="FS55" s="240"/>
      <c r="FT55" s="240"/>
      <c r="FU55" s="240"/>
      <c r="FV55" s="240"/>
      <c r="FW55" s="240"/>
      <c r="FX55" s="240"/>
      <c r="FZ55" s="164"/>
      <c r="GA55" s="164"/>
      <c r="GB55" s="164"/>
      <c r="GF55" s="162"/>
      <c r="GH55" s="162"/>
    </row>
    <row r="56" spans="2:193" x14ac:dyDescent="0.25">
      <c r="B56" s="75" t="s">
        <v>328</v>
      </c>
      <c r="ET56" s="87"/>
      <c r="EU56" s="87"/>
      <c r="EV56" s="87"/>
      <c r="EW56" s="87"/>
      <c r="FP56" s="74"/>
      <c r="FQ56" s="74"/>
      <c r="FZ56" s="114"/>
      <c r="GA56" s="114"/>
      <c r="GB56" s="114"/>
    </row>
    <row r="57" spans="2:193" x14ac:dyDescent="0.25">
      <c r="B57" s="200" t="s">
        <v>327</v>
      </c>
      <c r="E57" s="240">
        <f>E43/E50</f>
        <v>-0.8956528442791345</v>
      </c>
      <c r="F57" s="240">
        <f>F43/F50</f>
        <v>-1.138356361785843</v>
      </c>
      <c r="G57" s="240">
        <f>G43/G50</f>
        <v>-1.176475694006472</v>
      </c>
      <c r="H57" s="240">
        <f>H43/H50</f>
        <v>-1.3971699269511566</v>
      </c>
      <c r="I57" s="240">
        <f>I43/I50</f>
        <v>-4.6080756816583222</v>
      </c>
      <c r="K57" s="240">
        <f>K43/K50</f>
        <v>-1.2065915785252601</v>
      </c>
      <c r="L57" s="240">
        <f>L43/L50</f>
        <v>-1.3449859855680288</v>
      </c>
      <c r="M57" s="240">
        <f>M43/M50</f>
        <v>-1.0014392996486676</v>
      </c>
      <c r="N57" s="240">
        <f>N43/N50</f>
        <v>-1.0955125763130802</v>
      </c>
      <c r="O57" s="240">
        <f>O43/O50</f>
        <v>-4.6482835946069327</v>
      </c>
      <c r="Q57" s="240">
        <f>Q43/Q50</f>
        <v>-1.1314323977698233</v>
      </c>
      <c r="R57" s="240">
        <f>R43/R50</f>
        <v>-1.6150450383878363</v>
      </c>
      <c r="S57" s="240">
        <f>S43/S50</f>
        <v>-1.7047755171583046</v>
      </c>
      <c r="T57" s="240">
        <f>T43/T50</f>
        <v>-1.8144587774112986</v>
      </c>
      <c r="U57" s="240">
        <f>U43/U50</f>
        <v>-6.2519856294486802</v>
      </c>
      <c r="W57" s="240">
        <f>W43/W50</f>
        <v>-1.7019187263632005</v>
      </c>
      <c r="X57" s="240">
        <f>X43/X50</f>
        <v>-1.6364688782831451</v>
      </c>
      <c r="Y57" s="240">
        <f>Y43/Y50</f>
        <v>-1.6165826781608954</v>
      </c>
      <c r="Z57" s="240">
        <f>Z43/Z50</f>
        <v>-1.7433040674501556</v>
      </c>
      <c r="AA57" s="240">
        <f>AA43/AA50</f>
        <v>-6.7409122589239763</v>
      </c>
      <c r="AC57" s="240">
        <f>AC43/AC50</f>
        <v>-1.791394328081557</v>
      </c>
      <c r="AD57" s="240">
        <f>AD43/AD50</f>
        <v>-1.5104455557591119</v>
      </c>
      <c r="AE57" s="240">
        <f>AE43/AE50</f>
        <v>-1.4420729326896347</v>
      </c>
      <c r="AF57" s="240">
        <f>AF43/AF50</f>
        <v>-1.3457522760996228</v>
      </c>
      <c r="AG57" s="240">
        <f>AG43/AG50</f>
        <v>-6.0895100366062733</v>
      </c>
      <c r="AI57" s="240">
        <f>AI43/AI50</f>
        <v>-0.69572790156255782</v>
      </c>
      <c r="AJ57" s="240">
        <f>AJ43/AJ50</f>
        <v>-0.87934531765228219</v>
      </c>
      <c r="AK57" s="240">
        <f>AK43/AK50</f>
        <v>-1.2364424290749407</v>
      </c>
      <c r="AL57" s="240">
        <f>AL43/AL50</f>
        <v>-1.2222270710707939</v>
      </c>
      <c r="AM57" s="240">
        <f>AM43/AM50</f>
        <v>-4.0344898862795153</v>
      </c>
      <c r="AO57" s="240">
        <f>AO43/AO50</f>
        <v>-1.4602723502304147</v>
      </c>
      <c r="AP57" s="240">
        <f>AP43/AP50</f>
        <v>-1.9040020684900023</v>
      </c>
      <c r="AQ57" s="240">
        <f>AQ43/AQ50</f>
        <v>-2.0811113662456946</v>
      </c>
      <c r="AR57" s="240">
        <f>AR43/AR50</f>
        <v>-2.553518238128011</v>
      </c>
      <c r="AS57" s="240">
        <f>AS43/AS50</f>
        <v>-8.0018205010342456</v>
      </c>
      <c r="AU57" s="240">
        <f>AU43/AU50</f>
        <v>-2.418112230874943</v>
      </c>
      <c r="AV57" s="240">
        <f>AV43/AV50</f>
        <v>-2.5512703143189759</v>
      </c>
      <c r="AW57" s="240">
        <f>AW43/AW50</f>
        <v>-2.611617681915146</v>
      </c>
      <c r="AX57" s="240">
        <f>AX43/AX50</f>
        <v>-2.2256715591915301</v>
      </c>
      <c r="AY57" s="240">
        <f>AY43/AY50</f>
        <v>-9.8175493421052629</v>
      </c>
      <c r="BA57" s="240">
        <f>BA43/BA50</f>
        <v>0.68479844584749905</v>
      </c>
      <c r="BB57" s="240">
        <f>BB43/BB50</f>
        <v>0.71282051282051306</v>
      </c>
      <c r="BC57" s="240">
        <f>BC43/BC50</f>
        <v>0.65017751479289942</v>
      </c>
      <c r="BD57" s="240">
        <f>BD43/BD50</f>
        <v>0.65790055248618795</v>
      </c>
      <c r="BE57" s="240">
        <f>BE43/BE50</f>
        <v>2.7030596003065419</v>
      </c>
      <c r="BG57" s="240">
        <f>BG43/BG50</f>
        <v>0.23607361963190163</v>
      </c>
      <c r="BH57" s="240">
        <f>BH43/BH50</f>
        <v>0.6503168270359071</v>
      </c>
      <c r="BI57" s="240">
        <f>BI43/BI50</f>
        <v>0.60293453724604973</v>
      </c>
      <c r="BJ57" s="240">
        <f>BJ43/BJ50</f>
        <v>1.2558823529411767</v>
      </c>
      <c r="BK57" s="240">
        <f>BK43/BK50</f>
        <v>2.7815262912982788</v>
      </c>
      <c r="BL57" s="161"/>
      <c r="BM57" s="240">
        <f>BM43/BM50</f>
        <v>0.56613636363636355</v>
      </c>
      <c r="BN57" s="240">
        <f>BN43/BN50</f>
        <v>0.90923603192702374</v>
      </c>
      <c r="BO57" s="240">
        <f>BO43/BO50</f>
        <v>0.55950470075670722</v>
      </c>
      <c r="BP57" s="240">
        <f>BP43/BP50</f>
        <v>0.70214236351071169</v>
      </c>
      <c r="BQ57" s="240">
        <f>BQ43/BQ50</f>
        <v>2.7371190026877121</v>
      </c>
      <c r="BR57" s="161"/>
      <c r="BS57" s="240">
        <f>BS43/BS50</f>
        <v>0.93088303282478069</v>
      </c>
      <c r="BT57" s="240">
        <f>BT43/BT50</f>
        <v>0.8569772832637923</v>
      </c>
      <c r="BU57" s="240">
        <f>BU43/BU50</f>
        <v>0.74994184694114874</v>
      </c>
      <c r="BV57" s="240">
        <f>BV43/BV50</f>
        <v>0.68190298507462643</v>
      </c>
      <c r="BW57" s="240">
        <f>BW43/BW50</f>
        <v>3.2209903059151315</v>
      </c>
      <c r="BX57" s="161"/>
      <c r="BY57" s="240">
        <f>BY43/BY50</f>
        <v>0.46370023419203693</v>
      </c>
      <c r="BZ57" s="240">
        <f>BZ43/BZ50</f>
        <v>0.83345111896348645</v>
      </c>
      <c r="CA57" s="240">
        <f>CA43/CA50</f>
        <v>0.93416705993393079</v>
      </c>
      <c r="CB57" s="240">
        <f>CB43/CB50</f>
        <v>0.87707796768906543</v>
      </c>
      <c r="CC57" s="240">
        <f>CC43/CC50</f>
        <v>3.1069078947368398</v>
      </c>
      <c r="CD57" s="161"/>
      <c r="CE57" s="240">
        <f>CE43/CE50</f>
        <v>1.0511508951406645</v>
      </c>
      <c r="CF57" s="240">
        <f>CF43/CF50</f>
        <v>1.083410780669144</v>
      </c>
      <c r="CG57" s="240">
        <f>CG43/CG50</f>
        <v>1.2952801674029293</v>
      </c>
      <c r="CH57" s="240">
        <f>CH43/CH50</f>
        <v>1.5009337068160604</v>
      </c>
      <c r="CI57" s="240">
        <f>CI43/CI50</f>
        <v>4.9296102385107599</v>
      </c>
      <c r="CJ57" s="161"/>
      <c r="CK57" s="240">
        <f>CK43/CK50</f>
        <v>1.2633426966292136</v>
      </c>
      <c r="CL57" s="240">
        <f>CL43/CL50</f>
        <v>1.3708920187793427</v>
      </c>
      <c r="CM57" s="240">
        <f>CM43/CM50</f>
        <v>1.6035823709639401</v>
      </c>
      <c r="CN57" s="240">
        <f>CN43/CN50</f>
        <v>1.8652297489341547</v>
      </c>
      <c r="CO57" s="240">
        <f>CO43/CO50</f>
        <v>6.0989586397599584</v>
      </c>
      <c r="CP57" s="161"/>
      <c r="CQ57" s="240">
        <f>CQ43/CQ50</f>
        <v>0.84398005224412243</v>
      </c>
      <c r="CR57" s="240">
        <f>CR43/CR50</f>
        <v>1.1303728330562812</v>
      </c>
      <c r="CS57" s="240">
        <f>CS43/CS50</f>
        <v>1.4891898313138519</v>
      </c>
      <c r="CT57" s="240">
        <f>CT43/CT50</f>
        <v>2.6993572958819319</v>
      </c>
      <c r="CU57" s="240">
        <f>CU43/CU50</f>
        <v>6.1601711026615975</v>
      </c>
      <c r="CV57" s="161"/>
      <c r="CW57" s="240">
        <f>CW43/CW50</f>
        <v>0.93221957040572756</v>
      </c>
      <c r="CX57" s="240">
        <f>CX43/CX50</f>
        <v>1.7949330783938813</v>
      </c>
      <c r="CY57" s="240">
        <f>CY43/CY50</f>
        <v>2.5370458891013388</v>
      </c>
      <c r="CZ57" s="240">
        <f>CZ43/CZ50</f>
        <v>3.2347305389221561</v>
      </c>
      <c r="DA57" s="240">
        <f>DA43/DA50</f>
        <v>8.4948305743142285</v>
      </c>
      <c r="DB57" s="161"/>
      <c r="DC57" s="240">
        <f>DC43/DC50</f>
        <v>3.2058752708885141</v>
      </c>
      <c r="DD57" s="240">
        <f>DD43/DD50</f>
        <v>2.5229647630619687</v>
      </c>
      <c r="DE57" s="240">
        <f>DE43/DE50</f>
        <v>4.2662417259132139</v>
      </c>
      <c r="DF57" s="240">
        <f>DF43/DF50</f>
        <v>4.3863467721988627</v>
      </c>
      <c r="DG57" s="240">
        <f>DG43/DG50</f>
        <v>14.358023184868825</v>
      </c>
      <c r="DH57" s="161"/>
      <c r="DI57" s="240">
        <f>DI43/DI50</f>
        <v>1.733482921964596</v>
      </c>
      <c r="DJ57" s="240">
        <f>DJ43/DJ50</f>
        <v>3.5423047953803666</v>
      </c>
      <c r="DK57" s="240">
        <f>DK43/DK50</f>
        <v>4.294548207975768</v>
      </c>
      <c r="DL57" s="240">
        <f>DL43/DL50</f>
        <v>4.5998987085338063</v>
      </c>
      <c r="DM57" s="240">
        <f>DM43/DM50</f>
        <v>14.144482867022946</v>
      </c>
      <c r="DN57" s="161"/>
      <c r="DO57" s="240">
        <f>DO43/DO50</f>
        <v>4.9576679340937915</v>
      </c>
      <c r="DP57" s="240">
        <f>DP43/DP50</f>
        <v>4.9306754697816144</v>
      </c>
      <c r="DQ57" s="240">
        <f>DQ43/DQ50</f>
        <v>4.8092456184912358</v>
      </c>
      <c r="DR57" s="240">
        <f>DR43/DR50</f>
        <v>5.2061514997458058</v>
      </c>
      <c r="DS57" s="240">
        <f>DS43/DS50</f>
        <v>19.903516567221022</v>
      </c>
      <c r="DT57" s="240"/>
      <c r="DU57" s="240">
        <f>DU43/DU50</f>
        <v>3.1108286731062531</v>
      </c>
      <c r="DV57" s="240">
        <f>DV43/DV50</f>
        <v>4.0129704984740577</v>
      </c>
      <c r="DW57" s="240">
        <f>DW43/DW50</f>
        <v>5.2810274669379442</v>
      </c>
      <c r="DX57" s="240">
        <f>DX43/DX50</f>
        <v>6.8482074752097626</v>
      </c>
      <c r="DY57" s="240">
        <f>DY43/DY50</f>
        <v>19.25268577967071</v>
      </c>
      <c r="DZ57" s="161"/>
      <c r="EA57" s="240">
        <f>EA43/EA50</f>
        <v>6.003058883507518</v>
      </c>
      <c r="EB57" s="240">
        <f>EB43/EB50</f>
        <v>5.899793920659457</v>
      </c>
      <c r="EC57" s="240">
        <f>EC43/EC50</f>
        <v>5.4854118254583009</v>
      </c>
      <c r="ED57" s="240">
        <f>ED43/ED50</f>
        <v>7.4672879896238644</v>
      </c>
      <c r="EE57" s="240">
        <f>EE43/EE50</f>
        <v>24.846300186699292</v>
      </c>
      <c r="EF57" s="161"/>
      <c r="EG57" s="240">
        <f>EG43/EG50</f>
        <v>7.1517903476907128</v>
      </c>
      <c r="EH57" s="240">
        <f>EH43/EH50</f>
        <v>6.733631607030671</v>
      </c>
      <c r="EI57" s="240">
        <f>EI43/EI50</f>
        <v>8.2062074774343863</v>
      </c>
      <c r="EJ57" s="240">
        <f>EJ43/EJ50</f>
        <v>8.4670073344594261</v>
      </c>
      <c r="EK57" s="240">
        <f>EK43/EK50</f>
        <v>30.553055733916967</v>
      </c>
      <c r="EL57" s="161"/>
      <c r="EN57" s="161"/>
      <c r="EO57" s="161"/>
      <c r="EP57" s="161"/>
      <c r="ET57" s="99">
        <v>0.82500265216384094</v>
      </c>
      <c r="EU57" s="99">
        <v>-0.89124769783585833</v>
      </c>
      <c r="EV57" s="99">
        <v>-0.18463258022169751</v>
      </c>
      <c r="EW57" s="99">
        <v>-0.25818264764432647</v>
      </c>
      <c r="EX57" s="240">
        <f t="shared" ref="EX57:FS57" si="29">EX43/EX50</f>
        <v>-4.6080756816583222</v>
      </c>
      <c r="EY57" s="240">
        <f t="shared" si="29"/>
        <v>-4.6482835946069327</v>
      </c>
      <c r="EZ57" s="240">
        <f t="shared" si="29"/>
        <v>-6.2519856294486802</v>
      </c>
      <c r="FA57" s="240">
        <f t="shared" si="29"/>
        <v>-6.7409122589239763</v>
      </c>
      <c r="FB57" s="240">
        <f t="shared" si="29"/>
        <v>-6.0895100366062733</v>
      </c>
      <c r="FC57" s="240">
        <f t="shared" si="29"/>
        <v>-4.0344898862795153</v>
      </c>
      <c r="FD57" s="240">
        <f t="shared" si="29"/>
        <v>-8.0018205010342456</v>
      </c>
      <c r="FE57" s="240">
        <f t="shared" si="29"/>
        <v>-9.8175493421052629</v>
      </c>
      <c r="FF57" s="240">
        <f t="shared" si="29"/>
        <v>2.7030596003065419</v>
      </c>
      <c r="FG57" s="240">
        <f t="shared" si="29"/>
        <v>2.7815262912982788</v>
      </c>
      <c r="FH57" s="240">
        <f t="shared" si="29"/>
        <v>2.7371190026877121</v>
      </c>
      <c r="FI57" s="240">
        <f t="shared" si="29"/>
        <v>3.2209903059151315</v>
      </c>
      <c r="FJ57" s="240">
        <f t="shared" si="29"/>
        <v>3.1069078947368398</v>
      </c>
      <c r="FK57" s="240">
        <f t="shared" si="29"/>
        <v>4.9296102385107599</v>
      </c>
      <c r="FL57" s="240">
        <f t="shared" si="29"/>
        <v>6.0989586397599584</v>
      </c>
      <c r="FM57" s="240">
        <f t="shared" si="29"/>
        <v>6.1601711026615975</v>
      </c>
      <c r="FN57" s="240">
        <f t="shared" si="29"/>
        <v>8.4948305743142285</v>
      </c>
      <c r="FO57" s="240">
        <f t="shared" si="29"/>
        <v>14.358023184868825</v>
      </c>
      <c r="FP57" s="240">
        <f t="shared" si="29"/>
        <v>14.144482867022946</v>
      </c>
      <c r="FQ57" s="240">
        <f>FQ43/FQ50</f>
        <v>19.903516567221022</v>
      </c>
      <c r="FR57" s="240">
        <f>FR43/FR50</f>
        <v>19.25268577967071</v>
      </c>
      <c r="FS57" s="240">
        <f t="shared" si="29"/>
        <v>24.846300186699292</v>
      </c>
      <c r="FT57" s="240">
        <f>FT43/FT50</f>
        <v>30.553055733916949</v>
      </c>
      <c r="FU57" s="240">
        <f>FU43/FU50</f>
        <v>46.509933760199658</v>
      </c>
      <c r="FV57" s="240">
        <f>FV43/FV50</f>
        <v>37.446201787959765</v>
      </c>
      <c r="FW57" s="240">
        <f>FW43/FW50</f>
        <v>9.9231463301842453</v>
      </c>
      <c r="FX57" s="240">
        <f ca="1">FX43/FX50</f>
        <v>13.565591313819542</v>
      </c>
      <c r="FZ57" s="161"/>
      <c r="GA57" s="161"/>
      <c r="GB57" s="161"/>
      <c r="GF57" s="240">
        <f>GF43/GF50</f>
        <v>29.596448850833713</v>
      </c>
      <c r="GH57" s="240">
        <f ca="1">GH43/GH50</f>
        <v>67.067350002828832</v>
      </c>
      <c r="GK57" s="391">
        <f ca="1">TODAY()</f>
        <v>46128</v>
      </c>
    </row>
    <row r="58" spans="2:193" x14ac:dyDescent="0.25">
      <c r="B58" s="123" t="s">
        <v>326</v>
      </c>
      <c r="E58" s="116">
        <f>E43/E52</f>
        <v>-0.84606772203778446</v>
      </c>
      <c r="F58" s="116">
        <f>F43/F52</f>
        <v>-1.0753967477228004</v>
      </c>
      <c r="G58" s="116">
        <f>G43/G52</f>
        <v>-1.175017870530044</v>
      </c>
      <c r="H58" s="116">
        <f>H43/H52</f>
        <v>-1.3942525559102135</v>
      </c>
      <c r="I58" s="116">
        <f>I43/I52</f>
        <v>-4.5958961480292402</v>
      </c>
      <c r="K58" s="116">
        <v>0.2</v>
      </c>
      <c r="L58" s="116">
        <v>0.22</v>
      </c>
      <c r="M58" s="116">
        <f>M43/M52</f>
        <v>-0.99732153259447587</v>
      </c>
      <c r="N58" s="116">
        <f>N43/N52</f>
        <v>-0.97789073058074083</v>
      </c>
      <c r="O58" s="116">
        <f>O43/O52</f>
        <v>-4.1442634669112426</v>
      </c>
      <c r="Q58" s="116">
        <v>0.16</v>
      </c>
      <c r="R58" s="116">
        <v>0.33</v>
      </c>
      <c r="S58" s="116">
        <v>0.35</v>
      </c>
      <c r="T58" s="116">
        <f>T43/T52</f>
        <v>-1.7096429985602939</v>
      </c>
      <c r="U58" s="116">
        <f>U43/U52</f>
        <v>-5.8907103930092886</v>
      </c>
      <c r="V58" s="162"/>
      <c r="W58" s="116">
        <f>W43/W52</f>
        <v>-1.603585177860501</v>
      </c>
      <c r="X58" s="116">
        <f>X43/X52</f>
        <v>-1.5413121561120946</v>
      </c>
      <c r="Y58" s="116">
        <f>Y43/Y52</f>
        <v>-1.592531461998987</v>
      </c>
      <c r="Z58" s="116">
        <f>Z43/Z52</f>
        <v>-1.7227092149924983</v>
      </c>
      <c r="AA58" s="116">
        <f>AA43/AA52</f>
        <v>-6.4183737313211564</v>
      </c>
      <c r="AB58" s="162"/>
      <c r="AC58" s="116">
        <f>AC43/AC52</f>
        <v>-1.7775601654408806</v>
      </c>
      <c r="AD58" s="116">
        <f>AD43/AD52</f>
        <v>-1.4987536224213904</v>
      </c>
      <c r="AE58" s="116">
        <f>AE43/AE52</f>
        <v>-1.4327166891834353</v>
      </c>
      <c r="AF58" s="116">
        <f>AF43/AF52</f>
        <v>-1.3457522760996228</v>
      </c>
      <c r="AG58" s="116">
        <f>AG43/AG52</f>
        <v>-6.0532566921154745</v>
      </c>
      <c r="AH58" s="162"/>
      <c r="AI58" s="116">
        <f>AI43/AI52</f>
        <v>-0.69572790156255782</v>
      </c>
      <c r="AJ58" s="116">
        <f>AJ43/AJ52</f>
        <v>-0.87934531765228219</v>
      </c>
      <c r="AK58" s="116">
        <f>AK43/AK52</f>
        <v>-1.2299045416403243</v>
      </c>
      <c r="AL58" s="116">
        <f>AL43/AL52</f>
        <v>-1.2118132476490606</v>
      </c>
      <c r="AM58" s="116">
        <f>AM43/AM52</f>
        <v>-4.0344898862795153</v>
      </c>
      <c r="AN58" s="162"/>
      <c r="AO58" s="116">
        <f>AO43/AO52</f>
        <v>-1.4472669559260103</v>
      </c>
      <c r="AP58" s="116">
        <f>AP43/AP52</f>
        <v>-1.8875172020961495</v>
      </c>
      <c r="AQ58" s="116">
        <f>AQ43/AQ52</f>
        <v>-2.0631094923742319</v>
      </c>
      <c r="AR58" s="116">
        <v>0.93</v>
      </c>
      <c r="AS58" s="116">
        <f>AS43/AS52</f>
        <v>-7.9307337129840549</v>
      </c>
      <c r="AT58" s="162"/>
      <c r="AU58" s="116">
        <f>AU43/AU52</f>
        <v>-2.3961593281888334</v>
      </c>
      <c r="AV58" s="116">
        <f>AV43/AV52</f>
        <v>-2.5312326172326176</v>
      </c>
      <c r="AW58" s="116">
        <f>AW43/AW52</f>
        <v>-2.5907394780155184</v>
      </c>
      <c r="AX58" s="116">
        <f>AX43/AX52</f>
        <v>-2.207611217183771</v>
      </c>
      <c r="AY58" s="116">
        <f>AY43/AY52</f>
        <v>-9.7374714518760204</v>
      </c>
      <c r="AZ58" s="162"/>
      <c r="BA58" s="116">
        <f>BA43/BA52</f>
        <v>0.67951807228915695</v>
      </c>
      <c r="BB58" s="116">
        <f>BB43/BB52</f>
        <v>0.70729343348679452</v>
      </c>
      <c r="BC58" s="116">
        <f>BC43/BC52</f>
        <v>0.64529011040638951</v>
      </c>
      <c r="BD58" s="116">
        <f>BD43/BD52</f>
        <v>0.65371102327624075</v>
      </c>
      <c r="BE58" s="116">
        <f>BE43/BE52</f>
        <v>2.6847005093974983</v>
      </c>
      <c r="BF58" s="162"/>
      <c r="BG58" s="116">
        <f>BG43/BG52</f>
        <v>0.23429128105211863</v>
      </c>
      <c r="BH58" s="116">
        <f>BH43/BH52</f>
        <v>0.64381970260223054</v>
      </c>
      <c r="BI58" s="116">
        <f>BI43/BI52</f>
        <v>0.59740550212480437</v>
      </c>
      <c r="BJ58" s="116">
        <f>BJ43/BJ52</f>
        <v>1.2454565851469601</v>
      </c>
      <c r="BK58" s="116">
        <f>BK43/BK52</f>
        <v>2.7584217812644214</v>
      </c>
      <c r="BL58" s="162"/>
      <c r="BM58" s="116">
        <f>BM43/BM52</f>
        <v>0.5616685456595264</v>
      </c>
      <c r="BN58" s="116">
        <f>BN43/BN52</f>
        <v>0.90285326086956497</v>
      </c>
      <c r="BO58" s="116">
        <f>BO43/BO52</f>
        <v>0.55580865603644658</v>
      </c>
      <c r="BP58" s="116">
        <f>BP43/BP52</f>
        <v>0.69796198763453166</v>
      </c>
      <c r="BQ58" s="116">
        <f>BQ43/BQ52</f>
        <v>2.7183098591549308</v>
      </c>
      <c r="BR58" s="162"/>
      <c r="BS58" s="116">
        <f>BS43/BS52</f>
        <v>0.9251091201470254</v>
      </c>
      <c r="BT58" s="116">
        <f>BT43/BT52</f>
        <v>0.85223605348086673</v>
      </c>
      <c r="BU58" s="116">
        <f>BU43/BU52</f>
        <v>0.74577839463335605</v>
      </c>
      <c r="BV58" s="116">
        <f>BV43/BV52</f>
        <v>0.67873723305478129</v>
      </c>
      <c r="BW58" s="116">
        <f>BW43/BW52</f>
        <v>3.2033252511257344</v>
      </c>
      <c r="BX58" s="162"/>
      <c r="BY58" s="116">
        <f>BY43/BY52</f>
        <v>0.46143090188767133</v>
      </c>
      <c r="BZ58" s="116">
        <f>BZ43/BZ52</f>
        <v>0.82954279015240329</v>
      </c>
      <c r="CA58" s="116">
        <f>CA43/CA52</f>
        <v>0.92977923907937965</v>
      </c>
      <c r="CB58" s="116">
        <f>CB43/CB52</f>
        <v>0.87278657968313111</v>
      </c>
      <c r="CC58" s="116">
        <f>CC43/CC52</f>
        <v>3.0920144978370137</v>
      </c>
      <c r="CD58" s="162"/>
      <c r="CE58" s="116">
        <f>CE43/CE52</f>
        <v>1.0458015267175567</v>
      </c>
      <c r="CF58" s="116">
        <f>CF43/CF52</f>
        <v>1.0783996299722469</v>
      </c>
      <c r="CG58" s="116">
        <f>CG43/CG52</f>
        <v>1.2895833333333331</v>
      </c>
      <c r="CH58" s="116">
        <f>CH43/CH52</f>
        <v>1.4943062979316761</v>
      </c>
      <c r="CI58" s="116">
        <f>CI43/CI52</f>
        <v>4.9067747539085094</v>
      </c>
      <c r="CJ58" s="162"/>
      <c r="CK58" s="116">
        <f>CK43/CK52</f>
        <v>1.2583352762881792</v>
      </c>
      <c r="CL58" s="116">
        <f>CL43/CL52</f>
        <v>1.3657623947614592</v>
      </c>
      <c r="CM58" s="116">
        <f>CM43/CM52</f>
        <v>1.5975581122329181</v>
      </c>
      <c r="CN58" s="116">
        <f>CN43/CN52</f>
        <v>1.8590651558073656</v>
      </c>
      <c r="CO58" s="116">
        <f>CO43/CO52</f>
        <v>6.0764361078546312</v>
      </c>
      <c r="CP58" s="162"/>
      <c r="CQ58" s="116">
        <f>CQ43/CQ52</f>
        <v>0.84118343195266265</v>
      </c>
      <c r="CR58" s="116">
        <f>CR43/CR52</f>
        <v>1.1284969179706024</v>
      </c>
      <c r="CS58" s="116">
        <f>CS43/CS52</f>
        <v>1.4863647142518384</v>
      </c>
      <c r="CT58" s="116">
        <f>CT43/CT52</f>
        <v>2.6929470434576097</v>
      </c>
      <c r="CU58" s="116">
        <f>CU43/CU52</f>
        <v>6.1459308873214393</v>
      </c>
      <c r="CV58" s="162"/>
      <c r="CW58" s="116">
        <f>CW43/CW52</f>
        <v>0.93066476054324487</v>
      </c>
      <c r="CX58" s="116">
        <f>CX43/CX52</f>
        <v>1.7923627684964198</v>
      </c>
      <c r="CY58" s="116">
        <f>CY43/CY52</f>
        <v>2.5322041984732824</v>
      </c>
      <c r="CZ58" s="116">
        <f>CZ43/CZ52</f>
        <v>3.2277724665391978</v>
      </c>
      <c r="DA58" s="116">
        <f>DA43/DA52</f>
        <v>8.4796277515957765</v>
      </c>
      <c r="DB58" s="162"/>
      <c r="DC58" s="116">
        <f>DC43/DC52</f>
        <v>3.2020202020202015</v>
      </c>
      <c r="DD58" s="116">
        <f>DD43/DD52</f>
        <v>2.5199029126213595</v>
      </c>
      <c r="DE58" s="116">
        <f>DE43/DE52</f>
        <v>4.2589329417523247</v>
      </c>
      <c r="DF58" s="116">
        <f>DF43/DF52</f>
        <v>4.3787654320987661</v>
      </c>
      <c r="DG58" s="116">
        <f>DG43/DG52</f>
        <v>14.337029365176072</v>
      </c>
      <c r="DH58" s="162"/>
      <c r="DI58" s="116">
        <f>DI43/DI52</f>
        <v>1.7317559153175579</v>
      </c>
      <c r="DJ58" s="116">
        <f>DJ43/DJ52</f>
        <v>3.5396387355745107</v>
      </c>
      <c r="DK58" s="116">
        <f>DK43/DK52</f>
        <v>4.2902168431669168</v>
      </c>
      <c r="DL58" s="116">
        <f>DL43/DL52</f>
        <v>4.5964068825910935</v>
      </c>
      <c r="DM58" s="116">
        <f>DM43/DM52</f>
        <v>14.132043470067211</v>
      </c>
      <c r="DN58" s="162"/>
      <c r="DO58" s="116">
        <f>DO43/DO52</f>
        <v>4.9539007092198606</v>
      </c>
      <c r="DP58" s="116">
        <f>DP43/DP52</f>
        <v>4.9281725888324868</v>
      </c>
      <c r="DQ58" s="116">
        <f>DQ43/DQ52</f>
        <v>4.8129130655821033</v>
      </c>
      <c r="DR58" s="116">
        <f>DR43/DR52</f>
        <v>5.2008633824276282</v>
      </c>
      <c r="DS58" s="116">
        <f>DS43/DS52</f>
        <v>19.895939086294415</v>
      </c>
      <c r="DT58" s="336">
        <f>DS58/DM58-1</f>
        <v>0.40786002593578141</v>
      </c>
      <c r="DU58" s="116">
        <f>DU43/DU52</f>
        <v>3.1084582169164339</v>
      </c>
      <c r="DV58" s="116">
        <f>DV43/DV52</f>
        <v>4.0099110546378638</v>
      </c>
      <c r="DW58" s="116">
        <f>DW43/DW52</f>
        <v>5.2756605691056899</v>
      </c>
      <c r="DX58" s="116">
        <f>DX43/DX52</f>
        <v>6.8429878048780477</v>
      </c>
      <c r="DY58" s="116">
        <f>DY43/DY52</f>
        <v>19.236788617886173</v>
      </c>
      <c r="DZ58" s="336">
        <f>DY58/DS58-1</f>
        <v>-3.3129899802633922E-2</v>
      </c>
      <c r="EA58" s="116">
        <f>EA43/EA52</f>
        <v>5.9999999999999991</v>
      </c>
      <c r="EB58" s="116">
        <f>EB43/EB52</f>
        <v>5.8967559217301782</v>
      </c>
      <c r="EC58" s="116">
        <f>EC43/EC52</f>
        <v>5.481166150670794</v>
      </c>
      <c r="ED58" s="116">
        <f>ED43/ED52</f>
        <v>7.4383450129198962</v>
      </c>
      <c r="EE58" s="116">
        <f>EE43/EE52</f>
        <v>24.811159164255869</v>
      </c>
      <c r="EF58" s="336">
        <f>EE58/DY58-1</f>
        <v>0.28977656599016233</v>
      </c>
      <c r="EG58" s="116">
        <f>EG43/EG52</f>
        <v>7.1462276380606706</v>
      </c>
      <c r="EH58" s="116">
        <f>EH43/EH52</f>
        <v>6.733631607030671</v>
      </c>
      <c r="EI58" s="116">
        <f>EI43/EI52</f>
        <v>8.2062074774343863</v>
      </c>
      <c r="EJ58" s="116">
        <f>EJ43/EJ52</f>
        <v>8.4670073344594261</v>
      </c>
      <c r="EK58" s="116">
        <f>EK43/EK52</f>
        <v>30.547092808182676</v>
      </c>
      <c r="EL58" s="336">
        <f>EK58/EE58-1</f>
        <v>0.23118362209333054</v>
      </c>
      <c r="EN58" s="162"/>
      <c r="EO58" s="162"/>
      <c r="EP58" s="162"/>
      <c r="ET58" s="99">
        <v>0.78873256928302493</v>
      </c>
      <c r="EU58" s="99">
        <v>-0.89124769783585833</v>
      </c>
      <c r="EV58" s="99">
        <v>-0.18463258022169751</v>
      </c>
      <c r="EW58" s="99">
        <v>-0.25818264764432647</v>
      </c>
      <c r="EX58" s="116">
        <f t="shared" ref="EX58:FS58" si="30">EX43/EX52</f>
        <v>-4.5958961480292402</v>
      </c>
      <c r="EY58" s="116">
        <f t="shared" si="30"/>
        <v>-4.1442634669112426</v>
      </c>
      <c r="EZ58" s="116">
        <f t="shared" si="30"/>
        <v>-5.8907103930092886</v>
      </c>
      <c r="FA58" s="116">
        <f t="shared" si="30"/>
        <v>-6.4183737313211564</v>
      </c>
      <c r="FB58" s="116">
        <f t="shared" si="30"/>
        <v>-6.0532566921154745</v>
      </c>
      <c r="FC58" s="116">
        <f t="shared" si="30"/>
        <v>-4.0344898862795153</v>
      </c>
      <c r="FD58" s="116">
        <f t="shared" si="30"/>
        <v>-7.9307337129840549</v>
      </c>
      <c r="FE58" s="116">
        <f t="shared" si="30"/>
        <v>-9.7374714518760204</v>
      </c>
      <c r="FF58" s="116">
        <f t="shared" si="30"/>
        <v>2.6847005093974983</v>
      </c>
      <c r="FG58" s="116">
        <f t="shared" si="30"/>
        <v>2.7584217812644214</v>
      </c>
      <c r="FH58" s="116">
        <f t="shared" si="30"/>
        <v>2.7183098591549308</v>
      </c>
      <c r="FI58" s="116">
        <f t="shared" si="30"/>
        <v>3.2033252511257344</v>
      </c>
      <c r="FJ58" s="116">
        <f t="shared" si="30"/>
        <v>3.0920144978370137</v>
      </c>
      <c r="FK58" s="116">
        <f t="shared" si="30"/>
        <v>4.9067747539085094</v>
      </c>
      <c r="FL58" s="116">
        <f t="shared" si="30"/>
        <v>6.0764361078546312</v>
      </c>
      <c r="FM58" s="116">
        <f t="shared" si="30"/>
        <v>6.1459308873214393</v>
      </c>
      <c r="FN58" s="116">
        <f t="shared" si="30"/>
        <v>8.4796277515957765</v>
      </c>
      <c r="FO58" s="116">
        <f t="shared" si="30"/>
        <v>14.337029365176072</v>
      </c>
      <c r="FP58" s="116">
        <f t="shared" si="30"/>
        <v>14.132043470067211</v>
      </c>
      <c r="FQ58" s="116">
        <f>FQ43/FQ52</f>
        <v>19.895939086294415</v>
      </c>
      <c r="FR58" s="116">
        <f>FR43/FR52</f>
        <v>19.236788617886173</v>
      </c>
      <c r="FS58" s="116">
        <f t="shared" si="30"/>
        <v>24.811159164255869</v>
      </c>
      <c r="FT58" s="116">
        <f>FT43/FT52</f>
        <v>30.547092808182654</v>
      </c>
      <c r="FU58" s="116">
        <f>FU43/FU52</f>
        <v>46.500704514861688</v>
      </c>
      <c r="FV58" s="116">
        <f>FV43/FV52</f>
        <v>37.438708342241362</v>
      </c>
      <c r="FW58" s="116">
        <f>FW43/FW52</f>
        <v>9.9211436688929577</v>
      </c>
      <c r="FX58" s="116">
        <f ca="1">FX43/FX52</f>
        <v>13.562830019650379</v>
      </c>
      <c r="FY58" s="352"/>
      <c r="FZ58" s="352">
        <f ca="1">(FX58/FQ58)^(1/7)-1</f>
        <v>-5.3269096463400389E-2</v>
      </c>
      <c r="GB58" s="180">
        <f>(FS58/FP58)^(1/3)-1</f>
        <v>0.20637046686825045</v>
      </c>
      <c r="GF58" s="116">
        <f>GF43/GF52</f>
        <v>29.554589521054325</v>
      </c>
      <c r="GH58" s="116">
        <f ca="1">GH43/GH52</f>
        <v>67.053698354462028</v>
      </c>
      <c r="GI58" s="390">
        <f ca="1">(GH58/FU58)^(1/3)-1</f>
        <v>0.12976400714177116</v>
      </c>
      <c r="GK58" s="392">
        <f ca="1">2030-(YEAR(GK57)+2)</f>
        <v>2</v>
      </c>
    </row>
    <row r="59" spans="2:193" x14ac:dyDescent="0.25">
      <c r="B59" s="198"/>
      <c r="U59" s="114"/>
      <c r="V59" s="161"/>
      <c r="AA59" s="114"/>
      <c r="AB59" s="161"/>
      <c r="AG59" s="114"/>
      <c r="AH59" s="161"/>
      <c r="AM59" s="114"/>
      <c r="AN59" s="161"/>
      <c r="AS59" s="114"/>
      <c r="AT59" s="161"/>
      <c r="AY59" s="114"/>
      <c r="AZ59" s="161"/>
      <c r="BE59" s="114"/>
      <c r="BF59" s="161"/>
      <c r="BK59" s="114"/>
      <c r="BL59" s="161"/>
      <c r="BQ59" s="114"/>
      <c r="BR59" s="161"/>
      <c r="BW59" s="114"/>
      <c r="BX59" s="161"/>
      <c r="BY59" s="161"/>
      <c r="BZ59" s="161"/>
      <c r="CA59" s="161"/>
      <c r="CB59" s="161"/>
      <c r="CC59" s="161"/>
      <c r="CD59" s="161"/>
      <c r="CE59" s="161"/>
      <c r="CF59" s="161"/>
      <c r="CG59" s="161"/>
      <c r="CH59" s="161"/>
      <c r="CI59" s="161"/>
      <c r="CJ59" s="161"/>
      <c r="CK59" s="161"/>
      <c r="CL59" s="161"/>
      <c r="CM59" s="161"/>
      <c r="CN59" s="161"/>
      <c r="CO59" s="161"/>
      <c r="CP59" s="161"/>
      <c r="CQ59" s="161"/>
      <c r="CR59" s="161"/>
      <c r="CS59" s="161"/>
      <c r="CT59" s="161"/>
      <c r="CU59" s="161"/>
      <c r="CV59" s="161"/>
      <c r="CW59" s="161"/>
      <c r="CX59" s="161"/>
      <c r="CY59" s="161"/>
      <c r="CZ59" s="161"/>
      <c r="DA59" s="161"/>
      <c r="DB59" s="161"/>
      <c r="DC59" s="161"/>
      <c r="DD59" s="161"/>
      <c r="DE59" s="161"/>
      <c r="DF59" s="161"/>
      <c r="DG59" s="161"/>
      <c r="DH59" s="161"/>
      <c r="DI59" s="161"/>
      <c r="DJ59" s="161"/>
      <c r="DK59" s="161"/>
      <c r="DL59" s="161"/>
      <c r="DM59" s="161"/>
      <c r="DN59" s="161"/>
      <c r="DO59" s="161"/>
      <c r="DP59" s="161"/>
      <c r="DQ59" s="161"/>
      <c r="DR59" s="161"/>
      <c r="DS59" s="161"/>
      <c r="DT59" s="161"/>
      <c r="DU59" s="161"/>
      <c r="DV59" s="161"/>
      <c r="DW59" s="161"/>
      <c r="DX59" s="161"/>
      <c r="DY59" s="161"/>
      <c r="DZ59" s="161"/>
      <c r="EA59" s="161"/>
      <c r="EB59" s="161"/>
      <c r="EC59" s="161"/>
      <c r="ED59" s="161"/>
      <c r="EE59" s="161"/>
      <c r="EF59" s="161"/>
      <c r="EG59" s="161"/>
      <c r="EH59" s="161"/>
      <c r="EI59" s="161"/>
      <c r="EJ59" s="161"/>
      <c r="EK59" s="161"/>
      <c r="EL59" s="161"/>
      <c r="EM59" s="161"/>
      <c r="EN59" s="161"/>
      <c r="EO59" s="161"/>
      <c r="EP59" s="161"/>
      <c r="FK59" s="118"/>
      <c r="FL59" s="118"/>
      <c r="FO59" s="294">
        <f t="shared" ref="FO59:FT59" si="31">FO58/FN58-1</f>
        <v>0.69076164487031799</v>
      </c>
      <c r="FP59" s="294">
        <f t="shared" si="31"/>
        <v>-1.4297654687571493E-2</v>
      </c>
      <c r="FQ59" s="294">
        <f t="shared" si="31"/>
        <v>0.40786002593578141</v>
      </c>
      <c r="FR59" s="294">
        <f t="shared" si="31"/>
        <v>-3.3129899802633922E-2</v>
      </c>
      <c r="FS59" s="294">
        <f t="shared" si="31"/>
        <v>0.28977656599016233</v>
      </c>
      <c r="FT59" s="294">
        <f t="shared" si="31"/>
        <v>0.23118362209332988</v>
      </c>
      <c r="FU59" s="337">
        <f>FU58/FT58-1</f>
        <v>0.52226284860749628</v>
      </c>
      <c r="FV59" s="161"/>
      <c r="FW59" s="161"/>
      <c r="FX59" s="161"/>
    </row>
    <row r="60" spans="2:193" x14ac:dyDescent="0.25">
      <c r="J60" s="74"/>
      <c r="K60" s="74"/>
      <c r="L60" s="74"/>
      <c r="FO60" s="187"/>
      <c r="FP60" s="187"/>
      <c r="FQ60" s="187"/>
      <c r="FR60" s="187"/>
      <c r="FS60" s="187"/>
      <c r="FT60" s="337">
        <f>(FT58/FQ58)^(1/3)-1</f>
        <v>0.15363515141638895</v>
      </c>
      <c r="FU60" s="187"/>
      <c r="GI60" s="388">
        <v>0.11024999999999999</v>
      </c>
    </row>
    <row r="61" spans="2:193" x14ac:dyDescent="0.25">
      <c r="B61" s="180" t="s">
        <v>399</v>
      </c>
      <c r="J61" s="74"/>
      <c r="K61" s="74"/>
      <c r="L61" s="74"/>
      <c r="BG61" s="216">
        <f>-BG336/BG50</f>
        <v>0</v>
      </c>
      <c r="BH61" s="216">
        <f>-BH336/BH50</f>
        <v>0.50715794414456694</v>
      </c>
      <c r="BI61" s="216">
        <f>-BI336/BI50</f>
        <v>0</v>
      </c>
      <c r="BJ61" s="216">
        <f>-BJ336/BJ50</f>
        <v>0</v>
      </c>
      <c r="BK61" s="216">
        <f>-BK336/BK50</f>
        <v>0.50279199627733828</v>
      </c>
      <c r="BM61" s="216">
        <f>-BM336/BM50</f>
        <v>0</v>
      </c>
      <c r="BN61" s="216">
        <f>-BN336/BN50</f>
        <v>0.61117445838084383</v>
      </c>
      <c r="BO61" s="216">
        <f>-BO336/BO50</f>
        <v>0</v>
      </c>
      <c r="BP61" s="216">
        <f>-BP336/BP50</f>
        <v>0</v>
      </c>
      <c r="BQ61" s="216">
        <f>-BQ336/BQ50</f>
        <v>0.61302681992337171</v>
      </c>
      <c r="BS61" s="216">
        <f>-BS336/BS50</f>
        <v>0</v>
      </c>
      <c r="BT61" s="216">
        <f>-BT336/BT50</f>
        <v>0.70074177097821055</v>
      </c>
      <c r="BU61" s="216">
        <f>-BU336/BU50</f>
        <v>0</v>
      </c>
      <c r="BV61" s="216">
        <f>-BV336/BV50</f>
        <v>0</v>
      </c>
      <c r="BW61" s="216">
        <f>-BW336/BW50</f>
        <v>0.70192140244964296</v>
      </c>
      <c r="BY61" s="216">
        <f>-BY336/BY50</f>
        <v>0</v>
      </c>
      <c r="BZ61" s="216">
        <f>-BZ336/BZ50</f>
        <v>1.0504122497055359</v>
      </c>
      <c r="CA61" s="216">
        <f>-CA336/CA50</f>
        <v>0</v>
      </c>
      <c r="CB61" s="216">
        <f>-CB336/CB50</f>
        <v>0</v>
      </c>
      <c r="CC61" s="216">
        <f>-CC336/CC50</f>
        <v>1.0476973684210524</v>
      </c>
      <c r="CE61" s="216">
        <f>-CE336/CE50</f>
        <v>0</v>
      </c>
      <c r="CF61" s="216">
        <f>-CF336/CF50</f>
        <v>1.200511152416357</v>
      </c>
      <c r="CG61" s="216">
        <f>-CG336/CG50</f>
        <v>0</v>
      </c>
      <c r="CH61" s="216">
        <f>-CH336/CH50</f>
        <v>0</v>
      </c>
      <c r="CI61" s="216">
        <f>-CI336/CI50</f>
        <v>1.2023269342641072</v>
      </c>
      <c r="CK61" s="216">
        <f>-CK336/CK50</f>
        <v>0</v>
      </c>
      <c r="CL61" s="216">
        <f>-CL336/CL50</f>
        <v>1.4016431924882629</v>
      </c>
      <c r="CM61" s="216">
        <f>-CM336/CM50</f>
        <v>0</v>
      </c>
      <c r="CN61" s="216">
        <f>-CN336/CN50</f>
        <v>0</v>
      </c>
      <c r="CO61" s="216">
        <f>-CO336/CO50</f>
        <v>1.4051891510266519</v>
      </c>
      <c r="CQ61" s="216">
        <f>-CQ336/CQ50</f>
        <v>0</v>
      </c>
      <c r="CR61" s="216">
        <f>-CR336/CR50</f>
        <v>2.1002137259558298</v>
      </c>
      <c r="CS61" s="216">
        <f>-CS336/CS50</f>
        <v>0</v>
      </c>
      <c r="CT61" s="216">
        <f>-CT336/CT50</f>
        <v>1.0504641751963817</v>
      </c>
      <c r="CU61" s="216">
        <f>-CU336/CU50</f>
        <v>3.1504277566539929</v>
      </c>
      <c r="CW61" s="216">
        <f>-CW336/CW50</f>
        <v>0</v>
      </c>
      <c r="CX61" s="216">
        <f>-CX336/CX50</f>
        <v>1.3499043977055449</v>
      </c>
      <c r="CY61" s="216">
        <f>-CY336/CY50</f>
        <v>0</v>
      </c>
      <c r="CZ61" s="216">
        <f>-CZ336/CZ50</f>
        <v>1.201437125748503</v>
      </c>
      <c r="DA61" s="216">
        <f>-DA336/DA50</f>
        <v>2.5492141277714699</v>
      </c>
      <c r="DC61" s="216">
        <f>-DC336/DC50</f>
        <v>0</v>
      </c>
      <c r="DD61" s="216">
        <f>-DD336/DD50</f>
        <v>1.5530984204131228</v>
      </c>
      <c r="DE61" s="216">
        <f>-DE336/DE50</f>
        <v>0</v>
      </c>
      <c r="DF61" s="216">
        <f>-DF336/DF50</f>
        <v>1.8036111798169676</v>
      </c>
      <c r="DG61" s="216">
        <f>-DG336/DG50</f>
        <v>3.3393532641854797</v>
      </c>
      <c r="DH61" s="216"/>
      <c r="DI61" s="216">
        <f>-DI336/DI50</f>
        <v>0</v>
      </c>
      <c r="DJ61" s="216">
        <f>-DJ336/DJ50</f>
        <v>3.703991965854883</v>
      </c>
      <c r="DK61" s="216">
        <f>-DK336/DK50</f>
        <v>1.3717819283190309</v>
      </c>
      <c r="DL61" s="216">
        <f>-DL336/DL50</f>
        <v>1.370220308938972</v>
      </c>
      <c r="DM61" s="216">
        <f>-DM336/DM50</f>
        <v>6.4379754794089914</v>
      </c>
      <c r="DO61" s="216">
        <f>-DO336/DO50</f>
        <v>1.3716096324461344</v>
      </c>
      <c r="DP61" s="216">
        <f>-DP336/DP50</f>
        <v>1.6914677501269679</v>
      </c>
      <c r="DQ61" s="216">
        <f>-DQ336/DQ50</f>
        <v>1.4488188976377954</v>
      </c>
      <c r="DR61" s="216">
        <f>-DR336/DR50</f>
        <v>1.4509405185561768</v>
      </c>
      <c r="DS61" s="216">
        <f>-DS336/DS50</f>
        <v>5.9626761457407627</v>
      </c>
      <c r="DT61" s="216"/>
      <c r="DU61" s="216">
        <f>-DU336/DU50</f>
        <v>1.4514489069649212</v>
      </c>
      <c r="DV61" s="216">
        <f>-DV336/DV50</f>
        <v>1.7505086469989826</v>
      </c>
      <c r="DW61" s="216">
        <f>-DW336/DW50</f>
        <v>1.5152594099694812</v>
      </c>
      <c r="DX61" s="216">
        <f>-DX336/DX50</f>
        <v>1.5199593185863207</v>
      </c>
      <c r="DY61" s="216">
        <f>-DY336/DY50</f>
        <v>6.2371114360180533</v>
      </c>
      <c r="EA61" s="216">
        <f>-EA336/EA50</f>
        <v>1.5223043589089982</v>
      </c>
      <c r="EB61" s="216">
        <f>-EB336/EB50</f>
        <v>1.8402885110767646</v>
      </c>
      <c r="EC61" s="216">
        <f>-EC336/EC50</f>
        <v>1.5997934417764008</v>
      </c>
      <c r="ED61" s="216">
        <f>-ED336/ED50</f>
        <v>1.6062256809338522</v>
      </c>
      <c r="EE61" s="216">
        <f>-EE336/EE50</f>
        <v>6.567694585720723</v>
      </c>
      <c r="EG61" s="216">
        <f>-EG336/EG50</f>
        <v>1.6009340944473276</v>
      </c>
      <c r="EH61" s="216">
        <f>-EH336/EH50</f>
        <v>2.7</v>
      </c>
      <c r="EI61" s="216">
        <f>-EI336/EI50</f>
        <v>2.7</v>
      </c>
      <c r="EJ61" s="216">
        <f>-EJ336/EJ50</f>
        <v>2.6999999999999997</v>
      </c>
      <c r="EK61" s="216">
        <f>-EK336/EK50</f>
        <v>9.6975378231496911</v>
      </c>
      <c r="FG61" s="240">
        <f>BK61</f>
        <v>0.50279199627733828</v>
      </c>
      <c r="FH61" s="240">
        <f>BQ61</f>
        <v>0.61302681992337171</v>
      </c>
      <c r="FI61" s="240">
        <f>BW61</f>
        <v>0.70192140244964296</v>
      </c>
      <c r="FJ61" s="240">
        <f>CC61</f>
        <v>1.0476973684210524</v>
      </c>
      <c r="FK61" s="240">
        <f>CI61</f>
        <v>1.2023269342641072</v>
      </c>
      <c r="FL61" s="240">
        <f>CO61</f>
        <v>1.4051891510266519</v>
      </c>
      <c r="FM61" s="99">
        <f>CU61</f>
        <v>3.1504277566539929</v>
      </c>
      <c r="FN61" s="99">
        <f>DA61</f>
        <v>2.5492141277714699</v>
      </c>
      <c r="FO61" s="99">
        <f>DG61</f>
        <v>3.3393532641854797</v>
      </c>
      <c r="FP61" s="99">
        <f>DM61</f>
        <v>6.4379754794089914</v>
      </c>
      <c r="FQ61" s="99">
        <f>DS61</f>
        <v>5.9626761457407627</v>
      </c>
      <c r="FR61" s="99">
        <f>DY61</f>
        <v>6.2371114360180533</v>
      </c>
      <c r="FS61" s="99">
        <f>EE61</f>
        <v>6.567694585720723</v>
      </c>
      <c r="FT61" s="216">
        <f>EK61</f>
        <v>9.6975378231496911</v>
      </c>
      <c r="FU61" s="216">
        <f>-FU336/FU50</f>
        <v>9.6975378231496911</v>
      </c>
      <c r="FV61" s="216">
        <f>-FV336/FV50</f>
        <v>9.6975378231496911</v>
      </c>
      <c r="FW61" s="216">
        <f>-FW336/FW50</f>
        <v>9.6975378231496911</v>
      </c>
      <c r="FX61" s="216">
        <f>-FX336/FX50</f>
        <v>9.6975378231496911</v>
      </c>
      <c r="GH61" s="361">
        <f ca="1">($GH$58*GI61)/((1+$GI$60)^$GK$58)</f>
        <v>979.16003194958421</v>
      </c>
      <c r="GI61" s="358">
        <v>18</v>
      </c>
    </row>
    <row r="62" spans="2:193" x14ac:dyDescent="0.25">
      <c r="J62" s="74"/>
      <c r="K62" s="74"/>
      <c r="L62" s="74"/>
      <c r="FQ62" s="74"/>
      <c r="GH62" s="361">
        <f ca="1">($GH$58*GI62)/((1+$GI$60)^$GK$58)</f>
        <v>1359.9444888188668</v>
      </c>
      <c r="GI62" s="358">
        <v>25</v>
      </c>
    </row>
    <row r="63" spans="2:193" x14ac:dyDescent="0.25">
      <c r="J63" s="74"/>
      <c r="K63" s="74"/>
      <c r="L63" s="74"/>
      <c r="FV63" s="393">
        <f>25*FV58</f>
        <v>935.96770855603404</v>
      </c>
      <c r="FW63" s="393">
        <f>25*FW58</f>
        <v>248.02859172232394</v>
      </c>
      <c r="FX63" s="393">
        <f ca="1">25*FX58</f>
        <v>339.0707504912595</v>
      </c>
      <c r="GH63" s="361">
        <f ca="1">($GH$58*GI63)/((1+$GI$60)^$GK$58)</f>
        <v>1903.9222843464138</v>
      </c>
      <c r="GI63" s="358">
        <v>35</v>
      </c>
    </row>
    <row r="64" spans="2:193" x14ac:dyDescent="0.25">
      <c r="GI64" s="387"/>
    </row>
    <row r="65" spans="1:180" x14ac:dyDescent="0.25">
      <c r="B65" s="200"/>
      <c r="D65" s="74"/>
      <c r="I65" s="87"/>
      <c r="J65" s="74"/>
      <c r="K65" s="199"/>
      <c r="L65" s="199"/>
      <c r="M65" s="199"/>
      <c r="N65" s="199"/>
      <c r="O65" s="199"/>
      <c r="P65" s="74"/>
      <c r="Q65" s="199"/>
      <c r="R65" s="199"/>
      <c r="S65" s="199"/>
      <c r="T65" s="199"/>
      <c r="W65" s="199"/>
      <c r="X65" s="199"/>
      <c r="Y65" s="199"/>
      <c r="Z65" s="199"/>
      <c r="AC65" s="199"/>
      <c r="AD65" s="199"/>
      <c r="AE65" s="199"/>
      <c r="AF65" s="199"/>
      <c r="AH65" s="74"/>
      <c r="AI65" s="184"/>
      <c r="AJ65" s="184"/>
      <c r="AK65" s="184"/>
      <c r="AL65" s="184"/>
      <c r="AO65" s="184"/>
      <c r="AP65" s="184"/>
      <c r="AQ65" s="184"/>
      <c r="AR65" s="184"/>
      <c r="AU65" s="184"/>
      <c r="AV65" s="184"/>
      <c r="AW65" s="184"/>
      <c r="AX65" s="184"/>
      <c r="BA65" s="184"/>
      <c r="BB65" s="184"/>
      <c r="BC65" s="184"/>
      <c r="BD65" s="184"/>
      <c r="BG65" s="184"/>
      <c r="BH65" s="184"/>
      <c r="BI65" s="184"/>
      <c r="BJ65" s="184"/>
      <c r="BM65" s="184"/>
      <c r="BN65" s="184"/>
      <c r="BO65" s="184"/>
      <c r="BP65" s="184"/>
      <c r="BS65" s="184"/>
      <c r="BT65" s="184"/>
      <c r="BU65" s="184"/>
      <c r="BV65" s="184"/>
      <c r="BY65" s="184"/>
      <c r="BZ65" s="184"/>
      <c r="CA65" s="184"/>
      <c r="CB65" s="184"/>
      <c r="CE65" s="184"/>
      <c r="CF65" s="184"/>
      <c r="CG65" s="184"/>
      <c r="CH65" s="184"/>
      <c r="CK65" s="184"/>
      <c r="CL65" s="184"/>
      <c r="CM65" s="184"/>
      <c r="CN65" s="184"/>
    </row>
    <row r="66" spans="1:180" x14ac:dyDescent="0.25">
      <c r="B66" s="200"/>
      <c r="D66" s="74"/>
      <c r="I66" s="87"/>
      <c r="J66" s="74"/>
      <c r="K66" s="199"/>
      <c r="L66" s="199"/>
      <c r="M66" s="199"/>
      <c r="N66" s="199"/>
      <c r="O66" s="199"/>
      <c r="P66" s="74"/>
      <c r="Q66" s="199"/>
      <c r="R66" s="199"/>
      <c r="S66" s="199"/>
      <c r="T66" s="199"/>
      <c r="W66" s="199"/>
      <c r="X66" s="199"/>
      <c r="Y66" s="199"/>
      <c r="Z66" s="199"/>
      <c r="AC66" s="199"/>
      <c r="AD66" s="199"/>
      <c r="AE66" s="199"/>
      <c r="AF66" s="199"/>
      <c r="AH66" s="74"/>
      <c r="AI66" s="184"/>
      <c r="AJ66" s="184"/>
      <c r="AK66" s="184"/>
      <c r="AL66" s="184"/>
      <c r="AO66" s="184"/>
      <c r="AP66" s="184"/>
      <c r="AQ66" s="184"/>
      <c r="AR66" s="184"/>
      <c r="AU66" s="184"/>
      <c r="AV66" s="184"/>
      <c r="AW66" s="184"/>
      <c r="AX66" s="184"/>
      <c r="BA66" s="184"/>
      <c r="BB66" s="184"/>
      <c r="BC66" s="184"/>
      <c r="BD66" s="184"/>
      <c r="BG66" s="184"/>
      <c r="BH66" s="184"/>
      <c r="BI66" s="184"/>
      <c r="BJ66" s="184"/>
      <c r="BM66" s="184"/>
      <c r="BN66" s="184"/>
      <c r="BO66" s="184"/>
      <c r="BP66" s="184"/>
      <c r="BS66" s="184"/>
      <c r="BT66" s="184"/>
      <c r="BU66" s="184"/>
      <c r="BV66" s="184"/>
      <c r="BY66" s="184"/>
      <c r="BZ66" s="184"/>
      <c r="CA66" s="184"/>
      <c r="CB66" s="184"/>
      <c r="CE66" s="184"/>
      <c r="CF66" s="184"/>
      <c r="CG66" s="184"/>
      <c r="CH66" s="184"/>
      <c r="CK66" s="184"/>
      <c r="CL66" s="184"/>
      <c r="CM66" s="184"/>
      <c r="CN66" s="184"/>
    </row>
    <row r="67" spans="1:180" x14ac:dyDescent="0.25">
      <c r="A67" s="253" t="s">
        <v>397</v>
      </c>
      <c r="B67" s="255"/>
      <c r="C67" s="253"/>
      <c r="D67" s="253"/>
      <c r="E67" s="254" t="str">
        <f>E$3</f>
        <v>1Q04</v>
      </c>
      <c r="F67" s="254" t="str">
        <f>F$3</f>
        <v>2Q04</v>
      </c>
      <c r="G67" s="254" t="str">
        <f>G$3</f>
        <v>3Q04</v>
      </c>
      <c r="H67" s="254" t="str">
        <f>H$3</f>
        <v>4Q04</v>
      </c>
      <c r="I67" s="254">
        <f>I$3</f>
        <v>2004</v>
      </c>
      <c r="J67" s="253"/>
      <c r="K67" s="254" t="str">
        <f>K$3</f>
        <v>1Q05</v>
      </c>
      <c r="L67" s="254" t="str">
        <f>L$3</f>
        <v>2Q05</v>
      </c>
      <c r="M67" s="254" t="str">
        <f>M$3</f>
        <v>3Q05</v>
      </c>
      <c r="N67" s="254" t="str">
        <f>N$3</f>
        <v>4Q05</v>
      </c>
      <c r="O67" s="254">
        <f>O$3</f>
        <v>2005</v>
      </c>
      <c r="P67" s="253"/>
      <c r="Q67" s="254" t="str">
        <f>Q$3</f>
        <v>1Q06</v>
      </c>
      <c r="R67" s="254" t="str">
        <f>R$3</f>
        <v>2Q06</v>
      </c>
      <c r="S67" s="254" t="str">
        <f>S$3</f>
        <v>3Q06</v>
      </c>
      <c r="T67" s="254" t="str">
        <f>T$3</f>
        <v>4Q06</v>
      </c>
      <c r="U67" s="254">
        <f>U$3</f>
        <v>2006</v>
      </c>
      <c r="V67" s="253"/>
      <c r="W67" s="254" t="str">
        <f>W$3</f>
        <v>1Q07</v>
      </c>
      <c r="X67" s="254" t="str">
        <f>X$3</f>
        <v>2Q07</v>
      </c>
      <c r="Y67" s="254" t="str">
        <f>Y$3</f>
        <v>3Q07</v>
      </c>
      <c r="Z67" s="254" t="str">
        <f>Z$3</f>
        <v>4Q07</v>
      </c>
      <c r="AA67" s="254">
        <f>AA$3</f>
        <v>2007</v>
      </c>
      <c r="AB67" s="253"/>
      <c r="AC67" s="254" t="str">
        <f>AC$3</f>
        <v>1Q08</v>
      </c>
      <c r="AD67" s="254" t="str">
        <f>AD$3</f>
        <v>2Q08</v>
      </c>
      <c r="AE67" s="254" t="str">
        <f>AE$3</f>
        <v>3Q08</v>
      </c>
      <c r="AF67" s="254" t="str">
        <f>AF$3</f>
        <v>4Q08</v>
      </c>
      <c r="AG67" s="254">
        <f>AG$3</f>
        <v>2008</v>
      </c>
      <c r="AH67" s="253"/>
      <c r="AI67" s="254" t="str">
        <f>AI$3</f>
        <v>1Q09</v>
      </c>
      <c r="AJ67" s="254" t="str">
        <f>AJ$3</f>
        <v>2Q09</v>
      </c>
      <c r="AK67" s="254" t="str">
        <f>AK$3</f>
        <v>3Q09</v>
      </c>
      <c r="AL67" s="254" t="str">
        <f>AL$3</f>
        <v>4Q09</v>
      </c>
      <c r="AM67" s="254">
        <f>AM$3</f>
        <v>2009</v>
      </c>
      <c r="AN67" s="253"/>
      <c r="AO67" s="254" t="str">
        <f>AO$3</f>
        <v>1Q10</v>
      </c>
      <c r="AP67" s="254" t="str">
        <f>AP$3</f>
        <v>2Q10</v>
      </c>
      <c r="AQ67" s="254" t="str">
        <f>AQ$3</f>
        <v>3Q10</v>
      </c>
      <c r="AR67" s="254" t="str">
        <f>AR$3</f>
        <v>4Q10</v>
      </c>
      <c r="AS67" s="254">
        <f>AS$3</f>
        <v>2010</v>
      </c>
      <c r="AT67" s="253"/>
      <c r="AU67" s="254" t="str">
        <f>AU$3</f>
        <v>1Q11</v>
      </c>
      <c r="AV67" s="254" t="str">
        <f>AV$3</f>
        <v>2Q11</v>
      </c>
      <c r="AW67" s="254" t="str">
        <f>AW$3</f>
        <v>3Q11</v>
      </c>
      <c r="AX67" s="254" t="str">
        <f>AX$3</f>
        <v>4Q11</v>
      </c>
      <c r="AY67" s="254">
        <f>AY$3</f>
        <v>2011</v>
      </c>
      <c r="AZ67" s="253"/>
      <c r="BA67" s="254" t="str">
        <f>BA$3</f>
        <v>1Q12</v>
      </c>
      <c r="BB67" s="254" t="str">
        <f>BB$3</f>
        <v>2Q12</v>
      </c>
      <c r="BC67" s="254" t="str">
        <f>BC$3</f>
        <v>3Q12</v>
      </c>
      <c r="BD67" s="254" t="str">
        <f>BD$3</f>
        <v>4Q12</v>
      </c>
      <c r="BE67" s="254">
        <f>BE$3</f>
        <v>2012</v>
      </c>
      <c r="BF67" s="253"/>
      <c r="BG67" s="254" t="str">
        <f>BG$3</f>
        <v>1Q13</v>
      </c>
      <c r="BH67" s="254" t="str">
        <f>BH$3</f>
        <v>2Q13</v>
      </c>
      <c r="BI67" s="254" t="str">
        <f>BI$3</f>
        <v>3Q13</v>
      </c>
      <c r="BJ67" s="254" t="str">
        <f>BJ$3</f>
        <v>4Q13</v>
      </c>
      <c r="BK67" s="254">
        <f>BK$3</f>
        <v>2013</v>
      </c>
      <c r="BL67" s="253"/>
      <c r="BM67" s="254" t="str">
        <f>BM$3</f>
        <v>1Q14</v>
      </c>
      <c r="BN67" s="254" t="str">
        <f>BN$3</f>
        <v>2Q14</v>
      </c>
      <c r="BO67" s="254" t="str">
        <f>BO$3</f>
        <v>3Q14</v>
      </c>
      <c r="BP67" s="254" t="str">
        <f>BP$3</f>
        <v>4Q14</v>
      </c>
      <c r="BQ67" s="254">
        <f>BQ$3</f>
        <v>2014</v>
      </c>
      <c r="BR67" s="253"/>
      <c r="BS67" s="254" t="str">
        <f>BS$3</f>
        <v>1Q15</v>
      </c>
      <c r="BT67" s="254" t="str">
        <f>BT$3</f>
        <v>2Q15</v>
      </c>
      <c r="BU67" s="254" t="str">
        <f>BU$3</f>
        <v>3Q15</v>
      </c>
      <c r="BV67" s="254" t="str">
        <f>BV$3</f>
        <v>4Q15</v>
      </c>
      <c r="BW67" s="254">
        <f>BW$3</f>
        <v>2015</v>
      </c>
      <c r="BX67" s="253"/>
      <c r="BY67" s="254" t="str">
        <f>BY$3</f>
        <v>1Q16</v>
      </c>
      <c r="BZ67" s="254" t="str">
        <f>BZ$3</f>
        <v>2Q16</v>
      </c>
      <c r="CA67" s="254" t="str">
        <f>CA$3</f>
        <v>3Q16</v>
      </c>
      <c r="CB67" s="254" t="str">
        <f>CB$3</f>
        <v>4Q16</v>
      </c>
      <c r="CC67" s="254">
        <f>CC$3</f>
        <v>2016</v>
      </c>
      <c r="CD67" s="253"/>
      <c r="CE67" s="254" t="str">
        <f>CE$3</f>
        <v>1Q17</v>
      </c>
      <c r="CF67" s="254" t="str">
        <f>CF$3</f>
        <v>2Q17</v>
      </c>
      <c r="CG67" s="254" t="str">
        <f>CG$3</f>
        <v>3Q17</v>
      </c>
      <c r="CH67" s="254" t="str">
        <f>CH$3</f>
        <v>4Q17</v>
      </c>
      <c r="CI67" s="254">
        <f>CI$3</f>
        <v>2017</v>
      </c>
      <c r="CJ67" s="253"/>
      <c r="CK67" s="254" t="str">
        <f>CK$3</f>
        <v>1Q18</v>
      </c>
      <c r="CL67" s="254" t="str">
        <f>CL$3</f>
        <v>2Q18</v>
      </c>
      <c r="CM67" s="254" t="str">
        <f>CM$3</f>
        <v>3Q18</v>
      </c>
      <c r="CN67" s="254" t="str">
        <f>CN$3</f>
        <v>4Q18</v>
      </c>
      <c r="CO67" s="254">
        <f>CO$3</f>
        <v>2018</v>
      </c>
      <c r="CP67" s="253"/>
      <c r="CQ67" s="254" t="str">
        <f>CQ$3</f>
        <v>1Q19</v>
      </c>
      <c r="CR67" s="254" t="str">
        <f>CR$3</f>
        <v>2Q19</v>
      </c>
      <c r="CS67" s="254" t="str">
        <f>CS$3</f>
        <v>3Q19</v>
      </c>
      <c r="CT67" s="254" t="str">
        <f>CT$3</f>
        <v>4Q19</v>
      </c>
      <c r="CU67" s="254">
        <f>CU$3</f>
        <v>2019</v>
      </c>
      <c r="CV67" s="253"/>
      <c r="CW67" s="254" t="str">
        <f>CW$3</f>
        <v>1Q20</v>
      </c>
      <c r="CX67" s="254" t="str">
        <f>CX$3</f>
        <v>2Q20</v>
      </c>
      <c r="CY67" s="254" t="str">
        <f>CY$3</f>
        <v>3Q20</v>
      </c>
      <c r="CZ67" s="254" t="str">
        <f>CZ$3</f>
        <v>4Q20</v>
      </c>
      <c r="DA67" s="254">
        <f>DA$3</f>
        <v>2020</v>
      </c>
      <c r="DB67" s="253"/>
      <c r="DC67" s="254" t="str">
        <f>DC$3</f>
        <v>1Q21</v>
      </c>
      <c r="DD67" s="254" t="str">
        <f>DD$3</f>
        <v>2Q21</v>
      </c>
      <c r="DE67" s="254" t="str">
        <f>DE$3</f>
        <v>3Q21</v>
      </c>
      <c r="DF67" s="254" t="str">
        <f>DF$3</f>
        <v>4Q21</v>
      </c>
      <c r="DG67" s="254">
        <f>DG$3</f>
        <v>2021</v>
      </c>
      <c r="DH67" s="253"/>
      <c r="DI67" s="254" t="str">
        <f>DI$3</f>
        <v>1Q22</v>
      </c>
      <c r="DJ67" s="254" t="str">
        <f>DJ$3</f>
        <v>2Q22</v>
      </c>
      <c r="DK67" s="254" t="str">
        <f>DK$3</f>
        <v>3Q22</v>
      </c>
      <c r="DL67" s="254" t="str">
        <f>DL$3</f>
        <v>4Q22</v>
      </c>
      <c r="DM67" s="254">
        <f>DM$3</f>
        <v>2022</v>
      </c>
      <c r="DN67" s="253"/>
      <c r="DO67" s="254" t="str">
        <f>DO$3</f>
        <v>1Q23</v>
      </c>
      <c r="DP67" s="254" t="str">
        <f>DP$3</f>
        <v>2Q23</v>
      </c>
      <c r="DQ67" s="254" t="str">
        <f>DQ$3</f>
        <v>3Q23</v>
      </c>
      <c r="DR67" s="254" t="str">
        <f>DR$3</f>
        <v>4Q23</v>
      </c>
      <c r="DS67" s="254">
        <f>DS$3</f>
        <v>2023</v>
      </c>
      <c r="DT67" s="254"/>
      <c r="DU67" s="254" t="str">
        <f>DU$3</f>
        <v>1Q24</v>
      </c>
      <c r="DV67" s="254" t="str">
        <f>DV$3</f>
        <v>2Q24</v>
      </c>
      <c r="DW67" s="254" t="str">
        <f>DW$3</f>
        <v>3Q24</v>
      </c>
      <c r="DX67" s="254" t="str">
        <f>DX$3</f>
        <v>4Q24</v>
      </c>
      <c r="DY67" s="254">
        <f>DY$3</f>
        <v>2024</v>
      </c>
      <c r="DZ67" s="253"/>
      <c r="EA67" s="254" t="str">
        <f>EA$3</f>
        <v>1Q25</v>
      </c>
      <c r="EB67" s="254" t="str">
        <f>EB$3</f>
        <v>2Q25</v>
      </c>
      <c r="EC67" s="254" t="str">
        <f>EC$3</f>
        <v>3Q25</v>
      </c>
      <c r="ED67" s="254" t="str">
        <f>ED$3</f>
        <v>4Q25</v>
      </c>
      <c r="EE67" s="254">
        <f>EE$3</f>
        <v>2025</v>
      </c>
      <c r="EF67" s="253"/>
      <c r="EG67" s="254" t="str">
        <f>EG$3</f>
        <v>1Q26</v>
      </c>
      <c r="EH67" s="254" t="str">
        <f>EH$3</f>
        <v>2Q26e</v>
      </c>
      <c r="EI67" s="254" t="str">
        <f>EI$3</f>
        <v>3Q26e</v>
      </c>
      <c r="EJ67" s="254" t="str">
        <f>EJ$3</f>
        <v>4Q26e</v>
      </c>
      <c r="EK67" s="254" t="str">
        <f>EK$3</f>
        <v>2026e</v>
      </c>
      <c r="EX67" s="106">
        <f>EX$3</f>
        <v>2004</v>
      </c>
      <c r="EY67" s="106">
        <f t="shared" ref="EY67:FX67" si="32">EY$3</f>
        <v>2005</v>
      </c>
      <c r="EZ67" s="106">
        <f t="shared" si="32"/>
        <v>2006</v>
      </c>
      <c r="FA67" s="106">
        <f t="shared" si="32"/>
        <v>2007</v>
      </c>
      <c r="FB67" s="106">
        <f t="shared" si="32"/>
        <v>2008</v>
      </c>
      <c r="FC67" s="106">
        <f t="shared" si="32"/>
        <v>2009</v>
      </c>
      <c r="FD67" s="106">
        <f t="shared" si="32"/>
        <v>2010</v>
      </c>
      <c r="FE67" s="106">
        <f t="shared" si="32"/>
        <v>2011</v>
      </c>
      <c r="FF67" s="106">
        <f t="shared" si="32"/>
        <v>2012</v>
      </c>
      <c r="FG67" s="254">
        <f t="shared" si="32"/>
        <v>2013</v>
      </c>
      <c r="FH67" s="254">
        <f t="shared" si="32"/>
        <v>2014</v>
      </c>
      <c r="FI67" s="254">
        <f t="shared" si="32"/>
        <v>2015</v>
      </c>
      <c r="FJ67" s="254">
        <f t="shared" si="32"/>
        <v>2016</v>
      </c>
      <c r="FK67" s="254">
        <f t="shared" si="32"/>
        <v>2017</v>
      </c>
      <c r="FL67" s="254">
        <f t="shared" si="32"/>
        <v>2018</v>
      </c>
      <c r="FM67" s="254">
        <f t="shared" si="32"/>
        <v>2019</v>
      </c>
      <c r="FN67" s="254">
        <f t="shared" si="32"/>
        <v>2020</v>
      </c>
      <c r="FO67" s="254">
        <f t="shared" si="32"/>
        <v>2021</v>
      </c>
      <c r="FP67" s="254">
        <f t="shared" si="32"/>
        <v>2022</v>
      </c>
      <c r="FQ67" s="254">
        <f t="shared" si="32"/>
        <v>2023</v>
      </c>
      <c r="FR67" s="254">
        <f t="shared" si="32"/>
        <v>2024</v>
      </c>
      <c r="FS67" s="254">
        <f t="shared" si="32"/>
        <v>2025</v>
      </c>
      <c r="FT67" s="254" t="str">
        <f t="shared" si="32"/>
        <v>2026e</v>
      </c>
      <c r="FU67" s="254" t="str">
        <f t="shared" si="32"/>
        <v>2027e</v>
      </c>
      <c r="FV67" s="254" t="str">
        <f t="shared" si="32"/>
        <v>2028e</v>
      </c>
      <c r="FW67" s="254" t="str">
        <f t="shared" si="32"/>
        <v>2029e</v>
      </c>
      <c r="FX67" s="254" t="str">
        <f t="shared" si="32"/>
        <v>2030e</v>
      </c>
    </row>
    <row r="68" spans="1:180" x14ac:dyDescent="0.25">
      <c r="B68" s="200"/>
      <c r="D68" s="74"/>
      <c r="I68" s="87"/>
      <c r="J68" s="74"/>
      <c r="K68" s="199"/>
      <c r="L68" s="199"/>
      <c r="M68" s="199"/>
      <c r="N68" s="199"/>
      <c r="O68" s="199"/>
      <c r="P68" s="74"/>
      <c r="Q68" s="199"/>
      <c r="R68" s="199"/>
      <c r="S68" s="199"/>
      <c r="T68" s="199"/>
      <c r="W68" s="199"/>
      <c r="X68" s="199"/>
      <c r="Y68" s="199"/>
      <c r="Z68" s="199"/>
      <c r="AC68" s="199"/>
      <c r="AD68" s="199"/>
      <c r="AE68" s="199"/>
      <c r="AF68" s="199"/>
      <c r="AH68" s="74"/>
      <c r="AI68" s="184"/>
      <c r="AJ68" s="184"/>
      <c r="AK68" s="184"/>
      <c r="AL68" s="184"/>
      <c r="AO68" s="184"/>
      <c r="AP68" s="184"/>
      <c r="AQ68" s="184"/>
      <c r="AR68" s="184"/>
      <c r="AU68" s="184"/>
      <c r="AV68" s="184"/>
      <c r="AW68" s="184"/>
      <c r="AX68" s="184"/>
      <c r="BA68" s="184"/>
      <c r="BB68" s="184"/>
      <c r="BC68" s="184"/>
      <c r="BD68" s="184"/>
      <c r="BG68" s="184"/>
      <c r="BH68" s="184"/>
      <c r="BI68" s="184"/>
      <c r="BJ68" s="184"/>
      <c r="BM68" s="184"/>
      <c r="BN68" s="184"/>
      <c r="BO68" s="184"/>
      <c r="BP68" s="184"/>
      <c r="BS68" s="184"/>
      <c r="BT68" s="184"/>
      <c r="BU68" s="184"/>
      <c r="BV68" s="184"/>
      <c r="BY68" s="184"/>
      <c r="BZ68" s="184"/>
      <c r="CA68" s="184"/>
      <c r="CB68" s="184"/>
      <c r="CE68" s="184"/>
      <c r="CF68" s="184"/>
      <c r="CG68" s="184"/>
      <c r="CH68" s="184"/>
      <c r="CK68" s="184"/>
      <c r="CL68" s="184"/>
      <c r="CM68" s="184"/>
      <c r="CN68" s="184"/>
    </row>
    <row r="69" spans="1:180" x14ac:dyDescent="0.25">
      <c r="B69" s="127" t="s">
        <v>396</v>
      </c>
      <c r="D69" s="74"/>
      <c r="I69" s="87"/>
      <c r="J69" s="74"/>
      <c r="K69" s="199"/>
      <c r="L69" s="199"/>
      <c r="M69" s="199"/>
      <c r="N69" s="199"/>
      <c r="O69" s="199"/>
      <c r="P69" s="74"/>
      <c r="Q69" s="199"/>
      <c r="R69" s="199"/>
      <c r="S69" s="199"/>
      <c r="T69" s="199"/>
      <c r="W69" s="199"/>
      <c r="X69" s="199"/>
      <c r="Y69" s="199"/>
      <c r="Z69" s="199"/>
      <c r="AC69" s="199"/>
      <c r="AD69" s="199"/>
      <c r="AE69" s="199"/>
      <c r="AF69" s="199"/>
      <c r="AH69" s="74"/>
      <c r="AI69" s="199"/>
      <c r="AJ69" s="199"/>
      <c r="AK69" s="199"/>
      <c r="AL69" s="199"/>
      <c r="AO69" s="199"/>
      <c r="AP69" s="199"/>
      <c r="AQ69" s="199"/>
      <c r="AR69" s="199"/>
      <c r="AU69" s="199"/>
      <c r="AV69" s="199"/>
    </row>
    <row r="70" spans="1:180" x14ac:dyDescent="0.25">
      <c r="B70" s="200" t="s">
        <v>246</v>
      </c>
      <c r="D70" s="74"/>
      <c r="I70" s="87"/>
      <c r="J70" s="74"/>
      <c r="K70" s="74"/>
      <c r="P70" s="74"/>
      <c r="Q70" s="72">
        <v>553.101</v>
      </c>
      <c r="R70" s="72">
        <v>840.81700000000001</v>
      </c>
      <c r="S70" s="72">
        <v>856.55600000000004</v>
      </c>
      <c r="T70" s="191">
        <f>U70-S70-R70-Q70</f>
        <v>978.59100000000001</v>
      </c>
      <c r="U70" s="72">
        <v>3229.0650000000001</v>
      </c>
      <c r="W70" s="72">
        <v>858.94799999999998</v>
      </c>
      <c r="X70" s="72">
        <v>825.81700000000001</v>
      </c>
      <c r="Y70" s="72">
        <v>843.23199999999997</v>
      </c>
      <c r="Z70" s="72">
        <v>852.82399999999996</v>
      </c>
      <c r="AA70" s="72">
        <v>3380.8209999999999</v>
      </c>
      <c r="AC70" s="72">
        <v>819.98599999999999</v>
      </c>
      <c r="AD70" s="72">
        <v>725.58600000000001</v>
      </c>
      <c r="AE70" s="72">
        <v>590.72299999999996</v>
      </c>
      <c r="AF70" s="72">
        <v>380.46600000000001</v>
      </c>
      <c r="AG70" s="191">
        <f>AC70+AD70+AE70+AF70</f>
        <v>2516.761</v>
      </c>
      <c r="AH70" s="74"/>
      <c r="AI70" s="72">
        <v>101.1</v>
      </c>
      <c r="AJ70" s="72">
        <v>183.25899999999999</v>
      </c>
      <c r="AK70" s="72">
        <v>458.69099999999997</v>
      </c>
      <c r="AL70" s="72">
        <v>431.80799999999999</v>
      </c>
      <c r="AM70" s="191">
        <f>AI70+AJ70+AK70+AL70</f>
        <v>1174.8579999999999</v>
      </c>
      <c r="AO70" s="72">
        <v>631.6</v>
      </c>
      <c r="AP70" s="72">
        <v>923</v>
      </c>
      <c r="AQ70" s="72">
        <v>1027</v>
      </c>
      <c r="AR70" s="72">
        <v>1313.1</v>
      </c>
      <c r="AS70" s="191">
        <f>AO70+AP70+AQ70+AR70</f>
        <v>3894.7</v>
      </c>
      <c r="AU70" s="72">
        <v>1284.4000000000001</v>
      </c>
      <c r="AV70" s="72">
        <v>1333.6</v>
      </c>
      <c r="AW70" s="72">
        <v>1273.2</v>
      </c>
      <c r="AX70" s="72">
        <v>992.7</v>
      </c>
      <c r="AY70" s="191">
        <f>AU70+AV70+AW70+AX70</f>
        <v>4883.8999999999996</v>
      </c>
      <c r="BA70" s="72">
        <v>1050</v>
      </c>
      <c r="BB70" s="72">
        <v>984.8</v>
      </c>
      <c r="BC70" s="72">
        <v>1000.3</v>
      </c>
      <c r="BD70" s="72">
        <v>766.5</v>
      </c>
      <c r="BE70" s="191">
        <f>BA70+BB70+BC70+BD70</f>
        <v>3801.6</v>
      </c>
      <c r="BG70" s="196">
        <f>BG73-SUM(BG71:BG72)</f>
        <v>551.4</v>
      </c>
      <c r="BH70" s="196">
        <f>BH73-SUM(BH71:BH72)</f>
        <v>653.70000000000005</v>
      </c>
      <c r="BI70" s="196">
        <f>BI73-SUM(BI71:BI72)</f>
        <v>657.45740000000001</v>
      </c>
      <c r="BJ70" s="196">
        <f>BJ73-SUM(BJ71:BJ72)</f>
        <v>927.84319999999991</v>
      </c>
      <c r="BK70" s="196">
        <f>SUM(BJ70,BI70,BH70,BG70)</f>
        <v>2790.4006000000004</v>
      </c>
      <c r="BM70" s="196">
        <f>BM73-SUM(BM71:BM72)</f>
        <v>777</v>
      </c>
      <c r="BN70" s="196">
        <f>BN73-SUM(BN71:BN72)</f>
        <v>881.7</v>
      </c>
      <c r="BO70" s="196">
        <f>BO73-SUM(BO71:BO72)</f>
        <v>734.1</v>
      </c>
      <c r="BP70" s="196">
        <f>BP73-SUM(BP71:BP72)</f>
        <v>827.1</v>
      </c>
      <c r="BQ70" s="196">
        <f>SUM(BP70,BO70,BN70,BM70)</f>
        <v>3219.9</v>
      </c>
      <c r="BS70" s="196">
        <v>861.3</v>
      </c>
      <c r="BT70" s="196">
        <v>890.3</v>
      </c>
      <c r="BU70" s="196">
        <v>835.7</v>
      </c>
      <c r="BV70" s="196">
        <v>764.4</v>
      </c>
      <c r="BW70" s="196">
        <f>SUM(BV70,BU70,BT70,BS70)</f>
        <v>3351.7</v>
      </c>
      <c r="BY70" s="196">
        <v>755.1</v>
      </c>
      <c r="BZ70" s="196">
        <v>988.2</v>
      </c>
      <c r="CA70" s="196">
        <v>970.2</v>
      </c>
      <c r="CB70" s="196">
        <v>996.8</v>
      </c>
      <c r="CC70" s="196">
        <f>SUM(CB70,CA70,BZ70,BY70)</f>
        <v>3710.2999999999997</v>
      </c>
      <c r="CE70" s="196">
        <v>986.5</v>
      </c>
      <c r="CF70" s="196">
        <v>1124.9000000000001</v>
      </c>
      <c r="CG70" s="196">
        <v>1367.9</v>
      </c>
      <c r="CH70" s="196">
        <v>1374.3</v>
      </c>
      <c r="CI70" s="196">
        <f>SUM(CH70,CG70,CF70,CE70)</f>
        <v>4853.6000000000004</v>
      </c>
      <c r="CK70" s="196">
        <v>1141.5</v>
      </c>
      <c r="CL70" s="196">
        <v>1523.5</v>
      </c>
      <c r="CM70" s="196">
        <v>1410.2</v>
      </c>
      <c r="CN70" s="196">
        <v>1719.6</v>
      </c>
      <c r="CO70" s="196">
        <f>SUM(CN70,CM70,CL70,CK70)</f>
        <v>5794.8</v>
      </c>
      <c r="CQ70" s="196">
        <v>1271.0999999999999</v>
      </c>
      <c r="CR70" s="196">
        <v>1432.7</v>
      </c>
      <c r="CS70" s="196">
        <v>1650.1</v>
      </c>
      <c r="CT70" s="196">
        <v>2066.3000000000002</v>
      </c>
      <c r="CU70" s="196">
        <f>SUM(CT70,CS70,CR70,CQ70)</f>
        <v>6420.2000000000007</v>
      </c>
      <c r="CW70" s="196">
        <v>1309.2</v>
      </c>
      <c r="CX70" s="196">
        <v>1692.5</v>
      </c>
      <c r="CY70" s="196">
        <v>2046.6</v>
      </c>
      <c r="CZ70" s="196">
        <v>2013</v>
      </c>
      <c r="DA70" s="196">
        <f>SUM(CZ70,CY70,CX70,CW70)</f>
        <v>7061.3</v>
      </c>
      <c r="DC70" s="196">
        <v>1981.5</v>
      </c>
      <c r="DD70" s="196">
        <v>1945.6</v>
      </c>
      <c r="DE70" s="196">
        <v>2499.9</v>
      </c>
      <c r="DF70" s="196">
        <v>2255</v>
      </c>
      <c r="DG70" s="196">
        <f>SUM(DF70,DE70,DD70,DC70)</f>
        <v>8682</v>
      </c>
      <c r="DI70" s="196">
        <v>1773.4</v>
      </c>
      <c r="DJ70" s="196">
        <v>2736</v>
      </c>
      <c r="DK70" s="196">
        <v>2754.6</v>
      </c>
      <c r="DL70" s="196">
        <v>3089.3</v>
      </c>
      <c r="DM70" s="196">
        <f>SUM(DL70,DK70,DJ70,DI70)</f>
        <v>10353.299999999999</v>
      </c>
      <c r="DO70" s="196">
        <v>3303</v>
      </c>
      <c r="DP70" s="196">
        <v>3328.3</v>
      </c>
      <c r="DQ70" s="196">
        <v>3180.4</v>
      </c>
      <c r="DR70" s="196">
        <v>3488.7</v>
      </c>
      <c r="DS70" s="196">
        <f>SUM(DR70,DQ70,DP70,DO70)</f>
        <v>13300.400000000001</v>
      </c>
      <c r="DT70" s="196"/>
      <c r="DU70" s="196">
        <v>2563.4</v>
      </c>
      <c r="DV70" s="196">
        <v>2999.6</v>
      </c>
      <c r="DW70" s="196">
        <v>3642.9</v>
      </c>
      <c r="DX70" s="196">
        <v>4442</v>
      </c>
      <c r="DY70" s="196">
        <f>SUM(DX70,DW70,DV70,DU70)</f>
        <v>13647.9</v>
      </c>
      <c r="EA70" s="196">
        <v>3531.8</v>
      </c>
      <c r="EB70" s="196">
        <v>3532.2</v>
      </c>
      <c r="EC70" s="196">
        <v>3604.7</v>
      </c>
      <c r="ED70" s="196">
        <v>4649.5</v>
      </c>
      <c r="EE70" s="196">
        <v>15409.2</v>
      </c>
      <c r="EG70" s="196">
        <v>4121.8999999999996</v>
      </c>
      <c r="EX70" s="77"/>
      <c r="EY70" s="77"/>
      <c r="EZ70" s="77"/>
      <c r="FA70" s="77"/>
      <c r="FB70" s="77"/>
      <c r="FC70" s="77"/>
      <c r="FD70" s="77"/>
      <c r="FE70" s="77"/>
      <c r="FF70" s="77"/>
      <c r="FG70" s="77">
        <f>BK70</f>
        <v>2790.4006000000004</v>
      </c>
      <c r="FH70" s="77">
        <f>BQ70</f>
        <v>3219.9</v>
      </c>
      <c r="FI70" s="77">
        <f>BW70</f>
        <v>3351.7</v>
      </c>
      <c r="FJ70" s="77">
        <f>CC70</f>
        <v>3710.2999999999997</v>
      </c>
      <c r="FK70" s="77">
        <f>CI70</f>
        <v>4853.6000000000004</v>
      </c>
      <c r="FL70" s="77">
        <f>CO70</f>
        <v>5794.8</v>
      </c>
      <c r="FM70" s="191">
        <f>CU70</f>
        <v>6420.2000000000007</v>
      </c>
      <c r="FN70" s="191">
        <f>DA70</f>
        <v>7061.3</v>
      </c>
      <c r="FO70" s="191">
        <f>DG70</f>
        <v>8682</v>
      </c>
      <c r="FP70" s="191">
        <f>DM70</f>
        <v>10353.299999999999</v>
      </c>
    </row>
    <row r="71" spans="1:180" x14ac:dyDescent="0.25">
      <c r="B71" s="200" t="s">
        <v>245</v>
      </c>
      <c r="D71" s="74"/>
      <c r="E71" s="191"/>
      <c r="F71" s="191"/>
      <c r="G71" s="191"/>
      <c r="H71" s="72">
        <v>709.83900000000006</v>
      </c>
      <c r="I71" s="72">
        <v>2174.9079999999999</v>
      </c>
      <c r="J71" s="74"/>
      <c r="K71" s="72">
        <v>632.13499999999999</v>
      </c>
      <c r="L71" s="72">
        <v>680.53399999999999</v>
      </c>
      <c r="M71" s="72">
        <v>458.99200000000002</v>
      </c>
      <c r="N71" s="191">
        <f>O71-M71-L71-K71</f>
        <v>456.01700000000005</v>
      </c>
      <c r="O71" s="72">
        <v>2227.6779999999999</v>
      </c>
      <c r="P71" s="74"/>
      <c r="BH71" s="196">
        <f>Sales!BH11-BH76</f>
        <v>14</v>
      </c>
      <c r="BI71" s="196">
        <f>Sales!BI11-BI76</f>
        <v>74</v>
      </c>
      <c r="BJ71" s="196">
        <f>Sales!BJ11-BJ76</f>
        <v>74</v>
      </c>
      <c r="BK71" s="196">
        <f>SUM(BJ71,BI71,BH71,BG71)</f>
        <v>162</v>
      </c>
      <c r="BM71" s="196">
        <f>Sales!BM11-BM76</f>
        <v>0</v>
      </c>
      <c r="BN71" s="196">
        <f>Sales!BN11-BN76</f>
        <v>0</v>
      </c>
      <c r="BO71" s="196">
        <f>Sales!BO11-BO76</f>
        <v>0</v>
      </c>
      <c r="BP71" s="196">
        <f>Sales!BP11-BP76</f>
        <v>0</v>
      </c>
      <c r="BQ71" s="196">
        <f>SUM(BP71,BO71,BN71,BM71)</f>
        <v>0</v>
      </c>
      <c r="BS71" s="196">
        <f>Sales!BS11-BS76</f>
        <v>0</v>
      </c>
      <c r="BT71" s="196">
        <f>Sales!BT11-BT76</f>
        <v>0</v>
      </c>
      <c r="BU71" s="196">
        <f>Sales!BU11-BU76</f>
        <v>0</v>
      </c>
      <c r="BV71" s="196">
        <f>Sales!BV11-BV76</f>
        <v>0</v>
      </c>
      <c r="BW71" s="196">
        <f>SUM(BV71,BU71,BT71,BS71)</f>
        <v>0</v>
      </c>
      <c r="BY71" s="196">
        <f>Sales!BY11-BY76</f>
        <v>0</v>
      </c>
      <c r="BZ71" s="196">
        <f>Sales!BZ11-BZ76</f>
        <v>0</v>
      </c>
      <c r="CA71" s="196">
        <f>Sales!CA11-CA76</f>
        <v>0</v>
      </c>
      <c r="CB71" s="196">
        <f>Sales!CB11-CB76</f>
        <v>0</v>
      </c>
      <c r="CC71" s="196">
        <f>SUM(CB71,CA71,BZ71,BY71)</f>
        <v>0</v>
      </c>
      <c r="CE71" s="196">
        <f>Sales!CE11-CE76</f>
        <v>0</v>
      </c>
      <c r="CF71" s="196">
        <f>Sales!CF11-CF76</f>
        <v>0</v>
      </c>
      <c r="CG71" s="196">
        <f>Sales!CG11-CG76</f>
        <v>0</v>
      </c>
      <c r="CH71" s="196">
        <f>Sales!CH11-CH76</f>
        <v>0</v>
      </c>
      <c r="CI71" s="196">
        <f>SUM(CH71,CG71,CF71,CE71)</f>
        <v>0</v>
      </c>
      <c r="CK71" s="196">
        <f>Sales!CK11-CK76</f>
        <v>0</v>
      </c>
      <c r="CL71" s="196">
        <f>Sales!CL11-CL76</f>
        <v>0</v>
      </c>
      <c r="CM71" s="196">
        <f>Sales!CM11-CM76</f>
        <v>0</v>
      </c>
      <c r="CN71" s="196">
        <f>Sales!CN11-CN76</f>
        <v>0</v>
      </c>
      <c r="CO71" s="196">
        <f>SUM(CN71,CM71,CL71,CK71)</f>
        <v>0</v>
      </c>
      <c r="EX71" s="77"/>
      <c r="EY71" s="77"/>
      <c r="EZ71" s="77"/>
      <c r="FA71" s="77"/>
      <c r="FB71" s="77"/>
      <c r="FC71" s="77"/>
      <c r="FD71" s="77"/>
      <c r="FE71" s="77"/>
      <c r="FF71" s="77"/>
      <c r="FG71" s="77">
        <f>BK71</f>
        <v>162</v>
      </c>
      <c r="FH71" s="77">
        <f>BQ71</f>
        <v>0</v>
      </c>
      <c r="FI71" s="77">
        <f>BW71</f>
        <v>0</v>
      </c>
      <c r="FJ71" s="77">
        <f>CC71</f>
        <v>0</v>
      </c>
      <c r="FK71" s="77">
        <f>CI71</f>
        <v>0</v>
      </c>
      <c r="FL71" s="77">
        <f>CO71</f>
        <v>0</v>
      </c>
      <c r="FM71" s="191">
        <f>CU71</f>
        <v>0</v>
      </c>
      <c r="FN71" s="191">
        <f>DA71</f>
        <v>0</v>
      </c>
      <c r="FO71" s="191">
        <f>DG71</f>
        <v>0</v>
      </c>
      <c r="FP71" s="191">
        <f>DM71</f>
        <v>0</v>
      </c>
    </row>
    <row r="72" spans="1:180" x14ac:dyDescent="0.25">
      <c r="B72" s="78" t="s">
        <v>244</v>
      </c>
      <c r="E72" s="191"/>
      <c r="F72" s="191"/>
      <c r="G72" s="191"/>
      <c r="H72" s="72">
        <v>75.322999999999993</v>
      </c>
      <c r="I72" s="72">
        <v>290.46899999999999</v>
      </c>
      <c r="K72" s="72">
        <v>52.545000000000002</v>
      </c>
      <c r="L72" s="72">
        <v>82.730999999999995</v>
      </c>
      <c r="M72" s="72">
        <v>74.161000000000001</v>
      </c>
      <c r="N72" s="191">
        <f>O72-M72-L72-K72</f>
        <v>91.85199999999999</v>
      </c>
      <c r="O72" s="72">
        <v>301.28899999999999</v>
      </c>
      <c r="Q72" s="72">
        <v>76.289000000000001</v>
      </c>
      <c r="R72" s="72">
        <v>100.937</v>
      </c>
      <c r="S72" s="72">
        <v>101.877</v>
      </c>
      <c r="T72" s="191">
        <f>U72-S72-R72-Q72</f>
        <v>88.935999999999964</v>
      </c>
      <c r="U72" s="72">
        <v>368.03899999999999</v>
      </c>
      <c r="W72" s="72">
        <v>101.295</v>
      </c>
      <c r="X72" s="72">
        <v>104.405</v>
      </c>
      <c r="Y72" s="72">
        <v>91.141999999999996</v>
      </c>
      <c r="Z72" s="72">
        <v>120.063</v>
      </c>
      <c r="AA72" s="72">
        <v>416.90499999999997</v>
      </c>
      <c r="AC72" s="72">
        <v>99.221999999999994</v>
      </c>
      <c r="AD72" s="72">
        <v>118.571</v>
      </c>
      <c r="AE72" s="72">
        <v>105.77</v>
      </c>
      <c r="AF72" s="72">
        <v>113.354</v>
      </c>
      <c r="AG72" s="191">
        <f>AC72+AD72+AE72+AF72</f>
        <v>436.91699999999997</v>
      </c>
      <c r="AI72" s="72">
        <v>82.525000000000006</v>
      </c>
      <c r="AJ72" s="72">
        <v>93.340999999999994</v>
      </c>
      <c r="AK72" s="72">
        <v>96.581000000000003</v>
      </c>
      <c r="AL72" s="72">
        <v>148.75800000000001</v>
      </c>
      <c r="AM72" s="191">
        <f>AI72+AJ72+AK72+AL72</f>
        <v>421.20500000000004</v>
      </c>
      <c r="AO72" s="72">
        <v>110.2</v>
      </c>
      <c r="AP72" s="72">
        <v>145.69999999999999</v>
      </c>
      <c r="AQ72" s="72">
        <v>149</v>
      </c>
      <c r="AR72" s="72">
        <v>208.3</v>
      </c>
      <c r="AS72" s="191">
        <f>AO72+AP72+AQ72+AR72</f>
        <v>613.20000000000005</v>
      </c>
      <c r="AU72" s="72">
        <v>167.8</v>
      </c>
      <c r="AV72" s="72">
        <v>195.8</v>
      </c>
      <c r="AW72" s="72">
        <v>185.3</v>
      </c>
      <c r="AX72" s="72">
        <v>218.2</v>
      </c>
      <c r="AY72" s="191">
        <f>AU72+AV72+AW72+AX72</f>
        <v>767.10000000000014</v>
      </c>
      <c r="BA72" s="72">
        <v>201.9</v>
      </c>
      <c r="BB72" s="72">
        <v>242.9</v>
      </c>
      <c r="BC72" s="72">
        <v>228.5</v>
      </c>
      <c r="BD72" s="72">
        <v>256.60000000000002</v>
      </c>
      <c r="BE72" s="191">
        <f>BA72+BB72+BC72+BD72</f>
        <v>929.9</v>
      </c>
      <c r="BH72" s="105">
        <v>19</v>
      </c>
      <c r="BI72" s="105">
        <f>(3.3%*Financials!BI9)+10</f>
        <v>55.942600000000006</v>
      </c>
      <c r="BJ72" s="105">
        <f>(1.6%*Financials!BJ9)+10</f>
        <v>40.756799999999998</v>
      </c>
      <c r="BK72" s="76">
        <f>SUM(BJ72,BI72,BH72,BG72)</f>
        <v>115.6994</v>
      </c>
      <c r="BM72" s="105">
        <v>10</v>
      </c>
      <c r="BN72" s="105">
        <v>10</v>
      </c>
      <c r="BO72" s="105">
        <v>10</v>
      </c>
      <c r="BP72" s="105">
        <v>10</v>
      </c>
      <c r="BQ72" s="76">
        <f>SUM(BP72,BO72,BN72,BM72)</f>
        <v>40</v>
      </c>
      <c r="BS72" s="105">
        <v>10</v>
      </c>
      <c r="BT72" s="105">
        <v>10</v>
      </c>
      <c r="BU72" s="105">
        <v>10</v>
      </c>
      <c r="BV72" s="105">
        <v>10</v>
      </c>
      <c r="BW72" s="76">
        <f>SUM(BV72,BU72,BT72,BS72)</f>
        <v>40</v>
      </c>
      <c r="BY72" s="105">
        <v>10</v>
      </c>
      <c r="BZ72" s="105">
        <v>10</v>
      </c>
      <c r="CA72" s="105">
        <v>10</v>
      </c>
      <c r="CB72" s="105">
        <v>10</v>
      </c>
      <c r="CC72" s="76">
        <f>SUM(CB72,CA72,BZ72,BY72)</f>
        <v>40</v>
      </c>
      <c r="CE72" s="105">
        <f>10+90/4</f>
        <v>32.5</v>
      </c>
      <c r="CF72" s="105">
        <f>10+80/4</f>
        <v>30</v>
      </c>
      <c r="CG72" s="105">
        <f>10+80/4</f>
        <v>30</v>
      </c>
      <c r="CH72" s="105">
        <f>10+80/4</f>
        <v>30</v>
      </c>
      <c r="CI72" s="76">
        <f>SUM(CH72,CG72,CF72,CE72)</f>
        <v>122.5</v>
      </c>
      <c r="CK72" s="105">
        <v>30</v>
      </c>
      <c r="CL72" s="105">
        <f>10+80/4</f>
        <v>30</v>
      </c>
      <c r="CM72" s="105">
        <f>10+80/4</f>
        <v>30</v>
      </c>
      <c r="CN72" s="105">
        <f>10+80/4</f>
        <v>30</v>
      </c>
      <c r="CO72" s="76">
        <f>SUM(CN72,CM72,CL72,CK72)</f>
        <v>120</v>
      </c>
      <c r="CQ72" s="105">
        <v>30</v>
      </c>
      <c r="CR72" s="105">
        <f>10+80/4</f>
        <v>30</v>
      </c>
      <c r="CS72" s="105">
        <f>10+80/4</f>
        <v>30</v>
      </c>
      <c r="CT72" s="105">
        <f>10+80/4</f>
        <v>30</v>
      </c>
      <c r="CU72" s="76">
        <f>SUM(CT72,CS72,CR72,CQ72)</f>
        <v>120</v>
      </c>
      <c r="CW72" s="105">
        <v>30</v>
      </c>
      <c r="CX72" s="105">
        <f>10+80/4</f>
        <v>30</v>
      </c>
      <c r="CY72" s="105">
        <f>10+80/4</f>
        <v>30</v>
      </c>
      <c r="CZ72" s="105">
        <f>10+80/4</f>
        <v>30</v>
      </c>
      <c r="DA72" s="76">
        <f>SUM(CZ72,CY72,CX72,CW72)</f>
        <v>120</v>
      </c>
      <c r="DC72" s="105">
        <v>30</v>
      </c>
      <c r="DD72" s="105">
        <f>10+80/4</f>
        <v>30</v>
      </c>
      <c r="DE72" s="105">
        <f>10+80/4</f>
        <v>30</v>
      </c>
      <c r="DF72" s="105">
        <f>10+80/4</f>
        <v>30</v>
      </c>
      <c r="DG72" s="76">
        <f>SUM(DF72,DE72,DD72,DC72)</f>
        <v>120</v>
      </c>
      <c r="DI72" s="105">
        <v>30</v>
      </c>
      <c r="DJ72" s="105">
        <f>10+80/4</f>
        <v>30</v>
      </c>
      <c r="DK72" s="105">
        <f>10+80/4</f>
        <v>30</v>
      </c>
      <c r="DL72" s="105">
        <f>10+80/4</f>
        <v>30</v>
      </c>
      <c r="DM72" s="76">
        <f>SUM(DL72,DK72,DJ72,DI72)</f>
        <v>120</v>
      </c>
      <c r="DO72" s="105">
        <v>30</v>
      </c>
      <c r="DP72" s="105">
        <v>30</v>
      </c>
      <c r="DQ72" s="105">
        <v>31</v>
      </c>
      <c r="DR72" s="105">
        <v>31</v>
      </c>
      <c r="DS72" s="76">
        <f>SUM(DR72,DQ72,DP72,DO72)</f>
        <v>122</v>
      </c>
      <c r="DT72" s="105"/>
      <c r="DU72" s="105">
        <v>30</v>
      </c>
      <c r="DV72" s="105">
        <v>31</v>
      </c>
      <c r="DW72" s="105">
        <v>31</v>
      </c>
      <c r="DX72" s="105">
        <v>31</v>
      </c>
      <c r="DY72" s="76">
        <f>SUM(DX72,DW72,DV72,DU72)</f>
        <v>123</v>
      </c>
      <c r="EA72" s="105">
        <v>30</v>
      </c>
      <c r="EB72" s="105">
        <v>30</v>
      </c>
      <c r="EC72" s="105">
        <v>31</v>
      </c>
      <c r="EX72" s="77"/>
      <c r="EY72" s="77"/>
      <c r="EZ72" s="77"/>
      <c r="FA72" s="77"/>
      <c r="FB72" s="77"/>
      <c r="FC72" s="77"/>
      <c r="FD72" s="77"/>
      <c r="FE72" s="77"/>
      <c r="FF72" s="77"/>
      <c r="FG72" s="77">
        <f>BK72</f>
        <v>115.6994</v>
      </c>
      <c r="FH72" s="77">
        <f>BQ72</f>
        <v>40</v>
      </c>
      <c r="FI72" s="77">
        <f>BW72</f>
        <v>40</v>
      </c>
      <c r="FJ72" s="77">
        <f>CC72</f>
        <v>40</v>
      </c>
      <c r="FK72" s="77">
        <f>CI72</f>
        <v>122.5</v>
      </c>
      <c r="FL72" s="77">
        <f>CO72</f>
        <v>120</v>
      </c>
      <c r="FM72" s="191">
        <f>CU72</f>
        <v>120</v>
      </c>
      <c r="FN72" s="191">
        <f>DA72</f>
        <v>120</v>
      </c>
      <c r="FO72" s="191">
        <f>DG72</f>
        <v>120</v>
      </c>
      <c r="FP72" s="191">
        <f>DM72</f>
        <v>120</v>
      </c>
    </row>
    <row r="73" spans="1:180" x14ac:dyDescent="0.25">
      <c r="B73" s="123" t="s">
        <v>105</v>
      </c>
      <c r="D73" s="74"/>
      <c r="E73" s="89">
        <v>453.48500000000001</v>
      </c>
      <c r="F73" s="89">
        <v>616.25800000000004</v>
      </c>
      <c r="G73" s="89">
        <v>610.47199999999998</v>
      </c>
      <c r="H73" s="87">
        <f>H71+H72</f>
        <v>785.16200000000003</v>
      </c>
      <c r="I73" s="87">
        <f>I71+I72</f>
        <v>2465.377</v>
      </c>
      <c r="J73" s="74"/>
      <c r="K73" s="87">
        <f>K71+K72</f>
        <v>684.68</v>
      </c>
      <c r="L73" s="87">
        <f>L71+L72</f>
        <v>763.26499999999999</v>
      </c>
      <c r="M73" s="87">
        <f>M71+M72</f>
        <v>533.15300000000002</v>
      </c>
      <c r="N73" s="87">
        <f>N71+N72</f>
        <v>547.86900000000003</v>
      </c>
      <c r="O73" s="87">
        <f>O71+O72</f>
        <v>2528.9669999999996</v>
      </c>
      <c r="P73" s="74"/>
      <c r="Q73" s="87">
        <f>Q70+Q72</f>
        <v>629.39</v>
      </c>
      <c r="R73" s="87">
        <f>R70+R72</f>
        <v>941.75400000000002</v>
      </c>
      <c r="S73" s="87">
        <f>S70+S72</f>
        <v>958.43299999999999</v>
      </c>
      <c r="T73" s="87">
        <f>T70+T72</f>
        <v>1067.527</v>
      </c>
      <c r="U73" s="87">
        <f>U70+U72</f>
        <v>3597.1040000000003</v>
      </c>
      <c r="V73" s="88"/>
      <c r="W73" s="87">
        <f>W70+W72</f>
        <v>960.24299999999994</v>
      </c>
      <c r="X73" s="87">
        <f>X70+X72</f>
        <v>930.22199999999998</v>
      </c>
      <c r="Y73" s="87">
        <f>Y70+Y72</f>
        <v>934.37400000000002</v>
      </c>
      <c r="Z73" s="87">
        <f>Z70+Z72</f>
        <v>972.88699999999994</v>
      </c>
      <c r="AA73" s="87">
        <f>AA70+AA72</f>
        <v>3797.7259999999997</v>
      </c>
      <c r="AC73" s="87">
        <f>AC70+AC72</f>
        <v>919.20799999999997</v>
      </c>
      <c r="AD73" s="87">
        <f>AD70+AD72</f>
        <v>844.15700000000004</v>
      </c>
      <c r="AE73" s="87">
        <f>AE70+AE72</f>
        <v>696.49299999999994</v>
      </c>
      <c r="AF73" s="87">
        <f>AF70+AF72</f>
        <v>493.82</v>
      </c>
      <c r="AG73" s="87">
        <f>AG70+AG72</f>
        <v>2953.6779999999999</v>
      </c>
      <c r="AI73" s="87">
        <f>AI70+AI72</f>
        <v>183.625</v>
      </c>
      <c r="AJ73" s="87">
        <f>AJ70+AJ72</f>
        <v>276.59999999999997</v>
      </c>
      <c r="AK73" s="87">
        <f>AK70+AK72</f>
        <v>555.27199999999993</v>
      </c>
      <c r="AL73" s="87">
        <f>AL70+AL72</f>
        <v>580.56600000000003</v>
      </c>
      <c r="AM73" s="87">
        <f>AM70+AM72</f>
        <v>1596.0630000000001</v>
      </c>
      <c r="AO73" s="87">
        <f>AO70+AO72</f>
        <v>741.80000000000007</v>
      </c>
      <c r="AP73" s="87">
        <f>AP70+AP72</f>
        <v>1068.7</v>
      </c>
      <c r="AQ73" s="87">
        <f>AQ70+AQ72</f>
        <v>1176</v>
      </c>
      <c r="AR73" s="87">
        <f>AR70+AR72</f>
        <v>1521.3999999999999</v>
      </c>
      <c r="AS73" s="87">
        <f>AS70+AS72</f>
        <v>4507.8999999999996</v>
      </c>
      <c r="AU73" s="87">
        <f>AU70+AU72</f>
        <v>1452.2</v>
      </c>
      <c r="AV73" s="87">
        <f>AV70+AV72</f>
        <v>1529.3999999999999</v>
      </c>
      <c r="AW73" s="87">
        <f>AW70+AW72</f>
        <v>1458.5</v>
      </c>
      <c r="AX73" s="87">
        <f>AX70+AX72</f>
        <v>1210.9000000000001</v>
      </c>
      <c r="AY73" s="87">
        <f>AY70+AY72</f>
        <v>5651</v>
      </c>
      <c r="BA73" s="87">
        <f>BA70+BA72</f>
        <v>1251.9000000000001</v>
      </c>
      <c r="BB73" s="87">
        <f>BB70+BB72</f>
        <v>1227.7</v>
      </c>
      <c r="BC73" s="87">
        <f>BC70+BC72</f>
        <v>1228.8</v>
      </c>
      <c r="BD73" s="87">
        <f>BD70+BD72</f>
        <v>1023.1</v>
      </c>
      <c r="BE73" s="87">
        <f>BE70+BE72</f>
        <v>4731.5</v>
      </c>
      <c r="BG73" s="87">
        <v>551.4</v>
      </c>
      <c r="BH73" s="87">
        <v>686.7</v>
      </c>
      <c r="BI73" s="87">
        <v>787.4</v>
      </c>
      <c r="BJ73" s="87">
        <v>1042.5999999999999</v>
      </c>
      <c r="BK73" s="87">
        <f>BH73+BJ73+BG73+BI73</f>
        <v>3068.1</v>
      </c>
      <c r="BM73" s="87">
        <v>787</v>
      </c>
      <c r="BN73" s="87">
        <v>891.7</v>
      </c>
      <c r="BO73" s="87">
        <v>744.1</v>
      </c>
      <c r="BP73" s="87">
        <v>837.1</v>
      </c>
      <c r="BQ73" s="87">
        <f>BN73+BP73+BM73+BO73</f>
        <v>3259.9</v>
      </c>
      <c r="BS73" s="87">
        <v>871.3</v>
      </c>
      <c r="BT73" s="87">
        <v>900.3</v>
      </c>
      <c r="BU73" s="87">
        <v>845.7</v>
      </c>
      <c r="BV73" s="87">
        <v>774.4</v>
      </c>
      <c r="BW73" s="87">
        <f>BT73+BV73+BS73+BU73</f>
        <v>3391.7</v>
      </c>
      <c r="BY73" s="87">
        <v>765.1</v>
      </c>
      <c r="BZ73" s="87">
        <v>998.2</v>
      </c>
      <c r="CA73" s="87">
        <v>980.2</v>
      </c>
      <c r="CB73" s="87">
        <v>1006.8</v>
      </c>
      <c r="CC73" s="87">
        <f>BZ73+CB73+BY73+CA73</f>
        <v>3750.3</v>
      </c>
      <c r="CE73" s="87">
        <v>1019</v>
      </c>
      <c r="CF73" s="87">
        <v>1154.9000000000001</v>
      </c>
      <c r="CG73" s="87">
        <v>1397.9</v>
      </c>
      <c r="CH73" s="87">
        <v>1404.3</v>
      </c>
      <c r="CI73" s="87">
        <f>CF73+CH73+CE73+CG73</f>
        <v>4976.1000000000004</v>
      </c>
      <c r="CK73" s="87">
        <v>1171.5</v>
      </c>
      <c r="CL73" s="87">
        <v>1553.5</v>
      </c>
      <c r="CM73" s="87">
        <v>1440.2</v>
      </c>
      <c r="CN73" s="87">
        <v>1749.6</v>
      </c>
      <c r="CO73" s="87">
        <f>CL73+CN73+CK73+CM73</f>
        <v>5914.8</v>
      </c>
      <c r="CQ73" s="87">
        <v>1301.0999999999999</v>
      </c>
      <c r="CR73" s="87">
        <v>1462.7</v>
      </c>
      <c r="CS73" s="87">
        <v>1680.1</v>
      </c>
      <c r="CT73" s="87">
        <v>2096.3000000000002</v>
      </c>
      <c r="CU73" s="87">
        <f>CR73+CT73+CQ73+CS73</f>
        <v>6540.2000000000007</v>
      </c>
      <c r="CW73" s="87">
        <v>1339.2</v>
      </c>
      <c r="CX73" s="87">
        <v>1722.5</v>
      </c>
      <c r="CY73" s="87">
        <v>2076.6</v>
      </c>
      <c r="CZ73" s="87">
        <v>2043</v>
      </c>
      <c r="DA73" s="87">
        <f>CX73+CZ73+CW73+CY73</f>
        <v>7181.2999999999993</v>
      </c>
      <c r="DC73" s="87">
        <v>2011.5</v>
      </c>
      <c r="DD73" s="87">
        <v>1975.6</v>
      </c>
      <c r="DE73" s="87">
        <v>2529.9</v>
      </c>
      <c r="DF73" s="87">
        <v>2285</v>
      </c>
      <c r="DG73" s="87">
        <f>DD73+DF73+DC73+DE73</f>
        <v>8802</v>
      </c>
      <c r="DI73" s="87">
        <v>1803.4</v>
      </c>
      <c r="DJ73" s="87">
        <v>2766</v>
      </c>
      <c r="DK73" s="87">
        <v>2784.6</v>
      </c>
      <c r="DL73" s="87">
        <v>3119.3</v>
      </c>
      <c r="DM73" s="87">
        <f>DJ73+DL73+DI73+DK73</f>
        <v>10473.300000000001</v>
      </c>
      <c r="DO73" s="87">
        <v>3333</v>
      </c>
      <c r="DP73" s="87">
        <v>3358.3</v>
      </c>
      <c r="DQ73" s="87">
        <v>3211.4</v>
      </c>
      <c r="DR73" s="87">
        <v>3519.7</v>
      </c>
      <c r="DS73" s="87">
        <f>DP73+DR73+DO73+DQ73</f>
        <v>13422.4</v>
      </c>
      <c r="DT73" s="87"/>
      <c r="DU73" s="87">
        <v>2593.4</v>
      </c>
      <c r="DV73" s="87">
        <v>3030.6</v>
      </c>
      <c r="DW73" s="87">
        <v>3673.9</v>
      </c>
      <c r="DX73" s="87">
        <v>4473</v>
      </c>
      <c r="DY73" s="87">
        <f>DV73+DX73+DU73+DW73</f>
        <v>13770.9</v>
      </c>
      <c r="EA73" s="87">
        <v>3561.8</v>
      </c>
      <c r="EB73" s="87">
        <v>3562.2</v>
      </c>
      <c r="EC73" s="87">
        <v>3635.7</v>
      </c>
      <c r="ED73" s="87">
        <v>4649.5</v>
      </c>
      <c r="EE73" s="87">
        <v>15409.2</v>
      </c>
      <c r="EG73" s="87">
        <v>4121.8999999999996</v>
      </c>
      <c r="EX73" s="77"/>
      <c r="EY73" s="77"/>
      <c r="EZ73" s="77"/>
      <c r="FA73" s="77"/>
      <c r="FB73" s="77"/>
      <c r="FC73" s="77"/>
      <c r="FD73" s="77"/>
      <c r="FE73" s="77"/>
      <c r="FF73" s="77"/>
      <c r="FG73" s="87">
        <f>SUM(FG70:FG72)</f>
        <v>3068.1000000000004</v>
      </c>
      <c r="FH73" s="87">
        <f t="shared" ref="FH73:FP73" si="33">SUM(FH70:FH72)</f>
        <v>3259.9</v>
      </c>
      <c r="FI73" s="87">
        <f t="shared" si="33"/>
        <v>3391.7</v>
      </c>
      <c r="FJ73" s="87">
        <f t="shared" si="33"/>
        <v>3750.2999999999997</v>
      </c>
      <c r="FK73" s="87">
        <f t="shared" si="33"/>
        <v>4976.1000000000004</v>
      </c>
      <c r="FL73" s="87">
        <f t="shared" si="33"/>
        <v>5914.8</v>
      </c>
      <c r="FM73" s="87">
        <f t="shared" si="33"/>
        <v>6540.2000000000007</v>
      </c>
      <c r="FN73" s="87">
        <f t="shared" si="33"/>
        <v>7181.3</v>
      </c>
      <c r="FO73" s="87">
        <f t="shared" si="33"/>
        <v>8802</v>
      </c>
      <c r="FP73" s="87">
        <f t="shared" si="33"/>
        <v>10473.299999999999</v>
      </c>
    </row>
    <row r="74" spans="1:180" x14ac:dyDescent="0.25">
      <c r="B74" s="123" t="s">
        <v>243</v>
      </c>
      <c r="C74" s="74"/>
      <c r="D74" s="74"/>
      <c r="E74" s="74"/>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74"/>
      <c r="AZ74" s="74"/>
      <c r="BA74" s="74"/>
      <c r="BB74" s="74"/>
      <c r="BC74" s="74"/>
      <c r="BD74" s="74"/>
      <c r="BE74" s="74"/>
      <c r="BF74" s="74"/>
      <c r="BG74" s="87">
        <f>Sales!BG10-BG70</f>
        <v>340.69999999999993</v>
      </c>
      <c r="BH74" s="87">
        <f>Sales!BH10-BH70</f>
        <v>565</v>
      </c>
      <c r="BI74" s="87">
        <f>Sales!BI10-BI70</f>
        <v>734.74260000000004</v>
      </c>
      <c r="BJ74" s="87">
        <f>Sales!BJ10-BJ70</f>
        <v>994.45680000000027</v>
      </c>
      <c r="BK74" s="87">
        <f>BH74+BJ74+BG74+BI74</f>
        <v>2634.8994000000002</v>
      </c>
      <c r="BL74" s="74"/>
      <c r="BM74" s="87"/>
      <c r="BN74" s="87"/>
      <c r="BO74" s="87"/>
      <c r="BP74" s="87"/>
      <c r="BQ74" s="87"/>
      <c r="BR74" s="74"/>
      <c r="BS74" s="87"/>
      <c r="BT74" s="87"/>
      <c r="BU74" s="87"/>
      <c r="BV74" s="87"/>
      <c r="BW74" s="87"/>
      <c r="BY74" s="87"/>
      <c r="BZ74" s="87"/>
      <c r="CA74" s="87"/>
      <c r="CB74" s="87"/>
      <c r="CC74" s="87"/>
    </row>
    <row r="75" spans="1:180" x14ac:dyDescent="0.25">
      <c r="B75" s="200"/>
      <c r="C75" s="74"/>
      <c r="D75" s="74"/>
      <c r="E75" s="74"/>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c r="BA75" s="74"/>
      <c r="BB75" s="74"/>
      <c r="BC75" s="74"/>
      <c r="BD75" s="74"/>
      <c r="BE75" s="74"/>
      <c r="BF75" s="74"/>
      <c r="BG75" s="204">
        <f>BG74/Sales!BG10</f>
        <v>0.3819078578634682</v>
      </c>
      <c r="BH75" s="204">
        <f>BH74/Sales!BH10</f>
        <v>0.46360876343644863</v>
      </c>
      <c r="BI75" s="204">
        <f>BI74/Sales!BI10</f>
        <v>0.52775650050280132</v>
      </c>
      <c r="BJ75" s="204">
        <f>BJ74/Sales!BJ10</f>
        <v>0.51732653592051203</v>
      </c>
      <c r="BK75" s="204">
        <f>BK74/Sales!BK10</f>
        <v>0.48566888466997221</v>
      </c>
      <c r="BL75" s="74"/>
      <c r="BM75" s="204"/>
      <c r="BN75" s="204"/>
      <c r="BO75" s="204"/>
      <c r="BP75" s="204"/>
      <c r="BQ75" s="204"/>
      <c r="BR75" s="74"/>
      <c r="BS75" s="204"/>
      <c r="BT75" s="204"/>
      <c r="BU75" s="204"/>
      <c r="BV75" s="204"/>
      <c r="BW75" s="204"/>
    </row>
    <row r="76" spans="1:180" x14ac:dyDescent="0.25">
      <c r="B76" s="200" t="s">
        <v>242</v>
      </c>
      <c r="C76" s="198"/>
      <c r="D76" s="198"/>
      <c r="E76" s="204"/>
      <c r="F76" s="204"/>
      <c r="G76" s="204"/>
      <c r="H76" s="204"/>
      <c r="I76" s="204"/>
      <c r="J76" s="198"/>
      <c r="K76" s="204"/>
      <c r="L76" s="204"/>
      <c r="M76" s="204"/>
      <c r="N76" s="204"/>
      <c r="O76" s="204"/>
      <c r="P76" s="198"/>
      <c r="Q76" s="204"/>
      <c r="R76" s="204"/>
      <c r="S76" s="204"/>
      <c r="T76" s="204"/>
      <c r="U76" s="204"/>
      <c r="V76" s="198"/>
      <c r="W76" s="204"/>
      <c r="X76" s="204"/>
      <c r="Y76" s="204"/>
      <c r="Z76" s="204"/>
      <c r="AA76" s="204"/>
      <c r="AB76" s="198"/>
      <c r="AC76" s="204"/>
      <c r="AD76" s="204"/>
      <c r="AE76" s="204"/>
      <c r="AF76" s="204"/>
      <c r="AG76" s="204"/>
      <c r="AH76" s="198"/>
      <c r="AI76" s="204"/>
      <c r="AJ76" s="204"/>
      <c r="AK76" s="204"/>
      <c r="AL76" s="204"/>
      <c r="AM76" s="204"/>
      <c r="AN76" s="74"/>
      <c r="AO76" s="204"/>
      <c r="AP76" s="204"/>
      <c r="AQ76" s="204"/>
      <c r="AR76" s="204"/>
      <c r="AS76" s="204"/>
      <c r="AT76" s="74"/>
      <c r="AU76" s="204"/>
      <c r="AV76" s="204"/>
      <c r="AW76" s="204"/>
      <c r="AX76" s="204"/>
      <c r="AY76" s="204"/>
      <c r="AZ76" s="74"/>
      <c r="BA76" s="204"/>
      <c r="BB76" s="204"/>
      <c r="BC76" s="204"/>
      <c r="BD76" s="204"/>
      <c r="BE76" s="204"/>
      <c r="BF76" s="198"/>
      <c r="BG76" s="204"/>
      <c r="BH76" s="196">
        <v>18</v>
      </c>
      <c r="BI76" s="196"/>
      <c r="BJ76" s="196"/>
      <c r="BK76" s="196"/>
      <c r="BL76" s="198"/>
      <c r="BM76" s="196"/>
      <c r="BN76" s="196"/>
      <c r="BO76" s="196"/>
      <c r="BP76" s="196"/>
      <c r="BQ76" s="196"/>
      <c r="BR76" s="198"/>
      <c r="BS76" s="196"/>
      <c r="BT76" s="196"/>
      <c r="BU76" s="196"/>
      <c r="BV76" s="196"/>
      <c r="BW76" s="196"/>
    </row>
    <row r="77" spans="1:180" x14ac:dyDescent="0.25">
      <c r="D77" s="74"/>
      <c r="E77" s="114"/>
      <c r="F77" s="114"/>
      <c r="H77" s="196"/>
      <c r="J77" s="74"/>
      <c r="K77" s="196"/>
      <c r="L77" s="196"/>
      <c r="M77" s="196"/>
      <c r="N77" s="196"/>
      <c r="O77" s="87"/>
      <c r="P77" s="74"/>
      <c r="Q77" s="196"/>
      <c r="R77" s="196"/>
      <c r="S77" s="196"/>
      <c r="T77" s="196"/>
      <c r="U77" s="87"/>
      <c r="V77" s="88"/>
      <c r="W77" s="196"/>
      <c r="X77" s="196"/>
      <c r="Y77" s="196"/>
      <c r="Z77" s="196"/>
      <c r="AA77" s="87"/>
    </row>
    <row r="78" spans="1:180" x14ac:dyDescent="0.25">
      <c r="D78" s="74"/>
      <c r="E78" s="114"/>
      <c r="F78" s="114"/>
      <c r="H78" s="196"/>
      <c r="J78" s="74"/>
      <c r="K78" s="196"/>
      <c r="L78" s="196"/>
      <c r="M78" s="196"/>
      <c r="N78" s="196"/>
      <c r="O78" s="87"/>
      <c r="P78" s="74"/>
      <c r="Q78" s="196"/>
      <c r="R78" s="196"/>
      <c r="S78" s="196"/>
      <c r="T78" s="196"/>
      <c r="U78" s="87"/>
      <c r="V78" s="88"/>
      <c r="W78" s="196"/>
      <c r="X78" s="196"/>
      <c r="Y78" s="196"/>
      <c r="Z78" s="196"/>
      <c r="AA78" s="87"/>
      <c r="CC78" s="74"/>
    </row>
    <row r="79" spans="1:180" x14ac:dyDescent="0.25">
      <c r="B79" s="289" t="s">
        <v>542</v>
      </c>
      <c r="D79" s="74"/>
      <c r="E79" s="114"/>
      <c r="F79" s="114"/>
      <c r="H79" s="196"/>
      <c r="J79" s="74"/>
      <c r="K79" s="196"/>
      <c r="L79" s="196"/>
      <c r="M79" s="196"/>
      <c r="N79" s="196"/>
      <c r="O79" s="87"/>
      <c r="P79" s="74"/>
      <c r="Q79" s="196"/>
      <c r="R79" s="196"/>
      <c r="S79" s="196"/>
      <c r="T79" s="196"/>
      <c r="U79" s="87"/>
      <c r="V79" s="88"/>
      <c r="W79" s="196"/>
      <c r="X79" s="196"/>
      <c r="Y79" s="196"/>
      <c r="Z79" s="196"/>
      <c r="AA79" s="87"/>
      <c r="CC79" s="74"/>
    </row>
    <row r="80" spans="1:180" x14ac:dyDescent="0.25">
      <c r="B80" s="353" t="s">
        <v>635</v>
      </c>
      <c r="D80" s="74"/>
      <c r="E80" s="114"/>
      <c r="F80" s="114"/>
      <c r="H80" s="196"/>
      <c r="J80" s="74"/>
      <c r="K80" s="196"/>
      <c r="L80" s="196"/>
      <c r="M80" s="196"/>
      <c r="N80" s="196"/>
      <c r="O80" s="87"/>
      <c r="P80" s="74"/>
      <c r="Q80" s="196"/>
      <c r="R80" s="196"/>
      <c r="S80" s="196"/>
      <c r="T80" s="196"/>
      <c r="U80" s="87"/>
      <c r="V80" s="88"/>
      <c r="W80" s="196"/>
      <c r="X80" s="196"/>
      <c r="Y80" s="196"/>
      <c r="Z80" s="196"/>
      <c r="AA80" s="87"/>
      <c r="CC80" s="74"/>
      <c r="FX80" s="191">
        <f>Sales!FR45</f>
        <v>1800</v>
      </c>
    </row>
    <row r="81" spans="2:184" x14ac:dyDescent="0.25">
      <c r="B81" s="197" t="s">
        <v>250</v>
      </c>
      <c r="D81" s="74"/>
      <c r="E81" s="114"/>
      <c r="F81" s="114"/>
      <c r="H81" s="196"/>
      <c r="J81" s="74"/>
      <c r="K81" s="196"/>
      <c r="L81" s="196"/>
      <c r="M81" s="196"/>
      <c r="N81" s="196"/>
      <c r="O81" s="87"/>
      <c r="P81" s="74"/>
      <c r="Q81" s="196"/>
      <c r="R81" s="196"/>
      <c r="S81" s="196"/>
      <c r="T81" s="196"/>
      <c r="U81" s="87"/>
      <c r="V81" s="88"/>
      <c r="W81" s="196"/>
      <c r="X81" s="196"/>
      <c r="Y81" s="196"/>
      <c r="Z81" s="196"/>
      <c r="AA81" s="87"/>
      <c r="CC81" s="74"/>
      <c r="DC81" s="191">
        <f>Sales!DC46</f>
        <v>0</v>
      </c>
      <c r="DD81" s="191">
        <f>Sales!DD46</f>
        <v>0</v>
      </c>
      <c r="DE81" s="191">
        <f>Sales!DE46</f>
        <v>0</v>
      </c>
      <c r="DF81" s="191">
        <f>Sales!DF46</f>
        <v>0</v>
      </c>
      <c r="DG81" s="191">
        <f>SUM(DC81:DF81)</f>
        <v>0</v>
      </c>
      <c r="DI81" s="191">
        <f>Sales!DI46</f>
        <v>0</v>
      </c>
      <c r="DJ81" s="191">
        <f>Sales!DJ46</f>
        <v>0</v>
      </c>
      <c r="DK81" s="191">
        <f>Sales!DK46</f>
        <v>0</v>
      </c>
      <c r="DL81" s="191">
        <f>Sales!DL46</f>
        <v>0</v>
      </c>
      <c r="DM81" s="191">
        <f>SUM(DI81:DL81)</f>
        <v>0</v>
      </c>
      <c r="DO81" s="191">
        <f>Sales!DO46</f>
        <v>0</v>
      </c>
      <c r="DP81" s="191">
        <f>Sales!DP46</f>
        <v>0</v>
      </c>
      <c r="DQ81" s="191">
        <f>Sales!DQ46</f>
        <v>0</v>
      </c>
      <c r="DR81" s="191">
        <f>Sales!DR46</f>
        <v>0</v>
      </c>
      <c r="DS81" s="191">
        <f>SUM(DO81:DR81)</f>
        <v>0</v>
      </c>
      <c r="DT81" s="191"/>
      <c r="DU81" s="191">
        <f>Sales!DU46</f>
        <v>0</v>
      </c>
      <c r="DV81" s="191">
        <f>Sales!DV46</f>
        <v>0</v>
      </c>
      <c r="DW81" s="191">
        <f>Sales!DW46</f>
        <v>0</v>
      </c>
      <c r="DX81" s="191">
        <f>Sales!DX46</f>
        <v>500</v>
      </c>
      <c r="DY81" s="191">
        <f>SUM(DU81:DX81)</f>
        <v>500</v>
      </c>
      <c r="EA81" s="191">
        <f>Sales!EA46</f>
        <v>0</v>
      </c>
      <c r="EB81" s="191">
        <f>Sales!EB46</f>
        <v>250</v>
      </c>
      <c r="EC81" s="191">
        <f>Sales!EC46</f>
        <v>360</v>
      </c>
      <c r="ED81" s="191">
        <f>Sales!ED46</f>
        <v>610</v>
      </c>
      <c r="EE81" s="191">
        <f>SUM(EA81:ED81)</f>
        <v>1220</v>
      </c>
      <c r="EG81" s="191">
        <f>Sales!EG46</f>
        <v>720</v>
      </c>
      <c r="EH81" s="191">
        <f>Sales!EH46</f>
        <v>0</v>
      </c>
      <c r="EI81" s="191">
        <f>Sales!EI46</f>
        <v>720</v>
      </c>
      <c r="EJ81" s="191">
        <f>Sales!EJ46</f>
        <v>720</v>
      </c>
      <c r="EK81" s="191">
        <f>SUM(EG81:EJ81)</f>
        <v>2160</v>
      </c>
      <c r="FO81" s="191">
        <f t="shared" ref="FO81:FO90" si="34">DG81</f>
        <v>0</v>
      </c>
      <c r="FP81" s="191">
        <f t="shared" ref="FP81:FP90" si="35">DM81</f>
        <v>0</v>
      </c>
      <c r="FQ81" s="191">
        <f t="shared" ref="FQ81:FQ90" si="36">DS81</f>
        <v>0</v>
      </c>
      <c r="FR81" s="191">
        <f t="shared" ref="FR81:FR90" si="37">DY81</f>
        <v>500</v>
      </c>
      <c r="FS81" s="191">
        <f>EE81</f>
        <v>1220</v>
      </c>
      <c r="FT81" s="191">
        <f t="shared" ref="FT81:FT90" si="38">EK81</f>
        <v>2160</v>
      </c>
      <c r="FU81" s="191">
        <f>Sales!EL46</f>
        <v>2190</v>
      </c>
      <c r="FV81" s="191">
        <f>Sales!FP46</f>
        <v>2880</v>
      </c>
      <c r="FW81" s="191">
        <f>Sales!FQ46</f>
        <v>7700</v>
      </c>
      <c r="FX81" s="191">
        <f>Sales!FR46</f>
        <v>9600</v>
      </c>
    </row>
    <row r="82" spans="2:184" x14ac:dyDescent="0.25">
      <c r="B82" s="197" t="s">
        <v>543</v>
      </c>
      <c r="D82" s="74"/>
      <c r="E82" s="114"/>
      <c r="F82" s="114"/>
      <c r="H82" s="196"/>
      <c r="J82" s="74"/>
      <c r="K82" s="196"/>
      <c r="L82" s="196"/>
      <c r="M82" s="196"/>
      <c r="N82" s="196"/>
      <c r="O82" s="87"/>
      <c r="P82" s="74"/>
      <c r="Q82" s="196"/>
      <c r="R82" s="196"/>
      <c r="S82" s="196"/>
      <c r="T82" s="196"/>
      <c r="U82" s="87"/>
      <c r="V82" s="88"/>
      <c r="W82" s="196"/>
      <c r="X82" s="196"/>
      <c r="Y82" s="196"/>
      <c r="Z82" s="196"/>
      <c r="AA82" s="87"/>
      <c r="CC82" s="74"/>
      <c r="DC82" s="191">
        <f>SUM(Sales!DC46:DC47)</f>
        <v>1126.3679999999999</v>
      </c>
      <c r="DD82" s="191">
        <f>SUM(Sales!DD46:DD47)</f>
        <v>1327.32</v>
      </c>
      <c r="DE82" s="191">
        <f>SUM(Sales!DE46:DE47)</f>
        <v>2219.9940000000001</v>
      </c>
      <c r="DF82" s="191">
        <f>SUM(Sales!DF46:DF47)</f>
        <v>1593.0719999999999</v>
      </c>
      <c r="DG82" s="191">
        <f t="shared" ref="DG82:DG89" si="39">SUM(DC82:DF82)</f>
        <v>6266.7540000000008</v>
      </c>
      <c r="DI82" s="191">
        <f>SUM(Sales!DI46:DI47)</f>
        <v>594.67200000000003</v>
      </c>
      <c r="DJ82" s="191">
        <f>SUM(Sales!DJ46:DJ47)</f>
        <v>1987.4399999999998</v>
      </c>
      <c r="DK82" s="191">
        <f>SUM(Sales!DK46:DK47)</f>
        <v>2169.8969999999999</v>
      </c>
      <c r="DL82" s="191">
        <f>SUM(Sales!DL46:DL47)</f>
        <v>2326.471</v>
      </c>
      <c r="DM82" s="191">
        <f t="shared" ref="DM82:DM89" si="40">SUM(DI82:DL82)</f>
        <v>7078.48</v>
      </c>
      <c r="DO82" s="191">
        <f>SUM(Sales!DO46:DO47)</f>
        <v>2884.6800000000003</v>
      </c>
      <c r="DP82" s="191">
        <f>SUM(Sales!DP46:DP47)</f>
        <v>2074.2199999999998</v>
      </c>
      <c r="DQ82" s="191">
        <f>SUM(Sales!DQ46:DQ47)</f>
        <v>1857.87</v>
      </c>
      <c r="DR82" s="191">
        <f>SUM(Sales!DR46:DR47)</f>
        <v>2397.4840000000013</v>
      </c>
      <c r="DS82" s="191">
        <f t="shared" ref="DS82:DS89" si="41">SUM(DO82:DR82)</f>
        <v>9214.2540000000008</v>
      </c>
      <c r="DT82" s="191"/>
      <c r="DU82" s="191">
        <f>Sales!DU47</f>
        <v>1824.3140000000001</v>
      </c>
      <c r="DV82" s="191">
        <f>Sales!DV47</f>
        <v>1475.8789999999999</v>
      </c>
      <c r="DW82" s="191">
        <f>SUM(Sales!DW46:DW47)</f>
        <v>2074.1</v>
      </c>
      <c r="DX82" s="191">
        <f>Sales!DX47</f>
        <v>2488.6779999999999</v>
      </c>
      <c r="DY82" s="191">
        <f t="shared" ref="DY82:DY89" si="42">SUM(DU82:DX82)</f>
        <v>7862.9709999999995</v>
      </c>
      <c r="EA82" s="191">
        <f>Sales!EA47</f>
        <v>3214.6240000000003</v>
      </c>
      <c r="EB82" s="191">
        <f>Sales!EB47</f>
        <v>2436.1280000000002</v>
      </c>
      <c r="EC82" s="191">
        <f>Sales!EC47</f>
        <v>1750.52</v>
      </c>
      <c r="ED82" s="191">
        <f>Sales!ED47</f>
        <v>3030.3199999999997</v>
      </c>
      <c r="EE82" s="191">
        <f t="shared" ref="EE82:EE89" si="43">SUM(EA82:ED82)</f>
        <v>10431.592000000001</v>
      </c>
      <c r="EG82" s="191">
        <f>Sales!EG47</f>
        <v>3424.1400000000003</v>
      </c>
      <c r="EH82" s="191">
        <f>Sales!EH47</f>
        <v>3220</v>
      </c>
      <c r="EI82" s="191">
        <f>Sales!EI47</f>
        <v>3910</v>
      </c>
      <c r="EJ82" s="191">
        <f>Sales!EJ47</f>
        <v>4140</v>
      </c>
      <c r="EK82" s="191">
        <f t="shared" ref="EK82:EK89" si="44">SUM(EG82:EJ82)</f>
        <v>14694.14</v>
      </c>
      <c r="FO82" s="191">
        <f t="shared" si="34"/>
        <v>6266.7540000000008</v>
      </c>
      <c r="FP82" s="191">
        <f t="shared" si="35"/>
        <v>7078.48</v>
      </c>
      <c r="FQ82" s="191">
        <f t="shared" si="36"/>
        <v>9214.2540000000008</v>
      </c>
      <c r="FR82" s="191">
        <f t="shared" si="37"/>
        <v>7862.9709999999995</v>
      </c>
      <c r="FS82" s="191">
        <f t="shared" ref="FS82:FS90" si="45">EE82</f>
        <v>10431.592000000001</v>
      </c>
      <c r="FT82" s="191">
        <f t="shared" si="38"/>
        <v>14694.14</v>
      </c>
      <c r="FU82" s="191">
        <f>Sales!EL47</f>
        <v>19740</v>
      </c>
      <c r="FV82" s="191">
        <f>Sales!FP47</f>
        <v>14335</v>
      </c>
      <c r="FW82" s="191">
        <f>Sales!FQ47</f>
        <v>13230</v>
      </c>
      <c r="FX82" s="191">
        <f>Sales!FR47</f>
        <v>13440</v>
      </c>
    </row>
    <row r="83" spans="2:184" x14ac:dyDescent="0.25">
      <c r="B83" s="197" t="s">
        <v>544</v>
      </c>
      <c r="D83" s="74"/>
      <c r="E83" s="114"/>
      <c r="F83" s="114"/>
      <c r="H83" s="196"/>
      <c r="J83" s="74"/>
      <c r="K83" s="196"/>
      <c r="L83" s="196"/>
      <c r="M83" s="196"/>
      <c r="N83" s="196"/>
      <c r="O83" s="87"/>
      <c r="P83" s="74"/>
      <c r="Q83" s="196"/>
      <c r="R83" s="196"/>
      <c r="S83" s="196"/>
      <c r="T83" s="196"/>
      <c r="U83" s="87"/>
      <c r="V83" s="88"/>
      <c r="W83" s="196"/>
      <c r="X83" s="196"/>
      <c r="Y83" s="196"/>
      <c r="Z83" s="196"/>
      <c r="AA83" s="87"/>
      <c r="CC83" s="74"/>
      <c r="DC83" s="191">
        <f>Sales!DC49</f>
        <v>1470.5360000000001</v>
      </c>
      <c r="DD83" s="191">
        <f>Sales!DD49</f>
        <v>1002.864</v>
      </c>
      <c r="DE83" s="191">
        <f>Sales!DE49</f>
        <v>1315.5520000000001</v>
      </c>
      <c r="DF83" s="191">
        <f>Sales!DF49</f>
        <v>1212.1199999999999</v>
      </c>
      <c r="DG83" s="191">
        <f t="shared" si="39"/>
        <v>5001.0720000000001</v>
      </c>
      <c r="DI83" s="191">
        <f>Sales!DI49</f>
        <v>1074.9839999999999</v>
      </c>
      <c r="DJ83" s="191">
        <f>Sales!DJ49</f>
        <v>1366.365</v>
      </c>
      <c r="DK83" s="191">
        <f>Sales!DK49</f>
        <v>1318.9569999999999</v>
      </c>
      <c r="DL83" s="191">
        <f>Sales!DL49</f>
        <v>1471.8489999999999</v>
      </c>
      <c r="DM83" s="191">
        <f t="shared" si="40"/>
        <v>5232.1549999999997</v>
      </c>
      <c r="DO83" s="191">
        <f>Sales!DO49</f>
        <v>1602.54</v>
      </c>
      <c r="DP83" s="191">
        <f>Sales!DP49</f>
        <v>2746.989</v>
      </c>
      <c r="DQ83" s="191">
        <f>Sales!DQ49</f>
        <v>2547.9359999999997</v>
      </c>
      <c r="DR83" s="191">
        <f>Sales!DR49</f>
        <v>2097.3910000000005</v>
      </c>
      <c r="DS83" s="191">
        <f t="shared" si="41"/>
        <v>8994.8559999999998</v>
      </c>
      <c r="DT83" s="191"/>
      <c r="DU83" s="191">
        <f>Sales!DU49</f>
        <v>1546.701</v>
      </c>
      <c r="DV83" s="191">
        <f>Sales!DV49</f>
        <v>2380.4499999999998</v>
      </c>
      <c r="DW83" s="191">
        <f>Sales!DW49</f>
        <v>2844.48</v>
      </c>
      <c r="DX83" s="191">
        <f>Sales!DX49</f>
        <v>2917.5189999999998</v>
      </c>
      <c r="DY83" s="191">
        <f t="shared" si="42"/>
        <v>9689.15</v>
      </c>
      <c r="EA83" s="191">
        <f>Sales!EA49</f>
        <v>1894.3319999999999</v>
      </c>
      <c r="EB83" s="191">
        <f>Sales!EB49</f>
        <v>2406.3230000000003</v>
      </c>
      <c r="EC83" s="191">
        <f>Sales!EC49</f>
        <v>2887.9760000000001</v>
      </c>
      <c r="ED83" s="191">
        <f>Sales!ED49</f>
        <v>3033.6000000000004</v>
      </c>
      <c r="EE83" s="191">
        <f t="shared" si="43"/>
        <v>10222.231000000002</v>
      </c>
      <c r="EG83" s="191">
        <f>Sales!EG49</f>
        <v>1444.17</v>
      </c>
      <c r="EH83" s="191">
        <f>Sales!EH49</f>
        <v>0</v>
      </c>
      <c r="EI83" s="191">
        <f>Sales!EI49</f>
        <v>0</v>
      </c>
      <c r="EJ83" s="191">
        <f>Sales!EJ49</f>
        <v>0</v>
      </c>
      <c r="EK83" s="191">
        <f t="shared" si="44"/>
        <v>1444.17</v>
      </c>
      <c r="FO83" s="191">
        <f t="shared" si="34"/>
        <v>5001.0720000000001</v>
      </c>
      <c r="FP83" s="191">
        <f t="shared" si="35"/>
        <v>5232.1549999999997</v>
      </c>
      <c r="FQ83" s="191">
        <f t="shared" si="36"/>
        <v>8994.8559999999998</v>
      </c>
      <c r="FR83" s="191">
        <f t="shared" si="37"/>
        <v>9689.15</v>
      </c>
      <c r="FS83" s="191">
        <f t="shared" si="45"/>
        <v>10222.231000000002</v>
      </c>
      <c r="FT83" s="191">
        <f t="shared" si="38"/>
        <v>1444.17</v>
      </c>
      <c r="FU83" s="191">
        <f>Sales!EL49</f>
        <v>0</v>
      </c>
      <c r="FV83" s="191">
        <f>Sales!FP49</f>
        <v>0</v>
      </c>
      <c r="FW83" s="191">
        <f ca="1">Sales!FQ49</f>
        <v>0</v>
      </c>
      <c r="FX83" s="191">
        <f ca="1">Sales!FR49</f>
        <v>0</v>
      </c>
    </row>
    <row r="84" spans="2:184" x14ac:dyDescent="0.25">
      <c r="B84" s="197" t="s">
        <v>545</v>
      </c>
      <c r="D84" s="74"/>
      <c r="E84" s="114"/>
      <c r="F84" s="114"/>
      <c r="H84" s="196"/>
      <c r="J84" s="74"/>
      <c r="K84" s="196"/>
      <c r="L84" s="196"/>
      <c r="M84" s="196"/>
      <c r="N84" s="196"/>
      <c r="O84" s="87"/>
      <c r="P84" s="74"/>
      <c r="Q84" s="196"/>
      <c r="R84" s="196"/>
      <c r="S84" s="196"/>
      <c r="T84" s="196"/>
      <c r="U84" s="87"/>
      <c r="V84" s="88"/>
      <c r="W84" s="196"/>
      <c r="X84" s="196"/>
      <c r="Y84" s="196"/>
      <c r="Z84" s="196"/>
      <c r="AA84" s="87"/>
      <c r="CC84" s="74"/>
      <c r="DC84" s="191">
        <f>Sales!DC50</f>
        <v>62.576000000000008</v>
      </c>
      <c r="DD84" s="191">
        <f>Sales!DD50</f>
        <v>147.47999999999999</v>
      </c>
      <c r="DE84" s="191">
        <f>Sales!DE50</f>
        <v>123.33300000000001</v>
      </c>
      <c r="DF84" s="191">
        <f>Sales!DF50</f>
        <v>103.89599999999999</v>
      </c>
      <c r="DG84" s="191">
        <f t="shared" si="39"/>
        <v>437.28499999999997</v>
      </c>
      <c r="DI84" s="191">
        <f>Sales!DI50</f>
        <v>137.23199999999997</v>
      </c>
      <c r="DJ84" s="191">
        <f>Sales!DJ50</f>
        <v>165.62</v>
      </c>
      <c r="DK84" s="191">
        <f>Sales!DK50</f>
        <v>127.64099999999999</v>
      </c>
      <c r="DL84" s="191">
        <f>Sales!DL50</f>
        <v>189.916</v>
      </c>
      <c r="DM84" s="191">
        <f t="shared" si="40"/>
        <v>620.40899999999988</v>
      </c>
      <c r="DO84" s="191">
        <f>Sales!DO50</f>
        <v>160.25399999999999</v>
      </c>
      <c r="DP84" s="191">
        <f>Sales!DP50</f>
        <v>112.12200000000001</v>
      </c>
      <c r="DQ84" s="191">
        <f>Sales!DQ50</f>
        <v>106.164</v>
      </c>
      <c r="DR84" s="191">
        <f>Sales!DR50</f>
        <v>433.18790000000001</v>
      </c>
      <c r="DS84" s="191">
        <f t="shared" si="41"/>
        <v>811.72789999999998</v>
      </c>
      <c r="DT84" s="191"/>
      <c r="DU84" s="191">
        <f>Sales!DU50</f>
        <v>118.977</v>
      </c>
      <c r="DV84" s="191">
        <f>Sales!DV50</f>
        <v>333.26300000000003</v>
      </c>
      <c r="DW84" s="191">
        <f>Sales!DW50</f>
        <v>177.78</v>
      </c>
      <c r="DX84" s="191">
        <f>Sales!DX50</f>
        <v>142.31799999999998</v>
      </c>
      <c r="DY84" s="191">
        <f t="shared" si="42"/>
        <v>772.33799999999997</v>
      </c>
      <c r="EA84" s="191">
        <f>Sales!EA50</f>
        <v>114.80799999999999</v>
      </c>
      <c r="EB84" s="191">
        <f>Sales!EB50</f>
        <v>111.92200000000001</v>
      </c>
      <c r="EC84" s="191">
        <f>Sales!EC50</f>
        <v>111.07600000000001</v>
      </c>
      <c r="ED84" s="191">
        <f>Sales!ED50</f>
        <v>151.68</v>
      </c>
      <c r="EE84" s="191">
        <f t="shared" si="43"/>
        <v>489.48600000000005</v>
      </c>
      <c r="EG84" s="191">
        <f>Sales!EG50</f>
        <v>125.58</v>
      </c>
      <c r="EH84" s="191">
        <f>Sales!EH50</f>
        <v>0</v>
      </c>
      <c r="EI84" s="191">
        <f>Sales!EI50</f>
        <v>0</v>
      </c>
      <c r="EJ84" s="191">
        <f>Sales!EJ50</f>
        <v>0</v>
      </c>
      <c r="EK84" s="191">
        <f t="shared" si="44"/>
        <v>125.58</v>
      </c>
      <c r="FO84" s="191">
        <f t="shared" si="34"/>
        <v>437.28499999999997</v>
      </c>
      <c r="FP84" s="191">
        <f t="shared" si="35"/>
        <v>620.40899999999988</v>
      </c>
      <c r="FQ84" s="191">
        <f t="shared" si="36"/>
        <v>811.72789999999998</v>
      </c>
      <c r="FR84" s="191">
        <f t="shared" si="37"/>
        <v>772.33799999999997</v>
      </c>
      <c r="FS84" s="191">
        <f t="shared" si="45"/>
        <v>489.48600000000005</v>
      </c>
      <c r="FT84" s="191">
        <f t="shared" si="38"/>
        <v>125.58</v>
      </c>
      <c r="FU84" s="191">
        <f>Sales!EL50</f>
        <v>0</v>
      </c>
      <c r="FV84" s="191">
        <f>Sales!FP50</f>
        <v>0</v>
      </c>
      <c r="FW84" s="191">
        <f ca="1">Sales!FQ50</f>
        <v>0</v>
      </c>
      <c r="FX84" s="191">
        <f ca="1">Sales!FR50</f>
        <v>0</v>
      </c>
    </row>
    <row r="85" spans="2:184" x14ac:dyDescent="0.25">
      <c r="B85" s="200" t="s">
        <v>53</v>
      </c>
      <c r="D85" s="74"/>
      <c r="E85" s="114"/>
      <c r="F85" s="114"/>
      <c r="H85" s="196"/>
      <c r="J85" s="74"/>
      <c r="K85" s="196"/>
      <c r="L85" s="196"/>
      <c r="M85" s="196"/>
      <c r="N85" s="196"/>
      <c r="O85" s="87"/>
      <c r="P85" s="74"/>
      <c r="Q85" s="196"/>
      <c r="R85" s="196"/>
      <c r="S85" s="196"/>
      <c r="T85" s="196"/>
      <c r="U85" s="87"/>
      <c r="V85" s="88"/>
      <c r="W85" s="196"/>
      <c r="X85" s="196"/>
      <c r="Y85" s="196"/>
      <c r="Z85" s="196"/>
      <c r="AA85" s="87"/>
      <c r="CC85" s="74"/>
      <c r="DC85" s="191">
        <f>Sales!DC51</f>
        <v>344.16800000000001</v>
      </c>
      <c r="DD85" s="191">
        <f>Sales!DD51</f>
        <v>324.45600000000002</v>
      </c>
      <c r="DE85" s="191">
        <f>Sales!DE51</f>
        <v>287.77700000000004</v>
      </c>
      <c r="DF85" s="191">
        <f>Sales!DF51</f>
        <v>346.32</v>
      </c>
      <c r="DG85" s="191">
        <f t="shared" si="39"/>
        <v>1302.721</v>
      </c>
      <c r="DI85" s="191">
        <f>Sales!DI51</f>
        <v>274.46399999999994</v>
      </c>
      <c r="DJ85" s="191">
        <f>Sales!DJ51</f>
        <v>414.05</v>
      </c>
      <c r="DK85" s="191">
        <f>Sales!DK51</f>
        <v>425.47</v>
      </c>
      <c r="DL85" s="191">
        <f>Sales!DL51</f>
        <v>569.74799999999993</v>
      </c>
      <c r="DM85" s="191">
        <f t="shared" si="40"/>
        <v>1683.732</v>
      </c>
      <c r="DO85" s="191">
        <f>Sales!DO51</f>
        <v>480.762</v>
      </c>
      <c r="DP85" s="191">
        <f>Sales!DP51</f>
        <v>504.54900000000004</v>
      </c>
      <c r="DQ85" s="191">
        <f>Sales!DQ51</f>
        <v>530.82000000000005</v>
      </c>
      <c r="DR85" s="191">
        <f>Sales!DR51</f>
        <v>677.73000000000047</v>
      </c>
      <c r="DS85" s="191">
        <f t="shared" si="41"/>
        <v>2193.8610000000008</v>
      </c>
      <c r="DT85" s="191"/>
      <c r="DU85" s="191">
        <f>Sales!DU51</f>
        <v>317.27199999999999</v>
      </c>
      <c r="DV85" s="191">
        <f>Sales!DV51</f>
        <v>428.48099999999994</v>
      </c>
      <c r="DW85" s="191">
        <f>Sales!DW51</f>
        <v>592.6</v>
      </c>
      <c r="DX85" s="191">
        <f>Sales!DX51</f>
        <v>640.43099999999993</v>
      </c>
      <c r="DY85" s="191">
        <f t="shared" si="42"/>
        <v>1978.7840000000001</v>
      </c>
      <c r="EA85" s="191">
        <f>Sales!EA51</f>
        <v>287.02</v>
      </c>
      <c r="EB85" s="191">
        <f>Sales!EB51</f>
        <v>223.84400000000002</v>
      </c>
      <c r="EC85" s="191">
        <f>Sales!EC51</f>
        <v>166.614</v>
      </c>
      <c r="ED85" s="191">
        <f>Sales!ED51</f>
        <v>379.20000000000005</v>
      </c>
      <c r="EE85" s="191">
        <f t="shared" si="43"/>
        <v>1056.6780000000001</v>
      </c>
      <c r="EG85" s="191">
        <f>Sales!EG51</f>
        <v>376.74</v>
      </c>
      <c r="EH85" s="191">
        <f>Sales!EH51</f>
        <v>0</v>
      </c>
      <c r="EI85" s="191">
        <f>Sales!EI51</f>
        <v>0</v>
      </c>
      <c r="EJ85" s="191">
        <f>Sales!EJ51</f>
        <v>0</v>
      </c>
      <c r="EK85" s="191">
        <f t="shared" si="44"/>
        <v>376.74</v>
      </c>
      <c r="FO85" s="191">
        <f t="shared" si="34"/>
        <v>1302.721</v>
      </c>
      <c r="FP85" s="191">
        <f t="shared" si="35"/>
        <v>1683.732</v>
      </c>
      <c r="FQ85" s="191">
        <f t="shared" si="36"/>
        <v>2193.8610000000008</v>
      </c>
      <c r="FR85" s="191">
        <f t="shared" si="37"/>
        <v>1978.7840000000001</v>
      </c>
      <c r="FS85" s="191">
        <f t="shared" si="45"/>
        <v>1056.6780000000001</v>
      </c>
      <c r="FT85" s="191">
        <f t="shared" si="38"/>
        <v>376.74</v>
      </c>
      <c r="FU85" s="191">
        <f>Sales!EL51</f>
        <v>0</v>
      </c>
      <c r="FV85" s="191">
        <f>Sales!FP51</f>
        <v>0</v>
      </c>
      <c r="FW85" s="191">
        <f ca="1">Sales!FQ51</f>
        <v>1037.5</v>
      </c>
      <c r="FX85" s="191">
        <f ca="1">Sales!FR51</f>
        <v>1100</v>
      </c>
    </row>
    <row r="86" spans="2:184" x14ac:dyDescent="0.25">
      <c r="B86" s="200" t="s">
        <v>251</v>
      </c>
      <c r="D86" s="74"/>
      <c r="E86" s="114"/>
      <c r="F86" s="114"/>
      <c r="H86" s="196"/>
      <c r="J86" s="74"/>
      <c r="K86" s="196"/>
      <c r="L86" s="196"/>
      <c r="M86" s="196"/>
      <c r="N86" s="196"/>
      <c r="O86" s="87"/>
      <c r="P86" s="74"/>
      <c r="Q86" s="196"/>
      <c r="R86" s="196"/>
      <c r="S86" s="196"/>
      <c r="T86" s="196"/>
      <c r="U86" s="87"/>
      <c r="V86" s="88"/>
      <c r="W86" s="196"/>
      <c r="X86" s="196"/>
      <c r="Y86" s="196"/>
      <c r="Z86" s="196"/>
      <c r="AA86" s="87"/>
      <c r="CC86" s="74"/>
      <c r="DC86" s="191">
        <f>Sales!DC52</f>
        <v>31.288000000000004</v>
      </c>
      <c r="DD86" s="191">
        <f>Sales!DD52</f>
        <v>29.495999999999999</v>
      </c>
      <c r="DE86" s="191">
        <f>Sales!DE52</f>
        <v>41.111000000000004</v>
      </c>
      <c r="DF86" s="191">
        <f>Sales!DF52</f>
        <v>34.631999999999998</v>
      </c>
      <c r="DG86" s="191">
        <f t="shared" si="39"/>
        <v>136.52700000000002</v>
      </c>
      <c r="DI86" s="191">
        <f>Sales!DI52</f>
        <v>45.744</v>
      </c>
      <c r="DJ86" s="191">
        <f>Sales!DJ52</f>
        <v>41.405000000000001</v>
      </c>
      <c r="DK86" s="191">
        <f>Sales!DK52</f>
        <v>42.546999999999997</v>
      </c>
      <c r="DL86" s="191">
        <f>Sales!DL52</f>
        <v>47.478999999999999</v>
      </c>
      <c r="DM86" s="191">
        <f t="shared" si="40"/>
        <v>177.17500000000001</v>
      </c>
      <c r="DO86" s="191">
        <f>Sales!DO52</f>
        <v>53.418000000000006</v>
      </c>
      <c r="DP86" s="191">
        <f>Sales!DP52</f>
        <v>56.061000000000007</v>
      </c>
      <c r="DQ86" s="191">
        <f>Sales!DQ52</f>
        <v>53.082000000000001</v>
      </c>
      <c r="DR86" s="191">
        <f>Sales!DR52</f>
        <v>56.824999999999989</v>
      </c>
      <c r="DS86" s="191">
        <f t="shared" si="41"/>
        <v>219.386</v>
      </c>
      <c r="DT86" s="191"/>
      <c r="DU86" s="191">
        <f>Sales!DU52</f>
        <v>39.658999999999999</v>
      </c>
      <c r="DV86" s="191">
        <f>Sales!DV52</f>
        <v>95.217999999999989</v>
      </c>
      <c r="DW86" s="191">
        <f>Sales!DW52</f>
        <v>118.52</v>
      </c>
      <c r="DX86" s="191">
        <f>Sales!DX52</f>
        <v>142.31799999999998</v>
      </c>
      <c r="DY86" s="191">
        <f t="shared" si="42"/>
        <v>395.71499999999997</v>
      </c>
      <c r="EA86" s="191">
        <f>Sales!EA52</f>
        <v>57.403999999999996</v>
      </c>
      <c r="EB86" s="191">
        <f>Sales!EB52</f>
        <v>55.961000000000006</v>
      </c>
      <c r="EC86" s="191">
        <f>Sales!EC52</f>
        <v>55.538000000000004</v>
      </c>
      <c r="ED86" s="191">
        <f>Sales!ED52</f>
        <v>75.84</v>
      </c>
      <c r="EE86" s="191">
        <f t="shared" si="43"/>
        <v>244.74300000000002</v>
      </c>
      <c r="EG86" s="191">
        <f>Sales!EG52</f>
        <v>62.79</v>
      </c>
      <c r="EH86" s="191">
        <f>Sales!EH52</f>
        <v>0</v>
      </c>
      <c r="EI86" s="191">
        <f>Sales!EI52</f>
        <v>0</v>
      </c>
      <c r="EJ86" s="191">
        <f>Sales!EJ52</f>
        <v>0</v>
      </c>
      <c r="EK86" s="191">
        <f t="shared" si="44"/>
        <v>62.79</v>
      </c>
      <c r="FO86" s="191">
        <f t="shared" si="34"/>
        <v>136.52700000000002</v>
      </c>
      <c r="FP86" s="191">
        <f t="shared" si="35"/>
        <v>177.17500000000001</v>
      </c>
      <c r="FQ86" s="191">
        <f t="shared" si="36"/>
        <v>219.386</v>
      </c>
      <c r="FR86" s="191">
        <f t="shared" si="37"/>
        <v>395.71499999999997</v>
      </c>
      <c r="FS86" s="191">
        <f t="shared" si="45"/>
        <v>244.74300000000002</v>
      </c>
      <c r="FT86" s="191">
        <f t="shared" si="38"/>
        <v>62.79</v>
      </c>
      <c r="FU86" s="191">
        <f>Sales!EL52</f>
        <v>0</v>
      </c>
      <c r="FV86" s="191">
        <f>Sales!FP52</f>
        <v>0</v>
      </c>
      <c r="FW86" s="191">
        <f ca="1">Sales!FQ52</f>
        <v>0</v>
      </c>
      <c r="FX86" s="191">
        <f ca="1">Sales!FR52</f>
        <v>0</v>
      </c>
    </row>
    <row r="87" spans="2:184" x14ac:dyDescent="0.25">
      <c r="B87" s="861" t="s">
        <v>723</v>
      </c>
      <c r="C87" s="177"/>
      <c r="D87" s="74"/>
      <c r="E87" s="114"/>
      <c r="F87" s="114"/>
      <c r="G87" s="177"/>
      <c r="H87" s="250"/>
      <c r="I87" s="177"/>
      <c r="J87" s="74"/>
      <c r="K87" s="250"/>
      <c r="L87" s="250"/>
      <c r="M87" s="250"/>
      <c r="N87" s="250"/>
      <c r="O87" s="87"/>
      <c r="P87" s="74"/>
      <c r="Q87" s="250"/>
      <c r="R87" s="250"/>
      <c r="S87" s="250"/>
      <c r="T87" s="250"/>
      <c r="U87" s="87"/>
      <c r="V87" s="88"/>
      <c r="W87" s="250"/>
      <c r="X87" s="250"/>
      <c r="Y87" s="250"/>
      <c r="Z87" s="250"/>
      <c r="AA87" s="87"/>
      <c r="AB87" s="177"/>
      <c r="AC87" s="177"/>
      <c r="AD87" s="177"/>
      <c r="AE87" s="177"/>
      <c r="AF87" s="177"/>
      <c r="AG87" s="177"/>
      <c r="AH87" s="177"/>
      <c r="AI87" s="177"/>
      <c r="AJ87" s="177"/>
      <c r="AK87" s="177"/>
      <c r="AL87" s="177"/>
      <c r="AM87" s="177"/>
      <c r="AN87" s="177"/>
      <c r="AO87" s="177"/>
      <c r="AP87" s="177"/>
      <c r="AQ87" s="177"/>
      <c r="AR87" s="177"/>
      <c r="AS87" s="177"/>
      <c r="AT87" s="177"/>
      <c r="AU87" s="177"/>
      <c r="AV87" s="177"/>
      <c r="AW87" s="177"/>
      <c r="AX87" s="177"/>
      <c r="AY87" s="177"/>
      <c r="AZ87" s="177"/>
      <c r="BA87" s="177"/>
      <c r="BB87" s="177"/>
      <c r="BC87" s="177"/>
      <c r="BD87" s="177"/>
      <c r="BE87" s="177"/>
      <c r="BF87" s="177"/>
      <c r="BG87" s="177"/>
      <c r="BH87" s="177"/>
      <c r="BI87" s="177"/>
      <c r="BJ87" s="177"/>
      <c r="BK87" s="177"/>
      <c r="BL87" s="177"/>
      <c r="BM87" s="177"/>
      <c r="BN87" s="177"/>
      <c r="BO87" s="177"/>
      <c r="BP87" s="177"/>
      <c r="BQ87" s="177"/>
      <c r="BR87" s="177"/>
      <c r="BS87" s="177"/>
      <c r="BT87" s="177"/>
      <c r="BU87" s="177"/>
      <c r="BV87" s="177"/>
      <c r="BW87" s="177"/>
      <c r="BX87" s="177"/>
      <c r="BY87" s="177"/>
      <c r="BZ87" s="177"/>
      <c r="CA87" s="177"/>
      <c r="CB87" s="177"/>
      <c r="CC87" s="74"/>
      <c r="CD87" s="177"/>
      <c r="CE87" s="177"/>
      <c r="CF87" s="177"/>
      <c r="CG87" s="177"/>
      <c r="CH87" s="177"/>
      <c r="CI87" s="177"/>
      <c r="CJ87" s="177"/>
      <c r="CK87" s="177"/>
      <c r="CL87" s="177"/>
      <c r="CM87" s="177"/>
      <c r="CN87" s="177"/>
      <c r="CO87" s="177"/>
      <c r="CP87" s="177"/>
      <c r="CQ87" s="177"/>
      <c r="CR87" s="177"/>
      <c r="CS87" s="177"/>
      <c r="CT87" s="177"/>
      <c r="CU87" s="177"/>
      <c r="CV87" s="177"/>
      <c r="CW87" s="177"/>
      <c r="CX87" s="177"/>
      <c r="CY87" s="177"/>
      <c r="CZ87" s="177"/>
      <c r="DA87" s="177"/>
      <c r="DB87" s="177"/>
      <c r="DC87" s="248">
        <f>Sales!DC53</f>
        <v>1908.5680000000002</v>
      </c>
      <c r="DD87" s="248">
        <f>Sales!DD53</f>
        <v>1504.2960000000003</v>
      </c>
      <c r="DE87" s="248">
        <f>Sales!DE53</f>
        <v>1767.7730000000004</v>
      </c>
      <c r="DF87" s="248">
        <f>Sales!DF53</f>
        <v>1696.9679999999998</v>
      </c>
      <c r="DG87" s="248">
        <f t="shared" si="39"/>
        <v>6877.6050000000005</v>
      </c>
      <c r="DH87" s="177"/>
      <c r="DI87" s="248">
        <f>Sales!DI53</f>
        <v>1532.4239999999998</v>
      </c>
      <c r="DJ87" s="248">
        <f>Sales!DJ53</f>
        <v>1987.44</v>
      </c>
      <c r="DK87" s="248">
        <f>Sales!DK53</f>
        <v>1914.615</v>
      </c>
      <c r="DL87" s="248">
        <f>Sales!DL53</f>
        <v>2278.9919999999997</v>
      </c>
      <c r="DM87" s="248">
        <f t="shared" si="40"/>
        <v>7713.4709999999995</v>
      </c>
      <c r="DN87" s="177"/>
      <c r="DO87" s="248">
        <f>Sales!DO53</f>
        <v>2296.9740000000002</v>
      </c>
      <c r="DP87" s="248">
        <f>Sales!DP53</f>
        <v>3419.721</v>
      </c>
      <c r="DQ87" s="248">
        <f>Sales!DQ53</f>
        <v>3238.002</v>
      </c>
      <c r="DR87" s="248">
        <f>Sales!DR53</f>
        <v>3265.1339000000007</v>
      </c>
      <c r="DS87" s="248">
        <f t="shared" si="41"/>
        <v>12219.830900000001</v>
      </c>
      <c r="DT87" s="248"/>
      <c r="DU87" s="248">
        <f>Sales!DU53</f>
        <v>2022.6090000000002</v>
      </c>
      <c r="DV87" s="248">
        <f>Sales!DV53</f>
        <v>3237.4119999999994</v>
      </c>
      <c r="DW87" s="248">
        <f>Sales!DW53</f>
        <v>3733.38</v>
      </c>
      <c r="DX87" s="248">
        <f>Sales!DX53</f>
        <v>3842.5859999999993</v>
      </c>
      <c r="DY87" s="248">
        <f t="shared" ref="DY87" si="46">SUM(DU87:DX87)</f>
        <v>12835.986999999999</v>
      </c>
      <c r="DZ87" s="177"/>
      <c r="EA87" s="248">
        <f>Sales!EA53</f>
        <v>2353.5639999999999</v>
      </c>
      <c r="EB87" s="248">
        <f>Sales!EB53</f>
        <v>2798.05</v>
      </c>
      <c r="EC87" s="248">
        <f>Sales!EC53</f>
        <v>3221.2040000000002</v>
      </c>
      <c r="ED87" s="248">
        <f>Sales!ED53</f>
        <v>3640.3200000000006</v>
      </c>
      <c r="EE87" s="248">
        <f t="shared" ref="EE87" si="47">SUM(EA87:ED87)</f>
        <v>12013.137999999999</v>
      </c>
      <c r="EF87" s="177"/>
      <c r="EG87" s="248">
        <f>Sales!EG53</f>
        <v>2009.28</v>
      </c>
      <c r="EH87" s="248">
        <f>Sales!EH53</f>
        <v>2500</v>
      </c>
      <c r="EI87" s="248">
        <f>Sales!EI53</f>
        <v>3125</v>
      </c>
      <c r="EJ87" s="248">
        <f>Sales!EJ53</f>
        <v>3237.9949999999972</v>
      </c>
      <c r="EK87" s="248">
        <f t="shared" ref="EK87" si="48">SUM(EG87:EJ87)</f>
        <v>10872.274999999998</v>
      </c>
      <c r="FO87" s="191">
        <f t="shared" ref="FO87" si="49">DG87</f>
        <v>6877.6050000000005</v>
      </c>
      <c r="FP87" s="191">
        <f t="shared" ref="FP87" si="50">DM87</f>
        <v>7713.4709999999995</v>
      </c>
      <c r="FQ87" s="191">
        <f t="shared" ref="FQ87" si="51">DS87</f>
        <v>12219.830900000001</v>
      </c>
      <c r="FR87" s="191">
        <f t="shared" ref="FR87" si="52">DY87</f>
        <v>12835.986999999999</v>
      </c>
      <c r="FS87" s="191">
        <f t="shared" ref="FS87" si="53">EE87</f>
        <v>12013.137999999999</v>
      </c>
      <c r="FT87" s="191">
        <f t="shared" ref="FT87" si="54">EK87</f>
        <v>10872.274999999998</v>
      </c>
      <c r="FU87" s="191">
        <f>Sales!EL53</f>
        <v>14678.14755</v>
      </c>
      <c r="FV87" s="191">
        <f>Sales!FP53</f>
        <v>12243.833022499999</v>
      </c>
      <c r="FW87" s="191">
        <f>Sales!EN53</f>
        <v>0</v>
      </c>
      <c r="FX87" s="191">
        <f>Sales!EO53</f>
        <v>0</v>
      </c>
    </row>
    <row r="88" spans="2:184" x14ac:dyDescent="0.25">
      <c r="B88" s="200" t="s">
        <v>56</v>
      </c>
      <c r="D88" s="74"/>
      <c r="E88" s="114"/>
      <c r="F88" s="114"/>
      <c r="H88" s="196"/>
      <c r="J88" s="74"/>
      <c r="K88" s="196"/>
      <c r="L88" s="196"/>
      <c r="M88" s="196"/>
      <c r="N88" s="196"/>
      <c r="O88" s="87"/>
      <c r="P88" s="74"/>
      <c r="Q88" s="196"/>
      <c r="R88" s="196"/>
      <c r="S88" s="196"/>
      <c r="T88" s="196"/>
      <c r="U88" s="87"/>
      <c r="V88" s="88"/>
      <c r="W88" s="196"/>
      <c r="X88" s="196"/>
      <c r="Y88" s="196"/>
      <c r="Z88" s="196"/>
      <c r="AA88" s="87"/>
      <c r="CC88" s="74"/>
      <c r="DC88" s="191">
        <f>Sales!DC54</f>
        <v>93.864000000000004</v>
      </c>
      <c r="DD88" s="191">
        <f>Sales!DD54</f>
        <v>117.98399999999999</v>
      </c>
      <c r="DE88" s="191">
        <f>Sales!DE54</f>
        <v>123.33300000000001</v>
      </c>
      <c r="DF88" s="191">
        <f>Sales!DF54</f>
        <v>173.16</v>
      </c>
      <c r="DG88" s="191">
        <f t="shared" si="39"/>
        <v>508.34100000000001</v>
      </c>
      <c r="DI88" s="191">
        <f>Sales!DI54</f>
        <v>160.10400000000001</v>
      </c>
      <c r="DJ88" s="191">
        <f>Sales!DJ54</f>
        <v>165.62</v>
      </c>
      <c r="DK88" s="191">
        <f>Sales!DK54</f>
        <v>170.18799999999999</v>
      </c>
      <c r="DL88" s="191">
        <f>Sales!DL54</f>
        <v>142.43699999999998</v>
      </c>
      <c r="DM88" s="191">
        <f t="shared" si="40"/>
        <v>638.34900000000005</v>
      </c>
      <c r="DO88" s="191">
        <f>Sales!DO54</f>
        <v>160.25399999999999</v>
      </c>
      <c r="DP88" s="191">
        <f>Sales!DP54</f>
        <v>112.12200000000001</v>
      </c>
      <c r="DQ88" s="191">
        <f>Sales!DQ54</f>
        <v>212.328</v>
      </c>
      <c r="DR88" s="191">
        <f>Sales!DR54</f>
        <v>19.882100000000037</v>
      </c>
      <c r="DS88" s="191">
        <f t="shared" si="41"/>
        <v>504.58609999999999</v>
      </c>
      <c r="DT88" s="191"/>
      <c r="DU88" s="191">
        <f>Sales!DU54</f>
        <v>118.977</v>
      </c>
      <c r="DV88" s="191">
        <f>Sales!DV54</f>
        <v>47.608999999999995</v>
      </c>
      <c r="DW88" s="191">
        <f>Sales!DW54</f>
        <v>118.52</v>
      </c>
      <c r="DX88" s="191">
        <f>Sales!DX54</f>
        <v>284.63599999999997</v>
      </c>
      <c r="DY88" s="191">
        <f t="shared" si="42"/>
        <v>569.74199999999996</v>
      </c>
      <c r="EA88" s="191">
        <f>Sales!EA54</f>
        <v>172.21199999999999</v>
      </c>
      <c r="EB88" s="191">
        <f>Sales!EB54</f>
        <v>111.92200000000001</v>
      </c>
      <c r="EC88" s="191">
        <f>Sales!EC54</f>
        <v>222.15200000000002</v>
      </c>
      <c r="ED88" s="191">
        <f>Sales!ED54</f>
        <v>303.36</v>
      </c>
      <c r="EE88" s="191">
        <f t="shared" si="43"/>
        <v>809.64600000000007</v>
      </c>
      <c r="EG88" s="191">
        <f>Sales!EG54</f>
        <v>125.58</v>
      </c>
      <c r="EH88" s="191">
        <f>Sales!EH54</f>
        <v>150</v>
      </c>
      <c r="EI88" s="191">
        <f>Sales!EI54</f>
        <v>175</v>
      </c>
      <c r="EJ88" s="191">
        <f>Sales!EJ54</f>
        <v>200</v>
      </c>
      <c r="EK88" s="191">
        <f t="shared" si="44"/>
        <v>650.57999999999993</v>
      </c>
      <c r="FO88" s="191">
        <f t="shared" si="34"/>
        <v>508.34100000000001</v>
      </c>
      <c r="FP88" s="191">
        <f t="shared" si="35"/>
        <v>638.34900000000005</v>
      </c>
      <c r="FQ88" s="191">
        <f t="shared" si="36"/>
        <v>504.58609999999999</v>
      </c>
      <c r="FR88" s="191">
        <f t="shared" si="37"/>
        <v>569.74199999999996</v>
      </c>
      <c r="FS88" s="191">
        <f t="shared" si="45"/>
        <v>809.64600000000007</v>
      </c>
      <c r="FT88" s="191">
        <f t="shared" si="38"/>
        <v>650.57999999999993</v>
      </c>
      <c r="FU88" s="191">
        <f>Sales!EL54</f>
        <v>850</v>
      </c>
      <c r="FV88" s="191">
        <f>Sales!FP54</f>
        <v>880</v>
      </c>
      <c r="FW88" s="191">
        <f>Sales!FQ54</f>
        <v>100</v>
      </c>
      <c r="FX88" s="191">
        <f>Sales!FR54</f>
        <v>1100</v>
      </c>
    </row>
    <row r="89" spans="2:184" x14ac:dyDescent="0.25">
      <c r="B89" s="318" t="s">
        <v>259</v>
      </c>
      <c r="D89" s="74"/>
      <c r="E89" s="114"/>
      <c r="F89" s="114"/>
      <c r="H89" s="196"/>
      <c r="J89" s="74"/>
      <c r="K89" s="196"/>
      <c r="L89" s="196"/>
      <c r="M89" s="196"/>
      <c r="N89" s="196"/>
      <c r="O89" s="87"/>
      <c r="P89" s="74"/>
      <c r="Q89" s="196"/>
      <c r="R89" s="196"/>
      <c r="S89" s="196"/>
      <c r="T89" s="196"/>
      <c r="U89" s="87"/>
      <c r="V89" s="88"/>
      <c r="W89" s="196"/>
      <c r="X89" s="196"/>
      <c r="Y89" s="196"/>
      <c r="Z89" s="196"/>
      <c r="AA89" s="87"/>
      <c r="CC89" s="74"/>
      <c r="DC89" s="191">
        <f>Sales!DC9</f>
        <v>1235.0999999999999</v>
      </c>
      <c r="DD89" s="191">
        <f>Sales!DD9</f>
        <v>1070.5999999999999</v>
      </c>
      <c r="DE89" s="191">
        <f>Sales!DE9</f>
        <v>1130.2</v>
      </c>
      <c r="DF89" s="191">
        <f>Sales!DF9</f>
        <v>1522.4</v>
      </c>
      <c r="DG89" s="191">
        <f t="shared" si="39"/>
        <v>4958.2999999999993</v>
      </c>
      <c r="DI89" s="191">
        <f>Sales!DI9</f>
        <v>1247.2</v>
      </c>
      <c r="DJ89" s="191">
        <f>Sales!DJ9</f>
        <v>1290</v>
      </c>
      <c r="DK89" s="191">
        <f>Sales!DK9</f>
        <v>1523.6</v>
      </c>
      <c r="DL89" s="191">
        <f>Sales!DL9</f>
        <v>1682.3</v>
      </c>
      <c r="DM89" s="191">
        <f t="shared" si="40"/>
        <v>5743.0999999999995</v>
      </c>
      <c r="DO89" s="191">
        <f>Sales!DO9</f>
        <v>1404.4</v>
      </c>
      <c r="DP89" s="191">
        <f>Sales!DP9</f>
        <v>1296.2</v>
      </c>
      <c r="DQ89" s="191">
        <f>Sales!DQ9</f>
        <v>1364.8</v>
      </c>
      <c r="DR89" s="191">
        <f>Sales!DR9</f>
        <v>1554.5</v>
      </c>
      <c r="DS89" s="191">
        <f t="shared" si="41"/>
        <v>5619.9000000000005</v>
      </c>
      <c r="DT89" s="191"/>
      <c r="DU89" s="191">
        <f>Sales!DU9</f>
        <v>1324.1</v>
      </c>
      <c r="DV89" s="191">
        <f>Sales!DV9</f>
        <v>1481.9</v>
      </c>
      <c r="DW89" s="191">
        <f>Sales!DW9</f>
        <v>1541.3</v>
      </c>
      <c r="DX89" s="191">
        <f>Sales!DX9</f>
        <v>2146.9</v>
      </c>
      <c r="DY89" s="191">
        <f t="shared" si="42"/>
        <v>6494.2000000000007</v>
      </c>
      <c r="EA89" s="191">
        <f>Sales!EA9</f>
        <v>2001.1</v>
      </c>
      <c r="EB89" s="191">
        <f>Sales!EB9</f>
        <v>2095.6</v>
      </c>
      <c r="EC89" s="191">
        <f>Sales!EC9</f>
        <v>1962.2</v>
      </c>
      <c r="ED89" s="191">
        <f>Sales!ED9</f>
        <v>2134</v>
      </c>
      <c r="EE89" s="191">
        <f t="shared" si="43"/>
        <v>8192.9</v>
      </c>
      <c r="EG89" s="191">
        <f>Sales!EG9</f>
        <v>2487.5</v>
      </c>
      <c r="EH89" s="191">
        <f>Sales!EH9</f>
        <v>2469.4</v>
      </c>
      <c r="EI89" s="191">
        <f>Sales!EI9</f>
        <v>2212.5</v>
      </c>
      <c r="EJ89" s="191">
        <f>Sales!EJ9</f>
        <v>2127.1999999999998</v>
      </c>
      <c r="EK89" s="191">
        <f t="shared" si="44"/>
        <v>9296.5999999999985</v>
      </c>
      <c r="FO89" s="191">
        <f t="shared" si="34"/>
        <v>4958.2999999999993</v>
      </c>
      <c r="FP89" s="191">
        <f t="shared" si="35"/>
        <v>5743.0999999999995</v>
      </c>
      <c r="FQ89" s="191">
        <f t="shared" si="36"/>
        <v>5619.9000000000005</v>
      </c>
      <c r="FR89" s="191">
        <f t="shared" si="37"/>
        <v>6494.2000000000007</v>
      </c>
      <c r="FS89" s="191">
        <f t="shared" si="45"/>
        <v>8192.9</v>
      </c>
      <c r="FT89" s="191">
        <f t="shared" si="38"/>
        <v>9296.5999999999985</v>
      </c>
      <c r="FU89" s="191">
        <f>Sales!EL9</f>
        <v>10553.8</v>
      </c>
      <c r="FV89" s="191">
        <f>Sales!FP9</f>
        <v>10957.5881314</v>
      </c>
      <c r="FW89" s="191">
        <f ca="1">Sales!FQ9</f>
        <v>1107.5</v>
      </c>
      <c r="FX89" s="191">
        <f>Sales!FR9</f>
        <v>0</v>
      </c>
    </row>
    <row r="90" spans="2:184" x14ac:dyDescent="0.25">
      <c r="B90" s="177" t="s">
        <v>249</v>
      </c>
      <c r="D90" s="74"/>
      <c r="E90" s="114"/>
      <c r="F90" s="114"/>
      <c r="H90" s="196"/>
      <c r="J90" s="74"/>
      <c r="K90" s="196"/>
      <c r="L90" s="196"/>
      <c r="M90" s="196"/>
      <c r="N90" s="196"/>
      <c r="O90" s="87"/>
      <c r="P90" s="74"/>
      <c r="Q90" s="196"/>
      <c r="R90" s="196"/>
      <c r="S90" s="196"/>
      <c r="T90" s="196"/>
      <c r="U90" s="87"/>
      <c r="V90" s="88"/>
      <c r="W90" s="196"/>
      <c r="X90" s="196"/>
      <c r="Y90" s="196"/>
      <c r="Z90" s="196"/>
      <c r="AA90" s="87"/>
      <c r="CC90" s="74"/>
      <c r="DC90" s="248">
        <f>SUM(DC81:DC82,DC87:DC89)</f>
        <v>4363.8999999999996</v>
      </c>
      <c r="DD90" s="248">
        <f t="shared" ref="DD90" si="55">SUM(DD81:DD82,DD87:DD89)</f>
        <v>4020.2</v>
      </c>
      <c r="DE90" s="248">
        <f t="shared" ref="DE90" si="56">SUM(DE81:DE82,DE87:DE89)</f>
        <v>5241.3</v>
      </c>
      <c r="DF90" s="248">
        <f t="shared" ref="DF90" si="57">SUM(DF81:DF82,DF87:DF89)</f>
        <v>4985.6000000000004</v>
      </c>
      <c r="DG90" s="248">
        <f t="shared" ref="DG90" si="58">SUM(DG81:DG82,DG87:DG89)</f>
        <v>18611</v>
      </c>
      <c r="DI90" s="248">
        <f>SUM(DI81:DI82,DI87:DI89)</f>
        <v>3534.3999999999996</v>
      </c>
      <c r="DJ90" s="248">
        <f t="shared" ref="DJ90" si="59">SUM(DJ81:DJ82,DJ87:DJ89)</f>
        <v>5430.5</v>
      </c>
      <c r="DK90" s="248">
        <f t="shared" ref="DK90" si="60">SUM(DK81:DK82,DK87:DK89)</f>
        <v>5778.2999999999993</v>
      </c>
      <c r="DL90" s="248">
        <f t="shared" ref="DL90" si="61">SUM(DL81:DL82,DL87:DL89)</f>
        <v>6430.2</v>
      </c>
      <c r="DM90" s="248">
        <f t="shared" ref="DM90" si="62">SUM(DM81:DM82,DM87:DM89)</f>
        <v>21173.399999999998</v>
      </c>
      <c r="DO90" s="248">
        <f>SUM(DO81:DO82,DO87:DO89)</f>
        <v>6746.3080000000009</v>
      </c>
      <c r="DP90" s="248">
        <f t="shared" ref="DP90" si="63">SUM(DP81:DP82,DP87:DP89)</f>
        <v>6902.2629999999999</v>
      </c>
      <c r="DQ90" s="248">
        <f t="shared" ref="DQ90" si="64">SUM(DQ81:DQ82,DQ87:DQ89)</f>
        <v>6673</v>
      </c>
      <c r="DR90" s="248">
        <f t="shared" ref="DR90" si="65">SUM(DR81:DR82,DR87:DR89)</f>
        <v>7237.0000000000018</v>
      </c>
      <c r="DS90" s="248">
        <f t="shared" ref="DS90" si="66">SUM(DS81:DS82,DS87:DS89)</f>
        <v>27558.571000000004</v>
      </c>
      <c r="DT90" s="248"/>
      <c r="DU90" s="248">
        <f>SUM(DU81:DU82,DU87:DU89)</f>
        <v>5290</v>
      </c>
      <c r="DV90" s="248">
        <f t="shared" ref="DV90:EB90" si="67">SUM(DV81:DV82,DV87:DV89)</f>
        <v>6242.7999999999993</v>
      </c>
      <c r="DW90" s="248">
        <f t="shared" si="67"/>
        <v>7467.3</v>
      </c>
      <c r="DX90" s="248">
        <f t="shared" si="67"/>
        <v>9262.7999999999993</v>
      </c>
      <c r="DY90" s="248">
        <f t="shared" si="67"/>
        <v>28262.899999999998</v>
      </c>
      <c r="EA90" s="248">
        <f t="shared" si="67"/>
        <v>7741.5</v>
      </c>
      <c r="EB90" s="248">
        <f t="shared" si="67"/>
        <v>7691.6999999999989</v>
      </c>
      <c r="EC90" s="248">
        <f>SUM(EC81:EC82,EC87:EC89)</f>
        <v>7516.076</v>
      </c>
      <c r="ED90" s="248">
        <f t="shared" ref="ED90" si="68">SUM(ED81:ED82,ED87:ED89)</f>
        <v>9718</v>
      </c>
      <c r="EE90" s="248">
        <f t="shared" ref="EE90" si="69">SUM(EE81:EE82,EE87:EE89)</f>
        <v>32667.275999999998</v>
      </c>
      <c r="EG90" s="248">
        <f t="shared" ref="EG90" si="70">SUM(EG81:EG82,EG87:EG89)</f>
        <v>8766.5</v>
      </c>
      <c r="EH90" s="248">
        <f t="shared" ref="EH90" si="71">SUM(EH81:EH82,EH87:EH89)</f>
        <v>8339.4</v>
      </c>
      <c r="EI90" s="248">
        <f t="shared" ref="EI90" si="72">SUM(EI81:EI82,EI87:EI89)</f>
        <v>10142.5</v>
      </c>
      <c r="EJ90" s="248">
        <f t="shared" ref="EJ90" si="73">SUM(EJ81:EJ82,EJ87:EJ89)</f>
        <v>10425.194999999996</v>
      </c>
      <c r="EK90" s="248">
        <f t="shared" ref="EK90" si="74">SUM(EK81:EK82,EK87:EK89)</f>
        <v>37673.594999999994</v>
      </c>
      <c r="FO90" s="248">
        <f t="shared" si="34"/>
        <v>18611</v>
      </c>
      <c r="FP90" s="248">
        <f t="shared" si="35"/>
        <v>21173.399999999998</v>
      </c>
      <c r="FQ90" s="248">
        <f t="shared" si="36"/>
        <v>27558.571000000004</v>
      </c>
      <c r="FR90" s="248">
        <f t="shared" si="37"/>
        <v>28262.899999999998</v>
      </c>
      <c r="FS90" s="248">
        <f t="shared" si="45"/>
        <v>32667.275999999998</v>
      </c>
      <c r="FT90" s="248">
        <f t="shared" si="38"/>
        <v>37673.594999999994</v>
      </c>
      <c r="FU90" s="248">
        <f>SUM(FU80:FU89)</f>
        <v>48011.947549999997</v>
      </c>
      <c r="FV90" s="248">
        <f>SUM(FV80:FV89)</f>
        <v>41296.421153899995</v>
      </c>
      <c r="FW90" s="248">
        <f t="shared" ref="FW90:FX90" ca="1" si="75">SUM(FW80:FW89)</f>
        <v>23175</v>
      </c>
      <c r="FX90" s="248">
        <f t="shared" ca="1" si="75"/>
        <v>27040</v>
      </c>
    </row>
    <row r="91" spans="2:184" x14ac:dyDescent="0.25">
      <c r="D91" s="74"/>
      <c r="E91" s="114"/>
      <c r="F91" s="114"/>
      <c r="H91" s="196"/>
      <c r="J91" s="74"/>
      <c r="K91" s="196"/>
      <c r="L91" s="196"/>
      <c r="M91" s="196"/>
      <c r="N91" s="196"/>
      <c r="O91" s="87"/>
      <c r="P91" s="74"/>
      <c r="Q91" s="196"/>
      <c r="R91" s="196"/>
      <c r="S91" s="196"/>
      <c r="T91" s="196"/>
      <c r="U91" s="87"/>
      <c r="V91" s="88"/>
      <c r="W91" s="196"/>
      <c r="X91" s="196"/>
      <c r="Y91" s="196"/>
      <c r="Z91" s="196"/>
      <c r="AA91" s="87"/>
      <c r="CC91" s="74"/>
      <c r="DC91" s="79">
        <f>DC90-DC9</f>
        <v>0</v>
      </c>
      <c r="DD91" s="79">
        <f>DD90-DD9</f>
        <v>0</v>
      </c>
      <c r="DE91" s="79">
        <f>DE90-DE9</f>
        <v>0</v>
      </c>
      <c r="DF91" s="79">
        <f>DF90-DF9</f>
        <v>0</v>
      </c>
      <c r="DG91" s="79">
        <f>DG90-DG9</f>
        <v>0</v>
      </c>
      <c r="DI91" s="79">
        <f>DI90-DI9</f>
        <v>0</v>
      </c>
      <c r="DJ91" s="79">
        <f>DJ90-DJ9</f>
        <v>0</v>
      </c>
      <c r="DK91" s="79">
        <f>DK90-DK9</f>
        <v>0</v>
      </c>
      <c r="DL91" s="79">
        <f>DL90-DL9</f>
        <v>0</v>
      </c>
      <c r="DM91" s="79">
        <f>DM90-DM9</f>
        <v>0</v>
      </c>
      <c r="DO91" s="79">
        <f>DO90-DO9</f>
        <v>0.10800000000017462</v>
      </c>
      <c r="DP91" s="79">
        <f>DP90-DP9</f>
        <v>-3.7000000000261934E-2</v>
      </c>
      <c r="DQ91" s="79">
        <f>DQ90-DQ9</f>
        <v>0</v>
      </c>
      <c r="DR91" s="79">
        <f>DR90-DR9</f>
        <v>0</v>
      </c>
      <c r="DS91" s="79">
        <f>DS90-DS9</f>
        <v>7.1000000003550667E-2</v>
      </c>
      <c r="DT91" s="79"/>
      <c r="DU91" s="79">
        <f>DU90-DU9</f>
        <v>0</v>
      </c>
      <c r="DV91" s="79">
        <f>DV90-DV9</f>
        <v>0</v>
      </c>
      <c r="DW91" s="79">
        <f>DW90-DW9</f>
        <v>0</v>
      </c>
      <c r="DX91" s="79">
        <f>DX90-DX9</f>
        <v>0</v>
      </c>
      <c r="DY91" s="79">
        <f>DY90-DY9</f>
        <v>0</v>
      </c>
      <c r="EA91" s="79">
        <f>EA90-EA9</f>
        <v>0</v>
      </c>
      <c r="EB91" s="79">
        <f>EB90-EB9</f>
        <v>0</v>
      </c>
      <c r="EC91" s="79">
        <f>EC90-EC9</f>
        <v>7.6000000000021828E-2</v>
      </c>
      <c r="ED91" s="79">
        <f>ED90-ED9</f>
        <v>0</v>
      </c>
      <c r="EE91" s="79">
        <f>EE90-EE9</f>
        <v>7.5999999997293344E-2</v>
      </c>
      <c r="EG91" s="79">
        <f>EG90-EG9</f>
        <v>0</v>
      </c>
      <c r="EH91" s="79">
        <f>EH90-EH9</f>
        <v>0</v>
      </c>
      <c r="EI91" s="79">
        <f>EI90-EI9</f>
        <v>0</v>
      </c>
      <c r="EJ91" s="79">
        <f>EJ90-EJ9</f>
        <v>0</v>
      </c>
      <c r="EK91" s="79">
        <f>EK90-EK9</f>
        <v>0</v>
      </c>
      <c r="FO91" s="79">
        <f t="shared" ref="FO91:FX91" si="76">FO90-FO9</f>
        <v>0</v>
      </c>
      <c r="FP91" s="79">
        <f t="shared" si="76"/>
        <v>0</v>
      </c>
      <c r="FQ91" s="79">
        <f>FQ90-FQ9</f>
        <v>7.1000000003550667E-2</v>
      </c>
      <c r="FR91" s="79">
        <f>FR90-FR9</f>
        <v>0</v>
      </c>
      <c r="FS91" s="79">
        <f t="shared" si="76"/>
        <v>7.5999999997293344E-2</v>
      </c>
      <c r="FT91" s="79">
        <f>FT90-FT9</f>
        <v>0</v>
      </c>
      <c r="FU91" s="79">
        <f t="shared" si="76"/>
        <v>0</v>
      </c>
      <c r="FV91" s="79">
        <f>FV90-FV9</f>
        <v>0</v>
      </c>
      <c r="FW91" s="79">
        <f t="shared" ca="1" si="76"/>
        <v>1037.5</v>
      </c>
      <c r="FX91" s="79">
        <f t="shared" ca="1" si="76"/>
        <v>1100</v>
      </c>
    </row>
    <row r="92" spans="2:184" x14ac:dyDescent="0.25">
      <c r="D92" s="74"/>
      <c r="E92" s="114"/>
      <c r="F92" s="114"/>
      <c r="H92" s="196"/>
      <c r="J92" s="74"/>
      <c r="K92" s="196"/>
      <c r="L92" s="196"/>
      <c r="M92" s="196"/>
      <c r="N92" s="196"/>
      <c r="O92" s="87"/>
      <c r="P92" s="74"/>
      <c r="Q92" s="196"/>
      <c r="R92" s="196"/>
      <c r="S92" s="196"/>
      <c r="T92" s="196"/>
      <c r="U92" s="87"/>
      <c r="V92" s="88"/>
      <c r="W92" s="196"/>
      <c r="X92" s="196"/>
      <c r="Y92" s="196"/>
      <c r="Z92" s="196"/>
      <c r="AA92" s="87"/>
      <c r="CC92" s="74"/>
    </row>
    <row r="93" spans="2:184" x14ac:dyDescent="0.25">
      <c r="B93" s="289" t="s">
        <v>546</v>
      </c>
      <c r="D93" s="74"/>
      <c r="E93" s="114"/>
      <c r="F93" s="114"/>
      <c r="H93" s="196"/>
      <c r="J93" s="74"/>
      <c r="K93" s="196"/>
      <c r="L93" s="196"/>
      <c r="M93" s="196"/>
      <c r="N93" s="196"/>
      <c r="O93" s="87"/>
      <c r="P93" s="74"/>
      <c r="Q93" s="196"/>
      <c r="R93" s="196"/>
      <c r="S93" s="196"/>
      <c r="T93" s="196"/>
      <c r="U93" s="87"/>
      <c r="V93" s="88"/>
      <c r="W93" s="196"/>
      <c r="X93" s="196"/>
      <c r="Y93" s="196"/>
      <c r="Z93" s="196"/>
      <c r="AA93" s="87"/>
      <c r="CC93" s="74"/>
    </row>
    <row r="94" spans="2:184" x14ac:dyDescent="0.25">
      <c r="B94" s="353" t="s">
        <v>635</v>
      </c>
      <c r="D94" s="74"/>
      <c r="E94" s="114"/>
      <c r="F94" s="114"/>
      <c r="H94" s="196"/>
      <c r="J94" s="74"/>
      <c r="K94" s="196"/>
      <c r="L94" s="196"/>
      <c r="M94" s="196"/>
      <c r="N94" s="196"/>
      <c r="O94" s="87"/>
      <c r="P94" s="74"/>
      <c r="Q94" s="196"/>
      <c r="R94" s="196"/>
      <c r="S94" s="196"/>
      <c r="T94" s="196"/>
      <c r="U94" s="87"/>
      <c r="V94" s="88"/>
      <c r="W94" s="196"/>
      <c r="X94" s="196"/>
      <c r="Y94" s="196"/>
      <c r="Z94" s="196"/>
      <c r="AA94" s="87"/>
      <c r="CC94" s="74"/>
      <c r="FX94" s="145">
        <v>0.15</v>
      </c>
    </row>
    <row r="95" spans="2:184" x14ac:dyDescent="0.25">
      <c r="B95" s="197" t="s">
        <v>250</v>
      </c>
      <c r="D95" s="74"/>
      <c r="E95" s="114"/>
      <c r="F95" s="114"/>
      <c r="H95" s="196"/>
      <c r="J95" s="74"/>
      <c r="K95" s="196"/>
      <c r="L95" s="196"/>
      <c r="M95" s="196"/>
      <c r="N95" s="196"/>
      <c r="O95" s="87"/>
      <c r="P95" s="74"/>
      <c r="Q95" s="196"/>
      <c r="R95" s="196"/>
      <c r="S95" s="196"/>
      <c r="T95" s="196"/>
      <c r="U95" s="87"/>
      <c r="V95" s="88"/>
      <c r="W95" s="196"/>
      <c r="X95" s="196"/>
      <c r="Y95" s="196"/>
      <c r="Z95" s="196"/>
      <c r="AA95" s="87"/>
      <c r="CC95" s="74"/>
      <c r="DO95" s="294"/>
      <c r="DP95" s="294"/>
      <c r="DQ95" s="294"/>
      <c r="DR95" s="294"/>
      <c r="DU95" s="187"/>
      <c r="DV95" s="187"/>
      <c r="DW95" s="121">
        <v>0.04</v>
      </c>
      <c r="DX95" s="121">
        <v>0.04</v>
      </c>
      <c r="DY95" s="184"/>
      <c r="EA95" s="121">
        <v>0</v>
      </c>
      <c r="EB95" s="121">
        <v>0</v>
      </c>
      <c r="EC95" s="121">
        <v>0.1</v>
      </c>
      <c r="ED95" s="121">
        <v>0.1</v>
      </c>
      <c r="EE95" s="184">
        <f>EE107/EE81</f>
        <v>7.9508196721311472E-2</v>
      </c>
      <c r="EG95" s="121">
        <v>0.2</v>
      </c>
      <c r="EH95" s="121">
        <v>0.2</v>
      </c>
      <c r="EI95" s="121">
        <v>0.25</v>
      </c>
      <c r="EJ95" s="121">
        <v>0.25</v>
      </c>
      <c r="EK95" s="184">
        <f>EK107/EK81</f>
        <v>0.23333333333333334</v>
      </c>
      <c r="FO95" s="184"/>
      <c r="FP95" s="184"/>
      <c r="FQ95" s="184"/>
      <c r="FR95" s="121"/>
      <c r="FS95" s="184">
        <f>FS107/FS81</f>
        <v>7.9508196721311472E-2</v>
      </c>
      <c r="FT95" s="184">
        <f>FT107/FT81</f>
        <v>0.23333333333333334</v>
      </c>
      <c r="FU95" s="145">
        <v>0.35</v>
      </c>
      <c r="FV95" s="145">
        <v>0.45</v>
      </c>
      <c r="FW95" s="145">
        <v>0.5</v>
      </c>
      <c r="FX95" s="145">
        <v>0.53</v>
      </c>
      <c r="GB95" s="180" t="s">
        <v>550</v>
      </c>
    </row>
    <row r="96" spans="2:184" x14ac:dyDescent="0.25">
      <c r="B96" s="197" t="s">
        <v>543</v>
      </c>
      <c r="D96" s="74"/>
      <c r="E96" s="114"/>
      <c r="F96" s="114"/>
      <c r="H96" s="196"/>
      <c r="J96" s="74"/>
      <c r="K96" s="196"/>
      <c r="L96" s="196"/>
      <c r="M96" s="196"/>
      <c r="N96" s="196"/>
      <c r="O96" s="87"/>
      <c r="P96" s="74"/>
      <c r="Q96" s="196"/>
      <c r="R96" s="196"/>
      <c r="S96" s="196"/>
      <c r="T96" s="196"/>
      <c r="U96" s="87"/>
      <c r="V96" s="88"/>
      <c r="W96" s="196"/>
      <c r="X96" s="196"/>
      <c r="Y96" s="196"/>
      <c r="Z96" s="196"/>
      <c r="AA96" s="87"/>
      <c r="CC96" s="74"/>
      <c r="DC96" s="184">
        <f>DC108/DC82</f>
        <v>-0.61157969686638836</v>
      </c>
      <c r="DD96" s="184">
        <f>DD108/DD82</f>
        <v>-0.32351601723774215</v>
      </c>
      <c r="DE96" s="184">
        <f>DE108/DE82</f>
        <v>-4.7887976273809994E-2</v>
      </c>
      <c r="DF96" s="184">
        <f>DF108/DF82</f>
        <v>-0.16151259955607747</v>
      </c>
      <c r="DG96" s="184">
        <f>DG108/DG82</f>
        <v>-0.23646776305564249</v>
      </c>
      <c r="DI96" s="184">
        <f>DI108/DI82</f>
        <v>-1.307359485565152</v>
      </c>
      <c r="DJ96" s="184">
        <f>DJ108/DJ82</f>
        <v>-0.24787736988286441</v>
      </c>
      <c r="DK96" s="184">
        <f>DK108/DK82</f>
        <v>-8.6863321162248777E-2</v>
      </c>
      <c r="DL96" s="184">
        <f>DL108/DL82</f>
        <v>-0.17424865386243793</v>
      </c>
      <c r="DM96" s="184">
        <f>DM108/DM82</f>
        <v>-0.26332777375933819</v>
      </c>
      <c r="DO96" s="184">
        <f>DO108/DO82</f>
        <v>0.45606511640805941</v>
      </c>
      <c r="DP96" s="184">
        <f>DP108/DP82</f>
        <v>0.41430224855608377</v>
      </c>
      <c r="DQ96" s="184">
        <f>DQ108/DQ82</f>
        <v>0.42786278910795711</v>
      </c>
      <c r="DR96" s="184">
        <f>DR108/DR82</f>
        <v>0.44372919819277151</v>
      </c>
      <c r="DS96" s="184">
        <f>DS108/DS82</f>
        <v>0.43776772628581762</v>
      </c>
      <c r="DU96" s="362">
        <f>DU108/DU82</f>
        <v>0.46044195790856179</v>
      </c>
      <c r="DV96" s="362">
        <f>DV108/DV82</f>
        <v>0.366980030205728</v>
      </c>
      <c r="DW96" s="184">
        <f>DW108/DW82</f>
        <v>0.30280246854057169</v>
      </c>
      <c r="DX96" s="184">
        <f>DX108/DX82</f>
        <v>0.443522637319894</v>
      </c>
      <c r="DY96" s="184">
        <f>DY108/DY82</f>
        <v>0.39596183936071983</v>
      </c>
      <c r="DZ96" s="145"/>
      <c r="EA96" s="384">
        <f>EA108/EA82</f>
        <v>0.4426077699911406</v>
      </c>
      <c r="EB96" s="184">
        <f>EB108/EB82</f>
        <v>0.44986875073887778</v>
      </c>
      <c r="EC96" s="184">
        <f>EC108/EC82</f>
        <v>0.46043208646573602</v>
      </c>
      <c r="ED96" s="145">
        <v>0.48</v>
      </c>
      <c r="EE96" s="184">
        <f>EE108/EE82</f>
        <v>0.45815677952128508</v>
      </c>
      <c r="EG96" s="145">
        <v>0.48</v>
      </c>
      <c r="EH96" s="145">
        <v>0.5</v>
      </c>
      <c r="EI96" s="145">
        <v>0.5</v>
      </c>
      <c r="EJ96" s="145">
        <v>0.5</v>
      </c>
      <c r="EK96" s="184">
        <f>EK108/EK82</f>
        <v>0.49533944824263282</v>
      </c>
      <c r="FO96" s="184">
        <f t="shared" ref="FO96:FR103" si="77">FO108/FO82</f>
        <v>-0.23646776305564249</v>
      </c>
      <c r="FP96" s="184">
        <f t="shared" si="77"/>
        <v>-0.26332777375933819</v>
      </c>
      <c r="FQ96" s="184">
        <f t="shared" si="77"/>
        <v>0.43776772628581762</v>
      </c>
      <c r="FR96" s="184">
        <f t="shared" si="77"/>
        <v>0.39596183936071983</v>
      </c>
      <c r="FS96" s="184">
        <f>FS108/FS82</f>
        <v>0.45815677952128508</v>
      </c>
      <c r="FT96" s="184">
        <f>FT108/FT82</f>
        <v>0.49533944824263282</v>
      </c>
      <c r="FU96" s="145">
        <v>0.52</v>
      </c>
      <c r="FV96" s="145">
        <v>0.5</v>
      </c>
      <c r="FW96" s="145">
        <v>0.52</v>
      </c>
      <c r="FX96" s="145">
        <v>0.54</v>
      </c>
      <c r="GB96" s="180" t="s">
        <v>549</v>
      </c>
    </row>
    <row r="97" spans="2:184" x14ac:dyDescent="0.25">
      <c r="B97" s="197" t="s">
        <v>544</v>
      </c>
      <c r="D97" s="74"/>
      <c r="E97" s="114"/>
      <c r="F97" s="114"/>
      <c r="H97" s="196"/>
      <c r="J97" s="74"/>
      <c r="K97" s="196"/>
      <c r="L97" s="196"/>
      <c r="M97" s="196"/>
      <c r="N97" s="196"/>
      <c r="O97" s="87"/>
      <c r="P97" s="74"/>
      <c r="Q97" s="196"/>
      <c r="R97" s="196"/>
      <c r="S97" s="196"/>
      <c r="T97" s="196"/>
      <c r="U97" s="87"/>
      <c r="V97" s="88"/>
      <c r="W97" s="196"/>
      <c r="X97" s="196"/>
      <c r="Y97" s="196"/>
      <c r="Z97" s="196"/>
      <c r="AA97" s="87"/>
      <c r="CC97" s="74"/>
      <c r="DC97" s="145">
        <v>0.6</v>
      </c>
      <c r="DD97" s="145">
        <v>0.6</v>
      </c>
      <c r="DE97" s="145">
        <v>0.6</v>
      </c>
      <c r="DF97" s="145">
        <v>0.6</v>
      </c>
      <c r="DG97" s="184">
        <f>DG109/DG83</f>
        <v>0.6</v>
      </c>
      <c r="DI97" s="145">
        <v>0.57999999999999996</v>
      </c>
      <c r="DJ97" s="145">
        <v>0.6</v>
      </c>
      <c r="DK97" s="145">
        <v>0.6</v>
      </c>
      <c r="DL97" s="145">
        <v>0.6</v>
      </c>
      <c r="DM97" s="184">
        <f>DM109/DM83</f>
        <v>0.59589085567992528</v>
      </c>
      <c r="DO97" s="145">
        <v>0.6</v>
      </c>
      <c r="DP97" s="145">
        <v>0.6</v>
      </c>
      <c r="DQ97" s="145">
        <v>0.6</v>
      </c>
      <c r="DR97" s="145">
        <v>0.6</v>
      </c>
      <c r="DS97" s="184">
        <f>DS109/DS83</f>
        <v>0.6</v>
      </c>
      <c r="DU97" s="145">
        <v>0.6</v>
      </c>
      <c r="DV97" s="145">
        <v>0.6</v>
      </c>
      <c r="DW97" s="145">
        <v>0.6</v>
      </c>
      <c r="DX97" s="145">
        <v>0.6</v>
      </c>
      <c r="DY97" s="184">
        <f>DY109/DY83</f>
        <v>0.6</v>
      </c>
      <c r="EA97" s="145">
        <v>0.6</v>
      </c>
      <c r="EB97" s="145">
        <v>0.6</v>
      </c>
      <c r="EC97" s="145"/>
      <c r="ED97" s="145"/>
      <c r="EE97" s="184"/>
      <c r="EG97" s="145"/>
      <c r="EH97" s="145"/>
      <c r="EI97" s="145"/>
      <c r="EJ97" s="145"/>
      <c r="EK97" s="184"/>
      <c r="FO97" s="184">
        <f t="shared" si="77"/>
        <v>0.6</v>
      </c>
      <c r="FP97" s="184">
        <f t="shared" si="77"/>
        <v>0.59589085567992528</v>
      </c>
      <c r="FQ97" s="184">
        <f t="shared" si="77"/>
        <v>0.6</v>
      </c>
      <c r="FR97" s="184">
        <f t="shared" si="77"/>
        <v>0.6</v>
      </c>
      <c r="FS97" s="184">
        <f t="shared" ref="FS97:FS103" si="78">FS109/FS83</f>
        <v>0</v>
      </c>
      <c r="FT97" s="184"/>
      <c r="FU97" s="145"/>
      <c r="FV97" s="145"/>
      <c r="FW97" s="145"/>
      <c r="FX97" s="145"/>
      <c r="GB97" s="180" t="s">
        <v>551</v>
      </c>
    </row>
    <row r="98" spans="2:184" x14ac:dyDescent="0.25">
      <c r="B98" s="197" t="s">
        <v>545</v>
      </c>
      <c r="D98" s="74"/>
      <c r="E98" s="114"/>
      <c r="F98" s="114"/>
      <c r="H98" s="196"/>
      <c r="J98" s="74"/>
      <c r="K98" s="196"/>
      <c r="L98" s="196"/>
      <c r="M98" s="196"/>
      <c r="N98" s="196"/>
      <c r="O98" s="87"/>
      <c r="P98" s="74"/>
      <c r="Q98" s="196"/>
      <c r="R98" s="196"/>
      <c r="S98" s="196"/>
      <c r="T98" s="196"/>
      <c r="U98" s="87"/>
      <c r="V98" s="88"/>
      <c r="W98" s="196"/>
      <c r="X98" s="196"/>
      <c r="Y98" s="196"/>
      <c r="Z98" s="196"/>
      <c r="AA98" s="87"/>
      <c r="CC98" s="74"/>
      <c r="DC98" s="145">
        <v>0.65</v>
      </c>
      <c r="DD98" s="145">
        <v>0.65</v>
      </c>
      <c r="DE98" s="145">
        <v>0.65</v>
      </c>
      <c r="DF98" s="145">
        <v>0.65</v>
      </c>
      <c r="DG98" s="184">
        <f>DG110/DG84</f>
        <v>0.65</v>
      </c>
      <c r="DI98" s="145">
        <v>0.65</v>
      </c>
      <c r="DJ98" s="145">
        <v>0.65</v>
      </c>
      <c r="DK98" s="145">
        <v>0.65</v>
      </c>
      <c r="DL98" s="145">
        <v>0.65</v>
      </c>
      <c r="DM98" s="184">
        <f>DM110/DM84</f>
        <v>0.65000000000000013</v>
      </c>
      <c r="DO98" s="145">
        <v>0.65</v>
      </c>
      <c r="DP98" s="145">
        <v>0.65</v>
      </c>
      <c r="DQ98" s="145">
        <v>0.65</v>
      </c>
      <c r="DR98" s="145">
        <v>0.65</v>
      </c>
      <c r="DS98" s="184">
        <f>DS110/DS84</f>
        <v>0.65</v>
      </c>
      <c r="DU98" s="145">
        <v>0.65</v>
      </c>
      <c r="DV98" s="145">
        <v>0.65</v>
      </c>
      <c r="DW98" s="145">
        <v>0.65</v>
      </c>
      <c r="DX98" s="145">
        <v>0.65</v>
      </c>
      <c r="DY98" s="184">
        <f>DY110/DY84</f>
        <v>0.65000000000000013</v>
      </c>
      <c r="EA98" s="145">
        <v>0.65</v>
      </c>
      <c r="EB98" s="145">
        <v>0.65</v>
      </c>
      <c r="EC98" s="145"/>
      <c r="ED98" s="145"/>
      <c r="EE98" s="184"/>
      <c r="EG98" s="145"/>
      <c r="EH98" s="145"/>
      <c r="EI98" s="145"/>
      <c r="EJ98" s="145"/>
      <c r="EK98" s="184"/>
      <c r="FO98" s="184">
        <f t="shared" si="77"/>
        <v>0.65</v>
      </c>
      <c r="FP98" s="184">
        <f t="shared" si="77"/>
        <v>0.65000000000000013</v>
      </c>
      <c r="FQ98" s="184">
        <f t="shared" si="77"/>
        <v>0.65</v>
      </c>
      <c r="FR98" s="184">
        <f t="shared" si="77"/>
        <v>0.65000000000000013</v>
      </c>
      <c r="FS98" s="184">
        <f t="shared" si="78"/>
        <v>0</v>
      </c>
      <c r="FT98" s="184"/>
      <c r="FU98" s="145"/>
      <c r="FV98" s="145"/>
      <c r="FW98" s="145"/>
      <c r="FX98" s="145"/>
    </row>
    <row r="99" spans="2:184" x14ac:dyDescent="0.25">
      <c r="B99" s="200" t="s">
        <v>53</v>
      </c>
      <c r="D99" s="74"/>
      <c r="E99" s="114"/>
      <c r="F99" s="114"/>
      <c r="H99" s="196"/>
      <c r="J99" s="74"/>
      <c r="K99" s="196"/>
      <c r="L99" s="196"/>
      <c r="M99" s="196"/>
      <c r="N99" s="196"/>
      <c r="O99" s="87"/>
      <c r="P99" s="74"/>
      <c r="Q99" s="196"/>
      <c r="R99" s="196"/>
      <c r="S99" s="196"/>
      <c r="T99" s="196"/>
      <c r="U99" s="87"/>
      <c r="V99" s="88"/>
      <c r="W99" s="196"/>
      <c r="X99" s="196"/>
      <c r="Y99" s="196"/>
      <c r="Z99" s="196"/>
      <c r="AA99" s="87"/>
      <c r="CC99" s="74"/>
      <c r="DC99" s="145">
        <v>0.65</v>
      </c>
      <c r="DD99" s="145">
        <v>0.65</v>
      </c>
      <c r="DE99" s="145">
        <v>0.65</v>
      </c>
      <c r="DF99" s="145">
        <v>0.65</v>
      </c>
      <c r="DG99" s="184">
        <f>DG111/DG85</f>
        <v>0.65</v>
      </c>
      <c r="DI99" s="145">
        <v>0.65</v>
      </c>
      <c r="DJ99" s="145">
        <v>0.65</v>
      </c>
      <c r="DK99" s="145">
        <v>0.65</v>
      </c>
      <c r="DL99" s="145">
        <v>0.65</v>
      </c>
      <c r="DM99" s="184">
        <f>DM111/DM85</f>
        <v>0.65</v>
      </c>
      <c r="DO99" s="145">
        <v>0.65</v>
      </c>
      <c r="DP99" s="145">
        <v>0.65</v>
      </c>
      <c r="DQ99" s="145">
        <v>0.65</v>
      </c>
      <c r="DR99" s="145">
        <v>0.65</v>
      </c>
      <c r="DS99" s="184">
        <f>DS111/DS85</f>
        <v>0.64999999999999991</v>
      </c>
      <c r="DU99" s="145">
        <v>0.65</v>
      </c>
      <c r="DV99" s="145">
        <v>0.65</v>
      </c>
      <c r="DW99" s="145">
        <v>0.65</v>
      </c>
      <c r="DX99" s="145">
        <v>0.65</v>
      </c>
      <c r="DY99" s="184">
        <f>DY111/DY85</f>
        <v>0.64999999999999991</v>
      </c>
      <c r="EA99" s="145">
        <v>0.65</v>
      </c>
      <c r="EB99" s="145">
        <v>0.65</v>
      </c>
      <c r="EC99" s="145"/>
      <c r="ED99" s="145"/>
      <c r="EE99" s="184"/>
      <c r="EG99" s="145"/>
      <c r="EH99" s="145"/>
      <c r="EI99" s="145"/>
      <c r="EJ99" s="145"/>
      <c r="EK99" s="184"/>
      <c r="FO99" s="184">
        <f t="shared" si="77"/>
        <v>0.65</v>
      </c>
      <c r="FP99" s="184">
        <f t="shared" si="77"/>
        <v>0.65</v>
      </c>
      <c r="FQ99" s="184">
        <f t="shared" si="77"/>
        <v>0.64999999999999991</v>
      </c>
      <c r="FR99" s="184">
        <f t="shared" si="77"/>
        <v>0.64999999999999991</v>
      </c>
      <c r="FS99" s="184">
        <f t="shared" si="78"/>
        <v>0</v>
      </c>
      <c r="FT99" s="184"/>
      <c r="FU99" s="145"/>
      <c r="FV99" s="145"/>
      <c r="FW99" s="145"/>
      <c r="FX99" s="145"/>
    </row>
    <row r="100" spans="2:184" x14ac:dyDescent="0.25">
      <c r="B100" s="200" t="s">
        <v>251</v>
      </c>
      <c r="D100" s="74"/>
      <c r="E100" s="114"/>
      <c r="F100" s="114"/>
      <c r="H100" s="196"/>
      <c r="J100" s="74"/>
      <c r="K100" s="196"/>
      <c r="L100" s="196"/>
      <c r="M100" s="196"/>
      <c r="N100" s="196"/>
      <c r="O100" s="87"/>
      <c r="P100" s="74"/>
      <c r="Q100" s="196"/>
      <c r="R100" s="196"/>
      <c r="S100" s="196"/>
      <c r="T100" s="196"/>
      <c r="U100" s="87"/>
      <c r="V100" s="88"/>
      <c r="W100" s="196"/>
      <c r="X100" s="196"/>
      <c r="Y100" s="196"/>
      <c r="Z100" s="196"/>
      <c r="AA100" s="87"/>
      <c r="CC100" s="74"/>
      <c r="DC100" s="145">
        <v>0.6</v>
      </c>
      <c r="DD100" s="145">
        <v>0.6</v>
      </c>
      <c r="DE100" s="145">
        <v>0.6</v>
      </c>
      <c r="DF100" s="145">
        <v>0.6</v>
      </c>
      <c r="DG100" s="184">
        <f>DG112/DG86</f>
        <v>0.6</v>
      </c>
      <c r="DI100" s="145">
        <v>0.57999999999999996</v>
      </c>
      <c r="DJ100" s="145">
        <v>0.6</v>
      </c>
      <c r="DK100" s="145">
        <v>0.6</v>
      </c>
      <c r="DL100" s="145">
        <v>0.6</v>
      </c>
      <c r="DM100" s="184">
        <f>DM112/DM86</f>
        <v>0.59483629180189068</v>
      </c>
      <c r="DO100" s="145">
        <v>0.6</v>
      </c>
      <c r="DP100" s="145">
        <v>0.6</v>
      </c>
      <c r="DQ100" s="145">
        <v>0.6</v>
      </c>
      <c r="DR100" s="145">
        <v>0.6</v>
      </c>
      <c r="DS100" s="184">
        <f>DS112/DS86</f>
        <v>0.6</v>
      </c>
      <c r="DU100" s="145">
        <v>0.6</v>
      </c>
      <c r="DV100" s="145">
        <v>0.6</v>
      </c>
      <c r="DW100" s="145">
        <v>0.6</v>
      </c>
      <c r="DX100" s="145">
        <v>0.6</v>
      </c>
      <c r="DY100" s="184">
        <f>DY112/DY86</f>
        <v>0.6</v>
      </c>
      <c r="EA100" s="145">
        <v>0.6</v>
      </c>
      <c r="EB100" s="145">
        <v>0.6</v>
      </c>
      <c r="EC100" s="145"/>
      <c r="ED100" s="145"/>
      <c r="EE100" s="184"/>
      <c r="EG100" s="145"/>
      <c r="EH100" s="145"/>
      <c r="EI100" s="145"/>
      <c r="EJ100" s="145"/>
      <c r="EK100" s="184"/>
      <c r="FO100" s="184">
        <f t="shared" si="77"/>
        <v>0.6</v>
      </c>
      <c r="FP100" s="184">
        <f t="shared" si="77"/>
        <v>0.59483629180189068</v>
      </c>
      <c r="FQ100" s="184">
        <f t="shared" si="77"/>
        <v>0.6</v>
      </c>
      <c r="FR100" s="184">
        <f t="shared" si="77"/>
        <v>0.6</v>
      </c>
      <c r="FS100" s="184">
        <f t="shared" si="78"/>
        <v>0</v>
      </c>
      <c r="FT100" s="184"/>
      <c r="FU100" s="145"/>
      <c r="FV100" s="145"/>
      <c r="FW100" s="145"/>
      <c r="FX100" s="145"/>
    </row>
    <row r="101" spans="2:184" x14ac:dyDescent="0.25">
      <c r="B101" s="414" t="s">
        <v>723</v>
      </c>
      <c r="D101" s="74"/>
      <c r="E101" s="114"/>
      <c r="F101" s="114"/>
      <c r="H101" s="196"/>
      <c r="J101" s="74"/>
      <c r="K101" s="196"/>
      <c r="L101" s="196"/>
      <c r="M101" s="196"/>
      <c r="N101" s="196"/>
      <c r="O101" s="87"/>
      <c r="P101" s="74"/>
      <c r="Q101" s="196"/>
      <c r="R101" s="196"/>
      <c r="S101" s="196"/>
      <c r="T101" s="196"/>
      <c r="U101" s="87"/>
      <c r="V101" s="88"/>
      <c r="W101" s="196"/>
      <c r="X101" s="196"/>
      <c r="Y101" s="196"/>
      <c r="Z101" s="196"/>
      <c r="AA101" s="87"/>
      <c r="CC101" s="74"/>
      <c r="DC101" s="363">
        <f>DC113/DC87</f>
        <v>0.61065573770491788</v>
      </c>
      <c r="DD101" s="363">
        <f t="shared" ref="DD101:DG101" si="79">DD113/DD87</f>
        <v>0.61568627450980373</v>
      </c>
      <c r="DE101" s="363">
        <f t="shared" si="79"/>
        <v>0.61162790697674418</v>
      </c>
      <c r="DF101" s="363">
        <f t="shared" si="79"/>
        <v>0.61326530612244901</v>
      </c>
      <c r="DG101" s="363">
        <f t="shared" si="79"/>
        <v>0.61264979596821856</v>
      </c>
      <c r="DI101" s="363">
        <f>DI113/DI87</f>
        <v>0.59880597014925363</v>
      </c>
      <c r="DJ101" s="363">
        <f t="shared" ref="DJ101:DM101" si="80">DJ113/DJ87</f>
        <v>0.61458333333333326</v>
      </c>
      <c r="DK101" s="363">
        <f t="shared" si="80"/>
        <v>0.61444444444444446</v>
      </c>
      <c r="DL101" s="363">
        <f t="shared" si="80"/>
        <v>0.6166666666666667</v>
      </c>
      <c r="DM101" s="363">
        <f t="shared" si="80"/>
        <v>0.61202992660502642</v>
      </c>
      <c r="DO101" s="363">
        <f>DO113/DO87</f>
        <v>0.61395348837209296</v>
      </c>
      <c r="DP101" s="363">
        <f t="shared" ref="DP101:DS101" si="81">DP113/DP87</f>
        <v>0.60901639344262293</v>
      </c>
      <c r="DQ101" s="363">
        <f t="shared" si="81"/>
        <v>0.60983606557377046</v>
      </c>
      <c r="DR101" s="363">
        <f t="shared" si="81"/>
        <v>0.61701182760069972</v>
      </c>
      <c r="DS101" s="363">
        <f t="shared" si="81"/>
        <v>0.61229799710239841</v>
      </c>
      <c r="DU101" s="363">
        <f>DU113/DU87</f>
        <v>0.61078431372549002</v>
      </c>
      <c r="DV101" s="363">
        <f t="shared" ref="DV101:DY101" si="82">DV113/DV87</f>
        <v>0.61176470588235288</v>
      </c>
      <c r="DW101" s="363">
        <f t="shared" si="82"/>
        <v>0.61031746031746026</v>
      </c>
      <c r="DX101" s="363">
        <f t="shared" si="82"/>
        <v>0.61018518518518527</v>
      </c>
      <c r="DY101" s="363">
        <f t="shared" si="82"/>
        <v>0.61071644120549518</v>
      </c>
      <c r="EA101" s="363"/>
      <c r="EB101" s="363"/>
      <c r="EC101" s="145">
        <v>0.60599999999999998</v>
      </c>
      <c r="ED101" s="145">
        <v>0.60599999999999998</v>
      </c>
      <c r="EE101" s="184">
        <f>EE113/EE87</f>
        <v>0.60649695724797303</v>
      </c>
      <c r="EG101" s="145">
        <v>0.60599999999999998</v>
      </c>
      <c r="EH101" s="145">
        <v>0.60599999999999998</v>
      </c>
      <c r="EI101" s="145">
        <v>0.60599999999999998</v>
      </c>
      <c r="EJ101" s="145">
        <v>0.60599999999999998</v>
      </c>
      <c r="EK101" s="184">
        <f>EK113/EK87</f>
        <v>0.60599999999999998</v>
      </c>
      <c r="FO101" s="184">
        <f t="shared" si="77"/>
        <v>0.61264979596821856</v>
      </c>
      <c r="FP101" s="184">
        <f t="shared" si="77"/>
        <v>0.61202992660502642</v>
      </c>
      <c r="FQ101" s="184">
        <f t="shared" si="77"/>
        <v>0.61229799710239841</v>
      </c>
      <c r="FR101" s="184">
        <f t="shared" si="77"/>
        <v>0.61071644120549518</v>
      </c>
      <c r="FS101" s="184">
        <f t="shared" si="78"/>
        <v>0.60649695724797303</v>
      </c>
      <c r="FT101" s="145">
        <v>0.60599999999999998</v>
      </c>
      <c r="FU101" s="145">
        <v>0.62</v>
      </c>
      <c r="FV101" s="145">
        <v>0.60599999999999998</v>
      </c>
      <c r="FW101" s="145">
        <v>0.60599999999999998</v>
      </c>
      <c r="FX101" s="145">
        <v>0.60599999999999998</v>
      </c>
    </row>
    <row r="102" spans="2:184" x14ac:dyDescent="0.25">
      <c r="B102" s="200" t="s">
        <v>56</v>
      </c>
      <c r="D102" s="74"/>
      <c r="E102" s="114"/>
      <c r="F102" s="114"/>
      <c r="H102" s="196"/>
      <c r="J102" s="74"/>
      <c r="K102" s="196"/>
      <c r="L102" s="196"/>
      <c r="M102" s="196"/>
      <c r="N102" s="196"/>
      <c r="O102" s="87"/>
      <c r="P102" s="74"/>
      <c r="Q102" s="196"/>
      <c r="R102" s="196"/>
      <c r="S102" s="196"/>
      <c r="T102" s="196"/>
      <c r="U102" s="87"/>
      <c r="V102" s="88"/>
      <c r="W102" s="196"/>
      <c r="X102" s="196"/>
      <c r="Y102" s="196"/>
      <c r="Z102" s="196"/>
      <c r="AA102" s="87"/>
      <c r="CC102" s="74"/>
      <c r="DC102" s="145">
        <v>0.7</v>
      </c>
      <c r="DD102" s="145">
        <v>0.72</v>
      </c>
      <c r="DE102" s="145">
        <v>0.74</v>
      </c>
      <c r="DF102" s="145">
        <v>0.75</v>
      </c>
      <c r="DG102" s="184">
        <f>DG114/DG88</f>
        <v>0.73137854314328377</v>
      </c>
      <c r="DI102" s="145">
        <v>0.7</v>
      </c>
      <c r="DJ102" s="145">
        <v>0.72</v>
      </c>
      <c r="DK102" s="145">
        <v>0.72</v>
      </c>
      <c r="DL102" s="145">
        <v>0.72</v>
      </c>
      <c r="DM102" s="184">
        <f>DM114/DM88</f>
        <v>0.71498380979683518</v>
      </c>
      <c r="DO102" s="145">
        <v>0.72</v>
      </c>
      <c r="DP102" s="145">
        <v>0.72</v>
      </c>
      <c r="DQ102" s="145">
        <v>0.72</v>
      </c>
      <c r="DR102" s="145">
        <v>0.72</v>
      </c>
      <c r="DS102" s="184">
        <f>DS114/DS88</f>
        <v>0.72</v>
      </c>
      <c r="DU102" s="145">
        <v>0.72</v>
      </c>
      <c r="DV102" s="145">
        <v>0.72</v>
      </c>
      <c r="DW102" s="145">
        <v>0.72</v>
      </c>
      <c r="DX102" s="145">
        <v>0.72</v>
      </c>
      <c r="DY102" s="184">
        <f>DY114/DY88</f>
        <v>0.71999999999999986</v>
      </c>
      <c r="EA102" s="145">
        <v>0.72</v>
      </c>
      <c r="EB102" s="145">
        <v>0.72</v>
      </c>
      <c r="EC102" s="145">
        <v>0.65</v>
      </c>
      <c r="ED102" s="145">
        <v>0.7</v>
      </c>
      <c r="EE102" s="184">
        <f>EE114/EE88</f>
        <v>0.69329963959557628</v>
      </c>
      <c r="EG102" s="145">
        <v>0.72</v>
      </c>
      <c r="EH102" s="145">
        <v>0.72</v>
      </c>
      <c r="EI102" s="145">
        <v>0.72</v>
      </c>
      <c r="EJ102" s="145">
        <v>0.72</v>
      </c>
      <c r="EK102" s="184">
        <f>EK114/EK88</f>
        <v>0.72000000000000008</v>
      </c>
      <c r="FO102" s="184">
        <f t="shared" si="77"/>
        <v>0.73137854314328377</v>
      </c>
      <c r="FP102" s="184">
        <f t="shared" si="77"/>
        <v>0.71498380979683518</v>
      </c>
      <c r="FQ102" s="184">
        <f t="shared" si="77"/>
        <v>0.72</v>
      </c>
      <c r="FR102" s="184">
        <f t="shared" si="77"/>
        <v>0.71999999999999986</v>
      </c>
      <c r="FS102" s="184">
        <f t="shared" si="78"/>
        <v>0.69329963959557628</v>
      </c>
      <c r="FT102" s="184">
        <f>FT114/FT88</f>
        <v>0.72000000000000008</v>
      </c>
      <c r="FU102" s="145">
        <v>0.72</v>
      </c>
      <c r="FV102" s="145">
        <v>0.72</v>
      </c>
      <c r="FW102" s="145">
        <v>0.72</v>
      </c>
      <c r="FX102" s="145">
        <v>0.72</v>
      </c>
      <c r="GB102" s="180" t="s">
        <v>552</v>
      </c>
    </row>
    <row r="103" spans="2:184" x14ac:dyDescent="0.25">
      <c r="B103" s="318" t="s">
        <v>259</v>
      </c>
      <c r="D103" s="74"/>
      <c r="E103" s="114"/>
      <c r="F103" s="114"/>
      <c r="H103" s="196"/>
      <c r="J103" s="74"/>
      <c r="K103" s="196"/>
      <c r="L103" s="196"/>
      <c r="M103" s="196"/>
      <c r="N103" s="196"/>
      <c r="O103" s="87"/>
      <c r="P103" s="74"/>
      <c r="Q103" s="196"/>
      <c r="R103" s="196"/>
      <c r="S103" s="196"/>
      <c r="T103" s="196"/>
      <c r="U103" s="87"/>
      <c r="V103" s="88"/>
      <c r="W103" s="196"/>
      <c r="X103" s="196"/>
      <c r="Y103" s="196"/>
      <c r="Z103" s="196"/>
      <c r="AA103" s="87"/>
      <c r="CC103" s="74"/>
      <c r="DC103" s="145">
        <v>0.53</v>
      </c>
      <c r="DD103" s="145">
        <v>0.52</v>
      </c>
      <c r="DE103" s="145">
        <v>0.53</v>
      </c>
      <c r="DF103" s="145">
        <v>0.52</v>
      </c>
      <c r="DG103" s="184">
        <f>DG115/DG89</f>
        <v>0.52477038501099171</v>
      </c>
      <c r="DI103" s="145">
        <v>0.49</v>
      </c>
      <c r="DJ103" s="145">
        <v>0.5</v>
      </c>
      <c r="DK103" s="145">
        <v>0.5</v>
      </c>
      <c r="DL103" s="145">
        <v>0.51</v>
      </c>
      <c r="DM103" s="184">
        <f>DM115/DM89</f>
        <v>0.50075760477790743</v>
      </c>
      <c r="DO103" s="330">
        <v>0.45</v>
      </c>
      <c r="DP103" s="330">
        <v>0.46</v>
      </c>
      <c r="DQ103" s="330">
        <v>0.45</v>
      </c>
      <c r="DR103" s="330">
        <v>0.45</v>
      </c>
      <c r="DS103" s="184">
        <f>DS115/DS89</f>
        <v>0.45230644673392761</v>
      </c>
      <c r="DU103" s="145">
        <v>0.48</v>
      </c>
      <c r="DV103" s="145">
        <v>0.51</v>
      </c>
      <c r="DW103" s="145">
        <v>0.52</v>
      </c>
      <c r="DX103" s="145">
        <v>0.52</v>
      </c>
      <c r="DY103" s="332">
        <f>DY115/DY89</f>
        <v>0.50956253272150531</v>
      </c>
      <c r="EA103" s="145">
        <v>0.6</v>
      </c>
      <c r="EB103" s="145">
        <v>0.6</v>
      </c>
      <c r="EC103" s="145">
        <v>0.48</v>
      </c>
      <c r="ED103" s="145">
        <v>0.55000000000000004</v>
      </c>
      <c r="EE103" s="332">
        <f>EE115/EE89</f>
        <v>0.55823652186649408</v>
      </c>
      <c r="EG103" s="145">
        <v>0.5</v>
      </c>
      <c r="EH103" s="145">
        <v>0.5</v>
      </c>
      <c r="EI103" s="145">
        <v>0.5</v>
      </c>
      <c r="EJ103" s="145">
        <v>0.5</v>
      </c>
      <c r="EK103" s="332">
        <f>EK115/EK89</f>
        <v>0.5</v>
      </c>
      <c r="FO103" s="184">
        <f t="shared" si="77"/>
        <v>0.52477038501099171</v>
      </c>
      <c r="FP103" s="184">
        <f t="shared" si="77"/>
        <v>0.50075760477790743</v>
      </c>
      <c r="FQ103" s="184">
        <f t="shared" si="77"/>
        <v>0.45230644673392761</v>
      </c>
      <c r="FR103" s="184">
        <f t="shared" si="77"/>
        <v>0.50956253272150531</v>
      </c>
      <c r="FS103" s="184">
        <f t="shared" si="78"/>
        <v>0.55823652186649408</v>
      </c>
      <c r="FT103" s="184">
        <f>FT115/FT89</f>
        <v>0.5</v>
      </c>
      <c r="FU103" s="145">
        <v>0.56000000000000005</v>
      </c>
      <c r="FV103" s="145">
        <f>MIN(FU103+1%,60%)</f>
        <v>0.57000000000000006</v>
      </c>
      <c r="FW103" s="145">
        <f>MIN(FV103+1%,60%)</f>
        <v>0.58000000000000007</v>
      </c>
      <c r="FX103" s="145">
        <f>MIN(FW103+1%,60%)</f>
        <v>0.59000000000000008</v>
      </c>
    </row>
    <row r="104" spans="2:184" x14ac:dyDescent="0.25">
      <c r="D104" s="74"/>
      <c r="E104" s="114"/>
      <c r="F104" s="114"/>
      <c r="H104" s="196"/>
      <c r="J104" s="74"/>
      <c r="K104" s="196"/>
      <c r="L104" s="196"/>
      <c r="M104" s="196"/>
      <c r="N104" s="196"/>
      <c r="O104" s="87"/>
      <c r="P104" s="74"/>
      <c r="Q104" s="196"/>
      <c r="R104" s="196"/>
      <c r="S104" s="196"/>
      <c r="T104" s="196"/>
      <c r="U104" s="87"/>
      <c r="V104" s="88"/>
      <c r="W104" s="196"/>
      <c r="X104" s="196"/>
      <c r="Y104" s="196"/>
      <c r="Z104" s="196"/>
      <c r="AA104" s="87"/>
      <c r="CC104" s="74"/>
    </row>
    <row r="105" spans="2:184" x14ac:dyDescent="0.25">
      <c r="B105" s="289" t="s">
        <v>547</v>
      </c>
      <c r="D105" s="74"/>
      <c r="E105" s="114"/>
      <c r="F105" s="114"/>
      <c r="H105" s="196"/>
      <c r="J105" s="74"/>
      <c r="K105" s="196"/>
      <c r="L105" s="196"/>
      <c r="M105" s="196"/>
      <c r="N105" s="196"/>
      <c r="O105" s="87"/>
      <c r="P105" s="74"/>
      <c r="Q105" s="196"/>
      <c r="R105" s="196"/>
      <c r="S105" s="196"/>
      <c r="T105" s="196"/>
      <c r="U105" s="87"/>
      <c r="V105" s="88"/>
      <c r="W105" s="196"/>
      <c r="X105" s="196"/>
      <c r="Y105" s="196"/>
      <c r="Z105" s="196"/>
      <c r="AA105" s="87"/>
      <c r="CC105" s="74"/>
    </row>
    <row r="106" spans="2:184" x14ac:dyDescent="0.25">
      <c r="B106" s="353" t="s">
        <v>635</v>
      </c>
      <c r="D106" s="74"/>
      <c r="E106" s="114"/>
      <c r="F106" s="114"/>
      <c r="H106" s="196"/>
      <c r="J106" s="74"/>
      <c r="K106" s="196"/>
      <c r="L106" s="196"/>
      <c r="M106" s="196"/>
      <c r="N106" s="196"/>
      <c r="O106" s="87"/>
      <c r="P106" s="74"/>
      <c r="Q106" s="196"/>
      <c r="R106" s="196"/>
      <c r="S106" s="196"/>
      <c r="T106" s="196"/>
      <c r="U106" s="87"/>
      <c r="V106" s="88"/>
      <c r="W106" s="196"/>
      <c r="X106" s="196"/>
      <c r="Y106" s="196"/>
      <c r="Z106" s="196"/>
      <c r="AA106" s="87"/>
      <c r="CC106" s="74"/>
      <c r="FX106" s="191">
        <f>FX80*FX94</f>
        <v>270</v>
      </c>
    </row>
    <row r="107" spans="2:184" x14ac:dyDescent="0.25">
      <c r="B107" s="197" t="s">
        <v>250</v>
      </c>
      <c r="D107" s="74"/>
      <c r="E107" s="114"/>
      <c r="F107" s="114"/>
      <c r="H107" s="196"/>
      <c r="J107" s="74"/>
      <c r="K107" s="196"/>
      <c r="L107" s="196"/>
      <c r="M107" s="196"/>
      <c r="N107" s="196"/>
      <c r="O107" s="87"/>
      <c r="P107" s="74"/>
      <c r="Q107" s="196"/>
      <c r="R107" s="196"/>
      <c r="S107" s="196"/>
      <c r="T107" s="196"/>
      <c r="U107" s="87"/>
      <c r="V107" s="88"/>
      <c r="W107" s="196"/>
      <c r="X107" s="196"/>
      <c r="Y107" s="196"/>
      <c r="Z107" s="196"/>
      <c r="AA107" s="87"/>
      <c r="CC107" s="74"/>
      <c r="DC107" s="143">
        <v>-10</v>
      </c>
      <c r="DD107" s="143">
        <v>-20</v>
      </c>
      <c r="DE107" s="143">
        <v>-35</v>
      </c>
      <c r="DF107" s="143">
        <v>-45</v>
      </c>
      <c r="DG107" s="191">
        <f>SUM(DC107:DF107)</f>
        <v>-110</v>
      </c>
      <c r="DI107" s="143">
        <v>-50</v>
      </c>
      <c r="DJ107" s="143">
        <v>-50</v>
      </c>
      <c r="DK107" s="143">
        <v>-55</v>
      </c>
      <c r="DL107" s="143">
        <v>-55</v>
      </c>
      <c r="DM107" s="191">
        <f>SUM(DI107:DL107)</f>
        <v>-210</v>
      </c>
      <c r="DO107" s="143">
        <v>-60</v>
      </c>
      <c r="DP107" s="143">
        <v>-75</v>
      </c>
      <c r="DQ107" s="143">
        <v>-75</v>
      </c>
      <c r="DR107" s="143">
        <v>-75</v>
      </c>
      <c r="DS107" s="191">
        <f>SUM(DO107:DR107)</f>
        <v>-285</v>
      </c>
      <c r="DU107" s="348">
        <v>-100</v>
      </c>
      <c r="DV107" s="348">
        <v>-100</v>
      </c>
      <c r="DW107" s="191">
        <f>DW81*DW95</f>
        <v>0</v>
      </c>
      <c r="DX107" s="191">
        <f>DX81*DX95</f>
        <v>20</v>
      </c>
      <c r="DY107" s="191">
        <f>SUM(DU107:DX107)</f>
        <v>-180</v>
      </c>
      <c r="EA107" s="191">
        <f>EA81*EA95</f>
        <v>0</v>
      </c>
      <c r="EB107" s="191">
        <f>EB81*EB95</f>
        <v>0</v>
      </c>
      <c r="EC107" s="191">
        <f>EC81*EC95</f>
        <v>36</v>
      </c>
      <c r="ED107" s="191">
        <f>ED81*ED95</f>
        <v>61</v>
      </c>
      <c r="EE107" s="191">
        <f>SUM(EA107:ED107)</f>
        <v>97</v>
      </c>
      <c r="EG107" s="191">
        <f t="shared" ref="EG107:EJ108" si="83">EG81*EG95</f>
        <v>144</v>
      </c>
      <c r="EH107" s="191">
        <f t="shared" si="83"/>
        <v>0</v>
      </c>
      <c r="EI107" s="191">
        <f t="shared" si="83"/>
        <v>180</v>
      </c>
      <c r="EJ107" s="191">
        <f t="shared" si="83"/>
        <v>180</v>
      </c>
      <c r="EK107" s="191">
        <f>SUM(EG107:EJ107)</f>
        <v>504</v>
      </c>
      <c r="FO107" s="191">
        <f t="shared" ref="FO107:FO116" si="84">DG107</f>
        <v>-110</v>
      </c>
      <c r="FP107" s="191">
        <f t="shared" ref="FP107:FP116" si="85">DM107</f>
        <v>-210</v>
      </c>
      <c r="FQ107" s="191">
        <f t="shared" ref="FQ107:FQ116" si="86">DS107</f>
        <v>-285</v>
      </c>
      <c r="FR107" s="191">
        <f t="shared" ref="FR107:FR116" si="87">DY107</f>
        <v>-180</v>
      </c>
      <c r="FS107" s="191">
        <f>EE107</f>
        <v>97</v>
      </c>
      <c r="FT107" s="191">
        <f t="shared" ref="FT107:FT116" si="88">EK107</f>
        <v>504</v>
      </c>
      <c r="FU107" s="191">
        <f t="shared" ref="FU107:FW108" si="89">FU81*FU95</f>
        <v>766.5</v>
      </c>
      <c r="FV107" s="191">
        <f t="shared" ref="FV107" si="90">FV81*FV95</f>
        <v>1296</v>
      </c>
      <c r="FW107" s="191">
        <f>FW81*FW95</f>
        <v>3850</v>
      </c>
      <c r="FX107" s="191">
        <f>FX81*FX95</f>
        <v>5088</v>
      </c>
    </row>
    <row r="108" spans="2:184" x14ac:dyDescent="0.25">
      <c r="B108" s="197" t="s">
        <v>543</v>
      </c>
      <c r="D108" s="74"/>
      <c r="E108" s="114"/>
      <c r="F108" s="114"/>
      <c r="H108" s="196"/>
      <c r="J108" s="74"/>
      <c r="K108" s="196"/>
      <c r="L108" s="196"/>
      <c r="M108" s="196"/>
      <c r="N108" s="196"/>
      <c r="O108" s="87"/>
      <c r="P108" s="74"/>
      <c r="Q108" s="196"/>
      <c r="R108" s="196"/>
      <c r="S108" s="196"/>
      <c r="T108" s="196"/>
      <c r="U108" s="87"/>
      <c r="V108" s="88"/>
      <c r="W108" s="196"/>
      <c r="X108" s="196"/>
      <c r="Y108" s="196"/>
      <c r="Z108" s="196"/>
      <c r="AA108" s="87"/>
      <c r="CC108" s="74"/>
      <c r="DC108" s="191">
        <f>DC116-SUM(DC109:DC115)-DC107</f>
        <v>-688.86380000000008</v>
      </c>
      <c r="DD108" s="191">
        <f>DD116-SUM(DD109:DD115)-DD107</f>
        <v>-429.40927999999985</v>
      </c>
      <c r="DE108" s="191">
        <f>DE116-SUM(DE109:DE115)-DE107</f>
        <v>-106.31102000000055</v>
      </c>
      <c r="DF108" s="191">
        <f>DF116-SUM(DF109:DF115)-DF107</f>
        <v>-257.30119999999943</v>
      </c>
      <c r="DG108" s="191">
        <f>SUM(DC108:DF108)</f>
        <v>-1481.8852999999999</v>
      </c>
      <c r="DI108" s="191">
        <f>DI116-SUM(DI109:DI115)-DI107</f>
        <v>-777.45008000000007</v>
      </c>
      <c r="DJ108" s="191">
        <f>DJ116-SUM(DJ109:DJ115)-DJ107</f>
        <v>-492.64139999999998</v>
      </c>
      <c r="DK108" s="191">
        <f>DK116-SUM(DK109:DK115)-DK107</f>
        <v>-188.48446000000013</v>
      </c>
      <c r="DL108" s="191">
        <f>DL116-SUM(DL109:DL115)-DL107</f>
        <v>-405.38443999999981</v>
      </c>
      <c r="DM108" s="191">
        <f>SUM(DI108:DL108)</f>
        <v>-1863.96038</v>
      </c>
      <c r="DO108" s="191">
        <f t="shared" ref="DO108" si="91">DO116-SUM(DO113:DO115)-DO107</f>
        <v>1315.601920000001</v>
      </c>
      <c r="DP108" s="191">
        <f t="shared" ref="DP108" si="92">DP116-SUM(DP113:DP115)-DP107</f>
        <v>859.35401000000002</v>
      </c>
      <c r="DQ108" s="191">
        <f t="shared" ref="DQ108" si="93">DQ116-SUM(DQ113:DQ115)-DQ107</f>
        <v>794.91344000000026</v>
      </c>
      <c r="DR108" s="191">
        <f t="shared" ref="DR108" si="94">DR116-SUM(DR113:DR115)-DR107</f>
        <v>1063.8336529999992</v>
      </c>
      <c r="DS108" s="191">
        <f>SUM(DO108:DR108)</f>
        <v>4033.7030230000005</v>
      </c>
      <c r="DT108" s="191"/>
      <c r="DU108" s="191">
        <f t="shared" ref="DU108:DV108" si="95">DU116-SUM(DU113:DU115)-DU107</f>
        <v>839.99071000000004</v>
      </c>
      <c r="DV108" s="191">
        <f t="shared" si="95"/>
        <v>541.61811999999964</v>
      </c>
      <c r="DW108" s="191">
        <f>DW116-SUM(DW113:DW115)-DW107</f>
        <v>628.04259999999977</v>
      </c>
      <c r="DX108" s="191">
        <f>DX116-SUM(DX113:DX115)-DX107</f>
        <v>1103.7850299999991</v>
      </c>
      <c r="DY108" s="191">
        <f>SUM(DU108:DX108)</f>
        <v>3113.4364599999985</v>
      </c>
      <c r="EA108" s="191">
        <f t="shared" ref="EA108:EB108" si="96">EA116-SUM(EA113:EA115)-EA107</f>
        <v>1422.8175600000004</v>
      </c>
      <c r="EB108" s="191">
        <f t="shared" si="96"/>
        <v>1095.9378600000009</v>
      </c>
      <c r="EC108" s="191">
        <f>EC116-SUM(EC113:EC115)-EC107</f>
        <v>805.99557600000026</v>
      </c>
      <c r="ED108" s="191">
        <f>ED82*ED96</f>
        <v>1454.5535999999997</v>
      </c>
      <c r="EE108" s="191">
        <f>SUM(EA108:ED108)</f>
        <v>4779.3045960000018</v>
      </c>
      <c r="EG108" s="191">
        <f t="shared" si="83"/>
        <v>1643.5872000000002</v>
      </c>
      <c r="EH108" s="191">
        <f t="shared" si="83"/>
        <v>1610</v>
      </c>
      <c r="EI108" s="191">
        <f t="shared" si="83"/>
        <v>1955</v>
      </c>
      <c r="EJ108" s="191">
        <f t="shared" si="83"/>
        <v>2070</v>
      </c>
      <c r="EK108" s="191">
        <f>SUM(EG108:EJ108)</f>
        <v>7278.5871999999999</v>
      </c>
      <c r="FO108" s="191">
        <f t="shared" si="84"/>
        <v>-1481.8852999999999</v>
      </c>
      <c r="FP108" s="191">
        <f t="shared" si="85"/>
        <v>-1863.96038</v>
      </c>
      <c r="FQ108" s="191">
        <f t="shared" si="86"/>
        <v>4033.7030230000005</v>
      </c>
      <c r="FR108" s="191">
        <f t="shared" si="87"/>
        <v>3113.4364599999985</v>
      </c>
      <c r="FS108" s="191">
        <f t="shared" ref="FS108:FS115" si="97">EE108</f>
        <v>4779.3045960000018</v>
      </c>
      <c r="FT108" s="191">
        <f t="shared" si="88"/>
        <v>7278.5871999999999</v>
      </c>
      <c r="FU108" s="191">
        <f t="shared" si="89"/>
        <v>10264.800000000001</v>
      </c>
      <c r="FV108" s="191">
        <f t="shared" ref="FV108" si="98">FV82*FV96</f>
        <v>7167.5</v>
      </c>
      <c r="FW108" s="191">
        <f t="shared" si="89"/>
        <v>6879.6</v>
      </c>
      <c r="FX108" s="191">
        <f>FX82*FX96</f>
        <v>7257.6</v>
      </c>
    </row>
    <row r="109" spans="2:184" x14ac:dyDescent="0.25">
      <c r="B109" s="197" t="s">
        <v>544</v>
      </c>
      <c r="D109" s="74"/>
      <c r="E109" s="114"/>
      <c r="F109" s="114"/>
      <c r="H109" s="196"/>
      <c r="J109" s="74"/>
      <c r="K109" s="196"/>
      <c r="L109" s="196"/>
      <c r="M109" s="196"/>
      <c r="N109" s="196"/>
      <c r="O109" s="87"/>
      <c r="P109" s="74"/>
      <c r="Q109" s="196"/>
      <c r="R109" s="196"/>
      <c r="S109" s="196"/>
      <c r="T109" s="196"/>
      <c r="U109" s="87"/>
      <c r="V109" s="88"/>
      <c r="W109" s="196"/>
      <c r="X109" s="196"/>
      <c r="Y109" s="196"/>
      <c r="Z109" s="196"/>
      <c r="AA109" s="87"/>
      <c r="CC109" s="74"/>
      <c r="DC109" s="191">
        <f t="shared" ref="DC109:DF112" si="99">DC97*DC83</f>
        <v>882.32159999999999</v>
      </c>
      <c r="DD109" s="191">
        <f t="shared" si="99"/>
        <v>601.71839999999997</v>
      </c>
      <c r="DE109" s="191">
        <f t="shared" si="99"/>
        <v>789.33120000000008</v>
      </c>
      <c r="DF109" s="191">
        <f t="shared" si="99"/>
        <v>727.27199999999993</v>
      </c>
      <c r="DG109" s="191">
        <f t="shared" ref="DG109:DG115" si="100">SUM(DC109:DF109)</f>
        <v>3000.6432</v>
      </c>
      <c r="DI109" s="191">
        <f t="shared" ref="DI109:DJ112" si="101">DI97*DI83</f>
        <v>623.4907199999999</v>
      </c>
      <c r="DJ109" s="191">
        <f t="shared" si="101"/>
        <v>819.81899999999996</v>
      </c>
      <c r="DK109" s="191">
        <f t="shared" ref="DK109:DL112" si="102">DK83*DK97</f>
        <v>791.37419999999986</v>
      </c>
      <c r="DL109" s="191">
        <f t="shared" si="102"/>
        <v>883.10939999999994</v>
      </c>
      <c r="DM109" s="191">
        <f t="shared" ref="DM109:DM115" si="103">SUM(DI109:DL109)</f>
        <v>3117.7933199999993</v>
      </c>
      <c r="DO109" s="191">
        <f t="shared" ref="DO109:DR112" si="104">DO83*DO97</f>
        <v>961.52399999999989</v>
      </c>
      <c r="DP109" s="191">
        <f t="shared" si="104"/>
        <v>1648.1933999999999</v>
      </c>
      <c r="DQ109" s="191">
        <f t="shared" si="104"/>
        <v>1528.7615999999998</v>
      </c>
      <c r="DR109" s="191">
        <f t="shared" si="104"/>
        <v>1258.4346000000003</v>
      </c>
      <c r="DS109" s="191">
        <f t="shared" ref="DS109:DS115" si="105">SUM(DO109:DR109)</f>
        <v>5396.9135999999999</v>
      </c>
      <c r="DT109" s="191"/>
      <c r="DU109" s="191">
        <f t="shared" ref="DU109:DX112" si="106">DU83*DU97</f>
        <v>928.02059999999994</v>
      </c>
      <c r="DV109" s="191">
        <f t="shared" si="106"/>
        <v>1428.2699999999998</v>
      </c>
      <c r="DW109" s="191">
        <f t="shared" si="106"/>
        <v>1706.6879999999999</v>
      </c>
      <c r="DX109" s="191">
        <f t="shared" si="106"/>
        <v>1750.5113999999999</v>
      </c>
      <c r="DY109" s="191">
        <f t="shared" ref="DY109:DY115" si="107">SUM(DU109:DX109)</f>
        <v>5813.49</v>
      </c>
      <c r="EA109" s="191">
        <f t="shared" ref="EA109:EB112" si="108">EA83*EA97</f>
        <v>1136.5991999999999</v>
      </c>
      <c r="EB109" s="191">
        <f t="shared" si="108"/>
        <v>1443.7938000000001</v>
      </c>
      <c r="EC109" s="191"/>
      <c r="ED109" s="191"/>
      <c r="EE109" s="191"/>
      <c r="EG109" s="191"/>
      <c r="EH109" s="191"/>
      <c r="EI109" s="191"/>
      <c r="EJ109" s="191"/>
      <c r="EK109" s="191"/>
      <c r="FO109" s="191">
        <f t="shared" si="84"/>
        <v>3000.6432</v>
      </c>
      <c r="FP109" s="191">
        <f t="shared" si="85"/>
        <v>3117.7933199999993</v>
      </c>
      <c r="FQ109" s="191">
        <f t="shared" si="86"/>
        <v>5396.9135999999999</v>
      </c>
      <c r="FR109" s="191">
        <f t="shared" si="87"/>
        <v>5813.49</v>
      </c>
      <c r="FS109" s="191">
        <f t="shared" si="97"/>
        <v>0</v>
      </c>
      <c r="FT109" s="191">
        <f t="shared" si="88"/>
        <v>0</v>
      </c>
      <c r="FU109" s="191">
        <f t="shared" ref="FU109:FU115" si="109">FU83*FU97</f>
        <v>0</v>
      </c>
      <c r="FV109" s="191">
        <f t="shared" ref="FV109" si="110">FV83*FV97</f>
        <v>0</v>
      </c>
      <c r="FW109" s="191"/>
      <c r="FX109" s="191"/>
    </row>
    <row r="110" spans="2:184" x14ac:dyDescent="0.25">
      <c r="B110" s="197" t="s">
        <v>545</v>
      </c>
      <c r="D110" s="74"/>
      <c r="E110" s="114"/>
      <c r="F110" s="114"/>
      <c r="H110" s="196"/>
      <c r="J110" s="74"/>
      <c r="K110" s="196"/>
      <c r="L110" s="196"/>
      <c r="M110" s="196"/>
      <c r="N110" s="196"/>
      <c r="O110" s="87"/>
      <c r="P110" s="74"/>
      <c r="Q110" s="196"/>
      <c r="R110" s="196"/>
      <c r="S110" s="196"/>
      <c r="T110" s="196"/>
      <c r="U110" s="87"/>
      <c r="V110" s="88"/>
      <c r="W110" s="196"/>
      <c r="X110" s="196"/>
      <c r="Y110" s="196"/>
      <c r="Z110" s="196"/>
      <c r="AA110" s="87"/>
      <c r="CC110" s="74"/>
      <c r="DC110" s="191">
        <f t="shared" si="99"/>
        <v>40.674400000000006</v>
      </c>
      <c r="DD110" s="191">
        <f t="shared" si="99"/>
        <v>95.861999999999995</v>
      </c>
      <c r="DE110" s="191">
        <f t="shared" si="99"/>
        <v>80.166450000000012</v>
      </c>
      <c r="DF110" s="191">
        <f t="shared" si="99"/>
        <v>67.532399999999996</v>
      </c>
      <c r="DG110" s="191">
        <f t="shared" si="100"/>
        <v>284.23525000000001</v>
      </c>
      <c r="DI110" s="191">
        <f t="shared" si="101"/>
        <v>89.200799999999987</v>
      </c>
      <c r="DJ110" s="191">
        <f t="shared" si="101"/>
        <v>107.65300000000001</v>
      </c>
      <c r="DK110" s="191">
        <f t="shared" si="102"/>
        <v>82.966650000000001</v>
      </c>
      <c r="DL110" s="191">
        <f t="shared" si="102"/>
        <v>123.44540000000001</v>
      </c>
      <c r="DM110" s="191">
        <f t="shared" si="103"/>
        <v>403.26585</v>
      </c>
      <c r="DO110" s="191">
        <f t="shared" si="104"/>
        <v>104.1651</v>
      </c>
      <c r="DP110" s="191">
        <f t="shared" si="104"/>
        <v>72.879300000000015</v>
      </c>
      <c r="DQ110" s="191">
        <f t="shared" si="104"/>
        <v>69.006600000000006</v>
      </c>
      <c r="DR110" s="191">
        <f t="shared" si="104"/>
        <v>281.572135</v>
      </c>
      <c r="DS110" s="191">
        <f t="shared" si="105"/>
        <v>527.62313500000005</v>
      </c>
      <c r="DT110" s="191"/>
      <c r="DU110" s="191">
        <f t="shared" si="106"/>
        <v>77.33505000000001</v>
      </c>
      <c r="DV110" s="191">
        <f t="shared" si="106"/>
        <v>216.62095000000002</v>
      </c>
      <c r="DW110" s="191">
        <f t="shared" si="106"/>
        <v>115.557</v>
      </c>
      <c r="DX110" s="191">
        <f t="shared" si="106"/>
        <v>92.506699999999995</v>
      </c>
      <c r="DY110" s="191">
        <f t="shared" si="107"/>
        <v>502.01970000000006</v>
      </c>
      <c r="EA110" s="191">
        <f t="shared" si="108"/>
        <v>74.625199999999992</v>
      </c>
      <c r="EB110" s="191">
        <f t="shared" si="108"/>
        <v>72.749300000000005</v>
      </c>
      <c r="EC110" s="191"/>
      <c r="ED110" s="191"/>
      <c r="EE110" s="191"/>
      <c r="EG110" s="191"/>
      <c r="EH110" s="191"/>
      <c r="EI110" s="191"/>
      <c r="EJ110" s="191"/>
      <c r="EK110" s="191"/>
      <c r="FO110" s="191">
        <f t="shared" si="84"/>
        <v>284.23525000000001</v>
      </c>
      <c r="FP110" s="191">
        <f t="shared" si="85"/>
        <v>403.26585</v>
      </c>
      <c r="FQ110" s="191">
        <f t="shared" si="86"/>
        <v>527.62313500000005</v>
      </c>
      <c r="FR110" s="191">
        <f t="shared" si="87"/>
        <v>502.01970000000006</v>
      </c>
      <c r="FS110" s="191">
        <f t="shared" si="97"/>
        <v>0</v>
      </c>
      <c r="FT110" s="191">
        <f t="shared" si="88"/>
        <v>0</v>
      </c>
      <c r="FU110" s="191">
        <f t="shared" si="109"/>
        <v>0</v>
      </c>
      <c r="FV110" s="191">
        <f t="shared" ref="FV110" si="111">FV84*FV98</f>
        <v>0</v>
      </c>
      <c r="FW110" s="191"/>
      <c r="FX110" s="191"/>
    </row>
    <row r="111" spans="2:184" x14ac:dyDescent="0.25">
      <c r="B111" s="200" t="s">
        <v>53</v>
      </c>
      <c r="D111" s="74"/>
      <c r="E111" s="114"/>
      <c r="F111" s="114"/>
      <c r="H111" s="196"/>
      <c r="J111" s="74"/>
      <c r="K111" s="196"/>
      <c r="L111" s="196"/>
      <c r="M111" s="196"/>
      <c r="N111" s="196"/>
      <c r="O111" s="87"/>
      <c r="P111" s="74"/>
      <c r="Q111" s="196"/>
      <c r="R111" s="196"/>
      <c r="S111" s="196"/>
      <c r="T111" s="196"/>
      <c r="U111" s="87"/>
      <c r="V111" s="88"/>
      <c r="W111" s="196"/>
      <c r="X111" s="196"/>
      <c r="Y111" s="196"/>
      <c r="Z111" s="196"/>
      <c r="AA111" s="87"/>
      <c r="CC111" s="74"/>
      <c r="DC111" s="191">
        <f t="shared" si="99"/>
        <v>223.70920000000001</v>
      </c>
      <c r="DD111" s="191">
        <f t="shared" si="99"/>
        <v>210.89640000000003</v>
      </c>
      <c r="DE111" s="191">
        <f t="shared" si="99"/>
        <v>187.05505000000002</v>
      </c>
      <c r="DF111" s="191">
        <f t="shared" si="99"/>
        <v>225.108</v>
      </c>
      <c r="DG111" s="191">
        <f t="shared" si="100"/>
        <v>846.76864999999998</v>
      </c>
      <c r="DI111" s="191">
        <f t="shared" si="101"/>
        <v>178.40159999999997</v>
      </c>
      <c r="DJ111" s="191">
        <f t="shared" si="101"/>
        <v>269.13249999999999</v>
      </c>
      <c r="DK111" s="191">
        <f t="shared" si="102"/>
        <v>276.55550000000005</v>
      </c>
      <c r="DL111" s="191">
        <f t="shared" si="102"/>
        <v>370.33619999999996</v>
      </c>
      <c r="DM111" s="191">
        <f t="shared" si="103"/>
        <v>1094.4258</v>
      </c>
      <c r="DO111" s="191">
        <f t="shared" si="104"/>
        <v>312.49529999999999</v>
      </c>
      <c r="DP111" s="191">
        <f t="shared" si="104"/>
        <v>327.95685000000003</v>
      </c>
      <c r="DQ111" s="191">
        <f t="shared" si="104"/>
        <v>345.03300000000007</v>
      </c>
      <c r="DR111" s="191">
        <f t="shared" si="104"/>
        <v>440.52450000000033</v>
      </c>
      <c r="DS111" s="191">
        <f t="shared" si="105"/>
        <v>1426.0096500000004</v>
      </c>
      <c r="DT111" s="191"/>
      <c r="DU111" s="191">
        <f t="shared" si="106"/>
        <v>206.2268</v>
      </c>
      <c r="DV111" s="191">
        <f t="shared" si="106"/>
        <v>278.51264999999995</v>
      </c>
      <c r="DW111" s="191">
        <f t="shared" si="106"/>
        <v>385.19000000000005</v>
      </c>
      <c r="DX111" s="191">
        <f t="shared" si="106"/>
        <v>416.28014999999999</v>
      </c>
      <c r="DY111" s="191">
        <f t="shared" si="107"/>
        <v>1286.2095999999999</v>
      </c>
      <c r="EA111" s="191">
        <f t="shared" si="108"/>
        <v>186.56299999999999</v>
      </c>
      <c r="EB111" s="191">
        <f t="shared" si="108"/>
        <v>145.49860000000001</v>
      </c>
      <c r="EC111" s="191"/>
      <c r="ED111" s="191"/>
      <c r="EE111" s="191"/>
      <c r="EG111" s="191"/>
      <c r="EH111" s="191"/>
      <c r="EI111" s="191"/>
      <c r="EJ111" s="191"/>
      <c r="EK111" s="191"/>
      <c r="FO111" s="191">
        <f t="shared" si="84"/>
        <v>846.76864999999998</v>
      </c>
      <c r="FP111" s="191">
        <f t="shared" si="85"/>
        <v>1094.4258</v>
      </c>
      <c r="FQ111" s="191">
        <f t="shared" si="86"/>
        <v>1426.0096500000004</v>
      </c>
      <c r="FR111" s="191">
        <f t="shared" si="87"/>
        <v>1286.2095999999999</v>
      </c>
      <c r="FS111" s="191">
        <f t="shared" si="97"/>
        <v>0</v>
      </c>
      <c r="FT111" s="191">
        <f t="shared" si="88"/>
        <v>0</v>
      </c>
      <c r="FU111" s="191">
        <f t="shared" si="109"/>
        <v>0</v>
      </c>
      <c r="FV111" s="191">
        <f t="shared" ref="FV111" si="112">FV85*FV99</f>
        <v>0</v>
      </c>
      <c r="FW111" s="191"/>
      <c r="FX111" s="191"/>
    </row>
    <row r="112" spans="2:184" x14ac:dyDescent="0.25">
      <c r="B112" s="200" t="s">
        <v>251</v>
      </c>
      <c r="D112" s="74"/>
      <c r="E112" s="114"/>
      <c r="F112" s="114"/>
      <c r="H112" s="196"/>
      <c r="J112" s="74"/>
      <c r="K112" s="196"/>
      <c r="L112" s="196"/>
      <c r="M112" s="196"/>
      <c r="N112" s="196"/>
      <c r="O112" s="87"/>
      <c r="P112" s="74"/>
      <c r="Q112" s="196"/>
      <c r="R112" s="196"/>
      <c r="S112" s="196"/>
      <c r="T112" s="196"/>
      <c r="U112" s="87"/>
      <c r="V112" s="88"/>
      <c r="W112" s="196"/>
      <c r="X112" s="196"/>
      <c r="Y112" s="196"/>
      <c r="Z112" s="196"/>
      <c r="AA112" s="87"/>
      <c r="CC112" s="74"/>
      <c r="DC112" s="191">
        <f t="shared" si="99"/>
        <v>18.7728</v>
      </c>
      <c r="DD112" s="191">
        <f t="shared" si="99"/>
        <v>17.697599999999998</v>
      </c>
      <c r="DE112" s="191">
        <f t="shared" si="99"/>
        <v>24.666600000000003</v>
      </c>
      <c r="DF112" s="191">
        <f t="shared" si="99"/>
        <v>20.779199999999999</v>
      </c>
      <c r="DG112" s="191">
        <f t="shared" si="100"/>
        <v>81.916200000000003</v>
      </c>
      <c r="DI112" s="191">
        <f t="shared" si="101"/>
        <v>26.531519999999997</v>
      </c>
      <c r="DJ112" s="191">
        <f t="shared" si="101"/>
        <v>24.843</v>
      </c>
      <c r="DK112" s="191">
        <f t="shared" si="102"/>
        <v>25.528199999999998</v>
      </c>
      <c r="DL112" s="191">
        <f t="shared" si="102"/>
        <v>28.487399999999997</v>
      </c>
      <c r="DM112" s="191">
        <f t="shared" si="103"/>
        <v>105.39011999999998</v>
      </c>
      <c r="DO112" s="191">
        <f t="shared" si="104"/>
        <v>32.050800000000002</v>
      </c>
      <c r="DP112" s="191">
        <f t="shared" si="104"/>
        <v>33.636600000000001</v>
      </c>
      <c r="DQ112" s="191">
        <f t="shared" si="104"/>
        <v>31.8492</v>
      </c>
      <c r="DR112" s="191">
        <f t="shared" si="104"/>
        <v>34.094999999999992</v>
      </c>
      <c r="DS112" s="191">
        <f t="shared" si="105"/>
        <v>131.63159999999999</v>
      </c>
      <c r="DT112" s="191"/>
      <c r="DU112" s="191">
        <f t="shared" si="106"/>
        <v>23.795399999999997</v>
      </c>
      <c r="DV112" s="191">
        <f t="shared" si="106"/>
        <v>57.130799999999994</v>
      </c>
      <c r="DW112" s="191">
        <f t="shared" si="106"/>
        <v>71.111999999999995</v>
      </c>
      <c r="DX112" s="191">
        <f t="shared" si="106"/>
        <v>85.390799999999984</v>
      </c>
      <c r="DY112" s="191">
        <f t="shared" si="107"/>
        <v>237.42899999999997</v>
      </c>
      <c r="EA112" s="191">
        <f t="shared" si="108"/>
        <v>34.442399999999999</v>
      </c>
      <c r="EB112" s="191">
        <f t="shared" si="108"/>
        <v>33.576599999999999</v>
      </c>
      <c r="EC112" s="191"/>
      <c r="ED112" s="191"/>
      <c r="EE112" s="191"/>
      <c r="EG112" s="191"/>
      <c r="EH112" s="191"/>
      <c r="EI112" s="191"/>
      <c r="EJ112" s="191"/>
      <c r="EK112" s="191"/>
      <c r="FO112" s="191">
        <f t="shared" si="84"/>
        <v>81.916200000000003</v>
      </c>
      <c r="FP112" s="191">
        <f t="shared" si="85"/>
        <v>105.39011999999998</v>
      </c>
      <c r="FQ112" s="191">
        <f t="shared" si="86"/>
        <v>131.63159999999999</v>
      </c>
      <c r="FR112" s="191">
        <f t="shared" si="87"/>
        <v>237.42899999999997</v>
      </c>
      <c r="FS112" s="191">
        <f t="shared" si="97"/>
        <v>0</v>
      </c>
      <c r="FT112" s="191">
        <f t="shared" si="88"/>
        <v>0</v>
      </c>
      <c r="FU112" s="191">
        <f t="shared" si="109"/>
        <v>0</v>
      </c>
      <c r="FV112" s="191">
        <f t="shared" ref="FV112" si="113">FV86*FV100</f>
        <v>0</v>
      </c>
      <c r="FW112" s="191"/>
      <c r="FX112" s="191"/>
    </row>
    <row r="113" spans="1:184" x14ac:dyDescent="0.25">
      <c r="B113" s="414" t="s">
        <v>723</v>
      </c>
      <c r="D113" s="74"/>
      <c r="E113" s="114"/>
      <c r="F113" s="114"/>
      <c r="H113" s="196"/>
      <c r="J113" s="74"/>
      <c r="K113" s="196"/>
      <c r="L113" s="196"/>
      <c r="M113" s="196"/>
      <c r="N113" s="196"/>
      <c r="O113" s="87"/>
      <c r="P113" s="74"/>
      <c r="Q113" s="196"/>
      <c r="R113" s="196"/>
      <c r="S113" s="196"/>
      <c r="T113" s="196"/>
      <c r="U113" s="87"/>
      <c r="V113" s="88"/>
      <c r="W113" s="196"/>
      <c r="X113" s="196"/>
      <c r="Y113" s="196"/>
      <c r="Z113" s="196"/>
      <c r="AA113" s="87"/>
      <c r="CC113" s="74"/>
      <c r="DC113" s="191">
        <f>SUM(DC109:DC112)</f>
        <v>1165.4779999999998</v>
      </c>
      <c r="DD113" s="191">
        <f t="shared" ref="DD113" si="114">SUM(DD109:DD112)</f>
        <v>926.17439999999988</v>
      </c>
      <c r="DE113" s="191">
        <f t="shared" ref="DE113" si="115">SUM(DE109:DE112)</f>
        <v>1081.2193000000002</v>
      </c>
      <c r="DF113" s="191">
        <f t="shared" ref="DF113" si="116">SUM(DF109:DF112)</f>
        <v>1040.6915999999999</v>
      </c>
      <c r="DG113" s="191">
        <f t="shared" ref="DG113" si="117">SUM(DG109:DG112)</f>
        <v>4213.5632999999998</v>
      </c>
      <c r="DI113" s="191">
        <f>SUM(DI109:DI112)</f>
        <v>917.62463999999977</v>
      </c>
      <c r="DJ113" s="191">
        <f t="shared" ref="DJ113" si="118">SUM(DJ109:DJ112)</f>
        <v>1221.4475</v>
      </c>
      <c r="DK113" s="191">
        <f t="shared" ref="DK113" si="119">SUM(DK109:DK112)</f>
        <v>1176.42455</v>
      </c>
      <c r="DL113" s="191">
        <f t="shared" ref="DL113" si="120">SUM(DL109:DL112)</f>
        <v>1405.3783999999998</v>
      </c>
      <c r="DM113" s="191">
        <f t="shared" ref="DM113" si="121">SUM(DM109:DM112)</f>
        <v>4720.8750899999995</v>
      </c>
      <c r="DO113" s="191">
        <f>SUM(DO109:DO112)</f>
        <v>1410.2351999999998</v>
      </c>
      <c r="DP113" s="191">
        <f t="shared" ref="DP113" si="122">SUM(DP109:DP112)</f>
        <v>2082.66615</v>
      </c>
      <c r="DQ113" s="191">
        <f t="shared" ref="DQ113" si="123">SUM(DQ109:DQ112)</f>
        <v>1974.6504</v>
      </c>
      <c r="DR113" s="191">
        <f t="shared" ref="DR113" si="124">SUM(DR109:DR112)</f>
        <v>2014.6262350000009</v>
      </c>
      <c r="DS113" s="191">
        <f t="shared" ref="DS113" si="125">SUM(DS109:DS112)</f>
        <v>7482.1779849999994</v>
      </c>
      <c r="DT113" s="191"/>
      <c r="DU113" s="191">
        <f>SUM(DU109:DU112)</f>
        <v>1235.3778499999999</v>
      </c>
      <c r="DV113" s="191">
        <f t="shared" ref="DV113:EB113" si="126">SUM(DV109:DV112)</f>
        <v>1980.5343999999996</v>
      </c>
      <c r="DW113" s="191">
        <f t="shared" si="126"/>
        <v>2278.547</v>
      </c>
      <c r="DX113" s="191">
        <f t="shared" si="126"/>
        <v>2344.68905</v>
      </c>
      <c r="DY113" s="191">
        <f t="shared" si="126"/>
        <v>7839.1482999999998</v>
      </c>
      <c r="EA113" s="191">
        <f t="shared" si="126"/>
        <v>1432.2297999999996</v>
      </c>
      <c r="EB113" s="191">
        <f t="shared" si="126"/>
        <v>1695.6183000000003</v>
      </c>
      <c r="EC113" s="191">
        <f t="shared" ref="EC113:ED115" si="127">EC87*EC101</f>
        <v>1952.049624</v>
      </c>
      <c r="ED113" s="191">
        <f t="shared" si="127"/>
        <v>2206.0339200000003</v>
      </c>
      <c r="EE113" s="191">
        <f t="shared" ref="EE113" si="128">SUM(EA113:ED113)</f>
        <v>7285.9316440000002</v>
      </c>
      <c r="EG113" s="191">
        <f>EG87*EG101</f>
        <v>1217.6236799999999</v>
      </c>
      <c r="EH113" s="191">
        <f t="shared" ref="EH113:EJ113" si="129">EH87*EH101</f>
        <v>1515</v>
      </c>
      <c r="EI113" s="191">
        <f t="shared" si="129"/>
        <v>1893.75</v>
      </c>
      <c r="EJ113" s="191">
        <f t="shared" si="129"/>
        <v>1962.2249699999982</v>
      </c>
      <c r="EK113" s="191">
        <f t="shared" ref="EK113:EK115" si="130">SUM(EG113:EJ113)</f>
        <v>6588.5986499999981</v>
      </c>
      <c r="FO113" s="191">
        <f t="shared" ref="FO113" si="131">DG113</f>
        <v>4213.5632999999998</v>
      </c>
      <c r="FP113" s="191">
        <f t="shared" ref="FP113" si="132">DM113</f>
        <v>4720.8750899999995</v>
      </c>
      <c r="FQ113" s="191">
        <f t="shared" ref="FQ113" si="133">DS113</f>
        <v>7482.1779849999994</v>
      </c>
      <c r="FR113" s="191">
        <f t="shared" ref="FR113" si="134">DY113</f>
        <v>7839.1482999999998</v>
      </c>
      <c r="FS113" s="191">
        <f t="shared" ref="FS113" si="135">EE113</f>
        <v>7285.9316440000002</v>
      </c>
      <c r="FT113" s="191">
        <f t="shared" ref="FT113" si="136">EK113</f>
        <v>6588.5986499999981</v>
      </c>
      <c r="FU113" s="191">
        <f t="shared" si="109"/>
        <v>9100.4514810000001</v>
      </c>
      <c r="FV113" s="191">
        <f>FV87*FV101</f>
        <v>7419.7628116349988</v>
      </c>
      <c r="FW113" s="191">
        <f t="shared" ref="FW113:FX113" si="137">FW87*FW101</f>
        <v>0</v>
      </c>
      <c r="FX113" s="191">
        <f t="shared" si="137"/>
        <v>0</v>
      </c>
    </row>
    <row r="114" spans="1:184" x14ac:dyDescent="0.25">
      <c r="B114" s="200" t="s">
        <v>56</v>
      </c>
      <c r="D114" s="74"/>
      <c r="E114" s="114"/>
      <c r="F114" s="114"/>
      <c r="H114" s="196"/>
      <c r="J114" s="74"/>
      <c r="K114" s="196"/>
      <c r="L114" s="196"/>
      <c r="M114" s="196"/>
      <c r="N114" s="196"/>
      <c r="O114" s="87"/>
      <c r="P114" s="74"/>
      <c r="Q114" s="196"/>
      <c r="R114" s="196"/>
      <c r="S114" s="196"/>
      <c r="T114" s="196"/>
      <c r="U114" s="87"/>
      <c r="V114" s="88"/>
      <c r="W114" s="196"/>
      <c r="X114" s="196"/>
      <c r="Y114" s="196"/>
      <c r="Z114" s="196"/>
      <c r="AA114" s="87"/>
      <c r="CC114" s="74"/>
      <c r="DC114" s="191">
        <f t="shared" ref="DC114:DF115" si="138">DC102*DC88</f>
        <v>65.704800000000006</v>
      </c>
      <c r="DD114" s="191">
        <f t="shared" si="138"/>
        <v>84.948479999999989</v>
      </c>
      <c r="DE114" s="191">
        <f t="shared" si="138"/>
        <v>91.266420000000011</v>
      </c>
      <c r="DF114" s="191">
        <f t="shared" si="138"/>
        <v>129.87</v>
      </c>
      <c r="DG114" s="191">
        <f t="shared" si="100"/>
        <v>371.78970000000004</v>
      </c>
      <c r="DI114" s="191">
        <f>DI102*DI88</f>
        <v>112.0728</v>
      </c>
      <c r="DJ114" s="191">
        <f>DJ102*DJ88</f>
        <v>119.24639999999999</v>
      </c>
      <c r="DK114" s="191">
        <f>DK88*DK102</f>
        <v>122.53535999999998</v>
      </c>
      <c r="DL114" s="191">
        <f>DL88*DL102</f>
        <v>102.55463999999998</v>
      </c>
      <c r="DM114" s="191">
        <f t="shared" si="103"/>
        <v>456.40919999999994</v>
      </c>
      <c r="DO114" s="191">
        <f t="shared" ref="DO114:DR115" si="139">DO88*DO102</f>
        <v>115.38287999999999</v>
      </c>
      <c r="DP114" s="191">
        <f t="shared" si="139"/>
        <v>80.72784</v>
      </c>
      <c r="DQ114" s="191">
        <f t="shared" si="139"/>
        <v>152.87616</v>
      </c>
      <c r="DR114" s="191">
        <f t="shared" si="139"/>
        <v>14.315112000000026</v>
      </c>
      <c r="DS114" s="191">
        <f t="shared" si="105"/>
        <v>363.30199199999998</v>
      </c>
      <c r="DT114" s="191"/>
      <c r="DU114" s="191">
        <f t="shared" ref="DU114:DX115" si="140">DU88*DU102</f>
        <v>85.663439999999994</v>
      </c>
      <c r="DV114" s="191">
        <f t="shared" si="140"/>
        <v>34.278479999999995</v>
      </c>
      <c r="DW114" s="191">
        <f t="shared" si="140"/>
        <v>85.334399999999988</v>
      </c>
      <c r="DX114" s="191">
        <f t="shared" si="140"/>
        <v>204.93791999999996</v>
      </c>
      <c r="DY114" s="191">
        <f t="shared" si="107"/>
        <v>410.2142399999999</v>
      </c>
      <c r="EA114" s="191">
        <f>EA88*EA102</f>
        <v>123.99263999999999</v>
      </c>
      <c r="EB114" s="191">
        <f>EB88*EB102</f>
        <v>80.583840000000009</v>
      </c>
      <c r="EC114" s="191">
        <f t="shared" si="127"/>
        <v>144.39880000000002</v>
      </c>
      <c r="ED114" s="191">
        <f t="shared" si="127"/>
        <v>212.352</v>
      </c>
      <c r="EE114" s="191">
        <f t="shared" ref="EE114:EE115" si="141">SUM(EA114:ED114)</f>
        <v>561.32727999999997</v>
      </c>
      <c r="EG114" s="191">
        <f>EG88*EG102</f>
        <v>90.417599999999993</v>
      </c>
      <c r="EH114" s="191">
        <f t="shared" ref="EH114:EJ115" si="142">EH88*EH102</f>
        <v>108</v>
      </c>
      <c r="EI114" s="191">
        <f t="shared" si="142"/>
        <v>126</v>
      </c>
      <c r="EJ114" s="191">
        <f t="shared" si="142"/>
        <v>144</v>
      </c>
      <c r="EK114" s="191">
        <f t="shared" si="130"/>
        <v>468.41759999999999</v>
      </c>
      <c r="FO114" s="191">
        <f t="shared" si="84"/>
        <v>371.78970000000004</v>
      </c>
      <c r="FP114" s="191">
        <f t="shared" si="85"/>
        <v>456.40919999999994</v>
      </c>
      <c r="FQ114" s="191">
        <f t="shared" si="86"/>
        <v>363.30199199999998</v>
      </c>
      <c r="FR114" s="191">
        <f t="shared" si="87"/>
        <v>410.2142399999999</v>
      </c>
      <c r="FS114" s="191">
        <f t="shared" si="97"/>
        <v>561.32727999999997</v>
      </c>
      <c r="FT114" s="191">
        <f t="shared" si="88"/>
        <v>468.41759999999999</v>
      </c>
      <c r="FU114" s="191">
        <f t="shared" si="109"/>
        <v>612</v>
      </c>
      <c r="FV114" s="191">
        <f>FV88*FV102</f>
        <v>633.6</v>
      </c>
      <c r="FW114" s="191"/>
      <c r="FX114" s="191"/>
    </row>
    <row r="115" spans="1:184" x14ac:dyDescent="0.25">
      <c r="B115" s="318" t="s">
        <v>259</v>
      </c>
      <c r="D115" s="74"/>
      <c r="E115" s="114"/>
      <c r="F115" s="114"/>
      <c r="H115" s="196"/>
      <c r="J115" s="74"/>
      <c r="K115" s="196"/>
      <c r="L115" s="196"/>
      <c r="M115" s="196"/>
      <c r="N115" s="196"/>
      <c r="O115" s="87"/>
      <c r="P115" s="74"/>
      <c r="Q115" s="196"/>
      <c r="R115" s="196"/>
      <c r="S115" s="196"/>
      <c r="T115" s="196"/>
      <c r="U115" s="87"/>
      <c r="V115" s="88"/>
      <c r="W115" s="196"/>
      <c r="X115" s="196"/>
      <c r="Y115" s="196"/>
      <c r="Z115" s="196"/>
      <c r="AA115" s="87"/>
      <c r="CC115" s="74"/>
      <c r="DC115" s="191">
        <f t="shared" si="138"/>
        <v>654.60299999999995</v>
      </c>
      <c r="DD115" s="191">
        <f t="shared" si="138"/>
        <v>556.71199999999999</v>
      </c>
      <c r="DE115" s="191">
        <f t="shared" si="138"/>
        <v>599.00600000000009</v>
      </c>
      <c r="DF115" s="191">
        <f t="shared" si="138"/>
        <v>791.64800000000002</v>
      </c>
      <c r="DG115" s="191">
        <f t="shared" si="100"/>
        <v>2601.9690000000001</v>
      </c>
      <c r="DI115" s="191">
        <f>DI103*DI89</f>
        <v>611.12800000000004</v>
      </c>
      <c r="DJ115" s="191">
        <f>DJ103*DJ89</f>
        <v>645</v>
      </c>
      <c r="DK115" s="191">
        <f>DK89*DK103</f>
        <v>761.8</v>
      </c>
      <c r="DL115" s="191">
        <f>DL89*DL103</f>
        <v>857.97299999999996</v>
      </c>
      <c r="DM115" s="191">
        <f t="shared" si="103"/>
        <v>2875.9009999999998</v>
      </c>
      <c r="DO115" s="191">
        <f t="shared" si="139"/>
        <v>631.98</v>
      </c>
      <c r="DP115" s="191">
        <f t="shared" si="139"/>
        <v>596.25200000000007</v>
      </c>
      <c r="DQ115" s="191">
        <f t="shared" si="139"/>
        <v>614.16</v>
      </c>
      <c r="DR115" s="191">
        <f t="shared" si="139"/>
        <v>699.52499999999998</v>
      </c>
      <c r="DS115" s="191">
        <f t="shared" si="105"/>
        <v>2541.9169999999999</v>
      </c>
      <c r="DT115" s="191"/>
      <c r="DU115" s="191">
        <f t="shared" si="140"/>
        <v>635.56799999999998</v>
      </c>
      <c r="DV115" s="191">
        <f t="shared" si="140"/>
        <v>755.76900000000001</v>
      </c>
      <c r="DW115" s="191">
        <f t="shared" si="140"/>
        <v>801.476</v>
      </c>
      <c r="DX115" s="191">
        <f t="shared" si="140"/>
        <v>1116.3880000000001</v>
      </c>
      <c r="DY115" s="191">
        <f t="shared" si="107"/>
        <v>3309.201</v>
      </c>
      <c r="EA115" s="191">
        <f>EA89*EA103</f>
        <v>1200.6599999999999</v>
      </c>
      <c r="EB115" s="191">
        <f>EB89*EB103</f>
        <v>1257.3599999999999</v>
      </c>
      <c r="EC115" s="191">
        <f t="shared" si="127"/>
        <v>941.85599999999999</v>
      </c>
      <c r="ED115" s="191">
        <f t="shared" si="127"/>
        <v>1173.7</v>
      </c>
      <c r="EE115" s="191">
        <f t="shared" si="141"/>
        <v>4573.5759999999991</v>
      </c>
      <c r="EG115" s="191">
        <f>EG89*EG103</f>
        <v>1243.75</v>
      </c>
      <c r="EH115" s="191">
        <f t="shared" si="142"/>
        <v>1234.7</v>
      </c>
      <c r="EI115" s="191">
        <f t="shared" si="142"/>
        <v>1106.25</v>
      </c>
      <c r="EJ115" s="191">
        <f t="shared" si="142"/>
        <v>1063.5999999999999</v>
      </c>
      <c r="EK115" s="191">
        <f t="shared" si="130"/>
        <v>4648.2999999999993</v>
      </c>
      <c r="FO115" s="191">
        <f t="shared" si="84"/>
        <v>2601.9690000000001</v>
      </c>
      <c r="FP115" s="191">
        <f t="shared" si="85"/>
        <v>2875.9009999999998</v>
      </c>
      <c r="FQ115" s="191">
        <f t="shared" si="86"/>
        <v>2541.9169999999999</v>
      </c>
      <c r="FR115" s="191">
        <f t="shared" si="87"/>
        <v>3309.201</v>
      </c>
      <c r="FS115" s="191">
        <f t="shared" si="97"/>
        <v>4573.5759999999991</v>
      </c>
      <c r="FT115" s="191">
        <f t="shared" si="88"/>
        <v>4648.2999999999993</v>
      </c>
      <c r="FU115" s="191">
        <f t="shared" si="109"/>
        <v>5910.1279999999997</v>
      </c>
      <c r="FV115" s="191">
        <f>FV89*FV103</f>
        <v>6245.8252348980004</v>
      </c>
      <c r="FW115" s="191"/>
      <c r="FX115" s="191"/>
    </row>
    <row r="116" spans="1:184" x14ac:dyDescent="0.25">
      <c r="D116" s="74"/>
      <c r="E116" s="114"/>
      <c r="F116" s="114"/>
      <c r="H116" s="196"/>
      <c r="J116" s="74"/>
      <c r="K116" s="196"/>
      <c r="L116" s="196"/>
      <c r="M116" s="196"/>
      <c r="N116" s="196"/>
      <c r="O116" s="87"/>
      <c r="P116" s="74"/>
      <c r="Q116" s="196"/>
      <c r="R116" s="196"/>
      <c r="S116" s="196"/>
      <c r="T116" s="196"/>
      <c r="U116" s="87"/>
      <c r="V116" s="88"/>
      <c r="W116" s="196"/>
      <c r="X116" s="196"/>
      <c r="Y116" s="196"/>
      <c r="Z116" s="196"/>
      <c r="AA116" s="87"/>
      <c r="CC116" s="74"/>
      <c r="DC116" s="248">
        <f>DC13</f>
        <v>2352.3999999999996</v>
      </c>
      <c r="DD116" s="248">
        <f>DD13</f>
        <v>2044.6</v>
      </c>
      <c r="DE116" s="248">
        <f>DE13</f>
        <v>2711.4</v>
      </c>
      <c r="DF116" s="248">
        <f>DF13</f>
        <v>2700.6000000000004</v>
      </c>
      <c r="DG116" s="248">
        <f>DG13</f>
        <v>9809</v>
      </c>
      <c r="DI116" s="248">
        <f>DI13</f>
        <v>1730.9999999999995</v>
      </c>
      <c r="DJ116" s="248">
        <f>DJ13</f>
        <v>2664.5</v>
      </c>
      <c r="DK116" s="248">
        <f>DK13</f>
        <v>2993.6999999999994</v>
      </c>
      <c r="DL116" s="248">
        <f>DL13</f>
        <v>3310.8999999999996</v>
      </c>
      <c r="DM116" s="248">
        <f>DM13</f>
        <v>10700.099999999999</v>
      </c>
      <c r="DO116" s="248">
        <f>DO13</f>
        <v>3413.2000000000007</v>
      </c>
      <c r="DP116" s="248">
        <f>DP13</f>
        <v>3544</v>
      </c>
      <c r="DQ116" s="248">
        <f>DQ13</f>
        <v>3461.6</v>
      </c>
      <c r="DR116" s="248">
        <f>DR13</f>
        <v>3717.3</v>
      </c>
      <c r="DS116" s="248">
        <f>DS13</f>
        <v>14136.099999999999</v>
      </c>
      <c r="DT116" s="248"/>
      <c r="DU116" s="248">
        <f>DU13</f>
        <v>2696.6</v>
      </c>
      <c r="DV116" s="248">
        <f>DV13</f>
        <v>3212.1999999999994</v>
      </c>
      <c r="DW116" s="248">
        <f>DW13</f>
        <v>3793.4</v>
      </c>
      <c r="DX116" s="248">
        <f>DX13</f>
        <v>4789.7999999999993</v>
      </c>
      <c r="DY116" s="248">
        <f>SUM(DY106:DY108,DY113:DY115)</f>
        <v>14491.999999999996</v>
      </c>
      <c r="EA116" s="248">
        <f>EA13</f>
        <v>4179.7</v>
      </c>
      <c r="EB116" s="248">
        <f>EB13</f>
        <v>4129.5000000000009</v>
      </c>
      <c r="EC116" s="248">
        <f>EC13</f>
        <v>3880.3</v>
      </c>
      <c r="ED116" s="248">
        <f>SUM(ED107:ED115)</f>
        <v>5107.6395199999997</v>
      </c>
      <c r="EE116" s="248">
        <f>SUM(EE107:EE115)</f>
        <v>17297.139520000001</v>
      </c>
      <c r="EG116" s="248">
        <f>EG13</f>
        <v>4644.6000000000004</v>
      </c>
      <c r="EH116" s="248">
        <f>SUM(EH107:EH115)</f>
        <v>4467.7</v>
      </c>
      <c r="EI116" s="248">
        <f>SUM(EI107:EI115)</f>
        <v>5261</v>
      </c>
      <c r="EJ116" s="248">
        <f>SUM(EJ107:EJ115)</f>
        <v>5419.8249699999978</v>
      </c>
      <c r="EK116" s="248">
        <f>SUM(EK107:EK115)</f>
        <v>19487.903449999998</v>
      </c>
      <c r="FO116" s="248">
        <f t="shared" si="84"/>
        <v>9809</v>
      </c>
      <c r="FP116" s="248">
        <f t="shared" si="85"/>
        <v>10700.099999999999</v>
      </c>
      <c r="FQ116" s="248">
        <f t="shared" si="86"/>
        <v>14136.099999999999</v>
      </c>
      <c r="FR116" s="248">
        <f t="shared" si="87"/>
        <v>14491.999999999996</v>
      </c>
      <c r="FS116" s="248">
        <f>EE116</f>
        <v>17297.139520000001</v>
      </c>
      <c r="FT116" s="248">
        <f t="shared" si="88"/>
        <v>19487.903449999998</v>
      </c>
      <c r="FU116" s="248">
        <f>SUM(FU106:FU115)</f>
        <v>26653.879481</v>
      </c>
      <c r="FV116" s="248">
        <f>SUM(FV106:FV115)</f>
        <v>22762.688046532996</v>
      </c>
      <c r="FW116" s="248">
        <f>SUM(FW106:FW115)</f>
        <v>10729.6</v>
      </c>
      <c r="FX116" s="248">
        <f t="shared" ref="FX116" si="143">SUM(FX106:FX115)</f>
        <v>12615.6</v>
      </c>
    </row>
    <row r="117" spans="1:184" x14ac:dyDescent="0.25">
      <c r="D117" s="74"/>
      <c r="E117" s="114"/>
      <c r="F117" s="114"/>
      <c r="H117" s="196"/>
      <c r="J117" s="74"/>
      <c r="K117" s="196"/>
      <c r="L117" s="196"/>
      <c r="M117" s="196"/>
      <c r="N117" s="196"/>
      <c r="O117" s="87"/>
      <c r="P117" s="74"/>
      <c r="Q117" s="196"/>
      <c r="R117" s="196"/>
      <c r="S117" s="196"/>
      <c r="T117" s="196"/>
      <c r="U117" s="87"/>
      <c r="V117" s="88"/>
      <c r="W117" s="196"/>
      <c r="X117" s="196"/>
      <c r="Y117" s="196"/>
      <c r="Z117" s="196"/>
      <c r="AA117" s="87"/>
      <c r="CC117" s="74"/>
      <c r="DC117" s="188">
        <f>DC116/DC90</f>
        <v>0.5390590985127981</v>
      </c>
      <c r="DD117" s="188">
        <f>DD116/DD90</f>
        <v>0.50858166260385052</v>
      </c>
      <c r="DE117" s="188">
        <f>DE116/DE90</f>
        <v>0.51731440673115447</v>
      </c>
      <c r="DF117" s="188">
        <f>DF116/DF90</f>
        <v>0.54168003851091151</v>
      </c>
      <c r="DG117" s="188">
        <f>DG116/DG90</f>
        <v>0.52705389285906179</v>
      </c>
      <c r="DI117" s="188">
        <f>DI116/DI90</f>
        <v>0.48975780896333176</v>
      </c>
      <c r="DJ117" s="188">
        <f>DJ116/DJ90</f>
        <v>0.49065463585305219</v>
      </c>
      <c r="DK117" s="188">
        <f>DK116/DK90</f>
        <v>0.51809355692850834</v>
      </c>
      <c r="DL117" s="188">
        <f>DL116/DL90</f>
        <v>0.51489844794874184</v>
      </c>
      <c r="DM117" s="188">
        <f>DM116/DM90</f>
        <v>0.50535577658760522</v>
      </c>
      <c r="DO117" s="188">
        <f>DO116/DO90</f>
        <v>0.50593598750605517</v>
      </c>
      <c r="DP117" s="188">
        <f>DP116/DP90</f>
        <v>0.51345479011738615</v>
      </c>
      <c r="DQ117" s="188">
        <f>DQ116/DQ90</f>
        <v>0.51874719016933912</v>
      </c>
      <c r="DR117" s="188">
        <f>DR116/DR90</f>
        <v>0.51365206577311029</v>
      </c>
      <c r="DS117" s="188">
        <f>DS116/DS90</f>
        <v>0.51294749644312099</v>
      </c>
      <c r="DT117" s="188"/>
      <c r="DU117" s="188">
        <f>DU116/DU90</f>
        <v>0.50975425330812851</v>
      </c>
      <c r="DV117" s="188">
        <f>DV116/DV90</f>
        <v>0.51454475555840329</v>
      </c>
      <c r="DW117" s="188">
        <f>DW116/DW90</f>
        <v>0.50800155343966358</v>
      </c>
      <c r="DX117" s="188">
        <f>DX116/DX90</f>
        <v>0.51710066070734551</v>
      </c>
      <c r="DY117" s="188">
        <f>DY116/DY90</f>
        <v>0.51275700653506884</v>
      </c>
      <c r="EA117" s="188">
        <f>EA116/EA90</f>
        <v>0.53990828650778266</v>
      </c>
      <c r="EB117" s="188">
        <f>EB116/EB90</f>
        <v>0.53687741331565209</v>
      </c>
      <c r="EC117" s="188">
        <f>EC116/EC90</f>
        <v>0.51626673280046664</v>
      </c>
      <c r="ED117" s="188">
        <f>ED116/ED90</f>
        <v>0.52558546202922407</v>
      </c>
      <c r="EE117" s="188">
        <f>EE116/EE90</f>
        <v>0.52949439432905276</v>
      </c>
      <c r="EG117" s="188">
        <f>EG116/EG90</f>
        <v>0.5298123538470314</v>
      </c>
      <c r="EH117" s="188">
        <f>EH116/EH90</f>
        <v>0.53573398565844066</v>
      </c>
      <c r="EI117" s="188">
        <f>EI116/EI90</f>
        <v>0.51870840522553607</v>
      </c>
      <c r="EJ117" s="188">
        <f>EJ116/EJ90</f>
        <v>0.519877562961652</v>
      </c>
      <c r="EK117" s="188">
        <f>EK116/EK90</f>
        <v>0.51728281970435797</v>
      </c>
      <c r="FO117" s="188">
        <f t="shared" ref="FO117:FX117" si="144">FO116/FO90</f>
        <v>0.52705389285906179</v>
      </c>
      <c r="FP117" s="188">
        <f t="shared" si="144"/>
        <v>0.50535577658760522</v>
      </c>
      <c r="FQ117" s="188">
        <f t="shared" si="144"/>
        <v>0.51294749644312099</v>
      </c>
      <c r="FR117" s="188">
        <f t="shared" si="144"/>
        <v>0.51275700653506884</v>
      </c>
      <c r="FS117" s="188">
        <f t="shared" si="144"/>
        <v>0.52949439432905276</v>
      </c>
      <c r="FT117" s="188">
        <f t="shared" si="144"/>
        <v>0.51728281970435797</v>
      </c>
      <c r="FU117" s="188">
        <f t="shared" si="144"/>
        <v>0.55515097472858088</v>
      </c>
      <c r="FV117" s="188">
        <f t="shared" si="144"/>
        <v>0.55120243862544271</v>
      </c>
      <c r="FW117" s="188">
        <f t="shared" ca="1" si="144"/>
        <v>0.46298166127292345</v>
      </c>
      <c r="FX117" s="188">
        <f t="shared" ca="1" si="144"/>
        <v>0.46655325443786982</v>
      </c>
    </row>
    <row r="118" spans="1:184" x14ac:dyDescent="0.25">
      <c r="D118" s="74"/>
      <c r="E118" s="114"/>
      <c r="F118" s="114"/>
      <c r="H118" s="196"/>
      <c r="J118" s="74"/>
      <c r="K118" s="196"/>
      <c r="L118" s="196"/>
      <c r="M118" s="196"/>
      <c r="N118" s="196"/>
      <c r="O118" s="87"/>
      <c r="P118" s="74"/>
      <c r="Q118" s="196"/>
      <c r="R118" s="196"/>
      <c r="S118" s="196"/>
      <c r="T118" s="196"/>
      <c r="U118" s="87"/>
      <c r="V118" s="88"/>
      <c r="W118" s="196"/>
      <c r="X118" s="196"/>
      <c r="Y118" s="196"/>
      <c r="Z118" s="196"/>
      <c r="AA118" s="87"/>
      <c r="CC118" s="74"/>
      <c r="DU118" s="201"/>
      <c r="DV118" s="201"/>
      <c r="DW118" s="201"/>
      <c r="DX118" s="201"/>
      <c r="DY118" s="201"/>
      <c r="EA118" s="201"/>
      <c r="EB118" s="201"/>
      <c r="EC118" s="201"/>
      <c r="ED118" s="201"/>
      <c r="EE118" s="201"/>
      <c r="EG118" s="201"/>
      <c r="EH118" s="201"/>
      <c r="EI118" s="201"/>
      <c r="EJ118" s="201"/>
      <c r="EK118" s="201"/>
    </row>
    <row r="119" spans="1:184" x14ac:dyDescent="0.25">
      <c r="D119" s="74"/>
      <c r="E119" s="114"/>
      <c r="F119" s="114"/>
      <c r="H119" s="196"/>
      <c r="J119" s="74"/>
      <c r="K119" s="196"/>
      <c r="L119" s="196"/>
      <c r="M119" s="196"/>
      <c r="N119" s="196"/>
      <c r="O119" s="87"/>
      <c r="P119" s="74"/>
      <c r="Q119" s="196"/>
      <c r="R119" s="196"/>
      <c r="S119" s="196"/>
      <c r="T119" s="196"/>
      <c r="U119" s="87"/>
      <c r="V119" s="88"/>
      <c r="W119" s="196"/>
      <c r="X119" s="196"/>
      <c r="Y119" s="196"/>
      <c r="Z119" s="196"/>
      <c r="AA119" s="87"/>
      <c r="CC119" s="74"/>
    </row>
    <row r="120" spans="1:184" hidden="1" outlineLevel="1" x14ac:dyDescent="0.25">
      <c r="D120" s="74"/>
      <c r="E120" s="114"/>
      <c r="F120" s="114"/>
      <c r="H120" s="196"/>
      <c r="J120" s="74"/>
      <c r="K120" s="196"/>
      <c r="L120" s="196"/>
      <c r="M120" s="196"/>
      <c r="N120" s="196"/>
      <c r="O120" s="87"/>
      <c r="P120" s="74"/>
      <c r="Q120" s="196"/>
      <c r="R120" s="196"/>
      <c r="S120" s="196"/>
      <c r="T120" s="196"/>
      <c r="U120" s="87"/>
      <c r="V120" s="88"/>
      <c r="W120" s="196"/>
      <c r="X120" s="196"/>
      <c r="Y120" s="196"/>
      <c r="Z120" s="196"/>
      <c r="AA120" s="87"/>
      <c r="CC120" s="74"/>
    </row>
    <row r="121" spans="1:184" hidden="1" outlineLevel="1" x14ac:dyDescent="0.25">
      <c r="B121" s="277" t="s">
        <v>398</v>
      </c>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c r="AJ121" s="74"/>
      <c r="AK121" s="74"/>
      <c r="AL121" s="74"/>
      <c r="AM121" s="74"/>
      <c r="AN121" s="74"/>
      <c r="AO121" s="74"/>
      <c r="AP121" s="74"/>
      <c r="AQ121" s="74"/>
      <c r="AR121" s="74"/>
      <c r="AS121" s="74"/>
      <c r="AT121" s="74"/>
      <c r="AU121" s="74"/>
      <c r="AV121" s="74"/>
      <c r="AW121" s="74"/>
      <c r="AX121" s="74"/>
      <c r="AY121" s="74"/>
      <c r="AZ121" s="74"/>
      <c r="BA121" s="74"/>
      <c r="BB121" s="74"/>
      <c r="BC121" s="74"/>
      <c r="BD121" s="74"/>
      <c r="BE121" s="74"/>
      <c r="BF121" s="74"/>
      <c r="BG121" s="74"/>
      <c r="BH121" s="74"/>
      <c r="BI121" s="74"/>
      <c r="BJ121" s="74"/>
      <c r="BK121" s="74"/>
      <c r="BL121" s="74"/>
      <c r="BM121" s="74"/>
      <c r="BN121" s="74"/>
      <c r="BO121" s="74"/>
      <c r="BP121" s="74"/>
      <c r="BQ121" s="74"/>
      <c r="BR121" s="74"/>
      <c r="BS121" s="74"/>
      <c r="BT121" s="74"/>
      <c r="BU121" s="74"/>
      <c r="BV121" s="74"/>
      <c r="BW121" s="74"/>
      <c r="BX121" s="74"/>
      <c r="BY121" s="74"/>
      <c r="BZ121" s="74"/>
      <c r="CA121" s="74"/>
      <c r="CB121" s="74"/>
      <c r="CC121" s="74"/>
      <c r="CD121" s="74"/>
      <c r="CE121" s="74"/>
      <c r="CF121" s="74"/>
      <c r="CG121" s="74"/>
      <c r="CH121" s="74"/>
      <c r="CI121" s="74"/>
      <c r="CJ121" s="74"/>
      <c r="CK121" s="74"/>
      <c r="CL121" s="74"/>
      <c r="CM121" s="74"/>
      <c r="CN121" s="74"/>
      <c r="CO121" s="74"/>
      <c r="CP121" s="74"/>
      <c r="CQ121" s="74"/>
      <c r="CR121" s="74"/>
      <c r="CS121" s="74"/>
      <c r="CT121" s="74"/>
      <c r="CU121" s="74"/>
      <c r="CV121" s="74"/>
      <c r="CW121" s="74"/>
      <c r="CX121" s="74"/>
      <c r="CY121" s="74"/>
      <c r="CZ121" s="74"/>
      <c r="DA121" s="74"/>
      <c r="DB121" s="74"/>
      <c r="DC121" s="74"/>
      <c r="DD121" s="74"/>
      <c r="DE121" s="74"/>
      <c r="DF121" s="74"/>
      <c r="DG121" s="74"/>
      <c r="DH121" s="74"/>
      <c r="DU121" s="74"/>
      <c r="DV121" s="74"/>
      <c r="DW121" s="74"/>
      <c r="DX121" s="74"/>
      <c r="DY121" s="74"/>
      <c r="DZ121" s="74"/>
      <c r="EA121" s="74"/>
      <c r="EB121" s="74"/>
      <c r="EC121" s="74"/>
      <c r="ED121" s="74"/>
      <c r="EE121" s="74"/>
      <c r="EF121" s="74"/>
      <c r="EG121" s="74"/>
      <c r="EH121" s="74"/>
      <c r="EI121" s="74"/>
      <c r="EJ121" s="74"/>
      <c r="EK121" s="74"/>
      <c r="EL121" s="74"/>
      <c r="EM121" s="74"/>
      <c r="EN121" s="74"/>
      <c r="EO121" s="74"/>
      <c r="EP121" s="74"/>
      <c r="EQ121" s="74"/>
      <c r="ER121" s="74"/>
      <c r="ES121" s="74"/>
      <c r="ET121" s="74"/>
      <c r="EX121" s="74"/>
      <c r="EY121" s="74"/>
      <c r="EZ121" s="74"/>
      <c r="FA121" s="74"/>
      <c r="FB121" s="74"/>
      <c r="FC121" s="74"/>
      <c r="FD121" s="74"/>
      <c r="FE121" s="74"/>
      <c r="FF121" s="74"/>
      <c r="FG121" s="74"/>
      <c r="FH121" s="74"/>
      <c r="FI121" s="74"/>
      <c r="FJ121" s="74"/>
      <c r="FK121" s="74"/>
      <c r="FL121" s="74"/>
      <c r="FM121" s="74"/>
      <c r="FN121" s="74"/>
      <c r="FO121" s="74"/>
    </row>
    <row r="122" spans="1:184" hidden="1" outlineLevel="1" x14ac:dyDescent="0.25">
      <c r="A122" s="74"/>
      <c r="B122" s="139" t="s">
        <v>241</v>
      </c>
      <c r="C122" s="74"/>
      <c r="D122" s="74"/>
      <c r="E122" s="114"/>
      <c r="F122" s="114"/>
      <c r="H122" s="196"/>
      <c r="J122" s="74"/>
      <c r="K122" s="196"/>
      <c r="L122" s="196"/>
      <c r="M122" s="196"/>
      <c r="N122" s="196"/>
      <c r="O122" s="87"/>
      <c r="P122" s="74"/>
      <c r="Q122" s="196"/>
      <c r="R122" s="196"/>
      <c r="S122" s="196"/>
      <c r="T122" s="196"/>
      <c r="U122" s="87"/>
      <c r="V122" s="88"/>
      <c r="W122" s="196"/>
      <c r="X122" s="196"/>
      <c r="Y122" s="196"/>
      <c r="Z122" s="196"/>
      <c r="AA122" s="87"/>
      <c r="CC122" s="88"/>
      <c r="CE122" s="77">
        <f>Sales!CE46</f>
        <v>0</v>
      </c>
      <c r="CF122" s="77">
        <f>Sales!CF46</f>
        <v>0</v>
      </c>
      <c r="CG122" s="77">
        <f>Sales!CG46</f>
        <v>0</v>
      </c>
      <c r="CH122" s="77">
        <f>Sales!CH46</f>
        <v>0</v>
      </c>
      <c r="CI122" s="77">
        <f>SUM(CH122,CG122,CF122,CE122)</f>
        <v>0</v>
      </c>
      <c r="CK122" s="77">
        <f>Sales!CK46</f>
        <v>0</v>
      </c>
      <c r="CL122" s="77">
        <f>Sales!CL46</f>
        <v>0</v>
      </c>
      <c r="CM122" s="77">
        <f>Sales!CM46</f>
        <v>0</v>
      </c>
      <c r="CN122" s="77">
        <f>Sales!CN46</f>
        <v>0</v>
      </c>
      <c r="CO122" s="77">
        <f>SUM(CN122,CM122,CL122,CK122)</f>
        <v>0</v>
      </c>
      <c r="CQ122" s="77">
        <f>Sales!CQ46</f>
        <v>0</v>
      </c>
      <c r="CR122" s="77">
        <f>Sales!CR46</f>
        <v>0</v>
      </c>
      <c r="CS122" s="77">
        <f>Sales!CS46</f>
        <v>0</v>
      </c>
      <c r="CT122" s="77">
        <f>Sales!CT46</f>
        <v>0</v>
      </c>
      <c r="CU122" s="77">
        <f>SUM(CT122,CS122,CR122,CQ122)</f>
        <v>0</v>
      </c>
      <c r="CW122" s="77">
        <f>Sales!CW46</f>
        <v>0</v>
      </c>
      <c r="CX122" s="77">
        <f>Sales!CX46</f>
        <v>0</v>
      </c>
      <c r="CY122" s="77">
        <f>Sales!CY46</f>
        <v>0</v>
      </c>
      <c r="CZ122" s="77">
        <f>Sales!CZ46</f>
        <v>0</v>
      </c>
      <c r="DA122" s="77">
        <f>SUM(CZ122,CY122,CX122,CW122)</f>
        <v>0</v>
      </c>
      <c r="DC122" s="77">
        <f>Sales!DC46</f>
        <v>0</v>
      </c>
      <c r="DD122" s="77">
        <f>Sales!DD46</f>
        <v>0</v>
      </c>
      <c r="DE122" s="77">
        <f>Sales!DE46</f>
        <v>0</v>
      </c>
      <c r="DF122" s="77">
        <f>Sales!DF46</f>
        <v>0</v>
      </c>
      <c r="DG122" s="77">
        <f>SUM(DF122,DE122,DD122,DC122)</f>
        <v>0</v>
      </c>
      <c r="FG122" s="77"/>
      <c r="FH122" s="77"/>
      <c r="FI122" s="77"/>
      <c r="FJ122" s="77"/>
      <c r="FK122" s="77">
        <f>CI122</f>
        <v>0</v>
      </c>
      <c r="FL122" s="77">
        <f>CO122</f>
        <v>0</v>
      </c>
      <c r="FM122" s="191">
        <f>CU122</f>
        <v>0</v>
      </c>
      <c r="FN122" s="191">
        <f>DA122</f>
        <v>0</v>
      </c>
      <c r="FO122" s="191">
        <f>DG122</f>
        <v>0</v>
      </c>
      <c r="GB122" s="180" t="s">
        <v>240</v>
      </c>
    </row>
    <row r="123" spans="1:184" hidden="1" outlineLevel="1" x14ac:dyDescent="0.25">
      <c r="A123" s="74"/>
      <c r="B123" s="139" t="s">
        <v>239</v>
      </c>
      <c r="C123" s="74"/>
      <c r="D123" s="74"/>
      <c r="E123" s="114"/>
      <c r="F123" s="114"/>
      <c r="H123" s="77"/>
      <c r="J123" s="74"/>
      <c r="K123" s="77"/>
      <c r="L123" s="77"/>
      <c r="M123" s="77"/>
      <c r="N123" s="77"/>
      <c r="O123" s="87"/>
      <c r="P123" s="74"/>
      <c r="Q123" s="77"/>
      <c r="R123" s="77"/>
      <c r="S123" s="77"/>
      <c r="T123" s="77"/>
      <c r="U123" s="87"/>
      <c r="V123" s="88"/>
      <c r="W123" s="77"/>
      <c r="X123" s="77"/>
      <c r="Y123" s="77"/>
      <c r="Z123" s="77"/>
      <c r="AA123" s="87"/>
      <c r="CE123" s="77">
        <f>Sales!CE46</f>
        <v>0</v>
      </c>
      <c r="CF123" s="77">
        <f>Sales!CF46</f>
        <v>0</v>
      </c>
      <c r="CG123" s="77">
        <f>Sales!CG46</f>
        <v>0</v>
      </c>
      <c r="CH123" s="77">
        <f>Sales!CH46</f>
        <v>0</v>
      </c>
      <c r="CI123" s="77">
        <f>SUM(CH123,CG123,CF123,CE123)</f>
        <v>0</v>
      </c>
      <c r="CK123" s="77">
        <f>Sales!CK46</f>
        <v>0</v>
      </c>
      <c r="CL123" s="77">
        <f>Sales!CL46</f>
        <v>0</v>
      </c>
      <c r="CM123" s="77">
        <f>Sales!CM46</f>
        <v>0</v>
      </c>
      <c r="CN123" s="77">
        <f>Sales!CN46</f>
        <v>0</v>
      </c>
      <c r="CO123" s="77">
        <f>SUM(CN123,CM123,CL123,CK123)</f>
        <v>0</v>
      </c>
      <c r="CQ123" s="77">
        <f>Sales!CQ46</f>
        <v>0</v>
      </c>
      <c r="CR123" s="77">
        <f>Sales!CR46</f>
        <v>0</v>
      </c>
      <c r="CS123" s="77">
        <f>Sales!CS46</f>
        <v>0</v>
      </c>
      <c r="CT123" s="77">
        <f>Sales!CT46</f>
        <v>0</v>
      </c>
      <c r="CU123" s="77">
        <f>SUM(CT123,CS123,CR123,CQ123)</f>
        <v>0</v>
      </c>
      <c r="CW123" s="77">
        <f>Sales!CW46</f>
        <v>0</v>
      </c>
      <c r="CX123" s="77">
        <f>Sales!CX46</f>
        <v>0</v>
      </c>
      <c r="CY123" s="77">
        <f>Sales!CY46</f>
        <v>0</v>
      </c>
      <c r="CZ123" s="77">
        <f>Sales!CZ46</f>
        <v>0</v>
      </c>
      <c r="DA123" s="77">
        <f>SUM(CZ123,CY123,CX123,CW123)</f>
        <v>0</v>
      </c>
      <c r="DC123" s="77">
        <f>Sales!DC46</f>
        <v>0</v>
      </c>
      <c r="DD123" s="77">
        <f>Sales!DD46</f>
        <v>0</v>
      </c>
      <c r="DE123" s="77">
        <f>Sales!DE46</f>
        <v>0</v>
      </c>
      <c r="DF123" s="77">
        <f>Sales!DF46</f>
        <v>0</v>
      </c>
      <c r="DG123" s="77">
        <f>SUM(DF123,DE123,DD123,DC123)</f>
        <v>0</v>
      </c>
      <c r="FG123" s="77"/>
      <c r="FH123" s="77"/>
      <c r="FI123" s="77"/>
      <c r="FJ123" s="77"/>
      <c r="FK123" s="77">
        <f>CI123</f>
        <v>0</v>
      </c>
      <c r="FL123" s="77">
        <f>CO123</f>
        <v>0</v>
      </c>
      <c r="FM123" s="191">
        <f>CU123</f>
        <v>0</v>
      </c>
      <c r="FN123" s="191">
        <f>DA123</f>
        <v>0</v>
      </c>
      <c r="FO123" s="191">
        <f>DG123</f>
        <v>0</v>
      </c>
    </row>
    <row r="124" spans="1:184" hidden="1" outlineLevel="1" x14ac:dyDescent="0.25">
      <c r="A124" s="74"/>
      <c r="B124" s="138" t="s">
        <v>238</v>
      </c>
      <c r="C124" s="74"/>
      <c r="D124" s="74"/>
      <c r="E124" s="114"/>
      <c r="F124" s="114"/>
      <c r="H124" s="77"/>
      <c r="J124" s="74"/>
      <c r="K124" s="77"/>
      <c r="L124" s="77"/>
      <c r="M124" s="77"/>
      <c r="N124" s="77"/>
      <c r="O124" s="87"/>
      <c r="P124" s="74"/>
      <c r="Q124" s="77"/>
      <c r="R124" s="77"/>
      <c r="S124" s="77"/>
      <c r="T124" s="77"/>
      <c r="U124" s="87"/>
      <c r="V124" s="88"/>
      <c r="W124" s="77"/>
      <c r="X124" s="77"/>
      <c r="Y124" s="77"/>
      <c r="Z124" s="77"/>
      <c r="AA124" s="87"/>
      <c r="CE124" s="76">
        <f>Sales!CE47</f>
        <v>0</v>
      </c>
      <c r="CF124" s="76">
        <f>Sales!CF47</f>
        <v>221.45599999999999</v>
      </c>
      <c r="CG124" s="76">
        <f>Sales!CG47</f>
        <v>381.96899999999999</v>
      </c>
      <c r="CH124" s="76">
        <f>Sales!CH47</f>
        <v>488.72500000000002</v>
      </c>
      <c r="CI124" s="76">
        <f>SUM(CH124,CG124,CF124,CE124)</f>
        <v>1092.1499999999999</v>
      </c>
      <c r="CK124" s="76">
        <f>Sales!CK47</f>
        <v>116.73900000000002</v>
      </c>
      <c r="CL124" s="76">
        <f>Sales!CL47</f>
        <v>667.68000000000006</v>
      </c>
      <c r="CM124" s="76">
        <f>Sales!CM47</f>
        <v>520.15</v>
      </c>
      <c r="CN124" s="76">
        <f>Sales!CN47</f>
        <v>581.83199999999999</v>
      </c>
      <c r="CO124" s="76">
        <f>SUM(CN124,CM124,CL124,CK124)</f>
        <v>1886.4010000000001</v>
      </c>
      <c r="CQ124" s="76">
        <f>Sales!CQ47</f>
        <v>371.58</v>
      </c>
      <c r="CR124" s="76">
        <f>Sales!CR47</f>
        <v>758.82799999999997</v>
      </c>
      <c r="CS124" s="76">
        <f>Sales!CS47</f>
        <v>744.19200000000001</v>
      </c>
      <c r="CT124" s="76">
        <f>Sales!CT47</f>
        <v>907.90299999999991</v>
      </c>
      <c r="CU124" s="76">
        <f>SUM(CT124,CS124,CR124,CQ124)</f>
        <v>2782.5029999999997</v>
      </c>
      <c r="CW124" s="76">
        <f>Sales!CW47</f>
        <v>348.48</v>
      </c>
      <c r="CX124" s="76">
        <f>Sales!CX47</f>
        <v>951.05399999999997</v>
      </c>
      <c r="CY124" s="76">
        <f>Sales!CY47</f>
        <v>2043.096</v>
      </c>
      <c r="CZ124" s="76">
        <f>Sales!CZ47</f>
        <v>1151.3879999999999</v>
      </c>
      <c r="DA124" s="76">
        <f>SUM(CZ124,CY124,CX124,CW124)</f>
        <v>4494.018</v>
      </c>
      <c r="DC124" s="76">
        <f>Sales!DC47</f>
        <v>1126.3679999999999</v>
      </c>
      <c r="DD124" s="76">
        <f>Sales!DD47</f>
        <v>1327.32</v>
      </c>
      <c r="DE124" s="76">
        <f>Sales!DE47</f>
        <v>2219.9940000000001</v>
      </c>
      <c r="DF124" s="76">
        <f>Sales!DF47</f>
        <v>1593.0719999999999</v>
      </c>
      <c r="DG124" s="76">
        <f>SUM(DF124,DE124,DD124,DC124)</f>
        <v>6266.753999999999</v>
      </c>
      <c r="FG124" s="77"/>
      <c r="FH124" s="77"/>
      <c r="FI124" s="77"/>
      <c r="FJ124" s="77"/>
      <c r="FK124" s="152">
        <f>CI124</f>
        <v>1092.1499999999999</v>
      </c>
      <c r="FL124" s="152">
        <f>CO124</f>
        <v>1886.4010000000001</v>
      </c>
      <c r="FM124" s="246">
        <f>CU124</f>
        <v>2782.5029999999997</v>
      </c>
      <c r="FN124" s="246">
        <f>DA124</f>
        <v>4494.018</v>
      </c>
      <c r="FO124" s="246">
        <f>DG124</f>
        <v>6266.753999999999</v>
      </c>
    </row>
    <row r="125" spans="1:184" hidden="1" outlineLevel="1" x14ac:dyDescent="0.25">
      <c r="B125" s="203" t="s">
        <v>237</v>
      </c>
      <c r="D125" s="74"/>
      <c r="E125" s="114"/>
      <c r="F125" s="114"/>
      <c r="H125" s="196"/>
      <c r="J125" s="74"/>
      <c r="K125" s="196"/>
      <c r="L125" s="196"/>
      <c r="M125" s="196"/>
      <c r="N125" s="196"/>
      <c r="O125" s="87"/>
      <c r="P125" s="74"/>
      <c r="Q125" s="196"/>
      <c r="R125" s="196"/>
      <c r="S125" s="196"/>
      <c r="T125" s="196"/>
      <c r="U125" s="87"/>
      <c r="V125" s="88"/>
      <c r="W125" s="196"/>
      <c r="X125" s="196"/>
      <c r="Y125" s="196"/>
      <c r="Z125" s="196"/>
      <c r="AA125" s="87"/>
      <c r="BM125" s="196" t="e">
        <f>Sales!#REF!</f>
        <v>#REF!</v>
      </c>
      <c r="BN125" s="196" t="e">
        <f>Sales!#REF!</f>
        <v>#REF!</v>
      </c>
      <c r="BO125" s="196" t="e">
        <f>Sales!#REF!</f>
        <v>#REF!</v>
      </c>
      <c r="BP125" s="196" t="e">
        <f>Sales!#REF!</f>
        <v>#REF!</v>
      </c>
      <c r="BQ125" s="196" t="e">
        <f>SUM(BP125,BO125,BN125,BM125)</f>
        <v>#REF!</v>
      </c>
      <c r="BS125" s="196" t="e">
        <f>Sales!#REF!</f>
        <v>#REF!</v>
      </c>
      <c r="BT125" s="196" t="e">
        <f>Sales!#REF!</f>
        <v>#REF!</v>
      </c>
      <c r="BU125" s="196" t="e">
        <f>Sales!#REF!</f>
        <v>#REF!</v>
      </c>
      <c r="BV125" s="196" t="e">
        <f>Sales!#REF!</f>
        <v>#REF!</v>
      </c>
      <c r="BW125" s="196" t="e">
        <f>SUM(BV125,BU125,BT125,BS125)</f>
        <v>#REF!</v>
      </c>
      <c r="BY125" s="196" t="e">
        <f>Sales!#REF!</f>
        <v>#REF!</v>
      </c>
      <c r="BZ125" s="196" t="e">
        <f>Sales!#REF!</f>
        <v>#REF!</v>
      </c>
      <c r="CA125" s="196" t="e">
        <f>Sales!#REF!</f>
        <v>#REF!</v>
      </c>
      <c r="CB125" s="196" t="e">
        <f>Sales!#REF!</f>
        <v>#REF!</v>
      </c>
      <c r="CC125" s="196" t="e">
        <f>SUM(CB125,CA125,BZ125,BY125)</f>
        <v>#REF!</v>
      </c>
      <c r="CE125" s="196">
        <f>SUM(CE122:CE124)</f>
        <v>0</v>
      </c>
      <c r="CF125" s="196">
        <f>SUM(CF122:CF124)</f>
        <v>221.45599999999999</v>
      </c>
      <c r="CG125" s="196">
        <f>SUM(CG122:CG124)</f>
        <v>381.96899999999999</v>
      </c>
      <c r="CH125" s="196">
        <f>SUM(CH122:CH124)</f>
        <v>488.72500000000002</v>
      </c>
      <c r="CI125" s="196">
        <f>SUM(CI122:CI124)</f>
        <v>1092.1499999999999</v>
      </c>
      <c r="CK125" s="196">
        <f>SUM(CK122:CK124)</f>
        <v>116.73900000000002</v>
      </c>
      <c r="CL125" s="196">
        <f>SUM(CL122:CL124)</f>
        <v>667.68000000000006</v>
      </c>
      <c r="CM125" s="196">
        <f>SUM(CM122:CM124)</f>
        <v>520.15</v>
      </c>
      <c r="CN125" s="196">
        <f>SUM(CN122:CN124)</f>
        <v>581.83199999999999</v>
      </c>
      <c r="CO125" s="196">
        <f>SUM(CO122:CO124)</f>
        <v>1886.4010000000001</v>
      </c>
      <c r="CQ125" s="196">
        <f>SUM(CQ122:CQ124)</f>
        <v>371.58</v>
      </c>
      <c r="CR125" s="196">
        <f>SUM(CR122:CR124)</f>
        <v>758.82799999999997</v>
      </c>
      <c r="CS125" s="196">
        <f>SUM(CS122:CS124)</f>
        <v>744.19200000000001</v>
      </c>
      <c r="CT125" s="196">
        <f>SUM(CT122:CT124)</f>
        <v>907.90299999999991</v>
      </c>
      <c r="CU125" s="196">
        <f>SUM(CU122:CU124)</f>
        <v>2782.5029999999997</v>
      </c>
      <c r="CW125" s="196">
        <f>SUM(CW122:CW124)</f>
        <v>348.48</v>
      </c>
      <c r="CX125" s="196">
        <f>SUM(CX122:CX124)</f>
        <v>951.05399999999997</v>
      </c>
      <c r="CY125" s="196">
        <f>SUM(CY122:CY124)</f>
        <v>2043.096</v>
      </c>
      <c r="CZ125" s="196">
        <f>SUM(CZ122:CZ124)</f>
        <v>1151.3879999999999</v>
      </c>
      <c r="DA125" s="196">
        <f>SUM(DA122:DA124)</f>
        <v>4494.018</v>
      </c>
      <c r="DC125" s="196">
        <f>SUM(DC122:DC124)</f>
        <v>1126.3679999999999</v>
      </c>
      <c r="DD125" s="196">
        <f>SUM(DD122:DD124)</f>
        <v>1327.32</v>
      </c>
      <c r="DE125" s="196">
        <f>SUM(DE122:DE124)</f>
        <v>2219.9940000000001</v>
      </c>
      <c r="DF125" s="196">
        <f>SUM(DF122:DF124)</f>
        <v>1593.0719999999999</v>
      </c>
      <c r="DG125" s="196">
        <f>SUM(DG122:DG124)</f>
        <v>6266.753999999999</v>
      </c>
      <c r="FG125" s="196"/>
      <c r="FH125" s="196"/>
      <c r="FI125" s="196"/>
      <c r="FJ125" s="196"/>
      <c r="FK125" s="196">
        <f>SUM(FK122:FK124)</f>
        <v>1092.1499999999999</v>
      </c>
      <c r="FL125" s="196">
        <f>SUM(FL122:FL124)</f>
        <v>1886.4010000000001</v>
      </c>
      <c r="FM125" s="196">
        <f>SUM(FM122:FM124)</f>
        <v>2782.5029999999997</v>
      </c>
      <c r="FN125" s="196">
        <f>SUM(FN122:FN124)</f>
        <v>4494.018</v>
      </c>
      <c r="FO125" s="196">
        <f>SUM(FO122:FO124)</f>
        <v>6266.753999999999</v>
      </c>
      <c r="GB125" s="180" t="s">
        <v>236</v>
      </c>
    </row>
    <row r="126" spans="1:184" hidden="1" outlineLevel="1" x14ac:dyDescent="0.25">
      <c r="B126" s="203"/>
      <c r="D126" s="74"/>
      <c r="E126" s="114"/>
      <c r="F126" s="114"/>
      <c r="H126" s="196"/>
      <c r="J126" s="74"/>
      <c r="K126" s="196"/>
      <c r="L126" s="196"/>
      <c r="M126" s="196"/>
      <c r="N126" s="196"/>
      <c r="O126" s="87"/>
      <c r="P126" s="74"/>
      <c r="Q126" s="196"/>
      <c r="R126" s="196"/>
      <c r="S126" s="196"/>
      <c r="T126" s="196"/>
      <c r="U126" s="87"/>
      <c r="V126" s="88"/>
      <c r="W126" s="196"/>
      <c r="X126" s="196"/>
      <c r="Y126" s="196"/>
      <c r="Z126" s="196"/>
      <c r="AA126" s="87"/>
      <c r="BM126" s="196"/>
      <c r="BN126" s="196"/>
      <c r="BO126" s="196"/>
      <c r="BP126" s="196"/>
      <c r="BQ126" s="196"/>
      <c r="BS126" s="196"/>
      <c r="BT126" s="196"/>
      <c r="BU126" s="196"/>
      <c r="BV126" s="196"/>
      <c r="BW126" s="196"/>
      <c r="BY126" s="196"/>
      <c r="BZ126" s="196"/>
      <c r="CA126" s="196"/>
      <c r="CB126" s="196"/>
      <c r="CC126" s="196"/>
      <c r="CE126" s="196"/>
      <c r="CF126" s="196"/>
      <c r="CG126" s="196"/>
      <c r="CH126" s="196"/>
      <c r="CI126" s="196"/>
      <c r="CK126" s="196"/>
      <c r="CL126" s="196"/>
      <c r="CM126" s="196"/>
      <c r="CN126" s="196"/>
      <c r="CO126" s="196"/>
      <c r="CQ126" s="196"/>
      <c r="CR126" s="196"/>
      <c r="CS126" s="196"/>
      <c r="CT126" s="196"/>
      <c r="CU126" s="196"/>
      <c r="CW126" s="196"/>
      <c r="CX126" s="196"/>
      <c r="CY126" s="196"/>
      <c r="CZ126" s="196"/>
      <c r="DA126" s="196"/>
      <c r="DC126" s="196"/>
      <c r="DD126" s="196"/>
      <c r="DE126" s="196"/>
      <c r="DF126" s="196"/>
      <c r="DG126" s="196"/>
      <c r="FG126" s="77"/>
      <c r="FH126" s="77"/>
      <c r="FI126" s="77"/>
      <c r="FJ126" s="77"/>
      <c r="FK126" s="77"/>
      <c r="FL126" s="77"/>
      <c r="FM126" s="196"/>
      <c r="FN126" s="196"/>
      <c r="GB126" s="180" t="s">
        <v>235</v>
      </c>
    </row>
    <row r="127" spans="1:184" hidden="1" outlineLevel="1" x14ac:dyDescent="0.25">
      <c r="B127" s="139" t="s">
        <v>234</v>
      </c>
      <c r="D127" s="74"/>
      <c r="E127" s="114"/>
      <c r="F127" s="114"/>
      <c r="H127" s="196"/>
      <c r="J127" s="74"/>
      <c r="K127" s="196"/>
      <c r="L127" s="196"/>
      <c r="M127" s="196"/>
      <c r="N127" s="196"/>
      <c r="O127" s="87"/>
      <c r="P127" s="74"/>
      <c r="Q127" s="196"/>
      <c r="R127" s="196"/>
      <c r="S127" s="196"/>
      <c r="T127" s="196"/>
      <c r="U127" s="87"/>
      <c r="V127" s="88"/>
      <c r="W127" s="196"/>
      <c r="X127" s="196"/>
      <c r="Y127" s="196"/>
      <c r="Z127" s="196"/>
      <c r="AA127" s="87"/>
      <c r="BM127" s="196"/>
      <c r="BN127" s="196"/>
      <c r="BO127" s="196"/>
      <c r="BP127" s="196"/>
      <c r="BQ127" s="196"/>
      <c r="BS127" s="196"/>
      <c r="BT127" s="196"/>
      <c r="BU127" s="196"/>
      <c r="BV127" s="196"/>
      <c r="BW127" s="196"/>
      <c r="BY127" s="196"/>
      <c r="BZ127" s="196"/>
      <c r="CA127" s="196"/>
      <c r="CB127" s="196"/>
      <c r="CC127" s="196"/>
      <c r="CE127" s="196"/>
      <c r="CF127" s="196"/>
      <c r="CG127" s="196"/>
      <c r="CH127" s="196"/>
      <c r="CI127" s="77"/>
      <c r="CK127" s="95">
        <v>0</v>
      </c>
      <c r="CL127" s="95">
        <v>0</v>
      </c>
      <c r="CM127" s="95">
        <v>0</v>
      </c>
      <c r="CN127" s="95">
        <v>0</v>
      </c>
      <c r="CO127" s="77">
        <f>SUM(CN127,CM127,CL127,CK127)</f>
        <v>0</v>
      </c>
      <c r="CQ127" s="95">
        <v>0</v>
      </c>
      <c r="CR127" s="95">
        <v>0</v>
      </c>
      <c r="CS127" s="95">
        <v>0</v>
      </c>
      <c r="CT127" s="95">
        <v>0</v>
      </c>
      <c r="CU127" s="77">
        <f>SUM(CT127,CS127,CR127,CQ127)</f>
        <v>0</v>
      </c>
      <c r="CW127" s="95">
        <v>0</v>
      </c>
      <c r="CX127" s="95">
        <v>0</v>
      </c>
      <c r="CY127" s="95">
        <v>0</v>
      </c>
      <c r="CZ127" s="95">
        <v>0</v>
      </c>
      <c r="DA127" s="77">
        <f>SUM(CZ127,CY127,CX127,CW127)</f>
        <v>0</v>
      </c>
      <c r="DC127" s="95">
        <v>0</v>
      </c>
      <c r="DD127" s="95">
        <v>0</v>
      </c>
      <c r="DE127" s="95">
        <v>0</v>
      </c>
      <c r="DF127" s="95">
        <v>0</v>
      </c>
      <c r="DG127" s="77">
        <f>SUM(DF127,DE127,DD127,DC127)</f>
        <v>0</v>
      </c>
      <c r="FG127" s="77"/>
      <c r="FH127" s="77"/>
      <c r="FI127" s="77"/>
      <c r="FJ127" s="77"/>
      <c r="FK127" s="77">
        <f>CI127</f>
        <v>0</v>
      </c>
      <c r="FL127" s="77">
        <f>CO127</f>
        <v>0</v>
      </c>
      <c r="FM127" s="191">
        <f>CU127</f>
        <v>0</v>
      </c>
      <c r="FN127" s="191">
        <f>DA127</f>
        <v>0</v>
      </c>
      <c r="FO127" s="191">
        <f>DG127</f>
        <v>0</v>
      </c>
    </row>
    <row r="128" spans="1:184" hidden="1" outlineLevel="1" x14ac:dyDescent="0.25">
      <c r="B128" s="139" t="s">
        <v>233</v>
      </c>
      <c r="D128" s="74"/>
      <c r="E128" s="114"/>
      <c r="F128" s="114"/>
      <c r="H128" s="196"/>
      <c r="J128" s="74"/>
      <c r="K128" s="196"/>
      <c r="L128" s="196"/>
      <c r="M128" s="196"/>
      <c r="N128" s="196"/>
      <c r="O128" s="87"/>
      <c r="P128" s="74"/>
      <c r="Q128" s="196"/>
      <c r="R128" s="196"/>
      <c r="S128" s="196"/>
      <c r="T128" s="196"/>
      <c r="U128" s="87"/>
      <c r="V128" s="88"/>
      <c r="W128" s="196"/>
      <c r="X128" s="196"/>
      <c r="Y128" s="196"/>
      <c r="Z128" s="196"/>
      <c r="AA128" s="87"/>
      <c r="BM128" s="196"/>
      <c r="BN128" s="196"/>
      <c r="BO128" s="196"/>
      <c r="BP128" s="196"/>
      <c r="BQ128" s="196"/>
      <c r="BS128" s="196"/>
      <c r="BT128" s="196"/>
      <c r="BU128" s="196"/>
      <c r="BV128" s="196"/>
      <c r="BW128" s="196"/>
      <c r="BY128" s="95">
        <v>170</v>
      </c>
      <c r="BZ128" s="95">
        <v>165</v>
      </c>
      <c r="CA128" s="95">
        <v>165</v>
      </c>
      <c r="CB128" s="95">
        <v>160</v>
      </c>
      <c r="CC128" s="77">
        <f>SUM(CB128,CA128,BZ128,BY128)</f>
        <v>660</v>
      </c>
      <c r="CE128" s="95">
        <v>160</v>
      </c>
      <c r="CF128" s="95">
        <v>158</v>
      </c>
      <c r="CG128" s="95">
        <v>155</v>
      </c>
      <c r="CH128" s="95">
        <v>155</v>
      </c>
      <c r="CI128" s="77">
        <f>SUM(CH128,CG128,CF128,CE128)</f>
        <v>628</v>
      </c>
      <c r="CK128" s="95">
        <v>120</v>
      </c>
      <c r="CL128" s="95">
        <v>120</v>
      </c>
      <c r="CM128" s="95">
        <v>120</v>
      </c>
      <c r="CN128" s="95">
        <v>120</v>
      </c>
      <c r="CO128" s="77">
        <f>SUM(CN128,CM128,CL128,CK128)</f>
        <v>480</v>
      </c>
      <c r="CQ128" s="95">
        <v>120</v>
      </c>
      <c r="CR128" s="95">
        <v>120</v>
      </c>
      <c r="CS128" s="95">
        <v>120</v>
      </c>
      <c r="CT128" s="95">
        <v>120</v>
      </c>
      <c r="CU128" s="77">
        <f>SUM(CT128,CS128,CR128,CQ128)</f>
        <v>480</v>
      </c>
      <c r="CW128" s="95">
        <v>120</v>
      </c>
      <c r="CX128" s="95">
        <v>120</v>
      </c>
      <c r="CY128" s="95">
        <v>120</v>
      </c>
      <c r="CZ128" s="95">
        <v>120</v>
      </c>
      <c r="DA128" s="77">
        <f>SUM(CZ128,CY128,CX128,CW128)</f>
        <v>480</v>
      </c>
      <c r="DC128" s="95">
        <v>120</v>
      </c>
      <c r="DD128" s="95">
        <v>120</v>
      </c>
      <c r="DE128" s="95">
        <v>120</v>
      </c>
      <c r="DF128" s="95">
        <v>120</v>
      </c>
      <c r="DG128" s="77">
        <f>SUM(DF128,DE128,DD128,DC128)</f>
        <v>480</v>
      </c>
      <c r="FG128" s="77"/>
      <c r="FH128" s="77"/>
      <c r="FI128" s="77"/>
      <c r="FJ128" s="77"/>
      <c r="FK128" s="77">
        <f>CI128</f>
        <v>628</v>
      </c>
      <c r="FL128" s="77">
        <f>CO128</f>
        <v>480</v>
      </c>
      <c r="FM128" s="191">
        <f>CU128</f>
        <v>480</v>
      </c>
      <c r="FN128" s="191">
        <f>DA128</f>
        <v>480</v>
      </c>
      <c r="FO128" s="191">
        <f>DG128</f>
        <v>480</v>
      </c>
    </row>
    <row r="129" spans="2:184" hidden="1" outlineLevel="1" x14ac:dyDescent="0.25">
      <c r="B129" s="138" t="s">
        <v>232</v>
      </c>
      <c r="D129" s="74"/>
      <c r="E129" s="114"/>
      <c r="F129" s="114"/>
      <c r="H129" s="196"/>
      <c r="J129" s="74"/>
      <c r="K129" s="196"/>
      <c r="L129" s="196"/>
      <c r="M129" s="196"/>
      <c r="N129" s="196"/>
      <c r="O129" s="87"/>
      <c r="P129" s="74"/>
      <c r="Q129" s="196"/>
      <c r="R129" s="196"/>
      <c r="S129" s="196"/>
      <c r="T129" s="196"/>
      <c r="U129" s="87"/>
      <c r="V129" s="88"/>
      <c r="W129" s="196"/>
      <c r="X129" s="196"/>
      <c r="Y129" s="196"/>
      <c r="Z129" s="196"/>
      <c r="AA129" s="87"/>
      <c r="BM129" s="196"/>
      <c r="BN129" s="196"/>
      <c r="BO129" s="196"/>
      <c r="BP129" s="196"/>
      <c r="BQ129" s="196"/>
      <c r="BS129" s="196"/>
      <c r="BT129" s="196"/>
      <c r="BU129" s="196"/>
      <c r="BV129" s="196"/>
      <c r="BW129" s="196"/>
      <c r="BY129" s="105">
        <f>Sales!BY74*65</f>
        <v>0</v>
      </c>
      <c r="BZ129" s="105">
        <f>Sales!BZ74*65</f>
        <v>130</v>
      </c>
      <c r="CA129" s="105">
        <f>Sales!CA74*65</f>
        <v>65</v>
      </c>
      <c r="CB129" s="105">
        <f>Sales!CB74*65</f>
        <v>65</v>
      </c>
      <c r="CC129" s="76">
        <f>SUM(CB129,CA129,BZ129,BY129)</f>
        <v>260</v>
      </c>
      <c r="CE129" s="105">
        <f>Sales!CE74*65</f>
        <v>0</v>
      </c>
      <c r="CF129" s="105">
        <f>Sales!CF74*62</f>
        <v>124</v>
      </c>
      <c r="CG129" s="105">
        <f>Sales!CG74*58</f>
        <v>232</v>
      </c>
      <c r="CH129" s="105">
        <f>Sales!CH74*58</f>
        <v>290</v>
      </c>
      <c r="CI129" s="76">
        <f>SUM(CH129,CG129,CF129,CE129)</f>
        <v>646</v>
      </c>
      <c r="CK129" s="105">
        <f>Sales!CK74*75</f>
        <v>75</v>
      </c>
      <c r="CL129" s="105">
        <f>Sales!CL74*75</f>
        <v>525</v>
      </c>
      <c r="CM129" s="105">
        <f>Sales!CM74*75</f>
        <v>375</v>
      </c>
      <c r="CN129" s="105">
        <f>Sales!CN74*75</f>
        <v>375</v>
      </c>
      <c r="CO129" s="76">
        <f>SUM(CN129,CM129,CL129,CK129)</f>
        <v>1350</v>
      </c>
      <c r="CQ129" s="105">
        <f>Sales!CQ74*65</f>
        <v>260</v>
      </c>
      <c r="CR129" s="105">
        <f>Sales!CR74*65</f>
        <v>455</v>
      </c>
      <c r="CS129" s="105">
        <f>Sales!CS74*65</f>
        <v>455</v>
      </c>
      <c r="CT129" s="105">
        <f>Sales!CT74*65</f>
        <v>520</v>
      </c>
      <c r="CU129" s="76">
        <f>SUM(CT129,CS129,CR129,CQ129)</f>
        <v>1690</v>
      </c>
      <c r="CW129" s="105">
        <f>Sales!CW74*65</f>
        <v>130</v>
      </c>
      <c r="CX129" s="105">
        <f>Sales!CX74*65</f>
        <v>455</v>
      </c>
      <c r="CY129" s="105">
        <f>Sales!CY74*65</f>
        <v>910</v>
      </c>
      <c r="CZ129" s="105">
        <f>Sales!CZ74*65</f>
        <v>520</v>
      </c>
      <c r="DA129" s="76">
        <f>SUM(CZ129,CY129,CX129,CW129)</f>
        <v>2015</v>
      </c>
      <c r="DC129" s="105">
        <f>Sales!DC74*65</f>
        <v>455</v>
      </c>
      <c r="DD129" s="105">
        <f>Sales!DD74*65</f>
        <v>585</v>
      </c>
      <c r="DE129" s="105">
        <f>Sales!DE74*65</f>
        <v>975</v>
      </c>
      <c r="DF129" s="105">
        <f>Sales!DF74*65</f>
        <v>715</v>
      </c>
      <c r="DG129" s="76">
        <f>SUM(DF129,DE129,DD129,DC129)</f>
        <v>2730</v>
      </c>
      <c r="FG129" s="77"/>
      <c r="FH129" s="77"/>
      <c r="FI129" s="77"/>
      <c r="FJ129" s="77"/>
      <c r="FK129" s="152">
        <f>CI129</f>
        <v>646</v>
      </c>
      <c r="FL129" s="152">
        <f>CO129</f>
        <v>1350</v>
      </c>
      <c r="FM129" s="246">
        <f>CU129</f>
        <v>1690</v>
      </c>
      <c r="FN129" s="246">
        <f>DA129</f>
        <v>2015</v>
      </c>
      <c r="FO129" s="246">
        <f>DG129</f>
        <v>2730</v>
      </c>
    </row>
    <row r="130" spans="2:184" hidden="1" outlineLevel="1" x14ac:dyDescent="0.25">
      <c r="B130" s="203" t="s">
        <v>231</v>
      </c>
      <c r="D130" s="74"/>
      <c r="E130" s="114"/>
      <c r="F130" s="114"/>
      <c r="H130" s="196"/>
      <c r="J130" s="74"/>
      <c r="K130" s="196"/>
      <c r="L130" s="196"/>
      <c r="M130" s="196"/>
      <c r="N130" s="196"/>
      <c r="O130" s="87"/>
      <c r="P130" s="74"/>
      <c r="Q130" s="196"/>
      <c r="R130" s="196"/>
      <c r="S130" s="196"/>
      <c r="T130" s="196"/>
      <c r="U130" s="87"/>
      <c r="V130" s="88"/>
      <c r="W130" s="196"/>
      <c r="X130" s="196"/>
      <c r="Y130" s="196"/>
      <c r="Z130" s="196"/>
      <c r="AA130" s="87"/>
      <c r="BM130" s="196" t="e">
        <f>BM125-BM132</f>
        <v>#REF!</v>
      </c>
      <c r="BN130" s="196" t="e">
        <f>BN125-BN132</f>
        <v>#REF!</v>
      </c>
      <c r="BO130" s="196" t="e">
        <f>BO125-BO132</f>
        <v>#REF!</v>
      </c>
      <c r="BP130" s="196" t="e">
        <f>BP125-BP132</f>
        <v>#REF!</v>
      </c>
      <c r="BQ130" s="196" t="e">
        <f>BM130+BN130+BO130+BP130</f>
        <v>#REF!</v>
      </c>
      <c r="BS130" s="196" t="e">
        <f>BS125-BS132</f>
        <v>#REF!</v>
      </c>
      <c r="BT130" s="196" t="e">
        <f>BT125-BT132</f>
        <v>#REF!</v>
      </c>
      <c r="BU130" s="196" t="e">
        <f>BU125-BU132</f>
        <v>#REF!</v>
      </c>
      <c r="BV130" s="196" t="e">
        <f>BV125-BV132</f>
        <v>#REF!</v>
      </c>
      <c r="BW130" s="196" t="e">
        <f>BS130+BT130+BU130+BV130</f>
        <v>#REF!</v>
      </c>
      <c r="BY130" s="196">
        <f>170+Sales!BY74*65</f>
        <v>170</v>
      </c>
      <c r="BZ130" s="196">
        <f>165+Sales!BZ74*65</f>
        <v>295</v>
      </c>
      <c r="CA130" s="196">
        <f>165+Sales!CA74*65</f>
        <v>230</v>
      </c>
      <c r="CB130" s="196">
        <f>160+Sales!CB74*65</f>
        <v>225</v>
      </c>
      <c r="CC130" s="196">
        <f>BY130+BZ130+CA130+CB130</f>
        <v>920</v>
      </c>
      <c r="CE130" s="196">
        <f>SUM(CE127:CE129)</f>
        <v>160</v>
      </c>
      <c r="CF130" s="196">
        <f>SUM(CF127:CF129)</f>
        <v>282</v>
      </c>
      <c r="CG130" s="196">
        <f>SUM(CG127:CG129)</f>
        <v>387</v>
      </c>
      <c r="CH130" s="196">
        <f>SUM(CH127:CH129)</f>
        <v>445</v>
      </c>
      <c r="CI130" s="196">
        <f>SUM(CI127:CI129)</f>
        <v>1274</v>
      </c>
      <c r="CK130" s="196">
        <f>SUM(CK127:CK129)</f>
        <v>195</v>
      </c>
      <c r="CL130" s="196">
        <f>SUM(CL127:CL129)</f>
        <v>645</v>
      </c>
      <c r="CM130" s="196">
        <f>SUM(CM127:CM129)</f>
        <v>495</v>
      </c>
      <c r="CN130" s="196">
        <f>SUM(CN127:CN129)</f>
        <v>495</v>
      </c>
      <c r="CO130" s="196">
        <f>SUM(CO127:CO129)</f>
        <v>1830</v>
      </c>
      <c r="CQ130" s="196">
        <f>SUM(CQ127:CQ129)</f>
        <v>380</v>
      </c>
      <c r="CR130" s="196">
        <f>SUM(CR127:CR129)</f>
        <v>575</v>
      </c>
      <c r="CS130" s="196">
        <f>SUM(CS127:CS129)</f>
        <v>575</v>
      </c>
      <c r="CT130" s="196">
        <f>SUM(CT127:CT129)</f>
        <v>640</v>
      </c>
      <c r="CU130" s="196">
        <f>SUM(CU127:CU129)</f>
        <v>2170</v>
      </c>
      <c r="CW130" s="196">
        <f>SUM(CW127:CW129)</f>
        <v>250</v>
      </c>
      <c r="CX130" s="196">
        <f>SUM(CX127:CX129)</f>
        <v>575</v>
      </c>
      <c r="CY130" s="196">
        <f>SUM(CY127:CY129)</f>
        <v>1030</v>
      </c>
      <c r="CZ130" s="196">
        <f>SUM(CZ127:CZ129)</f>
        <v>640</v>
      </c>
      <c r="DA130" s="196">
        <f>SUM(DA127:DA129)</f>
        <v>2495</v>
      </c>
      <c r="DC130" s="196">
        <f>SUM(DC127:DC129)</f>
        <v>575</v>
      </c>
      <c r="DD130" s="196">
        <f>SUM(DD127:DD129)</f>
        <v>705</v>
      </c>
      <c r="DE130" s="196">
        <f>SUM(DE127:DE129)</f>
        <v>1095</v>
      </c>
      <c r="DF130" s="196">
        <f>SUM(DF127:DF129)</f>
        <v>835</v>
      </c>
      <c r="DG130" s="196">
        <f>SUM(DG127:DG129)</f>
        <v>3210</v>
      </c>
      <c r="FG130" s="77"/>
      <c r="FH130" s="77"/>
      <c r="FI130" s="77"/>
      <c r="FJ130" s="77"/>
      <c r="FK130" s="196">
        <f>SUM(FK127:FK129)</f>
        <v>1274</v>
      </c>
      <c r="FL130" s="196">
        <f>SUM(FL127:FL129)</f>
        <v>1830</v>
      </c>
      <c r="FM130" s="196">
        <f>SUM(FM127:FM129)</f>
        <v>2170</v>
      </c>
      <c r="FN130" s="196">
        <f>SUM(FN127:FN129)</f>
        <v>2495</v>
      </c>
      <c r="FO130" s="196">
        <f>SUM(FO127:FO129)</f>
        <v>3210</v>
      </c>
    </row>
    <row r="131" spans="2:184" hidden="1" outlineLevel="1" x14ac:dyDescent="0.25">
      <c r="B131" s="138"/>
      <c r="D131" s="74"/>
      <c r="E131" s="114"/>
      <c r="F131" s="114"/>
      <c r="H131" s="196"/>
      <c r="J131" s="74"/>
      <c r="K131" s="196"/>
      <c r="L131" s="196"/>
      <c r="M131" s="196"/>
      <c r="N131" s="196"/>
      <c r="O131" s="87"/>
      <c r="P131" s="74"/>
      <c r="Q131" s="196"/>
      <c r="R131" s="196"/>
      <c r="S131" s="196"/>
      <c r="T131" s="196"/>
      <c r="U131" s="87"/>
      <c r="V131" s="88"/>
      <c r="W131" s="196"/>
      <c r="X131" s="196"/>
      <c r="Y131" s="196"/>
      <c r="Z131" s="196"/>
      <c r="AA131" s="87"/>
      <c r="BM131" s="196"/>
      <c r="BN131" s="196"/>
      <c r="BO131" s="196"/>
      <c r="BP131" s="196"/>
      <c r="BQ131" s="196"/>
      <c r="BS131" s="196"/>
      <c r="BT131" s="196"/>
      <c r="BU131" s="196"/>
      <c r="BV131" s="196"/>
      <c r="BW131" s="196"/>
      <c r="BY131" s="196"/>
      <c r="BZ131" s="196"/>
      <c r="CA131" s="196"/>
      <c r="CB131" s="196"/>
      <c r="CC131" s="196"/>
      <c r="CE131" s="196"/>
      <c r="CF131" s="196"/>
      <c r="CG131" s="196"/>
      <c r="CH131" s="196"/>
      <c r="CI131" s="196"/>
      <c r="CK131" s="196"/>
      <c r="CL131" s="196"/>
      <c r="CM131" s="196"/>
      <c r="CN131" s="196"/>
      <c r="CO131" s="196"/>
      <c r="CQ131" s="196"/>
      <c r="CR131" s="196"/>
      <c r="CS131" s="196"/>
      <c r="CT131" s="196"/>
      <c r="CU131" s="196"/>
      <c r="CW131" s="196"/>
      <c r="CX131" s="196"/>
      <c r="CY131" s="196"/>
      <c r="CZ131" s="196"/>
      <c r="DA131" s="196"/>
      <c r="DC131" s="196"/>
      <c r="DD131" s="196"/>
      <c r="DE131" s="196"/>
      <c r="DF131" s="196"/>
      <c r="DG131" s="196"/>
      <c r="FG131" s="77"/>
      <c r="FH131" s="77"/>
      <c r="FI131" s="77"/>
      <c r="FJ131" s="77"/>
      <c r="FK131" s="77"/>
      <c r="FL131" s="77"/>
      <c r="FM131" s="196"/>
      <c r="FN131" s="196"/>
    </row>
    <row r="132" spans="2:184" hidden="1" outlineLevel="1" x14ac:dyDescent="0.25">
      <c r="B132" s="138" t="s">
        <v>230</v>
      </c>
      <c r="C132" s="104"/>
      <c r="D132" s="104"/>
      <c r="E132" s="133"/>
      <c r="F132" s="133"/>
      <c r="G132" s="104"/>
      <c r="H132" s="76"/>
      <c r="I132" s="104"/>
      <c r="J132" s="104"/>
      <c r="K132" s="76"/>
      <c r="L132" s="76"/>
      <c r="M132" s="76"/>
      <c r="N132" s="76"/>
      <c r="O132" s="117"/>
      <c r="P132" s="104"/>
      <c r="Q132" s="76"/>
      <c r="R132" s="76"/>
      <c r="S132" s="76"/>
      <c r="T132" s="76"/>
      <c r="U132" s="117"/>
      <c r="V132" s="132"/>
      <c r="W132" s="76"/>
      <c r="X132" s="76"/>
      <c r="Y132" s="76"/>
      <c r="Z132" s="76"/>
      <c r="AA132" s="117"/>
      <c r="AB132" s="104"/>
      <c r="AC132" s="104"/>
      <c r="AD132" s="104"/>
      <c r="AE132" s="104"/>
      <c r="AF132" s="104"/>
      <c r="AG132" s="104"/>
      <c r="AH132" s="104"/>
      <c r="AI132" s="104"/>
      <c r="AJ132" s="104"/>
      <c r="AK132" s="104"/>
      <c r="AL132" s="104"/>
      <c r="AM132" s="104"/>
      <c r="AN132" s="104"/>
      <c r="AO132" s="104"/>
      <c r="AP132" s="104"/>
      <c r="AQ132" s="104"/>
      <c r="AR132" s="104"/>
      <c r="AS132" s="104"/>
      <c r="AT132" s="104"/>
      <c r="AU132" s="104"/>
      <c r="AV132" s="104"/>
      <c r="AW132" s="104"/>
      <c r="AX132" s="104"/>
      <c r="AY132" s="104"/>
      <c r="AZ132" s="104"/>
      <c r="BA132" s="104"/>
      <c r="BB132" s="104"/>
      <c r="BC132" s="104"/>
      <c r="BD132" s="104"/>
      <c r="BE132" s="104"/>
      <c r="BF132" s="104"/>
      <c r="BG132" s="104"/>
      <c r="BH132" s="104"/>
      <c r="BI132" s="104"/>
      <c r="BJ132" s="104"/>
      <c r="BK132" s="104"/>
      <c r="BL132" s="104"/>
      <c r="BM132" s="76" t="e">
        <f>BM125*BM133</f>
        <v>#REF!</v>
      </c>
      <c r="BN132" s="76" t="e">
        <f>BN125*BN133</f>
        <v>#REF!</v>
      </c>
      <c r="BO132" s="76" t="e">
        <f>BO125*BO133</f>
        <v>#REF!</v>
      </c>
      <c r="BP132" s="76" t="e">
        <f>BP125*BP133</f>
        <v>#REF!</v>
      </c>
      <c r="BQ132" s="76" t="e">
        <f>SUM(BP132,BO132,BN132,BM132)</f>
        <v>#REF!</v>
      </c>
      <c r="BR132" s="104"/>
      <c r="BS132" s="76" t="e">
        <f>BS125*BS133</f>
        <v>#REF!</v>
      </c>
      <c r="BT132" s="76" t="e">
        <f>BT125*BT133</f>
        <v>#REF!</v>
      </c>
      <c r="BU132" s="76" t="e">
        <f>BU125*BU133</f>
        <v>#REF!</v>
      </c>
      <c r="BV132" s="76" t="e">
        <f>BV125*BV133</f>
        <v>#REF!</v>
      </c>
      <c r="BW132" s="76" t="e">
        <f>SUM(BV132,BU132,BT132,BS132)</f>
        <v>#REF!</v>
      </c>
      <c r="BY132" s="76" t="e">
        <f>BY125-BY130</f>
        <v>#REF!</v>
      </c>
      <c r="BZ132" s="76" t="e">
        <f>BZ125-BZ130</f>
        <v>#REF!</v>
      </c>
      <c r="CA132" s="76" t="e">
        <f>CA125-CA130</f>
        <v>#REF!</v>
      </c>
      <c r="CB132" s="76" t="e">
        <f>CB125-CB130</f>
        <v>#REF!</v>
      </c>
      <c r="CC132" s="76" t="e">
        <f>SUM(CB132,CA132,BZ132,BY132)</f>
        <v>#REF!</v>
      </c>
      <c r="CE132" s="76">
        <f>CE125-CE130</f>
        <v>-160</v>
      </c>
      <c r="CF132" s="76">
        <f>CF125-CF130</f>
        <v>-60.544000000000011</v>
      </c>
      <c r="CG132" s="76">
        <f>CG125-CG130</f>
        <v>-5.0310000000000059</v>
      </c>
      <c r="CH132" s="76">
        <f>CH125-CH130</f>
        <v>43.725000000000023</v>
      </c>
      <c r="CI132" s="76">
        <f>SUM(CH132,CG132,CF132,CE132)</f>
        <v>-181.85</v>
      </c>
      <c r="CK132" s="76">
        <f>CK125-CK130</f>
        <v>-78.260999999999981</v>
      </c>
      <c r="CL132" s="76">
        <f>CL125-CL130</f>
        <v>22.680000000000064</v>
      </c>
      <c r="CM132" s="76">
        <f>CM125-CM130</f>
        <v>25.149999999999977</v>
      </c>
      <c r="CN132" s="76">
        <f>CN125-CN130</f>
        <v>86.831999999999994</v>
      </c>
      <c r="CO132" s="76">
        <f>SUM(CN132,CM132,CL132,CK132)</f>
        <v>56.401000000000053</v>
      </c>
      <c r="CQ132" s="76">
        <f>CQ125-CQ130</f>
        <v>-8.4200000000000159</v>
      </c>
      <c r="CR132" s="76">
        <f>CR125-CR130</f>
        <v>183.82799999999997</v>
      </c>
      <c r="CS132" s="76">
        <f>CS125-CS130</f>
        <v>169.19200000000001</v>
      </c>
      <c r="CT132" s="76">
        <f>CT125-CT130</f>
        <v>267.90299999999991</v>
      </c>
      <c r="CU132" s="76">
        <f>SUM(CT132,CS132,CR132,CQ132)</f>
        <v>612.50299999999993</v>
      </c>
      <c r="CW132" s="76">
        <f>CW125-CW130</f>
        <v>98.480000000000018</v>
      </c>
      <c r="CX132" s="76">
        <f>CX125-CX130</f>
        <v>376.05399999999997</v>
      </c>
      <c r="CY132" s="76">
        <f>CY125-CY130</f>
        <v>1013.096</v>
      </c>
      <c r="CZ132" s="76">
        <f>CZ125-CZ130</f>
        <v>511.38799999999992</v>
      </c>
      <c r="DA132" s="76">
        <f>SUM(CZ132,CY132,CX132,CW132)</f>
        <v>1999.018</v>
      </c>
      <c r="DC132" s="76">
        <f>DC125-DC130</f>
        <v>551.36799999999994</v>
      </c>
      <c r="DD132" s="76">
        <f>DD125-DD130</f>
        <v>622.31999999999994</v>
      </c>
      <c r="DE132" s="76">
        <f>DE125-DE130</f>
        <v>1124.9940000000001</v>
      </c>
      <c r="DF132" s="76">
        <f>DF125-DF130</f>
        <v>758.07199999999989</v>
      </c>
      <c r="DG132" s="76">
        <f>SUM(DF132,DE132,DD132,DC132)</f>
        <v>3056.7539999999999</v>
      </c>
      <c r="FG132" s="77"/>
      <c r="FH132" s="77"/>
      <c r="FI132" s="77"/>
      <c r="FJ132" s="77"/>
      <c r="FK132" s="152">
        <f>FK125-FK130</f>
        <v>-181.85000000000014</v>
      </c>
      <c r="FL132" s="152">
        <f>FL125-FL130</f>
        <v>56.401000000000067</v>
      </c>
      <c r="FM132" s="152">
        <f>FM125-FM130</f>
        <v>612.5029999999997</v>
      </c>
      <c r="FN132" s="152">
        <f>FN125-FN130</f>
        <v>1999.018</v>
      </c>
      <c r="FO132" s="152">
        <f>FO125-FO130</f>
        <v>3056.753999999999</v>
      </c>
    </row>
    <row r="133" spans="2:184" hidden="1" outlineLevel="1" x14ac:dyDescent="0.25">
      <c r="B133" s="203" t="s">
        <v>229</v>
      </c>
      <c r="D133" s="74"/>
      <c r="E133" s="114"/>
      <c r="F133" s="114"/>
      <c r="H133" s="196"/>
      <c r="J133" s="74"/>
      <c r="K133" s="196"/>
      <c r="L133" s="196"/>
      <c r="M133" s="196"/>
      <c r="N133" s="196"/>
      <c r="O133" s="87"/>
      <c r="P133" s="74"/>
      <c r="Q133" s="196"/>
      <c r="R133" s="196"/>
      <c r="S133" s="196"/>
      <c r="T133" s="196"/>
      <c r="U133" s="87"/>
      <c r="V133" s="88"/>
      <c r="W133" s="196"/>
      <c r="X133" s="196"/>
      <c r="Y133" s="196"/>
      <c r="Z133" s="196"/>
      <c r="AA133" s="87"/>
      <c r="BM133" s="119">
        <v>0</v>
      </c>
      <c r="BN133" s="119">
        <v>0</v>
      </c>
      <c r="BO133" s="119">
        <v>0</v>
      </c>
      <c r="BP133" s="119">
        <v>0.01</v>
      </c>
      <c r="BQ133" s="206" t="e">
        <f>BQ132/BQ125</f>
        <v>#REF!</v>
      </c>
      <c r="BS133" s="119">
        <v>0.02</v>
      </c>
      <c r="BT133" s="119">
        <v>0.02</v>
      </c>
      <c r="BU133" s="119">
        <v>0.04</v>
      </c>
      <c r="BV133" s="119">
        <v>0.05</v>
      </c>
      <c r="BW133" s="206" t="e">
        <f>BW132/BW125</f>
        <v>#REF!</v>
      </c>
      <c r="BY133" s="120"/>
      <c r="BZ133" s="120" t="e">
        <f>BZ132/BZ125</f>
        <v>#REF!</v>
      </c>
      <c r="CA133" s="120" t="e">
        <f>CA132/CA125</f>
        <v>#REF!</v>
      </c>
      <c r="CB133" s="120" t="e">
        <f>CB132/CB125</f>
        <v>#REF!</v>
      </c>
      <c r="CC133" s="206" t="e">
        <f>CC132/CC125</f>
        <v>#REF!</v>
      </c>
      <c r="CE133" s="120"/>
      <c r="CF133" s="120">
        <f>CF132/CF125</f>
        <v>-0.27339065096452575</v>
      </c>
      <c r="CG133" s="120">
        <f>CG132/CG125</f>
        <v>-1.31712259371834E-2</v>
      </c>
      <c r="CH133" s="120">
        <f>CH132/CH125</f>
        <v>8.9467491943321945E-2</v>
      </c>
      <c r="CI133" s="206">
        <f>CI132/CI125</f>
        <v>-0.16650643226663006</v>
      </c>
      <c r="CK133" s="120">
        <f>CK132/CK125</f>
        <v>-0.67039292781332693</v>
      </c>
      <c r="CL133" s="120">
        <f>CL132/CL125</f>
        <v>3.3968368080517702E-2</v>
      </c>
      <c r="CM133" s="120">
        <f>CM132/CM125</f>
        <v>4.8351437085456077E-2</v>
      </c>
      <c r="CN133" s="120">
        <f>CN132/CN125</f>
        <v>0.1492389555748051</v>
      </c>
      <c r="CO133" s="206">
        <f>CO132/CO125</f>
        <v>2.9898733090154242E-2</v>
      </c>
      <c r="CQ133" s="120">
        <f>CQ132/CQ125</f>
        <v>-2.2659992464610625E-2</v>
      </c>
      <c r="CR133" s="120">
        <f>CR132/CR125</f>
        <v>0.24225252626418634</v>
      </c>
      <c r="CS133" s="120">
        <f>CS132/CS125</f>
        <v>0.22734993120055041</v>
      </c>
      <c r="CT133" s="120">
        <f>CT132/CT125</f>
        <v>0.29507887957193657</v>
      </c>
      <c r="CU133" s="206">
        <f>CU132/CU125</f>
        <v>0.22012662699734736</v>
      </c>
      <c r="CW133" s="120">
        <f>CW132/CW125</f>
        <v>0.28259871441689627</v>
      </c>
      <c r="CX133" s="120">
        <f>CX132/CX125</f>
        <v>0.39540762143895086</v>
      </c>
      <c r="CY133" s="120">
        <f>CY132/CY125</f>
        <v>0.49586314103693613</v>
      </c>
      <c r="CZ133" s="120">
        <f>CZ132/CZ125</f>
        <v>0.44414914867968047</v>
      </c>
      <c r="DA133" s="206">
        <f>DA132/DA125</f>
        <v>0.44481753299608501</v>
      </c>
      <c r="DC133" s="120">
        <f>DC132/DC125</f>
        <v>0.48950964516037382</v>
      </c>
      <c r="DD133" s="120">
        <f>DD132/DD125</f>
        <v>0.46885453394810594</v>
      </c>
      <c r="DE133" s="120">
        <f>DE132/DE125</f>
        <v>0.50675542366330728</v>
      </c>
      <c r="DF133" s="120">
        <f>DF132/DF125</f>
        <v>0.47585545411632363</v>
      </c>
      <c r="DG133" s="206">
        <f>DG132/DG125</f>
        <v>0.48777309592813128</v>
      </c>
      <c r="FG133" s="77"/>
      <c r="FH133" s="77"/>
      <c r="FI133" s="77"/>
      <c r="FJ133" s="77"/>
      <c r="FK133" s="120">
        <f>FK132/FK125</f>
        <v>-0.1665064322666302</v>
      </c>
      <c r="FL133" s="120">
        <f>FL132/FL125</f>
        <v>2.9898733090154249E-2</v>
      </c>
      <c r="FM133" s="120">
        <f>FM132/FM125</f>
        <v>0.22012662699734728</v>
      </c>
      <c r="FN133" s="120">
        <f>FN132/FN125</f>
        <v>0.44481753299608501</v>
      </c>
      <c r="FO133" s="120">
        <f>FO132/FO125</f>
        <v>0.48777309592813112</v>
      </c>
    </row>
    <row r="134" spans="2:184" hidden="1" outlineLevel="1" x14ac:dyDescent="0.25">
      <c r="B134" s="207"/>
      <c r="FG134" s="137"/>
      <c r="FH134" s="137"/>
      <c r="FI134" s="137"/>
      <c r="FJ134" s="137"/>
      <c r="FK134" s="137"/>
      <c r="FL134" s="137"/>
      <c r="FM134" s="120"/>
      <c r="FN134" s="120"/>
      <c r="GB134" s="180" t="s">
        <v>228</v>
      </c>
    </row>
    <row r="135" spans="2:184" hidden="1" outlineLevel="1" x14ac:dyDescent="0.25">
      <c r="B135" s="207"/>
      <c r="FG135" s="76"/>
      <c r="FH135" s="76"/>
      <c r="FI135" s="76"/>
      <c r="FJ135" s="76"/>
      <c r="FK135" s="76"/>
      <c r="FL135" s="76"/>
      <c r="FM135" s="76"/>
      <c r="FN135" s="76"/>
    </row>
    <row r="136" spans="2:184" hidden="1" outlineLevel="1" x14ac:dyDescent="0.25">
      <c r="B136" s="203" t="s">
        <v>227</v>
      </c>
      <c r="D136" s="74"/>
      <c r="E136" s="114"/>
      <c r="F136" s="114"/>
      <c r="H136" s="77"/>
      <c r="J136" s="74"/>
      <c r="K136" s="77"/>
      <c r="L136" s="77"/>
      <c r="M136" s="77"/>
      <c r="N136" s="77"/>
      <c r="O136" s="87"/>
      <c r="P136" s="74"/>
      <c r="Q136" s="77"/>
      <c r="R136" s="77"/>
      <c r="S136" s="77"/>
      <c r="T136" s="77"/>
      <c r="U136" s="87"/>
      <c r="V136" s="88"/>
      <c r="W136" s="77"/>
      <c r="X136" s="77"/>
      <c r="Y136" s="77"/>
      <c r="Z136" s="77"/>
      <c r="AA136" s="87"/>
      <c r="BM136" s="77" t="e">
        <f>BM142-BM125</f>
        <v>#REF!</v>
      </c>
      <c r="BN136" s="77" t="e">
        <f>BN142-BN125</f>
        <v>#REF!</v>
      </c>
      <c r="BO136" s="77" t="e">
        <f>BO142-BO125</f>
        <v>#REF!</v>
      </c>
      <c r="BP136" s="77" t="e">
        <f>BP142-BP125</f>
        <v>#REF!</v>
      </c>
      <c r="BQ136" s="196" t="e">
        <f>BM136+BN136+BO136+BP136</f>
        <v>#REF!</v>
      </c>
      <c r="BS136" s="77" t="e">
        <f>BS142-BS125</f>
        <v>#REF!</v>
      </c>
      <c r="BT136" s="77" t="e">
        <f>BT142-BT125</f>
        <v>#REF!</v>
      </c>
      <c r="BU136" s="77" t="e">
        <f>BU142-BU125</f>
        <v>#REF!</v>
      </c>
      <c r="BV136" s="77" t="e">
        <f>BV142-BV125</f>
        <v>#REF!</v>
      </c>
      <c r="BW136" s="77" t="e">
        <f>SUM(BV136,BU136,BT136,BS136)</f>
        <v>#REF!</v>
      </c>
      <c r="BY136" s="77" t="e">
        <f>BY142-BY125</f>
        <v>#REF!</v>
      </c>
      <c r="BZ136" s="77" t="e">
        <f>BZ142-BZ125</f>
        <v>#REF!</v>
      </c>
      <c r="CA136" s="77" t="e">
        <f>CA142-CA125</f>
        <v>#REF!</v>
      </c>
      <c r="CB136" s="77" t="e">
        <f>CB142-CB125</f>
        <v>#REF!</v>
      </c>
      <c r="CC136" s="77" t="e">
        <f>SUM(CB136,CA136,BZ136,BY136)</f>
        <v>#REF!</v>
      </c>
      <c r="CE136" s="77">
        <f>CE142-CE125</f>
        <v>1215.8</v>
      </c>
      <c r="CF136" s="77">
        <f>CF142-CF125</f>
        <v>1162.644</v>
      </c>
      <c r="CG136" s="77">
        <f>CG142-CG125</f>
        <v>1436.931</v>
      </c>
      <c r="CH136" s="77">
        <f>CH142-CH125</f>
        <v>1466.1750000000002</v>
      </c>
      <c r="CI136" s="77">
        <f>SUM(CH136,CG136,CF136,CE136)</f>
        <v>5281.55</v>
      </c>
      <c r="CK136" s="77">
        <f>CK142-CK125</f>
        <v>1550.961</v>
      </c>
      <c r="CL136" s="77">
        <f>CL142-CL125</f>
        <v>1418.82</v>
      </c>
      <c r="CM136" s="77">
        <f>CM142-CM125</f>
        <v>1560.4499999999998</v>
      </c>
      <c r="CN136" s="77">
        <f>CN142-CN125</f>
        <v>1842.4680000000003</v>
      </c>
      <c r="CO136" s="77">
        <f>SUM(CN136,CM136,CL136,CK136)</f>
        <v>6372.6990000000005</v>
      </c>
      <c r="CQ136" s="77">
        <f>CQ142-CQ125</f>
        <v>1317.42</v>
      </c>
      <c r="CR136" s="77">
        <f>CR142-CR125</f>
        <v>1091.972</v>
      </c>
      <c r="CS136" s="77">
        <f>CS142-CS125</f>
        <v>1581.4079999999999</v>
      </c>
      <c r="CT136" s="77">
        <f>CT142-CT125</f>
        <v>2222.797</v>
      </c>
      <c r="CU136" s="77">
        <f>SUM(CT136,CS136,CR136,CQ136)</f>
        <v>6213.5969999999998</v>
      </c>
      <c r="CW136" s="77">
        <f>CW142-CW125</f>
        <v>1235.52</v>
      </c>
      <c r="CX136" s="77">
        <f>CX142-CX125</f>
        <v>1487.5459999999998</v>
      </c>
      <c r="CY136" s="77">
        <f>CY142-CY125</f>
        <v>1052.5039999999999</v>
      </c>
      <c r="CZ136" s="77">
        <f>CZ142-CZ125</f>
        <v>2046.9120000000003</v>
      </c>
      <c r="DA136" s="77">
        <f>SUM(CZ136,CY136,CX136,CW136)</f>
        <v>5822.482</v>
      </c>
      <c r="DC136" s="77">
        <f>DC142-DC125</f>
        <v>2002.4320000000002</v>
      </c>
      <c r="DD136" s="77">
        <f>DD142-DD125</f>
        <v>1622.28</v>
      </c>
      <c r="DE136" s="77">
        <f>DE142-DE125</f>
        <v>1891.1060000000002</v>
      </c>
      <c r="DF136" s="77">
        <f>DF142-DF125</f>
        <v>1870.1279999999999</v>
      </c>
      <c r="DG136" s="77">
        <f>SUM(DF136,DE136,DD136,DC136)</f>
        <v>7385.9459999999999</v>
      </c>
      <c r="FG136" s="196"/>
      <c r="FH136" s="196"/>
      <c r="FI136" s="196"/>
      <c r="FJ136" s="196"/>
      <c r="FK136" s="77">
        <f>CI136</f>
        <v>5281.55</v>
      </c>
      <c r="FL136" s="77">
        <f>CO136</f>
        <v>6372.6990000000005</v>
      </c>
      <c r="FM136" s="191">
        <f>CU136</f>
        <v>6213.5969999999998</v>
      </c>
      <c r="FN136" s="191">
        <f>DA136</f>
        <v>5822.482</v>
      </c>
      <c r="FO136" s="191">
        <f>DG136</f>
        <v>7385.9459999999999</v>
      </c>
    </row>
    <row r="137" spans="2:184" hidden="1" outlineLevel="1" x14ac:dyDescent="0.25">
      <c r="B137" s="139" t="s">
        <v>226</v>
      </c>
      <c r="C137" s="28"/>
      <c r="D137" s="74"/>
      <c r="E137" s="114"/>
      <c r="F137" s="114"/>
      <c r="G137" s="28"/>
      <c r="H137" s="77"/>
      <c r="I137" s="28"/>
      <c r="J137" s="74"/>
      <c r="K137" s="77"/>
      <c r="L137" s="77"/>
      <c r="M137" s="77"/>
      <c r="N137" s="77"/>
      <c r="O137" s="87"/>
      <c r="P137" s="74"/>
      <c r="Q137" s="77"/>
      <c r="R137" s="77"/>
      <c r="S137" s="77"/>
      <c r="T137" s="77"/>
      <c r="U137" s="87"/>
      <c r="V137" s="88"/>
      <c r="W137" s="77"/>
      <c r="X137" s="77"/>
      <c r="Y137" s="77"/>
      <c r="Z137" s="77"/>
      <c r="AA137" s="87"/>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c r="BE137" s="28"/>
      <c r="BF137" s="28"/>
      <c r="BG137" s="28"/>
      <c r="BH137" s="28"/>
      <c r="BI137" s="28"/>
      <c r="BJ137" s="28"/>
      <c r="BK137" s="28"/>
      <c r="BL137" s="28"/>
      <c r="BM137" s="77" t="e">
        <f>BM143-BM130</f>
        <v>#REF!</v>
      </c>
      <c r="BN137" s="77" t="e">
        <f>BN143-BN130</f>
        <v>#REF!</v>
      </c>
      <c r="BO137" s="77" t="e">
        <f>BO143-BO130</f>
        <v>#REF!</v>
      </c>
      <c r="BP137" s="77" t="e">
        <f>BP143-BP130</f>
        <v>#REF!</v>
      </c>
      <c r="BQ137" s="77" t="e">
        <f>BM137+BN137+BO137+BP137</f>
        <v>#REF!</v>
      </c>
      <c r="BR137" s="28"/>
      <c r="BS137" s="77" t="e">
        <f>BS143-BS130</f>
        <v>#REF!</v>
      </c>
      <c r="BT137" s="77" t="e">
        <f>BT143-BT130</f>
        <v>#REF!</v>
      </c>
      <c r="BU137" s="77" t="e">
        <f>BU143-BU130</f>
        <v>#REF!</v>
      </c>
      <c r="BV137" s="77" t="e">
        <f>BV143-BV130</f>
        <v>#REF!</v>
      </c>
      <c r="BW137" s="77" t="e">
        <f>BS137+BT137+BU137+BV137</f>
        <v>#REF!</v>
      </c>
      <c r="BX137" s="28"/>
      <c r="BY137" s="77" t="e">
        <f>BY136-BY138</f>
        <v>#REF!</v>
      </c>
      <c r="BZ137" s="77" t="e">
        <f>BZ136-BZ138</f>
        <v>#REF!</v>
      </c>
      <c r="CA137" s="77" t="e">
        <f>CA136-CA138</f>
        <v>#REF!</v>
      </c>
      <c r="CB137" s="77" t="e">
        <f>CB136-CB138</f>
        <v>#REF!</v>
      </c>
      <c r="CC137" s="77" t="e">
        <f>BY137+BZ137+CA137+CB137</f>
        <v>#REF!</v>
      </c>
      <c r="CD137" s="28"/>
      <c r="CE137" s="77">
        <f>CE143-CE130</f>
        <v>615.43799999999999</v>
      </c>
      <c r="CF137" s="77">
        <f>CF143-CF130</f>
        <v>627.71</v>
      </c>
      <c r="CG137" s="77">
        <f>CG143-CG130</f>
        <v>779.7800000000002</v>
      </c>
      <c r="CH137" s="77">
        <f>CH143-CH130</f>
        <v>717.375</v>
      </c>
      <c r="CI137" s="77">
        <f>CE137+CF137+CG137+CH137</f>
        <v>2740.3030000000003</v>
      </c>
      <c r="CJ137" s="28"/>
      <c r="CK137" s="77">
        <f>CK143-CK130</f>
        <v>730.44500000000005</v>
      </c>
      <c r="CL137" s="77">
        <f>CL136-CL138</f>
        <v>649.63499999999999</v>
      </c>
      <c r="CM137" s="77">
        <f>CM136-CM138</f>
        <v>671.77499999999998</v>
      </c>
      <c r="CN137" s="77">
        <f>CN136-CN138</f>
        <v>973.23000000000013</v>
      </c>
      <c r="CO137" s="77">
        <f>CK137+CL137+CM137+CN137</f>
        <v>3025.085</v>
      </c>
      <c r="CQ137" s="196">
        <f>CQ136-CQ138</f>
        <v>702.06500000000005</v>
      </c>
      <c r="CR137" s="196">
        <f>CR136-CR138</f>
        <v>606.71500000000015</v>
      </c>
      <c r="CS137" s="196">
        <f>CS136-CS138</f>
        <v>843.78499999999985</v>
      </c>
      <c r="CT137" s="196">
        <f>CT136-CT138</f>
        <v>1109.3050000000003</v>
      </c>
      <c r="CU137" s="77">
        <f>CQ137+CR137+CS137+CT137</f>
        <v>3261.8700000000003</v>
      </c>
      <c r="CW137" s="196">
        <f>CW136-CW138</f>
        <v>759.3900000000001</v>
      </c>
      <c r="CX137" s="196">
        <f>CX136-CX138</f>
        <v>807.01499999999976</v>
      </c>
      <c r="CY137" s="196">
        <f>CY136-CY138</f>
        <v>714.76</v>
      </c>
      <c r="CZ137" s="196">
        <f>CZ136-CZ138</f>
        <v>1003.47</v>
      </c>
      <c r="DA137" s="77">
        <f>CW137+CX137+CY137+CZ137</f>
        <v>3284.6350000000002</v>
      </c>
      <c r="DC137" s="196">
        <f>DC136-DC138</f>
        <v>974.21500000000015</v>
      </c>
      <c r="DD137" s="196">
        <f>DD136-DD138</f>
        <v>865.88999999999987</v>
      </c>
      <c r="DE137" s="196">
        <f>DE136-DE138</f>
        <v>1009.3299999999999</v>
      </c>
      <c r="DF137" s="196">
        <f>DF136-DF138</f>
        <v>887.15999999999985</v>
      </c>
      <c r="DG137" s="77">
        <f>DC137+DD137+DE137+DF137</f>
        <v>3736.5949999999998</v>
      </c>
      <c r="FK137" s="77">
        <f>CI137</f>
        <v>2740.3030000000003</v>
      </c>
      <c r="FL137" s="77">
        <f>CO137</f>
        <v>3025.085</v>
      </c>
      <c r="FM137" s="191">
        <f>CU137</f>
        <v>3261.8700000000003</v>
      </c>
      <c r="FN137" s="191">
        <f>DA137</f>
        <v>3284.6350000000002</v>
      </c>
      <c r="FO137" s="191">
        <f>DG137</f>
        <v>3736.5949999999998</v>
      </c>
    </row>
    <row r="138" spans="2:184" hidden="1" outlineLevel="1" x14ac:dyDescent="0.25">
      <c r="B138" s="138" t="s">
        <v>225</v>
      </c>
      <c r="C138" s="104"/>
      <c r="D138" s="104"/>
      <c r="E138" s="133"/>
      <c r="F138" s="133"/>
      <c r="G138" s="104"/>
      <c r="H138" s="76"/>
      <c r="I138" s="104"/>
      <c r="J138" s="104"/>
      <c r="K138" s="76"/>
      <c r="L138" s="76"/>
      <c r="M138" s="76"/>
      <c r="N138" s="76"/>
      <c r="O138" s="117"/>
      <c r="P138" s="104"/>
      <c r="Q138" s="76"/>
      <c r="R138" s="76"/>
      <c r="S138" s="76"/>
      <c r="T138" s="76"/>
      <c r="U138" s="117"/>
      <c r="V138" s="132"/>
      <c r="W138" s="76"/>
      <c r="X138" s="76"/>
      <c r="Y138" s="76"/>
      <c r="Z138" s="76"/>
      <c r="AA138" s="117"/>
      <c r="AB138" s="104"/>
      <c r="AC138" s="104"/>
      <c r="AD138" s="104"/>
      <c r="AE138" s="104"/>
      <c r="AF138" s="104"/>
      <c r="AG138" s="104"/>
      <c r="AH138" s="104"/>
      <c r="AI138" s="104"/>
      <c r="AJ138" s="104"/>
      <c r="AK138" s="104"/>
      <c r="AL138" s="104"/>
      <c r="AM138" s="104"/>
      <c r="AN138" s="104"/>
      <c r="AO138" s="104"/>
      <c r="AP138" s="104"/>
      <c r="AQ138" s="104"/>
      <c r="AR138" s="104"/>
      <c r="AS138" s="104"/>
      <c r="AT138" s="104"/>
      <c r="AU138" s="104"/>
      <c r="AV138" s="104"/>
      <c r="AW138" s="104"/>
      <c r="AX138" s="104"/>
      <c r="AY138" s="104"/>
      <c r="AZ138" s="104"/>
      <c r="BA138" s="104"/>
      <c r="BB138" s="104"/>
      <c r="BC138" s="104"/>
      <c r="BD138" s="104"/>
      <c r="BE138" s="104"/>
      <c r="BF138" s="104"/>
      <c r="BG138" s="104"/>
      <c r="BH138" s="104"/>
      <c r="BI138" s="104"/>
      <c r="BJ138" s="104"/>
      <c r="BK138" s="104"/>
      <c r="BL138" s="104"/>
      <c r="BM138" s="76" t="e">
        <f>BM136-BM137</f>
        <v>#REF!</v>
      </c>
      <c r="BN138" s="76" t="e">
        <f>BN136-BN137</f>
        <v>#REF!</v>
      </c>
      <c r="BO138" s="76" t="e">
        <f>BO136-BO137</f>
        <v>#REF!</v>
      </c>
      <c r="BP138" s="76" t="e">
        <f>BP136-BP137</f>
        <v>#REF!</v>
      </c>
      <c r="BQ138" s="76" t="e">
        <f>SUM(BP138,BO138,BN138,BM138)</f>
        <v>#REF!</v>
      </c>
      <c r="BR138" s="104"/>
      <c r="BS138" s="76" t="e">
        <f>BS136-BS137</f>
        <v>#REF!</v>
      </c>
      <c r="BT138" s="76" t="e">
        <f>BT136-BT137</f>
        <v>#REF!</v>
      </c>
      <c r="BU138" s="76" t="e">
        <f>BU136-BU137</f>
        <v>#REF!</v>
      </c>
      <c r="BV138" s="76" t="e">
        <f>BV136-BV137</f>
        <v>#REF!</v>
      </c>
      <c r="BW138" s="76" t="e">
        <f>SUM(BV138,BU138,BT138,BS138)</f>
        <v>#REF!</v>
      </c>
      <c r="BY138" s="76" t="e">
        <f>BY144-BY132</f>
        <v>#REF!</v>
      </c>
      <c r="BZ138" s="76" t="e">
        <f>BZ144-BZ132</f>
        <v>#REF!</v>
      </c>
      <c r="CA138" s="76" t="e">
        <f>CA144-CA132</f>
        <v>#REF!</v>
      </c>
      <c r="CB138" s="76" t="e">
        <f>CB144-CB132</f>
        <v>#REF!</v>
      </c>
      <c r="CC138" s="76" t="e">
        <f>SUM(CB138,CA138,BZ138,BY138)</f>
        <v>#REF!</v>
      </c>
      <c r="CE138" s="76">
        <f>CE144-CE132</f>
        <v>600.36199999999997</v>
      </c>
      <c r="CF138" s="76">
        <f>CF144-CF132</f>
        <v>534.93399999999986</v>
      </c>
      <c r="CG138" s="76">
        <f>CG144-CG132</f>
        <v>657.15099999999984</v>
      </c>
      <c r="CH138" s="76">
        <f>CH144-CH132</f>
        <v>748.80000000000007</v>
      </c>
      <c r="CI138" s="76">
        <f>SUM(CH138,CG138,CF138,CE138)</f>
        <v>2541.2469999999998</v>
      </c>
      <c r="CK138" s="76">
        <f>CK144-CK132</f>
        <v>820.51599999999996</v>
      </c>
      <c r="CL138" s="76">
        <f>CL144-CL132</f>
        <v>769.18499999999995</v>
      </c>
      <c r="CM138" s="76">
        <f>CM144-CM132</f>
        <v>888.67499999999984</v>
      </c>
      <c r="CN138" s="76">
        <f>CN144-CN132</f>
        <v>869.23800000000017</v>
      </c>
      <c r="CO138" s="76">
        <f>SUM(CN138,CM138,CL138,CK138)</f>
        <v>3347.614</v>
      </c>
      <c r="CQ138" s="76">
        <f>CQ144-CQ132</f>
        <v>615.35500000000002</v>
      </c>
      <c r="CR138" s="76">
        <f>CR144-CR132</f>
        <v>485.25699999999983</v>
      </c>
      <c r="CS138" s="76">
        <f>CS144-CS132</f>
        <v>737.62300000000005</v>
      </c>
      <c r="CT138" s="76">
        <f>CT144-CT132</f>
        <v>1113.4919999999997</v>
      </c>
      <c r="CU138" s="76">
        <f>SUM(CT138,CS138,CR138,CQ138)</f>
        <v>2951.7269999999994</v>
      </c>
      <c r="CW138" s="76">
        <f>CW144-CW132</f>
        <v>476.12999999999988</v>
      </c>
      <c r="CX138" s="76">
        <f>CX144-CX132</f>
        <v>680.53100000000006</v>
      </c>
      <c r="CY138" s="76">
        <f>CY144-CY132</f>
        <v>337.74399999999991</v>
      </c>
      <c r="CZ138" s="76">
        <f>CZ144-CZ132</f>
        <v>1043.4420000000002</v>
      </c>
      <c r="DA138" s="76">
        <f>SUM(CZ138,CY138,CX138,CW138)</f>
        <v>2537.8469999999998</v>
      </c>
      <c r="DC138" s="76">
        <f>DC144-DC132</f>
        <v>1028.2170000000001</v>
      </c>
      <c r="DD138" s="76">
        <f>DD144-DD132</f>
        <v>756.3900000000001</v>
      </c>
      <c r="DE138" s="76">
        <f>DE144-DE132</f>
        <v>881.77600000000029</v>
      </c>
      <c r="DF138" s="76">
        <f>DF144-DF132</f>
        <v>982.96800000000007</v>
      </c>
      <c r="DG138" s="76">
        <f>SUM(DF138,DE138,DD138,DC138)</f>
        <v>3649.3510000000006</v>
      </c>
      <c r="FK138" s="152">
        <f>CI138</f>
        <v>2541.2469999999998</v>
      </c>
      <c r="FL138" s="152">
        <f>CO138</f>
        <v>3347.614</v>
      </c>
      <c r="FM138" s="246">
        <f>CU138</f>
        <v>2951.7269999999994</v>
      </c>
      <c r="FN138" s="246">
        <f>DA138</f>
        <v>2537.8469999999998</v>
      </c>
      <c r="FO138" s="246">
        <f>DG138</f>
        <v>3649.3510000000006</v>
      </c>
    </row>
    <row r="139" spans="2:184" hidden="1" outlineLevel="1" x14ac:dyDescent="0.25">
      <c r="B139" s="203" t="s">
        <v>224</v>
      </c>
      <c r="D139" s="74"/>
      <c r="E139" s="114"/>
      <c r="F139" s="114"/>
      <c r="H139" s="77"/>
      <c r="J139" s="74"/>
      <c r="K139" s="77"/>
      <c r="L139" s="77"/>
      <c r="M139" s="77"/>
      <c r="N139" s="77"/>
      <c r="O139" s="87"/>
      <c r="P139" s="74"/>
      <c r="Q139" s="77"/>
      <c r="R139" s="77"/>
      <c r="S139" s="77"/>
      <c r="T139" s="77"/>
      <c r="U139" s="87"/>
      <c r="V139" s="88"/>
      <c r="W139" s="77"/>
      <c r="X139" s="77"/>
      <c r="Y139" s="77"/>
      <c r="Z139" s="77"/>
      <c r="AA139" s="87"/>
      <c r="BM139" s="97" t="e">
        <f>BM138/BM136</f>
        <v>#REF!</v>
      </c>
      <c r="BN139" s="97" t="e">
        <f>BN138/BN136</f>
        <v>#REF!</v>
      </c>
      <c r="BO139" s="97" t="e">
        <f>BO138/BO136</f>
        <v>#REF!</v>
      </c>
      <c r="BP139" s="97" t="e">
        <f>BP138/BP136</f>
        <v>#REF!</v>
      </c>
      <c r="BQ139" s="97" t="e">
        <f>BQ138/BQ136</f>
        <v>#REF!</v>
      </c>
      <c r="BS139" s="97" t="e">
        <f>BS138/BS136</f>
        <v>#REF!</v>
      </c>
      <c r="BT139" s="97" t="e">
        <f>BT138/BT136</f>
        <v>#REF!</v>
      </c>
      <c r="BU139" s="97" t="e">
        <f>BU138/BU136</f>
        <v>#REF!</v>
      </c>
      <c r="BV139" s="97" t="e">
        <f>BV138/BV136</f>
        <v>#REF!</v>
      </c>
      <c r="BW139" s="97" t="e">
        <f>BW138/BW136</f>
        <v>#REF!</v>
      </c>
      <c r="BY139" s="97" t="e">
        <f>BY138/BY136</f>
        <v>#REF!</v>
      </c>
      <c r="BZ139" s="97" t="e">
        <f>BZ138/BZ136</f>
        <v>#REF!</v>
      </c>
      <c r="CA139" s="97" t="e">
        <f>CA138/CA136</f>
        <v>#REF!</v>
      </c>
      <c r="CB139" s="97" t="e">
        <f>CB138/CB136</f>
        <v>#REF!</v>
      </c>
      <c r="CC139" s="97" t="e">
        <f>CC138/CC136</f>
        <v>#REF!</v>
      </c>
      <c r="CE139" s="97">
        <f>CE138/CE136</f>
        <v>0.49379996709985197</v>
      </c>
      <c r="CF139" s="97">
        <f>CF138/CF136</f>
        <v>0.46010128637828934</v>
      </c>
      <c r="CG139" s="97">
        <f>CG138/CG136</f>
        <v>0.45732954470325982</v>
      </c>
      <c r="CH139" s="97">
        <f>CH138/CH136</f>
        <v>0.51071666069875699</v>
      </c>
      <c r="CI139" s="97">
        <f>CI138/CI136</f>
        <v>0.48115553199344885</v>
      </c>
      <c r="CK139" s="97">
        <f>CK138/CK136</f>
        <v>0.52903715825220621</v>
      </c>
      <c r="CL139" s="97">
        <f>CL138/CL136</f>
        <v>0.54213007992557194</v>
      </c>
      <c r="CM139" s="97">
        <f>CM138/CM136</f>
        <v>0.5694991829280015</v>
      </c>
      <c r="CN139" s="97">
        <f>CN138/CN136</f>
        <v>0.47177915708712448</v>
      </c>
      <c r="CO139" s="97">
        <f>CO138/CO136</f>
        <v>0.52530552596317504</v>
      </c>
      <c r="CQ139" s="97">
        <f>CQ138/CQ136</f>
        <v>0.46709098085652256</v>
      </c>
      <c r="CR139" s="97">
        <f>CR138/CR136</f>
        <v>0.44438593663573778</v>
      </c>
      <c r="CS139" s="97">
        <f>CS138/CS136</f>
        <v>0.46643434205467538</v>
      </c>
      <c r="CT139" s="97">
        <f>CT138/CT136</f>
        <v>0.50094183139530946</v>
      </c>
      <c r="CU139" s="97">
        <f>CU138/CU136</f>
        <v>0.47504319961529523</v>
      </c>
      <c r="CW139" s="97">
        <f>CW138/CW136</f>
        <v>0.38536810411810402</v>
      </c>
      <c r="CX139" s="97">
        <f>CX138/CX136</f>
        <v>0.4574856844763121</v>
      </c>
      <c r="CY139" s="97">
        <f>CY138/CY136</f>
        <v>0.32089569255793798</v>
      </c>
      <c r="CZ139" s="97">
        <f>CZ138/CZ136</f>
        <v>0.50976397617484293</v>
      </c>
      <c r="DA139" s="97">
        <f>DA138/DA136</f>
        <v>0.43587030410742356</v>
      </c>
      <c r="DC139" s="97">
        <f>DC138/DC136</f>
        <v>0.51348410333035033</v>
      </c>
      <c r="DD139" s="97">
        <f>DD138/DD136</f>
        <v>0.46625120201198322</v>
      </c>
      <c r="DE139" s="97">
        <f>DE138/DE136</f>
        <v>0.46627529075578006</v>
      </c>
      <c r="DF139" s="97">
        <f>DF138/DF136</f>
        <v>0.52561535894869238</v>
      </c>
      <c r="DG139" s="97">
        <f>DG138/DG136</f>
        <v>0.49409391836875066</v>
      </c>
      <c r="FG139" s="77"/>
      <c r="FH139" s="77"/>
      <c r="FI139" s="77"/>
      <c r="FJ139" s="77"/>
      <c r="FK139" s="97">
        <f>FK138/FK136</f>
        <v>0.48115553199344885</v>
      </c>
      <c r="FL139" s="97">
        <f>FL138/FL136</f>
        <v>0.52530552596317504</v>
      </c>
      <c r="FM139" s="97">
        <f>FM138/FM136</f>
        <v>0.47504319961529523</v>
      </c>
      <c r="FN139" s="97">
        <f>FN138/FN136</f>
        <v>0.43587030410742356</v>
      </c>
      <c r="FO139" s="97">
        <f>FO138/FO136</f>
        <v>0.49409391836875066</v>
      </c>
    </row>
    <row r="140" spans="2:184" hidden="1" outlineLevel="1" x14ac:dyDescent="0.25">
      <c r="FG140" s="137"/>
      <c r="FH140" s="137"/>
      <c r="FI140" s="137"/>
      <c r="FJ140" s="137"/>
      <c r="FK140" s="137"/>
      <c r="FL140" s="137"/>
      <c r="FM140" s="97"/>
      <c r="FN140" s="97"/>
    </row>
    <row r="141" spans="2:184" hidden="1" outlineLevel="1" x14ac:dyDescent="0.25">
      <c r="FG141" s="76"/>
      <c r="FH141" s="76"/>
      <c r="FI141" s="76"/>
      <c r="FJ141" s="76"/>
      <c r="FK141" s="76"/>
      <c r="FL141" s="76"/>
      <c r="FM141" s="76"/>
      <c r="FN141" s="76"/>
    </row>
    <row r="142" spans="2:184" hidden="1" outlineLevel="1" x14ac:dyDescent="0.25">
      <c r="B142" s="203" t="s">
        <v>223</v>
      </c>
      <c r="D142" s="74"/>
      <c r="E142" s="114"/>
      <c r="F142" s="114"/>
      <c r="H142" s="196"/>
      <c r="J142" s="74"/>
      <c r="K142" s="196"/>
      <c r="L142" s="196"/>
      <c r="M142" s="196"/>
      <c r="N142" s="196"/>
      <c r="O142" s="87"/>
      <c r="P142" s="74"/>
      <c r="Q142" s="196"/>
      <c r="R142" s="196"/>
      <c r="S142" s="196"/>
      <c r="T142" s="196"/>
      <c r="U142" s="87"/>
      <c r="V142" s="88"/>
      <c r="W142" s="196"/>
      <c r="X142" s="196"/>
      <c r="Y142" s="196"/>
      <c r="Z142" s="196"/>
      <c r="AA142" s="87"/>
      <c r="BM142" s="196">
        <f>Sales!BM8</f>
        <v>1030</v>
      </c>
      <c r="BN142" s="196">
        <f>Sales!BN8</f>
        <v>1243</v>
      </c>
      <c r="BO142" s="196">
        <f>Sales!BO8</f>
        <v>884.5</v>
      </c>
      <c r="BP142" s="196">
        <f>Sales!BP8</f>
        <v>1085.3</v>
      </c>
      <c r="BQ142" s="196">
        <f>BM142+BN142+BO142+BP142</f>
        <v>4242.8</v>
      </c>
      <c r="BS142" s="196">
        <f>Sales!BS8</f>
        <v>1246.5</v>
      </c>
      <c r="BT142" s="196">
        <f>Sales!BT8</f>
        <v>1134.5</v>
      </c>
      <c r="BU142" s="196">
        <f>Sales!BU8</f>
        <v>975.3</v>
      </c>
      <c r="BV142" s="196">
        <f>Sales!BV8</f>
        <v>880.9</v>
      </c>
      <c r="BW142" s="196">
        <f>BS142+BT142+BU142+BV142</f>
        <v>4237.2</v>
      </c>
      <c r="BY142" s="196">
        <f>Sales!BY8</f>
        <v>859.8</v>
      </c>
      <c r="BZ142" s="196">
        <f>Sales!BZ8</f>
        <v>1265.4000000000001</v>
      </c>
      <c r="CA142" s="196">
        <f>Sales!CA8</f>
        <v>1257.7</v>
      </c>
      <c r="CB142" s="196">
        <f>Sales!CB8</f>
        <v>1289.0999999999999</v>
      </c>
      <c r="CC142" s="196">
        <f>BY142+BZ142+CA142+CB142</f>
        <v>4672</v>
      </c>
      <c r="CE142" s="196">
        <f>Sales!CE8</f>
        <v>1215.8</v>
      </c>
      <c r="CF142" s="196">
        <f>Sales!CF8</f>
        <v>1384.1</v>
      </c>
      <c r="CG142" s="196">
        <f>Sales!CG8</f>
        <v>1818.9</v>
      </c>
      <c r="CH142" s="196">
        <f>Sales!CH8</f>
        <v>1954.9</v>
      </c>
      <c r="CI142" s="196">
        <f>CE142+CF142+CG142+CH142</f>
        <v>6373.6999999999989</v>
      </c>
      <c r="CK142" s="196">
        <f>Sales!CK8</f>
        <v>1667.7</v>
      </c>
      <c r="CL142" s="196">
        <f>Sales!CL8</f>
        <v>2086.5</v>
      </c>
      <c r="CM142" s="196">
        <f>Sales!CM8</f>
        <v>2080.6</v>
      </c>
      <c r="CN142" s="196">
        <f>Sales!CN8</f>
        <v>2424.3000000000002</v>
      </c>
      <c r="CO142" s="196">
        <f>CK142+CL142+CM142+CN142</f>
        <v>8259.0999999999985</v>
      </c>
      <c r="CQ142" s="196">
        <f>Sales!CQ8</f>
        <v>1689</v>
      </c>
      <c r="CR142" s="196">
        <f>Sales!CR8</f>
        <v>1850.8</v>
      </c>
      <c r="CS142" s="196">
        <f>Sales!CS8</f>
        <v>2325.6</v>
      </c>
      <c r="CT142" s="196">
        <f>Sales!CT8</f>
        <v>3130.7</v>
      </c>
      <c r="CU142" s="196">
        <f>CQ142+CR142+CS142+CT142</f>
        <v>8996.0999999999985</v>
      </c>
      <c r="CW142" s="196">
        <f>Sales!CW8</f>
        <v>1584</v>
      </c>
      <c r="CX142" s="196">
        <f>Sales!CX8</f>
        <v>2438.6</v>
      </c>
      <c r="CY142" s="196">
        <f>Sales!CY8</f>
        <v>3095.6</v>
      </c>
      <c r="CZ142" s="196">
        <f>Sales!CZ8</f>
        <v>3198.3</v>
      </c>
      <c r="DA142" s="196">
        <f>CW142+CX142+CY142+CZ142</f>
        <v>10316.5</v>
      </c>
      <c r="DC142" s="196">
        <f>Sales!DC8</f>
        <v>3128.8</v>
      </c>
      <c r="DD142" s="196">
        <f>Sales!DD8</f>
        <v>2949.6</v>
      </c>
      <c r="DE142" s="196">
        <f>Sales!DE8</f>
        <v>4111.1000000000004</v>
      </c>
      <c r="DF142" s="196">
        <f>Sales!DF8</f>
        <v>3463.2</v>
      </c>
      <c r="DG142" s="196">
        <f>DC142+DD142+DE142+DF142</f>
        <v>13652.7</v>
      </c>
      <c r="FG142" s="196"/>
      <c r="FH142" s="196"/>
      <c r="FI142" s="196"/>
      <c r="FJ142" s="196"/>
      <c r="FK142" s="77">
        <f>CI142</f>
        <v>6373.6999999999989</v>
      </c>
      <c r="FL142" s="77">
        <f>CO142</f>
        <v>8259.0999999999985</v>
      </c>
      <c r="FM142" s="191">
        <f>CU142</f>
        <v>8996.0999999999985</v>
      </c>
      <c r="FN142" s="191">
        <f>DA142</f>
        <v>10316.5</v>
      </c>
      <c r="FO142" s="191">
        <f>DG142</f>
        <v>13652.7</v>
      </c>
    </row>
    <row r="143" spans="2:184" hidden="1" outlineLevel="1" x14ac:dyDescent="0.25">
      <c r="B143" s="203" t="s">
        <v>222</v>
      </c>
      <c r="D143" s="74"/>
      <c r="E143" s="114"/>
      <c r="F143" s="114"/>
      <c r="H143" s="196"/>
      <c r="J143" s="74"/>
      <c r="K143" s="196"/>
      <c r="L143" s="196"/>
      <c r="M143" s="196"/>
      <c r="N143" s="196"/>
      <c r="O143" s="87"/>
      <c r="P143" s="74"/>
      <c r="Q143" s="196"/>
      <c r="R143" s="196"/>
      <c r="S143" s="196"/>
      <c r="T143" s="196"/>
      <c r="U143" s="87"/>
      <c r="V143" s="88"/>
      <c r="W143" s="196"/>
      <c r="X143" s="196"/>
      <c r="Y143" s="196"/>
      <c r="Z143" s="196"/>
      <c r="AA143" s="87"/>
      <c r="BM143" s="196">
        <f>BM154-BM149</f>
        <v>608.41000000000008</v>
      </c>
      <c r="BN143" s="196">
        <f>BN154-BN149</f>
        <v>701.43000000000006</v>
      </c>
      <c r="BO143" s="196">
        <f>BO154-BO149</f>
        <v>537.13499999999999</v>
      </c>
      <c r="BP143" s="196">
        <f>BP154-BP149</f>
        <v>639.09800000000007</v>
      </c>
      <c r="BQ143" s="196">
        <f>BM143+BN143+BO143+BP143</f>
        <v>2486.0730000000003</v>
      </c>
      <c r="BS143" s="196">
        <f>BS154-BS149</f>
        <v>679.77</v>
      </c>
      <c r="BT143" s="196">
        <f>BT154-BT149</f>
        <v>661.67599999999993</v>
      </c>
      <c r="BU143" s="196">
        <f>BU154-BU149</f>
        <v>583.18400000000008</v>
      </c>
      <c r="BV143" s="196">
        <f>BV154-BV149</f>
        <v>526.48099999999999</v>
      </c>
      <c r="BW143" s="196">
        <f>BS143+BT143+BU143+BV143</f>
        <v>2451.1109999999999</v>
      </c>
      <c r="BY143" s="196">
        <f>BY154-BY149</f>
        <v>598.87800000000004</v>
      </c>
      <c r="BZ143" s="196">
        <f>BZ154-BZ149</f>
        <v>836.45600000000013</v>
      </c>
      <c r="CA143" s="196">
        <f>CA154-CA149</f>
        <v>814.26800000000003</v>
      </c>
      <c r="CB143" s="196">
        <f>CB154-CB149</f>
        <v>823.67599999999993</v>
      </c>
      <c r="CC143" s="196">
        <f>BY143+BZ143+CA143+CB143</f>
        <v>3073.2780000000002</v>
      </c>
      <c r="CE143" s="196">
        <v>775.43799999999999</v>
      </c>
      <c r="CF143" s="196">
        <v>909.71</v>
      </c>
      <c r="CG143" s="196">
        <v>1166.7800000000002</v>
      </c>
      <c r="CH143" s="196">
        <v>1162.375</v>
      </c>
      <c r="CI143" s="196">
        <f>CE143+CF143+CG143+CH143</f>
        <v>4014.3030000000003</v>
      </c>
      <c r="CK143" s="196">
        <v>925.44500000000005</v>
      </c>
      <c r="CL143" s="196">
        <v>1294.635</v>
      </c>
      <c r="CM143" s="196">
        <v>1166.7750000000001</v>
      </c>
      <c r="CN143" s="196">
        <v>1468.23</v>
      </c>
      <c r="CO143" s="196">
        <f>CK143+CL143+CM143+CN143</f>
        <v>4855.085</v>
      </c>
      <c r="CQ143" s="196">
        <v>1082.0650000000001</v>
      </c>
      <c r="CR143" s="196">
        <v>1181.7150000000001</v>
      </c>
      <c r="CS143" s="196">
        <v>1418.7849999999999</v>
      </c>
      <c r="CT143" s="196">
        <v>1749.3050000000003</v>
      </c>
      <c r="CU143" s="196">
        <f>CQ143+CR143+CS143+CT143</f>
        <v>5431.8700000000008</v>
      </c>
      <c r="CW143" s="196">
        <v>1009.3900000000001</v>
      </c>
      <c r="CX143" s="196">
        <v>1382.0149999999999</v>
      </c>
      <c r="CY143" s="196">
        <v>1744.76</v>
      </c>
      <c r="CZ143" s="196">
        <v>1643.47</v>
      </c>
      <c r="DA143" s="196">
        <f>CW143+CX143+CY143+CZ143</f>
        <v>5779.6350000000002</v>
      </c>
      <c r="DC143" s="196">
        <v>1549.2150000000001</v>
      </c>
      <c r="DD143" s="196">
        <v>1570.8899999999999</v>
      </c>
      <c r="DE143" s="196">
        <v>2104.33</v>
      </c>
      <c r="DF143" s="196">
        <v>1722.1599999999999</v>
      </c>
      <c r="DG143" s="196">
        <f>DC143+DD143+DE143+DF143</f>
        <v>6946.5949999999993</v>
      </c>
      <c r="FK143" s="77">
        <f>CI143</f>
        <v>4014.3030000000003</v>
      </c>
      <c r="FL143" s="77">
        <f>CO143</f>
        <v>4855.085</v>
      </c>
      <c r="FM143" s="191">
        <f>CU143</f>
        <v>5431.8700000000008</v>
      </c>
      <c r="FN143" s="191">
        <f>DA143</f>
        <v>5779.6350000000002</v>
      </c>
      <c r="FO143" s="191">
        <f>DG143</f>
        <v>6946.5949999999993</v>
      </c>
    </row>
    <row r="144" spans="2:184" hidden="1" outlineLevel="1" x14ac:dyDescent="0.25">
      <c r="B144" s="138" t="s">
        <v>221</v>
      </c>
      <c r="D144" s="74"/>
      <c r="E144" s="114"/>
      <c r="F144" s="114"/>
      <c r="H144" s="196"/>
      <c r="J144" s="74"/>
      <c r="K144" s="196"/>
      <c r="L144" s="196"/>
      <c r="M144" s="196"/>
      <c r="N144" s="196"/>
      <c r="O144" s="87"/>
      <c r="P144" s="74"/>
      <c r="Q144" s="196"/>
      <c r="R144" s="196"/>
      <c r="S144" s="196"/>
      <c r="T144" s="196"/>
      <c r="U144" s="87"/>
      <c r="V144" s="88"/>
      <c r="W144" s="196"/>
      <c r="X144" s="196"/>
      <c r="Y144" s="196"/>
      <c r="Z144" s="196"/>
      <c r="AA144" s="87"/>
      <c r="BM144" s="76">
        <f>BM142-BM143</f>
        <v>421.58999999999992</v>
      </c>
      <c r="BN144" s="76">
        <f>BN142-BN143</f>
        <v>541.56999999999994</v>
      </c>
      <c r="BO144" s="76">
        <f>BO142-BO143</f>
        <v>347.36500000000001</v>
      </c>
      <c r="BP144" s="76">
        <f>BP142-BP143</f>
        <v>446.20199999999988</v>
      </c>
      <c r="BQ144" s="76">
        <f>BM144+BN144+BO144+BP144</f>
        <v>1756.7269999999999</v>
      </c>
      <c r="BR144" s="104"/>
      <c r="BS144" s="76">
        <f>BS142-BS143</f>
        <v>566.73</v>
      </c>
      <c r="BT144" s="76">
        <f>BT142-BT143</f>
        <v>472.82400000000007</v>
      </c>
      <c r="BU144" s="76">
        <f>BU142-BU143</f>
        <v>392.11599999999987</v>
      </c>
      <c r="BV144" s="76">
        <f>BV142-BV143</f>
        <v>354.41899999999998</v>
      </c>
      <c r="BW144" s="76">
        <f>BS144+BT144+BU144+BV144</f>
        <v>1786.0889999999999</v>
      </c>
      <c r="BY144" s="76">
        <f>BY142-BY143</f>
        <v>260.92199999999991</v>
      </c>
      <c r="BZ144" s="76">
        <f>BZ142-BZ143</f>
        <v>428.94399999999996</v>
      </c>
      <c r="CA144" s="76">
        <f>CA142-CA143</f>
        <v>443.43200000000002</v>
      </c>
      <c r="CB144" s="76">
        <f>CB142-CB143</f>
        <v>465.42399999999998</v>
      </c>
      <c r="CC144" s="76">
        <f>BY144+BZ144+CA144+CB144</f>
        <v>1598.7219999999998</v>
      </c>
      <c r="CE144" s="76">
        <f>CE142-CE143</f>
        <v>440.36199999999997</v>
      </c>
      <c r="CF144" s="76">
        <f>CF142-CF143</f>
        <v>474.38999999999987</v>
      </c>
      <c r="CG144" s="76">
        <f>CG142-CG143</f>
        <v>652.11999999999989</v>
      </c>
      <c r="CH144" s="76">
        <f>CH142-CH143</f>
        <v>792.52500000000009</v>
      </c>
      <c r="CI144" s="76">
        <f>CE144+CF144+CG144+CH144</f>
        <v>2359.3969999999999</v>
      </c>
      <c r="CK144" s="76">
        <f>CK142-CK143</f>
        <v>742.255</v>
      </c>
      <c r="CL144" s="76">
        <f>CL142-CL143</f>
        <v>791.86500000000001</v>
      </c>
      <c r="CM144" s="76">
        <f>CM142-CM143</f>
        <v>913.82499999999982</v>
      </c>
      <c r="CN144" s="76">
        <f>CN142-CN143</f>
        <v>956.07000000000016</v>
      </c>
      <c r="CO144" s="76">
        <f>CK144+CL144+CM144+CN144</f>
        <v>3404.0149999999999</v>
      </c>
      <c r="CQ144" s="76">
        <f>CQ142-CQ143</f>
        <v>606.93499999999995</v>
      </c>
      <c r="CR144" s="76">
        <f>CR142-CR143</f>
        <v>669.08499999999981</v>
      </c>
      <c r="CS144" s="76">
        <f>CS142-CS143</f>
        <v>906.81500000000005</v>
      </c>
      <c r="CT144" s="76">
        <f>CT142-CT143</f>
        <v>1381.3949999999995</v>
      </c>
      <c r="CU144" s="76">
        <f>CQ144+CR144+CS144+CT144</f>
        <v>3564.2299999999996</v>
      </c>
      <c r="CW144" s="76">
        <f>CW142-CW143</f>
        <v>574.6099999999999</v>
      </c>
      <c r="CX144" s="76">
        <f>CX142-CX143</f>
        <v>1056.585</v>
      </c>
      <c r="CY144" s="76">
        <f>CY142-CY143</f>
        <v>1350.84</v>
      </c>
      <c r="CZ144" s="76">
        <f>CZ142-CZ143</f>
        <v>1554.8300000000002</v>
      </c>
      <c r="DA144" s="76">
        <f>CW144+CX144+CY144+CZ144</f>
        <v>4536.8649999999998</v>
      </c>
      <c r="DC144" s="76">
        <f>DC142-DC143</f>
        <v>1579.585</v>
      </c>
      <c r="DD144" s="76">
        <f>DD142-DD143</f>
        <v>1378.71</v>
      </c>
      <c r="DE144" s="76">
        <f>DE142-DE143</f>
        <v>2006.7700000000004</v>
      </c>
      <c r="DF144" s="76">
        <f>DF142-DF143</f>
        <v>1741.04</v>
      </c>
      <c r="DG144" s="76">
        <f>DC144+DD144+DE144+DF144</f>
        <v>6706.1050000000005</v>
      </c>
      <c r="FK144" s="152">
        <f>CI144</f>
        <v>2359.3969999999999</v>
      </c>
      <c r="FL144" s="152">
        <f>CO144</f>
        <v>3404.0149999999999</v>
      </c>
      <c r="FM144" s="246">
        <f>CU144</f>
        <v>3564.2299999999996</v>
      </c>
      <c r="FN144" s="246">
        <f>DA144</f>
        <v>4536.8649999999998</v>
      </c>
      <c r="FO144" s="246">
        <f>DG144</f>
        <v>6706.1050000000005</v>
      </c>
    </row>
    <row r="145" spans="2:184" hidden="1" outlineLevel="1" x14ac:dyDescent="0.25">
      <c r="B145" s="203" t="s">
        <v>220</v>
      </c>
      <c r="D145" s="74"/>
      <c r="E145" s="114"/>
      <c r="F145" s="114"/>
      <c r="H145" s="196"/>
      <c r="J145" s="74"/>
      <c r="K145" s="196"/>
      <c r="L145" s="196"/>
      <c r="M145" s="196"/>
      <c r="N145" s="196"/>
      <c r="O145" s="87"/>
      <c r="P145" s="74"/>
      <c r="Q145" s="196"/>
      <c r="R145" s="196"/>
      <c r="S145" s="196"/>
      <c r="T145" s="196"/>
      <c r="U145" s="87"/>
      <c r="V145" s="88"/>
      <c r="W145" s="196"/>
      <c r="X145" s="196"/>
      <c r="Y145" s="196"/>
      <c r="Z145" s="196"/>
      <c r="AA145" s="87"/>
      <c r="BM145" s="97">
        <f>BM144/BM142</f>
        <v>0.40931067961165041</v>
      </c>
      <c r="BN145" s="97">
        <f>BN144/BN142</f>
        <v>0.43569589702333061</v>
      </c>
      <c r="BO145" s="97">
        <f>BO144/BO142</f>
        <v>0.39272470322215941</v>
      </c>
      <c r="BP145" s="97">
        <f>BP144/BP142</f>
        <v>0.41113240578641841</v>
      </c>
      <c r="BQ145" s="97">
        <f>BQ144/BQ142</f>
        <v>0.41404897709060051</v>
      </c>
      <c r="BS145" s="97">
        <f>BS144/BS142</f>
        <v>0.45465703971119137</v>
      </c>
      <c r="BT145" s="97">
        <f>BT144/BT142</f>
        <v>0.41676862053768188</v>
      </c>
      <c r="BU145" s="97">
        <f>BU144/BU142</f>
        <v>0.4020465497795549</v>
      </c>
      <c r="BV145" s="97">
        <f>BV144/BV142</f>
        <v>0.40233738222272675</v>
      </c>
      <c r="BW145" s="97">
        <f>BW144/BW142</f>
        <v>0.4215257717360521</v>
      </c>
      <c r="BY145" s="97">
        <f>BY144/BY142</f>
        <v>0.3034682484298673</v>
      </c>
      <c r="BZ145" s="97">
        <f>BZ144/BZ142</f>
        <v>0.33897897897897894</v>
      </c>
      <c r="CA145" s="97">
        <f>CA144/CA142</f>
        <v>0.35257374572632583</v>
      </c>
      <c r="CB145" s="97">
        <f>CB144/CB142</f>
        <v>0.36104569079202548</v>
      </c>
      <c r="CC145" s="97">
        <f>CC144/CC142</f>
        <v>0.34219220890410956</v>
      </c>
      <c r="CE145" s="97">
        <f>CE144/CE142</f>
        <v>0.36219937489718701</v>
      </c>
      <c r="CF145" s="97">
        <f>CF144/CF142</f>
        <v>0.34274257640343897</v>
      </c>
      <c r="CG145" s="97">
        <f>CG144/CG142</f>
        <v>0.35852438286876676</v>
      </c>
      <c r="CH145" s="97">
        <f>CH144/CH142</f>
        <v>0.40540436850989825</v>
      </c>
      <c r="CI145" s="97">
        <f>CI144/CI142</f>
        <v>0.37017697726595233</v>
      </c>
      <c r="CK145" s="97">
        <f>CK144/CK142</f>
        <v>0.44507705222761884</v>
      </c>
      <c r="CL145" s="97">
        <f>CL144/CL142</f>
        <v>0.37951833213515457</v>
      </c>
      <c r="CM145" s="97">
        <f>CM144/CM142</f>
        <v>0.43921224646736512</v>
      </c>
      <c r="CN145" s="97">
        <f>CN144/CN142</f>
        <v>0.39436950872416782</v>
      </c>
      <c r="CO145" s="97">
        <f>CO144/CO142</f>
        <v>0.41215326125122598</v>
      </c>
      <c r="CQ145" s="97">
        <f>CQ144/CQ142</f>
        <v>0.35934576672587326</v>
      </c>
      <c r="CR145" s="97">
        <f>CR144/CR142</f>
        <v>0.36151123838340166</v>
      </c>
      <c r="CS145" s="97">
        <f>CS144/CS142</f>
        <v>0.38992733058135537</v>
      </c>
      <c r="CT145" s="97">
        <f>CT144/CT142</f>
        <v>0.4412415753665313</v>
      </c>
      <c r="CU145" s="97">
        <f>CU144/CU142</f>
        <v>0.39619724102666715</v>
      </c>
      <c r="CW145" s="97">
        <f>CW144/CW142</f>
        <v>0.36275883838383832</v>
      </c>
      <c r="CX145" s="97">
        <f>CX144/CX142</f>
        <v>0.43327523989174122</v>
      </c>
      <c r="CY145" s="97">
        <f>CY144/CY142</f>
        <v>0.43637420855407671</v>
      </c>
      <c r="CZ145" s="97">
        <f>CZ144/CZ142</f>
        <v>0.48614263827658444</v>
      </c>
      <c r="DA145" s="97">
        <f>DA144/DA142</f>
        <v>0.43976784762274024</v>
      </c>
      <c r="DC145" s="97">
        <f>DC144/DC142</f>
        <v>0.50485329838915871</v>
      </c>
      <c r="DD145" s="97">
        <f>DD144/DD142</f>
        <v>0.46742270138323844</v>
      </c>
      <c r="DE145" s="97">
        <f>DE144/DE142</f>
        <v>0.48813456252584475</v>
      </c>
      <c r="DF145" s="97">
        <f>DF144/DF142</f>
        <v>0.5027258027258027</v>
      </c>
      <c r="DG145" s="97">
        <f>DG144/DG142</f>
        <v>0.49119258461696225</v>
      </c>
      <c r="FG145" s="77"/>
      <c r="FH145" s="77"/>
      <c r="FI145" s="77"/>
      <c r="FJ145" s="77"/>
      <c r="FK145" s="97">
        <f>FK144/FK142</f>
        <v>0.37017697726595233</v>
      </c>
      <c r="FL145" s="97">
        <f>FL144/FL142</f>
        <v>0.41215326125122598</v>
      </c>
      <c r="FM145" s="97">
        <f>FM144/FM142</f>
        <v>0.39619724102666715</v>
      </c>
      <c r="FN145" s="97">
        <f>FN144/FN142</f>
        <v>0.43976784762274024</v>
      </c>
      <c r="FO145" s="97">
        <f>FO144/FO142</f>
        <v>0.49119258461696225</v>
      </c>
    </row>
    <row r="146" spans="2:184" hidden="1" outlineLevel="1" x14ac:dyDescent="0.25">
      <c r="FG146" s="137"/>
      <c r="FH146" s="137"/>
      <c r="FI146" s="137"/>
      <c r="FJ146" s="137"/>
      <c r="FK146" s="137"/>
      <c r="FL146" s="137"/>
      <c r="FM146" s="97"/>
      <c r="FN146" s="97"/>
    </row>
    <row r="147" spans="2:184" hidden="1" outlineLevel="1" x14ac:dyDescent="0.25">
      <c r="FG147" s="76"/>
      <c r="FH147" s="76"/>
      <c r="FI147" s="76"/>
      <c r="FJ147" s="76"/>
      <c r="FK147" s="76"/>
      <c r="FL147" s="76"/>
      <c r="FM147" s="76"/>
      <c r="FN147" s="76"/>
    </row>
    <row r="148" spans="2:184" hidden="1" outlineLevel="1" x14ac:dyDescent="0.25">
      <c r="B148" s="203" t="s">
        <v>219</v>
      </c>
      <c r="D148" s="74"/>
      <c r="E148" s="114"/>
      <c r="F148" s="114"/>
      <c r="H148" s="196"/>
      <c r="J148" s="74"/>
      <c r="K148" s="196"/>
      <c r="L148" s="196"/>
      <c r="M148" s="196"/>
      <c r="N148" s="196"/>
      <c r="O148" s="87"/>
      <c r="P148" s="74"/>
      <c r="Q148" s="196"/>
      <c r="R148" s="196"/>
      <c r="S148" s="196"/>
      <c r="T148" s="196"/>
      <c r="U148" s="87"/>
      <c r="V148" s="88"/>
      <c r="W148" s="196"/>
      <c r="X148" s="196"/>
      <c r="Y148" s="196"/>
      <c r="Z148" s="196"/>
      <c r="AA148" s="87"/>
      <c r="BM148" s="196">
        <f>Sales!BM9</f>
        <v>366.5</v>
      </c>
      <c r="BN148" s="196">
        <f>Sales!BN9</f>
        <v>400.6</v>
      </c>
      <c r="BO148" s="196">
        <f>Sales!BO9</f>
        <v>437.7</v>
      </c>
      <c r="BP148" s="196">
        <f>Sales!BP9</f>
        <v>408.7</v>
      </c>
      <c r="BQ148" s="196">
        <f>BM148+BN148+BO148+BP148</f>
        <v>1613.5</v>
      </c>
      <c r="BS148" s="196">
        <f>Sales!BS9</f>
        <v>403.4</v>
      </c>
      <c r="BT148" s="196">
        <f>Sales!BT9</f>
        <v>519.6</v>
      </c>
      <c r="BU148" s="196">
        <f>Sales!BU9</f>
        <v>573.9</v>
      </c>
      <c r="BV148" s="196">
        <f>Sales!BV9</f>
        <v>553.29999999999995</v>
      </c>
      <c r="BW148" s="196">
        <f>BS148+BT148+BU148+BV148</f>
        <v>2050.1999999999998</v>
      </c>
      <c r="BY148" s="196">
        <f>Sales!BY9</f>
        <v>473.4</v>
      </c>
      <c r="BZ148" s="196">
        <f>Sales!BZ9</f>
        <v>474.2</v>
      </c>
      <c r="CA148" s="196">
        <f>Sales!CA9</f>
        <v>556.9</v>
      </c>
      <c r="CB148" s="196">
        <f>Sales!CB9</f>
        <v>618.29999999999995</v>
      </c>
      <c r="CC148" s="196">
        <f>BY148+BZ148+CA148+CB148</f>
        <v>2122.8000000000002</v>
      </c>
      <c r="CE148" s="196">
        <f>Sales!CE9</f>
        <v>727.8</v>
      </c>
      <c r="CF148" s="196">
        <f>Sales!CF9</f>
        <v>717.3</v>
      </c>
      <c r="CG148" s="196">
        <f>Sales!CG9</f>
        <v>628.5</v>
      </c>
      <c r="CH148" s="196">
        <f>Sales!CH9</f>
        <v>605.5</v>
      </c>
      <c r="CI148" s="196">
        <f>CE148+CF148+CG148+CH148</f>
        <v>2679.1</v>
      </c>
      <c r="CK148" s="196">
        <f>Sales!CK9</f>
        <v>617.29999999999995</v>
      </c>
      <c r="CL148" s="196">
        <f>Sales!CL9</f>
        <v>653.9</v>
      </c>
      <c r="CM148" s="196">
        <f>Sales!CM9</f>
        <v>695.5</v>
      </c>
      <c r="CN148" s="196">
        <f>Sales!CN9</f>
        <v>718.2</v>
      </c>
      <c r="CO148" s="196">
        <f>CK148+CL148+CM148+CN148</f>
        <v>2684.8999999999996</v>
      </c>
      <c r="CQ148" s="196">
        <f>Sales!CQ9</f>
        <v>540.1</v>
      </c>
      <c r="CR148" s="196">
        <f>Sales!CR9</f>
        <v>717.1</v>
      </c>
      <c r="CS148" s="196">
        <f>Sales!CS9</f>
        <v>660.9</v>
      </c>
      <c r="CT148" s="196">
        <f>Sales!CT9</f>
        <v>905.7</v>
      </c>
      <c r="CU148" s="196">
        <f>CQ148+CR148+CS148+CT148</f>
        <v>2823.8</v>
      </c>
      <c r="CW148" s="196">
        <f>Sales!CW9</f>
        <v>856.6</v>
      </c>
      <c r="CX148" s="196">
        <f>Sales!CX9</f>
        <v>887.1</v>
      </c>
      <c r="CY148" s="196">
        <f>Sales!CY9</f>
        <v>862.4</v>
      </c>
      <c r="CZ148" s="196">
        <f>Sales!CZ9</f>
        <v>1055.8</v>
      </c>
      <c r="DA148" s="196">
        <f>CW148+CX148+CY148+CZ148</f>
        <v>3661.8999999999996</v>
      </c>
      <c r="DC148" s="196">
        <f>Sales!DC9</f>
        <v>1235.0999999999999</v>
      </c>
      <c r="DD148" s="196">
        <f>Sales!DD9</f>
        <v>1070.5999999999999</v>
      </c>
      <c r="DE148" s="196">
        <f>Sales!DE9</f>
        <v>1130.2</v>
      </c>
      <c r="DF148" s="196">
        <f>Sales!DF9</f>
        <v>1522.4</v>
      </c>
      <c r="DG148" s="196">
        <f>DC148+DD148+DE148+DF148</f>
        <v>4958.2999999999993</v>
      </c>
      <c r="FG148" s="196"/>
      <c r="FH148" s="196"/>
      <c r="FI148" s="196"/>
      <c r="FJ148" s="196"/>
      <c r="FK148" s="77">
        <f>CI148</f>
        <v>2679.1</v>
      </c>
      <c r="FL148" s="77">
        <f>CO148</f>
        <v>2684.8999999999996</v>
      </c>
      <c r="FM148" s="191">
        <f>CU148</f>
        <v>2823.8</v>
      </c>
      <c r="FN148" s="191">
        <f>DA148</f>
        <v>3661.8999999999996</v>
      </c>
      <c r="FO148" s="191">
        <f>DG148</f>
        <v>4958.2999999999993</v>
      </c>
    </row>
    <row r="149" spans="2:184" hidden="1" outlineLevel="1" x14ac:dyDescent="0.25">
      <c r="B149" s="203" t="s">
        <v>218</v>
      </c>
      <c r="BM149" s="196">
        <f>BM148-BM150</f>
        <v>168.58999999999997</v>
      </c>
      <c r="BN149" s="196">
        <f>BN148-BN150</f>
        <v>180.26999999999998</v>
      </c>
      <c r="BO149" s="196">
        <f>BO148-BO150</f>
        <v>196.96499999999997</v>
      </c>
      <c r="BP149" s="196">
        <f>BP148-BP150</f>
        <v>188.00199999999998</v>
      </c>
      <c r="BQ149" s="196">
        <f>BM149+BN149+BO149+BP149</f>
        <v>733.82699999999988</v>
      </c>
      <c r="BS149" s="196">
        <f>BS148-BS150</f>
        <v>181.52999999999997</v>
      </c>
      <c r="BT149" s="196">
        <f>BT148-BT150</f>
        <v>228.62399999999997</v>
      </c>
      <c r="BU149" s="196">
        <f>BU148-BU150</f>
        <v>252.51599999999996</v>
      </c>
      <c r="BV149" s="196">
        <f>BV148-BV150</f>
        <v>237.91899999999998</v>
      </c>
      <c r="BW149" s="196">
        <f>BS149+BT149+BU149+BV149</f>
        <v>900.58899999999983</v>
      </c>
      <c r="BY149" s="196">
        <f>BY148-BY150</f>
        <v>156.22199999999998</v>
      </c>
      <c r="BZ149" s="196">
        <f>BZ148-BZ150</f>
        <v>151.74399999999997</v>
      </c>
      <c r="CA149" s="196">
        <f>CA148-CA150</f>
        <v>155.93200000000002</v>
      </c>
      <c r="CB149" s="196">
        <f>CB148-CB150</f>
        <v>173.12400000000002</v>
      </c>
      <c r="CC149" s="196">
        <f>BY149+BZ149+CA149+CB149</f>
        <v>637.02199999999993</v>
      </c>
      <c r="CE149" s="196">
        <f>CE148-CE150</f>
        <v>211.06200000000001</v>
      </c>
      <c r="CF149" s="196">
        <f>CF148-CF150</f>
        <v>215.19</v>
      </c>
      <c r="CG149" s="196">
        <f>CG148-CG150</f>
        <v>201.11999999999995</v>
      </c>
      <c r="CH149" s="196">
        <f>CH148-CH150</f>
        <v>211.92500000000001</v>
      </c>
      <c r="CI149" s="196">
        <f>CE149+CF149+CG149+CH149</f>
        <v>839.29700000000003</v>
      </c>
      <c r="CK149" s="196">
        <f>CK148-CK150</f>
        <v>216.05499999999995</v>
      </c>
      <c r="CL149" s="196">
        <f>CL148-CL150</f>
        <v>228.86499999999995</v>
      </c>
      <c r="CM149" s="196">
        <f>CM148-CM150</f>
        <v>243.42500000000001</v>
      </c>
      <c r="CN149" s="196">
        <f>CN148-CN150</f>
        <v>251.37</v>
      </c>
      <c r="CO149" s="196">
        <f>CK149+CL149+CM149+CN149</f>
        <v>939.71499999999992</v>
      </c>
      <c r="CQ149" s="196">
        <f>CQ148-CQ150</f>
        <v>189.03499999999997</v>
      </c>
      <c r="CR149" s="196">
        <f>CR148-CR150</f>
        <v>250.98500000000001</v>
      </c>
      <c r="CS149" s="196">
        <f>CS148-CS150</f>
        <v>231.315</v>
      </c>
      <c r="CT149" s="196">
        <f>CT148-CT150</f>
        <v>316.995</v>
      </c>
      <c r="CU149" s="196">
        <f>CQ149+CR149+CS149+CT149</f>
        <v>988.33</v>
      </c>
      <c r="CW149" s="196">
        <f>CW148-CW150</f>
        <v>299.80999999999995</v>
      </c>
      <c r="CX149" s="196">
        <f>CX148-CX150</f>
        <v>310.48500000000001</v>
      </c>
      <c r="CY149" s="196">
        <f>CY148-CY150</f>
        <v>301.83999999999992</v>
      </c>
      <c r="CZ149" s="196">
        <f>CZ148-CZ150</f>
        <v>369.53</v>
      </c>
      <c r="DA149" s="196">
        <f>CW149+CX149+CY149+CZ149</f>
        <v>1281.665</v>
      </c>
      <c r="DC149" s="196">
        <f>DC148-DC150</f>
        <v>432.28499999999997</v>
      </c>
      <c r="DD149" s="196">
        <f>DD148-DD150</f>
        <v>374.70999999999992</v>
      </c>
      <c r="DE149" s="196">
        <f>DE148-DE150</f>
        <v>395.56999999999994</v>
      </c>
      <c r="DF149" s="196">
        <f>DF148-DF150</f>
        <v>532.84</v>
      </c>
      <c r="DG149" s="196">
        <f>DC149+DD149+DE149+DF149</f>
        <v>1735.4049999999997</v>
      </c>
      <c r="FK149" s="77">
        <f>CI149</f>
        <v>839.29700000000003</v>
      </c>
      <c r="FL149" s="77">
        <f>CO149</f>
        <v>939.71499999999992</v>
      </c>
      <c r="FM149" s="191">
        <f>CU149</f>
        <v>988.33</v>
      </c>
      <c r="FN149" s="191">
        <f>DA149</f>
        <v>1281.665</v>
      </c>
      <c r="FO149" s="191">
        <f>DG149</f>
        <v>1735.4049999999997</v>
      </c>
    </row>
    <row r="150" spans="2:184" hidden="1" outlineLevel="1" x14ac:dyDescent="0.25">
      <c r="B150" s="138" t="s">
        <v>217</v>
      </c>
      <c r="D150" s="74"/>
      <c r="E150" s="114"/>
      <c r="F150" s="114"/>
      <c r="H150" s="196"/>
      <c r="J150" s="74"/>
      <c r="K150" s="196"/>
      <c r="L150" s="196"/>
      <c r="M150" s="196"/>
      <c r="N150" s="196"/>
      <c r="O150" s="87"/>
      <c r="P150" s="74"/>
      <c r="Q150" s="196"/>
      <c r="R150" s="196"/>
      <c r="S150" s="196"/>
      <c r="T150" s="196"/>
      <c r="U150" s="87"/>
      <c r="V150" s="88"/>
      <c r="W150" s="196"/>
      <c r="X150" s="196"/>
      <c r="Y150" s="196"/>
      <c r="Z150" s="196"/>
      <c r="AA150" s="87"/>
      <c r="BM150" s="76">
        <f>BM148*BM151</f>
        <v>197.91000000000003</v>
      </c>
      <c r="BN150" s="76">
        <f>BN148*BN151</f>
        <v>220.33000000000004</v>
      </c>
      <c r="BO150" s="76">
        <f>BO148*BO151</f>
        <v>240.73500000000001</v>
      </c>
      <c r="BP150" s="76">
        <f>BP148*BP151</f>
        <v>220.69800000000001</v>
      </c>
      <c r="BQ150" s="76">
        <f>BM150+BN150+BO150+BP150</f>
        <v>879.67300000000012</v>
      </c>
      <c r="BR150" s="104"/>
      <c r="BS150" s="76">
        <f>BS148*BS151</f>
        <v>221.87</v>
      </c>
      <c r="BT150" s="76">
        <f>BT148*BT151</f>
        <v>290.97600000000006</v>
      </c>
      <c r="BU150" s="76">
        <f>BU148*BU151</f>
        <v>321.38400000000001</v>
      </c>
      <c r="BV150" s="76">
        <f>BV148*BV151</f>
        <v>315.38099999999997</v>
      </c>
      <c r="BW150" s="76">
        <f>BS150+BT150+BU150+BV150</f>
        <v>1149.6109999999999</v>
      </c>
      <c r="BY150" s="76">
        <f>BY148*BY151</f>
        <v>317.178</v>
      </c>
      <c r="BZ150" s="76">
        <f>BZ148*BZ151</f>
        <v>322.45600000000002</v>
      </c>
      <c r="CA150" s="76">
        <f>CA148*CA151</f>
        <v>400.96799999999996</v>
      </c>
      <c r="CB150" s="76">
        <f>CB148*CB151</f>
        <v>445.17599999999993</v>
      </c>
      <c r="CC150" s="76">
        <f>BY150+BZ150+CA150+CB150</f>
        <v>1485.7779999999998</v>
      </c>
      <c r="CE150" s="76">
        <f>CE148*CE151</f>
        <v>516.73799999999994</v>
      </c>
      <c r="CF150" s="76">
        <f>CF148*CF151</f>
        <v>502.10999999999996</v>
      </c>
      <c r="CG150" s="76">
        <f>CG148*CG151</f>
        <v>427.38000000000005</v>
      </c>
      <c r="CH150" s="76">
        <f>CH148*CH151</f>
        <v>393.57499999999999</v>
      </c>
      <c r="CI150" s="76">
        <f>CE150+CF150+CG150+CH150</f>
        <v>1839.8030000000001</v>
      </c>
      <c r="CK150" s="76">
        <f>CK148*CK151</f>
        <v>401.245</v>
      </c>
      <c r="CL150" s="76">
        <f>CL148*CL151</f>
        <v>425.03500000000003</v>
      </c>
      <c r="CM150" s="76">
        <f>CM148*CM151</f>
        <v>452.07499999999999</v>
      </c>
      <c r="CN150" s="76">
        <f>CN148*CN151</f>
        <v>466.83000000000004</v>
      </c>
      <c r="CO150" s="76">
        <f>CK150+CL150+CM150+CN150</f>
        <v>1745.1849999999999</v>
      </c>
      <c r="CQ150" s="76">
        <f>CQ148*CQ151</f>
        <v>351.06500000000005</v>
      </c>
      <c r="CR150" s="76">
        <f>CR148*CR151</f>
        <v>466.11500000000001</v>
      </c>
      <c r="CS150" s="76">
        <f>CS148*CS151</f>
        <v>429.58499999999998</v>
      </c>
      <c r="CT150" s="76">
        <f>CT148*CT151</f>
        <v>588.70500000000004</v>
      </c>
      <c r="CU150" s="76">
        <f>CQ150+CR150+CS150+CT150</f>
        <v>1835.4700000000003</v>
      </c>
      <c r="CW150" s="76">
        <f>CW148*CW151</f>
        <v>556.79000000000008</v>
      </c>
      <c r="CX150" s="76">
        <f>CX148*CX151</f>
        <v>576.61500000000001</v>
      </c>
      <c r="CY150" s="76">
        <f>CY148*CY151</f>
        <v>560.56000000000006</v>
      </c>
      <c r="CZ150" s="76">
        <f>CZ148*CZ151</f>
        <v>686.27</v>
      </c>
      <c r="DA150" s="76">
        <f>CW150+CX150+CY150+CZ150</f>
        <v>2380.2350000000001</v>
      </c>
      <c r="DC150" s="76">
        <f>DC148*DC151</f>
        <v>802.81499999999994</v>
      </c>
      <c r="DD150" s="76">
        <f>DD148*DD151</f>
        <v>695.89</v>
      </c>
      <c r="DE150" s="76">
        <f>DE148*DE151</f>
        <v>734.63000000000011</v>
      </c>
      <c r="DF150" s="76">
        <f>DF148*DF151</f>
        <v>989.56000000000006</v>
      </c>
      <c r="DG150" s="76">
        <f>DC150+DD150+DE150+DF150</f>
        <v>3222.895</v>
      </c>
      <c r="FK150" s="152">
        <f>CI150</f>
        <v>1839.8030000000001</v>
      </c>
      <c r="FL150" s="152">
        <f>CO150</f>
        <v>1745.1849999999999</v>
      </c>
      <c r="FM150" s="246">
        <f>CU150</f>
        <v>1835.4700000000003</v>
      </c>
      <c r="FN150" s="246">
        <f>DA150</f>
        <v>2380.2350000000001</v>
      </c>
      <c r="FO150" s="246">
        <f>DG150</f>
        <v>3222.895</v>
      </c>
    </row>
    <row r="151" spans="2:184" hidden="1" outlineLevel="1" x14ac:dyDescent="0.25">
      <c r="B151" s="203" t="s">
        <v>216</v>
      </c>
      <c r="D151" s="74"/>
      <c r="E151" s="114"/>
      <c r="F151" s="114"/>
      <c r="H151" s="196"/>
      <c r="J151" s="74"/>
      <c r="K151" s="196"/>
      <c r="L151" s="196"/>
      <c r="M151" s="196"/>
      <c r="N151" s="196"/>
      <c r="O151" s="87"/>
      <c r="P151" s="74"/>
      <c r="Q151" s="196"/>
      <c r="R151" s="196"/>
      <c r="S151" s="196"/>
      <c r="T151" s="196"/>
      <c r="U151" s="87"/>
      <c r="V151" s="88"/>
      <c r="W151" s="196"/>
      <c r="X151" s="196"/>
      <c r="Y151" s="196"/>
      <c r="Z151" s="196"/>
      <c r="AA151" s="87"/>
      <c r="BM151" s="119">
        <v>0.54</v>
      </c>
      <c r="BN151" s="119">
        <v>0.55000000000000004</v>
      </c>
      <c r="BO151" s="119">
        <v>0.55000000000000004</v>
      </c>
      <c r="BP151" s="119">
        <v>0.54</v>
      </c>
      <c r="BQ151" s="206">
        <f>BQ150/BQ148</f>
        <v>0.54519553765106921</v>
      </c>
      <c r="BS151" s="119">
        <v>0.55000000000000004</v>
      </c>
      <c r="BT151" s="119">
        <v>0.56000000000000005</v>
      </c>
      <c r="BU151" s="119">
        <v>0.56000000000000005</v>
      </c>
      <c r="BV151" s="119">
        <v>0.56999999999999995</v>
      </c>
      <c r="BW151" s="206">
        <f>BW150/BW148</f>
        <v>0.56073114818066527</v>
      </c>
      <c r="BY151" s="119">
        <v>0.67</v>
      </c>
      <c r="BZ151" s="119">
        <v>0.68</v>
      </c>
      <c r="CA151" s="119">
        <v>0.72</v>
      </c>
      <c r="CB151" s="119">
        <v>0.72</v>
      </c>
      <c r="CC151" s="206">
        <f>CC150/CC148</f>
        <v>0.69991426417938551</v>
      </c>
      <c r="CE151" s="119">
        <v>0.71</v>
      </c>
      <c r="CF151" s="119">
        <v>0.7</v>
      </c>
      <c r="CG151" s="119">
        <v>0.68</v>
      </c>
      <c r="CH151" s="119">
        <v>0.65</v>
      </c>
      <c r="CI151" s="206">
        <f>CI150/CI148</f>
        <v>0.68672427307677963</v>
      </c>
      <c r="CK151" s="119">
        <v>0.65</v>
      </c>
      <c r="CL151" s="119">
        <v>0.65</v>
      </c>
      <c r="CM151" s="119">
        <v>0.65</v>
      </c>
      <c r="CN151" s="119">
        <v>0.65</v>
      </c>
      <c r="CO151" s="206">
        <f>CO150/CO148</f>
        <v>0.65</v>
      </c>
      <c r="CQ151" s="119">
        <v>0.65</v>
      </c>
      <c r="CR151" s="119">
        <v>0.65</v>
      </c>
      <c r="CS151" s="119">
        <v>0.65</v>
      </c>
      <c r="CT151" s="119">
        <v>0.65</v>
      </c>
      <c r="CU151" s="206">
        <f>CU150/CU148</f>
        <v>0.65</v>
      </c>
      <c r="CW151" s="119">
        <v>0.65</v>
      </c>
      <c r="CX151" s="119">
        <v>0.65</v>
      </c>
      <c r="CY151" s="119">
        <v>0.65</v>
      </c>
      <c r="CZ151" s="119">
        <v>0.65</v>
      </c>
      <c r="DA151" s="206">
        <f>DA150/DA148</f>
        <v>0.65000000000000013</v>
      </c>
      <c r="DC151" s="119">
        <v>0.65</v>
      </c>
      <c r="DD151" s="119">
        <v>0.65</v>
      </c>
      <c r="DE151" s="119">
        <v>0.65</v>
      </c>
      <c r="DF151" s="119">
        <v>0.65</v>
      </c>
      <c r="DG151" s="206">
        <f>DG150/DG148</f>
        <v>0.65000000000000013</v>
      </c>
      <c r="FG151" s="77"/>
      <c r="FH151" s="77"/>
      <c r="FI151" s="77"/>
      <c r="FJ151" s="77"/>
      <c r="FK151" s="206">
        <f>FK150/FK148</f>
        <v>0.68672427307677963</v>
      </c>
      <c r="FL151" s="206">
        <f>FL150/FL148</f>
        <v>0.65</v>
      </c>
      <c r="FM151" s="206">
        <f>FM150/FM148</f>
        <v>0.65</v>
      </c>
      <c r="FN151" s="206">
        <f>FN150/FN148</f>
        <v>0.65000000000000013</v>
      </c>
      <c r="FO151" s="206">
        <f>FO150/FO148</f>
        <v>0.65000000000000013</v>
      </c>
      <c r="GB151" s="180" t="s">
        <v>215</v>
      </c>
    </row>
    <row r="152" spans="2:184" hidden="1" outlineLevel="1" x14ac:dyDescent="0.25">
      <c r="FG152" s="137"/>
      <c r="FH152" s="137"/>
      <c r="FI152" s="137"/>
      <c r="FJ152" s="137"/>
      <c r="FK152" s="136"/>
      <c r="FL152" s="136"/>
      <c r="FM152" s="135"/>
      <c r="FN152" s="135"/>
    </row>
    <row r="153" spans="2:184" hidden="1" outlineLevel="1" x14ac:dyDescent="0.25">
      <c r="FG153" s="76"/>
      <c r="FH153" s="76"/>
      <c r="FI153" s="76"/>
      <c r="FJ153" s="76"/>
      <c r="FK153" s="76"/>
      <c r="FL153" s="76"/>
      <c r="FM153" s="76"/>
      <c r="FN153" s="76"/>
    </row>
    <row r="154" spans="2:184" hidden="1" outlineLevel="1" x14ac:dyDescent="0.25">
      <c r="B154" s="177" t="s">
        <v>214</v>
      </c>
      <c r="BM154" s="87">
        <f>BM70</f>
        <v>777</v>
      </c>
      <c r="BN154" s="87">
        <f>BN70</f>
        <v>881.7</v>
      </c>
      <c r="BO154" s="87">
        <f>BO70</f>
        <v>734.1</v>
      </c>
      <c r="BP154" s="87">
        <f>BP70</f>
        <v>827.1</v>
      </c>
      <c r="BQ154" s="87">
        <f>BQ70</f>
        <v>3219.9</v>
      </c>
      <c r="BS154" s="87">
        <f>BS70</f>
        <v>861.3</v>
      </c>
      <c r="BT154" s="87">
        <f>BT70</f>
        <v>890.3</v>
      </c>
      <c r="BU154" s="87">
        <f>BU70</f>
        <v>835.7</v>
      </c>
      <c r="BV154" s="87">
        <f>BV70</f>
        <v>764.4</v>
      </c>
      <c r="BW154" s="87">
        <f>BW143+BW149</f>
        <v>3351.7</v>
      </c>
      <c r="BY154" s="87">
        <f>BY70</f>
        <v>755.1</v>
      </c>
      <c r="BZ154" s="87">
        <f>BZ70</f>
        <v>988.2</v>
      </c>
      <c r="CA154" s="87">
        <f>CA70</f>
        <v>970.2</v>
      </c>
      <c r="CB154" s="87">
        <f>CB70</f>
        <v>996.8</v>
      </c>
      <c r="CC154" s="87">
        <f>CC143+CC149</f>
        <v>3710.3</v>
      </c>
      <c r="CE154" s="87">
        <v>986.5</v>
      </c>
      <c r="CF154" s="87">
        <v>1124.9000000000001</v>
      </c>
      <c r="CG154" s="87">
        <v>1367.9</v>
      </c>
      <c r="CH154" s="87">
        <v>1374.3</v>
      </c>
      <c r="CI154" s="87">
        <f>SUM(CE154:CH154)</f>
        <v>4853.6000000000004</v>
      </c>
      <c r="CK154" s="87">
        <v>1141.5</v>
      </c>
      <c r="CL154" s="87">
        <v>1523.5</v>
      </c>
      <c r="CM154" s="87">
        <v>1410.2</v>
      </c>
      <c r="CN154" s="87">
        <v>1719.6</v>
      </c>
      <c r="CO154" s="87">
        <f>SUM(CK154:CN154)</f>
        <v>5794.7999999999993</v>
      </c>
      <c r="CQ154" s="87">
        <v>1271.0999999999999</v>
      </c>
      <c r="CR154" s="87">
        <v>1432.7</v>
      </c>
      <c r="CS154" s="87">
        <v>1650.1</v>
      </c>
      <c r="CT154" s="87">
        <v>2066.3000000000002</v>
      </c>
      <c r="CU154" s="87">
        <f>SUM(CQ154:CT154)</f>
        <v>6420.2</v>
      </c>
      <c r="CW154" s="87">
        <v>1309.2</v>
      </c>
      <c r="CX154" s="87">
        <v>1692.5</v>
      </c>
      <c r="CY154" s="87">
        <v>2046.6</v>
      </c>
      <c r="CZ154" s="87">
        <v>2013</v>
      </c>
      <c r="DA154" s="87">
        <f>SUM(CW154:CZ154)</f>
        <v>7061.2999999999993</v>
      </c>
      <c r="DC154" s="87">
        <v>1981.5</v>
      </c>
      <c r="DD154" s="87">
        <v>1945.6</v>
      </c>
      <c r="DE154" s="87">
        <v>2499.9</v>
      </c>
      <c r="DF154" s="87">
        <v>2255</v>
      </c>
      <c r="DG154" s="87">
        <f>SUM(DC154:DF154)</f>
        <v>8682</v>
      </c>
      <c r="FG154" s="196"/>
      <c r="FH154" s="196"/>
      <c r="FI154" s="196"/>
      <c r="FJ154" s="196"/>
      <c r="FK154" s="87">
        <f>FK143+FK149</f>
        <v>4853.6000000000004</v>
      </c>
      <c r="FL154" s="87">
        <f>FL143+FL149</f>
        <v>5794.8</v>
      </c>
      <c r="FM154" s="87">
        <f>FM143+FM149</f>
        <v>6420.2000000000007</v>
      </c>
      <c r="FN154" s="87">
        <f>FN143+FN149</f>
        <v>7061.3</v>
      </c>
      <c r="FO154" s="87">
        <f>FO143+FO149</f>
        <v>8682</v>
      </c>
    </row>
    <row r="155" spans="2:184" hidden="1" outlineLevel="1" x14ac:dyDescent="0.25">
      <c r="B155" s="74"/>
      <c r="BS155" s="74"/>
      <c r="BT155" s="74"/>
      <c r="BU155" s="74"/>
      <c r="BV155" s="74"/>
      <c r="BW155" s="74"/>
      <c r="FK155" s="307">
        <f>FK154-FK70</f>
        <v>0</v>
      </c>
      <c r="FL155" s="307">
        <f>FL154-FL70</f>
        <v>0</v>
      </c>
      <c r="FM155" s="307">
        <f>FM154-FM70</f>
        <v>0</v>
      </c>
      <c r="FN155" s="307">
        <f>FN154-FN70</f>
        <v>0</v>
      </c>
      <c r="FO155" s="307">
        <f>FO154-FO70</f>
        <v>0</v>
      </c>
    </row>
    <row r="156" spans="2:184" collapsed="1" x14ac:dyDescent="0.25">
      <c r="B156" s="200"/>
      <c r="D156" s="74"/>
      <c r="E156" s="114"/>
      <c r="F156" s="114"/>
      <c r="H156" s="196"/>
      <c r="J156" s="74"/>
      <c r="K156" s="196"/>
      <c r="L156" s="196"/>
      <c r="M156" s="196"/>
      <c r="N156" s="196"/>
      <c r="O156" s="87"/>
      <c r="P156" s="74"/>
      <c r="Q156" s="196"/>
      <c r="R156" s="196"/>
      <c r="S156" s="196"/>
      <c r="T156" s="196"/>
      <c r="U156" s="87"/>
      <c r="V156" s="88"/>
      <c r="W156" s="196"/>
      <c r="X156" s="196"/>
      <c r="Y156" s="196"/>
      <c r="Z156" s="196"/>
      <c r="AA156" s="87"/>
      <c r="FG156" s="87"/>
      <c r="FH156" s="87"/>
      <c r="FI156" s="87"/>
      <c r="FJ156" s="87"/>
      <c r="FK156" s="87"/>
      <c r="FL156" s="87"/>
      <c r="FM156" s="87"/>
      <c r="FN156" s="87"/>
    </row>
    <row r="157" spans="2:184" x14ac:dyDescent="0.25">
      <c r="B157" s="74"/>
    </row>
    <row r="158" spans="2:184" x14ac:dyDescent="0.25">
      <c r="B158" s="74"/>
    </row>
    <row r="159" spans="2:184" x14ac:dyDescent="0.25">
      <c r="B159" s="74"/>
    </row>
    <row r="160" spans="2:184" x14ac:dyDescent="0.25">
      <c r="B160" s="104" t="s">
        <v>213</v>
      </c>
      <c r="D160" s="74"/>
      <c r="E160" s="114"/>
      <c r="F160" s="114"/>
      <c r="H160" s="196"/>
      <c r="J160" s="74"/>
      <c r="K160" s="196"/>
      <c r="L160" s="196"/>
      <c r="M160" s="196"/>
      <c r="N160" s="196"/>
      <c r="O160" s="87"/>
      <c r="P160" s="74"/>
      <c r="Q160" s="196"/>
      <c r="R160" s="196"/>
      <c r="S160" s="196"/>
      <c r="T160" s="196"/>
      <c r="U160" s="87"/>
      <c r="V160" s="88"/>
      <c r="W160" s="196"/>
      <c r="X160" s="196"/>
      <c r="Y160" s="196"/>
      <c r="Z160" s="196"/>
      <c r="AA160" s="87"/>
    </row>
    <row r="161" spans="2:183" x14ac:dyDescent="0.25">
      <c r="B161" s="74"/>
      <c r="D161" s="74"/>
      <c r="E161" s="114"/>
      <c r="F161" s="114"/>
      <c r="H161" s="196"/>
      <c r="J161" s="74"/>
      <c r="K161" s="196"/>
      <c r="L161" s="196"/>
      <c r="M161" s="196"/>
      <c r="N161" s="196"/>
      <c r="O161" s="87"/>
      <c r="P161" s="74"/>
      <c r="Q161" s="196"/>
      <c r="R161" s="196"/>
      <c r="S161" s="196"/>
      <c r="T161" s="196"/>
      <c r="U161" s="87"/>
      <c r="V161" s="88"/>
      <c r="W161" s="196"/>
      <c r="X161" s="196"/>
      <c r="Y161" s="196"/>
      <c r="Z161" s="196"/>
      <c r="AA161" s="87"/>
      <c r="BI161" s="74"/>
      <c r="CE161" s="77"/>
      <c r="CF161" s="77"/>
      <c r="CG161" s="77"/>
      <c r="CH161" s="77"/>
      <c r="CK161" s="77"/>
      <c r="CL161" s="77"/>
      <c r="CM161" s="77"/>
      <c r="CN161" s="77"/>
    </row>
    <row r="162" spans="2:183" x14ac:dyDescent="0.25">
      <c r="B162" s="78" t="s">
        <v>212</v>
      </c>
      <c r="D162" s="104"/>
      <c r="E162" s="133"/>
      <c r="F162" s="133"/>
      <c r="H162" s="76"/>
      <c r="J162" s="104"/>
      <c r="K162" s="76"/>
      <c r="L162" s="76"/>
      <c r="M162" s="76"/>
      <c r="N162" s="76"/>
      <c r="O162" s="117"/>
      <c r="P162" s="104"/>
      <c r="Q162" s="76"/>
      <c r="R162" s="76"/>
      <c r="S162" s="76"/>
      <c r="T162" s="76"/>
      <c r="U162" s="117"/>
      <c r="V162" s="132"/>
      <c r="W162" s="76"/>
      <c r="X162" s="76"/>
      <c r="Y162" s="76"/>
      <c r="Z162" s="76"/>
      <c r="AA162" s="117"/>
      <c r="BG162" s="76">
        <f>BG169-SUM(BG167:BG168)</f>
        <v>62.6</v>
      </c>
      <c r="BH162" s="76">
        <f>BH169-SUM(BH167:BH168)</f>
        <v>67.900000000000006</v>
      </c>
      <c r="BI162" s="76">
        <f>BI169-SUM(BI167:BI168)</f>
        <v>78.7</v>
      </c>
      <c r="BJ162" s="76">
        <f>BJ169-SUM(BJ167:BJ168)</f>
        <v>78.5</v>
      </c>
      <c r="BK162" s="76">
        <f>BJ162+BI162+BH162+BG162</f>
        <v>287.7</v>
      </c>
      <c r="BM162" s="76">
        <f>BM169-SUM(BM167:BM168)</f>
        <v>79.400000000000006</v>
      </c>
      <c r="BN162" s="76">
        <f>BN169-SUM(BN167:BN168)</f>
        <v>75.400000000000006</v>
      </c>
      <c r="BO162" s="76">
        <f>BO169-SUM(BO167:BO168)</f>
        <v>73.400000000000006</v>
      </c>
      <c r="BP162" s="76">
        <f>BP169-SUM(BP167:BP168)</f>
        <v>76.400000000000006</v>
      </c>
      <c r="BQ162" s="76">
        <f>BP162+BO162+BN162+BM162</f>
        <v>304.60000000000002</v>
      </c>
      <c r="BS162" s="76">
        <v>79.3</v>
      </c>
      <c r="BT162" s="76">
        <v>85.8</v>
      </c>
      <c r="BU162" s="76">
        <v>83.1</v>
      </c>
      <c r="BV162" s="76">
        <v>87</v>
      </c>
      <c r="BW162" s="76">
        <f>BV162+BU162+BT162+BS162</f>
        <v>335.2</v>
      </c>
      <c r="BY162" s="76">
        <v>86.3</v>
      </c>
      <c r="BZ162" s="76">
        <v>87.9</v>
      </c>
      <c r="CA162" s="76">
        <v>86.3</v>
      </c>
      <c r="CB162" s="76">
        <v>89.3</v>
      </c>
      <c r="CC162" s="76">
        <f>CB162+CA162+BZ162+BY162</f>
        <v>349.8</v>
      </c>
      <c r="CE162" s="76">
        <v>96.1</v>
      </c>
      <c r="CF162" s="76">
        <v>99.5</v>
      </c>
      <c r="CG162" s="76">
        <v>100.8</v>
      </c>
      <c r="CH162" s="76">
        <v>110.2</v>
      </c>
      <c r="CI162" s="76">
        <f>CH162+CG162+CF162+CE162</f>
        <v>406.6</v>
      </c>
      <c r="CK162" s="76">
        <v>111.7</v>
      </c>
      <c r="CL162" s="76">
        <v>114.9</v>
      </c>
      <c r="CM162" s="76">
        <v>119.3</v>
      </c>
      <c r="CN162" s="76">
        <v>132.1</v>
      </c>
      <c r="CO162" s="76">
        <f>CN162+CM162+CL162+CK162</f>
        <v>477.99999999999994</v>
      </c>
      <c r="CQ162" s="76">
        <v>118.5</v>
      </c>
      <c r="CR162" s="76">
        <v>121</v>
      </c>
      <c r="CS162" s="76">
        <v>126</v>
      </c>
      <c r="CT162" s="76">
        <v>145.1</v>
      </c>
      <c r="CU162" s="76">
        <f>CT162+CS162+CR162+CQ162</f>
        <v>510.6</v>
      </c>
      <c r="CW162" s="76">
        <v>128.19999999999999</v>
      </c>
      <c r="CX162" s="76">
        <v>128.69999999999999</v>
      </c>
      <c r="CY162" s="76">
        <v>129</v>
      </c>
      <c r="CZ162" s="76">
        <v>149</v>
      </c>
      <c r="DA162" s="76">
        <f>CZ162+CY162+CX162+CW162</f>
        <v>534.9</v>
      </c>
      <c r="DC162" s="76">
        <v>165.9</v>
      </c>
      <c r="DD162" s="76">
        <v>169.3</v>
      </c>
      <c r="DE162" s="76">
        <v>180.4</v>
      </c>
      <c r="DF162" s="76">
        <v>200</v>
      </c>
      <c r="DG162" s="76">
        <f>DF162+DE162+DD162+DC162</f>
        <v>715.6</v>
      </c>
      <c r="DI162" s="76">
        <v>205.2</v>
      </c>
      <c r="DJ162" s="76">
        <v>219.5</v>
      </c>
      <c r="DK162" s="76">
        <v>233.3</v>
      </c>
      <c r="DL162" s="76">
        <v>277.89999999999998</v>
      </c>
      <c r="DM162" s="76">
        <f>DL162+DK162+DJ162+DI162</f>
        <v>935.90000000000009</v>
      </c>
      <c r="DO162" s="76">
        <v>257.8</v>
      </c>
      <c r="DP162" s="76">
        <v>278.60000000000002</v>
      </c>
      <c r="DQ162" s="76">
        <v>285.3</v>
      </c>
      <c r="DR162" s="76">
        <v>281.60000000000002</v>
      </c>
      <c r="DS162" s="76">
        <f>DR162+DQ162+DP162+DO162</f>
        <v>1103.3000000000002</v>
      </c>
      <c r="DT162" s="76"/>
      <c r="DU162" s="76">
        <v>270.8</v>
      </c>
      <c r="DV162" s="76">
        <v>274.5</v>
      </c>
      <c r="DW162" s="76">
        <v>294.5</v>
      </c>
      <c r="DX162" s="76">
        <v>315.89999999999998</v>
      </c>
      <c r="DY162" s="76">
        <f>DX162+DW162+DV162+DU162</f>
        <v>1155.7</v>
      </c>
      <c r="EA162" s="76">
        <v>278.2</v>
      </c>
      <c r="EB162" s="76">
        <v>296.2</v>
      </c>
      <c r="EC162" s="76">
        <v>300.7</v>
      </c>
      <c r="ED162" s="76">
        <v>372.7</v>
      </c>
      <c r="EE162" s="76">
        <f>ED162+EC162+EB162+EA162</f>
        <v>1247.8</v>
      </c>
      <c r="EG162" s="76">
        <v>299.8</v>
      </c>
      <c r="EH162" s="76">
        <v>302.798</v>
      </c>
      <c r="EI162" s="76">
        <v>317.93790000000001</v>
      </c>
      <c r="EJ162" s="76">
        <v>343.37293200000005</v>
      </c>
      <c r="EK162" s="76">
        <f>EJ162+EI162+EH162+EG162</f>
        <v>1263.9088320000001</v>
      </c>
      <c r="FG162" s="76">
        <f>BK162</f>
        <v>287.7</v>
      </c>
      <c r="FH162" s="76">
        <f>BQ162</f>
        <v>304.60000000000002</v>
      </c>
      <c r="FI162" s="76">
        <f>BW162</f>
        <v>335.2</v>
      </c>
      <c r="FJ162" s="76">
        <f>CC162</f>
        <v>349.8</v>
      </c>
      <c r="FK162" s="76">
        <f>CI162</f>
        <v>406.6</v>
      </c>
      <c r="FL162" s="76">
        <f>CO162</f>
        <v>477.99999999999994</v>
      </c>
      <c r="FM162" s="76">
        <f>CU162</f>
        <v>510.6</v>
      </c>
      <c r="FN162" s="76">
        <f>DA162</f>
        <v>534.9</v>
      </c>
      <c r="FO162" s="76">
        <f>DG162</f>
        <v>715.6</v>
      </c>
      <c r="FP162" s="76">
        <f>DM162</f>
        <v>935.90000000000009</v>
      </c>
      <c r="FQ162" s="76">
        <f>DS162</f>
        <v>1103.3000000000002</v>
      </c>
      <c r="FR162" s="76">
        <f>DY162</f>
        <v>1155.7</v>
      </c>
      <c r="FS162" s="76">
        <f>EE162</f>
        <v>1247.8</v>
      </c>
      <c r="FT162" s="76">
        <f>EK162</f>
        <v>1263.9088320000001</v>
      </c>
      <c r="FU162" s="76">
        <v>1301.8260969600001</v>
      </c>
      <c r="FV162" s="76">
        <v>1340.8808798688001</v>
      </c>
      <c r="FW162" s="76">
        <v>1381.1073062648641</v>
      </c>
      <c r="FX162" s="76">
        <v>1422.54052545281</v>
      </c>
      <c r="FY162" s="76"/>
      <c r="GA162" s="76"/>
    </row>
    <row r="163" spans="2:183" x14ac:dyDescent="0.25">
      <c r="B163" s="130" t="s">
        <v>208</v>
      </c>
      <c r="D163" s="74"/>
      <c r="E163" s="114"/>
      <c r="F163" s="114"/>
      <c r="H163" s="196"/>
      <c r="J163" s="74"/>
      <c r="K163" s="196"/>
      <c r="L163" s="196"/>
      <c r="M163" s="196"/>
      <c r="N163" s="196"/>
      <c r="O163" s="87"/>
      <c r="P163" s="74"/>
      <c r="Q163" s="196"/>
      <c r="R163" s="196"/>
      <c r="S163" s="196"/>
      <c r="T163" s="196"/>
      <c r="U163" s="87"/>
      <c r="V163" s="88"/>
      <c r="W163" s="196"/>
      <c r="X163" s="196"/>
      <c r="Y163" s="196"/>
      <c r="Z163" s="196"/>
      <c r="AA163" s="87"/>
      <c r="BI163" s="204">
        <f>BI162/Financials!BI9</f>
        <v>5.6529234305415892E-2</v>
      </c>
      <c r="BJ163" s="204">
        <f>BJ162/Financials!BJ9</f>
        <v>4.0836497945169845E-2</v>
      </c>
      <c r="BK163" s="204">
        <f>BK162/Financials!BK9</f>
        <v>5.3029325567249735E-2</v>
      </c>
      <c r="BM163" s="204">
        <f>BM162/Financials!BM9</f>
        <v>5.6856426781238818E-2</v>
      </c>
      <c r="BN163" s="204">
        <f>BN162/Financials!BN9</f>
        <v>4.5874908736918962E-2</v>
      </c>
      <c r="BO163" s="204">
        <f>BO162/Financials!BO9</f>
        <v>5.5513538042656178E-2</v>
      </c>
      <c r="BP163" s="204">
        <f>BP162/Financials!BP9</f>
        <v>5.1137884872824634E-2</v>
      </c>
      <c r="BQ163" s="204">
        <f>BQ162/Financials!BQ9</f>
        <v>5.2012362754640301E-2</v>
      </c>
      <c r="BS163" s="204">
        <f>BS162/Financials!BS9</f>
        <v>4.8063519001151578E-2</v>
      </c>
      <c r="BT163" s="204">
        <f>BT162/Financials!BT9</f>
        <v>5.1871108155492417E-2</v>
      </c>
      <c r="BU163" s="204">
        <f>BU162/Financials!BU9</f>
        <v>5.3640588690937262E-2</v>
      </c>
      <c r="BV163" s="204">
        <f>BV162/Financials!BV9</f>
        <v>6.0660995677032502E-2</v>
      </c>
      <c r="BW163" s="204">
        <f>BW162/Financials!BW9</f>
        <v>5.3312975156662536E-2</v>
      </c>
      <c r="BY163" s="204">
        <f>BY162/Financials!BY9</f>
        <v>6.4731473147314741E-2</v>
      </c>
      <c r="BZ163" s="204">
        <f>BZ162/Financials!BZ9</f>
        <v>5.0528857208553692E-2</v>
      </c>
      <c r="CA163" s="204">
        <f>CA162/Financials!CA9</f>
        <v>4.7558690620522433E-2</v>
      </c>
      <c r="CB163" s="204">
        <f>CB162/Financials!CB9</f>
        <v>4.6817657544301144E-2</v>
      </c>
      <c r="CC163" s="204">
        <f>CC162/Financials!CC9</f>
        <v>5.1480543945369994E-2</v>
      </c>
      <c r="CE163" s="204">
        <f>CE162/Financials!CE9</f>
        <v>4.9444330109075944E-2</v>
      </c>
      <c r="CF163" s="204">
        <f>CF162/Financials!CF9</f>
        <v>4.7349386123536695E-2</v>
      </c>
      <c r="CG163" s="204">
        <f>CG162/Financials!CG9</f>
        <v>4.1186565334640837E-2</v>
      </c>
      <c r="CH163" s="204">
        <f>CH162/Financials!CH9</f>
        <v>4.3040149976566161E-2</v>
      </c>
      <c r="CI163" s="204">
        <f>CI162/Financials!CI9</f>
        <v>4.491428066454578E-2</v>
      </c>
      <c r="CK163" s="204">
        <f>CK162/Financials!CK9</f>
        <v>4.888402625820569E-2</v>
      </c>
      <c r="CL163" s="204">
        <f>CL162/Financials!CL9</f>
        <v>4.1928185666326084E-2</v>
      </c>
      <c r="CM163" s="204">
        <f>CM162/Financials!CM9</f>
        <v>4.2973956269586833E-2</v>
      </c>
      <c r="CN163" s="204">
        <f>CN162/Financials!CN9</f>
        <v>4.2036595067621321E-2</v>
      </c>
      <c r="CO163" s="204">
        <f>CO162/Financials!CO9</f>
        <v>4.3676900584795314E-2</v>
      </c>
      <c r="CQ163" s="204">
        <f>CQ162/Financials!CQ9</f>
        <v>5.3160468350455341E-2</v>
      </c>
      <c r="CR163" s="204">
        <f>CR162/Financials!CR9</f>
        <v>4.7120214961641808E-2</v>
      </c>
      <c r="CS163" s="204">
        <f>CS162/Financials!CS9</f>
        <v>4.2189854344550477E-2</v>
      </c>
      <c r="CT163" s="204">
        <f>CT162/Financials!CT9</f>
        <v>3.5947874343474386E-2</v>
      </c>
      <c r="CU163" s="204">
        <f>CU162/Financials!CU9</f>
        <v>4.3198335011294518E-2</v>
      </c>
      <c r="CW163" s="204">
        <f>CW162/Financials!CW9</f>
        <v>5.252806686880275E-2</v>
      </c>
      <c r="CX163" s="204">
        <f>CX162/Financials!CX9</f>
        <v>3.8698619839432298E-2</v>
      </c>
      <c r="CY163" s="204">
        <f>CY162/Financials!CY9</f>
        <v>3.2592218292066703E-2</v>
      </c>
      <c r="CZ163" s="204">
        <f>CZ162/Financials!CZ9</f>
        <v>3.5025034672433647E-2</v>
      </c>
      <c r="DA163" s="204">
        <f>DA162/Financials!DA9</f>
        <v>3.8266182109540435E-2</v>
      </c>
      <c r="DC163" s="204">
        <f>DC162/Financials!DC9</f>
        <v>3.8016453172620826E-2</v>
      </c>
      <c r="DD163" s="204">
        <f>DD162/Financials!DD9</f>
        <v>4.2112332719765187E-2</v>
      </c>
      <c r="DE163" s="204">
        <f>DE162/Financials!DE9</f>
        <v>3.4418941865567702E-2</v>
      </c>
      <c r="DF163" s="204">
        <f>DF162/Financials!DF9</f>
        <v>4.0115532734274706E-2</v>
      </c>
      <c r="DG163" s="204">
        <f>DG162/Financials!DG9</f>
        <v>3.845037880823169E-2</v>
      </c>
      <c r="DI163" s="204">
        <f>DI162/DI9</f>
        <v>5.8057944771389772E-2</v>
      </c>
      <c r="DJ163" s="204">
        <f>DJ162/DJ9</f>
        <v>4.0419850842463863E-2</v>
      </c>
      <c r="DK163" s="204">
        <f>DK162/DK9</f>
        <v>4.0375196857207141E-2</v>
      </c>
      <c r="DL163" s="204">
        <f>DL162/DL9</f>
        <v>4.321794034400174E-2</v>
      </c>
      <c r="DM163" s="204">
        <f>DM162/DM9</f>
        <v>4.4201687022396033E-2</v>
      </c>
      <c r="DO163" s="204">
        <f>DO162/DO9</f>
        <v>3.821410571877501E-2</v>
      </c>
      <c r="DP163" s="204">
        <f>DP162/DP9</f>
        <v>4.0363357141822293E-2</v>
      </c>
      <c r="DQ163" s="204">
        <f>DQ162/DQ9</f>
        <v>4.275438333583096E-2</v>
      </c>
      <c r="DR163" s="204">
        <f>DR162/DR9</f>
        <v>3.8911151029432087E-2</v>
      </c>
      <c r="DS163" s="204">
        <f>DS162/DS9</f>
        <v>4.0034834987390466E-2</v>
      </c>
      <c r="DT163" s="204"/>
      <c r="DU163" s="204">
        <f>DU162/DU9</f>
        <v>5.1190926275992442E-2</v>
      </c>
      <c r="DV163" s="204">
        <f>DV162/DV9</f>
        <v>4.3970654193631067E-2</v>
      </c>
      <c r="DW163" s="204">
        <f>DW162/DW9</f>
        <v>3.943861904570594E-2</v>
      </c>
      <c r="DX163" s="204">
        <f>DX162/DX9</f>
        <v>3.410415856976292E-2</v>
      </c>
      <c r="DY163" s="204">
        <f>DY162/DY9</f>
        <v>4.0891062134458957E-2</v>
      </c>
      <c r="EA163" s="204">
        <f>EA162/EA9</f>
        <v>3.5936188077246009E-2</v>
      </c>
      <c r="EB163" s="204">
        <f>EB162/EB9</f>
        <v>3.8509042214334925E-2</v>
      </c>
      <c r="EC163" s="204">
        <f>EC162/EC9</f>
        <v>4.0007982969664714E-2</v>
      </c>
      <c r="ED163" s="204">
        <f>ED162/ED9</f>
        <v>3.8351512656925289E-2</v>
      </c>
      <c r="EE163" s="204">
        <f>EE162/EE9</f>
        <v>3.819733555370524E-2</v>
      </c>
      <c r="EG163" s="204">
        <f>EG162/EG9</f>
        <v>3.4198368790281188E-2</v>
      </c>
      <c r="EH163" s="204">
        <f>EH162/EH9</f>
        <v>3.6309326810082261E-2</v>
      </c>
      <c r="EI163" s="204">
        <f>EI162/EI9</f>
        <v>3.1347093911757461E-2</v>
      </c>
      <c r="EJ163" s="204">
        <f>EJ162/EJ9</f>
        <v>3.2936835426099959E-2</v>
      </c>
      <c r="EK163" s="204">
        <f>EK162/EK9</f>
        <v>3.3548930809496676E-2</v>
      </c>
      <c r="FG163" s="204">
        <f t="shared" ref="FG163:FX163" si="145">FG162/FG9</f>
        <v>5.3029325567249735E-2</v>
      </c>
      <c r="FH163" s="204">
        <f t="shared" si="145"/>
        <v>5.2012362754640301E-2</v>
      </c>
      <c r="FI163" s="204">
        <f t="shared" si="145"/>
        <v>5.3312975156662536E-2</v>
      </c>
      <c r="FJ163" s="204">
        <f t="shared" si="145"/>
        <v>5.1480543945369994E-2</v>
      </c>
      <c r="FK163" s="204">
        <f t="shared" si="145"/>
        <v>4.491428066454578E-2</v>
      </c>
      <c r="FL163" s="204">
        <f t="shared" si="145"/>
        <v>4.3676900584795314E-2</v>
      </c>
      <c r="FM163" s="204">
        <f t="shared" si="145"/>
        <v>4.3198335011294518E-2</v>
      </c>
      <c r="FN163" s="204">
        <f t="shared" si="145"/>
        <v>3.8266182109540435E-2</v>
      </c>
      <c r="FO163" s="204">
        <f t="shared" si="145"/>
        <v>3.845037880823169E-2</v>
      </c>
      <c r="FP163" s="204">
        <f t="shared" si="145"/>
        <v>4.4201687022396033E-2</v>
      </c>
      <c r="FQ163" s="204">
        <f t="shared" si="145"/>
        <v>4.0034834987390466E-2</v>
      </c>
      <c r="FR163" s="204">
        <f t="shared" si="145"/>
        <v>4.0891062134458957E-2</v>
      </c>
      <c r="FS163" s="204">
        <f t="shared" si="145"/>
        <v>3.819733555370524E-2</v>
      </c>
      <c r="FT163" s="204">
        <f t="shared" si="145"/>
        <v>3.3548930809496683E-2</v>
      </c>
      <c r="FU163" s="204">
        <f t="shared" si="145"/>
        <v>2.7114627991382121E-2</v>
      </c>
      <c r="FV163" s="204">
        <f t="shared" si="145"/>
        <v>3.2469663045902188E-2</v>
      </c>
      <c r="FW163" s="204">
        <f t="shared" ca="1" si="145"/>
        <v>6.2387681818853263E-2</v>
      </c>
      <c r="FX163" s="204">
        <f t="shared" si="145"/>
        <v>5.4839650171658059E-2</v>
      </c>
    </row>
    <row r="164" spans="2:183" x14ac:dyDescent="0.25">
      <c r="B164" s="130" t="s">
        <v>207</v>
      </c>
      <c r="D164" s="74"/>
      <c r="E164" s="114"/>
      <c r="F164" s="114"/>
      <c r="H164" s="196"/>
      <c r="J164" s="74"/>
      <c r="K164" s="196"/>
      <c r="L164" s="196"/>
      <c r="M164" s="196"/>
      <c r="N164" s="196"/>
      <c r="O164" s="87"/>
      <c r="P164" s="74"/>
      <c r="Q164" s="196"/>
      <c r="R164" s="196"/>
      <c r="S164" s="196"/>
      <c r="T164" s="196"/>
      <c r="U164" s="87"/>
      <c r="V164" s="88"/>
      <c r="W164" s="196"/>
      <c r="X164" s="196"/>
      <c r="Y164" s="196"/>
      <c r="Z164" s="196"/>
      <c r="AA164" s="87"/>
      <c r="BH164" s="97">
        <f>BH162/BG162-1</f>
        <v>8.4664536741214214E-2</v>
      </c>
      <c r="BI164" s="97">
        <f>BI162/BH162-1</f>
        <v>0.15905743740795275</v>
      </c>
      <c r="BJ164" s="97">
        <f>BJ162/BI162-1</f>
        <v>-2.5412960609911828E-3</v>
      </c>
      <c r="BK164" s="204"/>
      <c r="BM164" s="97">
        <f>BM162/BJ162-1</f>
        <v>1.1464968152866239E-2</v>
      </c>
      <c r="BN164" s="97">
        <f>BN162/BM162-1</f>
        <v>-5.0377833753148638E-2</v>
      </c>
      <c r="BO164" s="97">
        <f>BO162/BN162-1</f>
        <v>-2.6525198938992078E-2</v>
      </c>
      <c r="BP164" s="97">
        <f>BP162/BO162-1</f>
        <v>4.0871934604904681E-2</v>
      </c>
      <c r="BQ164" s="204"/>
      <c r="BS164" s="97">
        <f>BS162/BP162-1</f>
        <v>3.7958115183245988E-2</v>
      </c>
      <c r="BT164" s="97">
        <f>BT162/BS162-1</f>
        <v>8.1967213114754189E-2</v>
      </c>
      <c r="BU164" s="97">
        <f>BU162/BT162-1</f>
        <v>-3.1468531468531458E-2</v>
      </c>
      <c r="BV164" s="97">
        <f>BV162/BU162-1</f>
        <v>4.6931407942238268E-2</v>
      </c>
      <c r="BW164" s="204"/>
      <c r="BY164" s="97">
        <f>BY162/BV162-1</f>
        <v>-8.0459770114942319E-3</v>
      </c>
      <c r="BZ164" s="97">
        <f>BZ162/BY162-1</f>
        <v>1.853997682502917E-2</v>
      </c>
      <c r="CA164" s="97">
        <f>CA162/BZ162-1</f>
        <v>-1.8202502844141155E-2</v>
      </c>
      <c r="CB164" s="97">
        <f>CB162/CA162-1</f>
        <v>3.4762456546929332E-2</v>
      </c>
      <c r="CC164" s="204"/>
      <c r="CE164" s="97">
        <f>CE162/CB162-1</f>
        <v>7.6147816349384057E-2</v>
      </c>
      <c r="CF164" s="97">
        <f>CF162/CE162-1</f>
        <v>3.5379812695109258E-2</v>
      </c>
      <c r="CG164" s="97">
        <f>CG162/CF162-1</f>
        <v>1.306532663316573E-2</v>
      </c>
      <c r="CH164" s="97">
        <f>CH162/CG162-1</f>
        <v>9.3253968253968367E-2</v>
      </c>
      <c r="CI164" s="204"/>
      <c r="CK164" s="97">
        <f>CK162/CH162-1</f>
        <v>1.3611615245008979E-2</v>
      </c>
      <c r="CL164" s="97">
        <f>CL162/CK162-1</f>
        <v>2.8648164726947201E-2</v>
      </c>
      <c r="CM164" s="97">
        <f>CM162/CL162-1</f>
        <v>3.829416884247161E-2</v>
      </c>
      <c r="CN164" s="97">
        <f>CN162/CM162-1</f>
        <v>0.10729253981559084</v>
      </c>
      <c r="CO164" s="204"/>
      <c r="CQ164" s="97">
        <f>CQ162/CN162-1</f>
        <v>-0.10295230885692652</v>
      </c>
      <c r="CR164" s="97">
        <f>CR162/CQ162-1</f>
        <v>2.1097046413502074E-2</v>
      </c>
      <c r="CS164" s="97">
        <f>CS162/CR162-1</f>
        <v>4.1322314049586861E-2</v>
      </c>
      <c r="CT164" s="97">
        <f>CT162/CS162-1</f>
        <v>0.15158730158730149</v>
      </c>
      <c r="CU164" s="204"/>
      <c r="CW164" s="97">
        <f>CW162/CT162-1</f>
        <v>-0.11647139903514825</v>
      </c>
      <c r="CX164" s="97">
        <f>CX162/CW162-1</f>
        <v>3.900156006240163E-3</v>
      </c>
      <c r="CY164" s="97">
        <f>CY162/CX162-1</f>
        <v>2.3310023310023631E-3</v>
      </c>
      <c r="CZ164" s="97">
        <f>CZ162/CY162-1</f>
        <v>0.15503875968992253</v>
      </c>
      <c r="DA164" s="204"/>
      <c r="DC164" s="97">
        <f>DC162/CZ162-1</f>
        <v>0.11342281879194638</v>
      </c>
      <c r="DD164" s="97">
        <f>DD162/DC162-1</f>
        <v>2.0494273658830719E-2</v>
      </c>
      <c r="DE164" s="97">
        <f>DE162/DD162-1</f>
        <v>6.5564087418783279E-2</v>
      </c>
      <c r="DF164" s="97">
        <f>DF162/DE162-1</f>
        <v>0.10864745011086474</v>
      </c>
      <c r="DG164" s="204"/>
      <c r="DI164" s="97">
        <f>DI162/DF162-1</f>
        <v>2.6000000000000023E-2</v>
      </c>
      <c r="DJ164" s="97">
        <f>DJ162/DI162-1</f>
        <v>6.9688109161793355E-2</v>
      </c>
      <c r="DK164" s="97">
        <f>DK162/DJ162-1</f>
        <v>6.2870159453302987E-2</v>
      </c>
      <c r="DL164" s="97">
        <f>DL162/DK162-1</f>
        <v>0.19117016716673785</v>
      </c>
      <c r="DM164" s="204"/>
      <c r="DO164" s="97">
        <f>DO162/DL162-1</f>
        <v>-7.2328175602734635E-2</v>
      </c>
      <c r="DP164" s="97">
        <f>DP162/DO162-1</f>
        <v>8.068269976726139E-2</v>
      </c>
      <c r="DQ164" s="97">
        <f>DQ162/DP162-1</f>
        <v>2.4048815506101828E-2</v>
      </c>
      <c r="DR164" s="97">
        <f>DR162/DQ162-1</f>
        <v>-1.2968804766911979E-2</v>
      </c>
      <c r="DS164" s="204"/>
      <c r="DT164" s="97"/>
      <c r="DU164" s="97">
        <f>DU162/DR162-1</f>
        <v>-3.8352272727272818E-2</v>
      </c>
      <c r="DV164" s="97">
        <f>DV162/DU162-1</f>
        <v>1.3663220088626193E-2</v>
      </c>
      <c r="DW164" s="97">
        <f>DW162/DV162-1</f>
        <v>7.2859744990892539E-2</v>
      </c>
      <c r="DX164" s="97">
        <f>DX162/DW162-1</f>
        <v>7.2665534804753795E-2</v>
      </c>
      <c r="DY164" s="204"/>
      <c r="EA164" s="97">
        <f>EA162/DX162-1</f>
        <v>-0.11934156378600824</v>
      </c>
      <c r="EB164" s="97">
        <f>EB162/EA162-1</f>
        <v>6.4701653486700206E-2</v>
      </c>
      <c r="EC164" s="97">
        <f>EC162/EB162-1</f>
        <v>1.5192437542201231E-2</v>
      </c>
      <c r="ED164" s="97">
        <f>ED162/EC162-1</f>
        <v>0.23944130362487526</v>
      </c>
      <c r="EE164" s="204"/>
      <c r="EG164" s="97">
        <f>EG162/ED162-1</f>
        <v>-0.19559967802522127</v>
      </c>
      <c r="EH164" s="121">
        <v>0.01</v>
      </c>
      <c r="EI164" s="121">
        <v>0.05</v>
      </c>
      <c r="EJ164" s="121">
        <v>0.08</v>
      </c>
      <c r="EK164" s="204"/>
      <c r="FR164" s="97">
        <f>FR162/FQ162-1</f>
        <v>4.7493881990392284E-2</v>
      </c>
      <c r="FS164" s="97">
        <f>FS162/FR162-1</f>
        <v>7.9691961581725312E-2</v>
      </c>
      <c r="FT164" s="97">
        <f>FT162/FS162-1</f>
        <v>1.2909786824811809E-2</v>
      </c>
      <c r="FU164" s="121">
        <v>0.03</v>
      </c>
      <c r="FV164" s="121">
        <v>0.03</v>
      </c>
      <c r="FW164" s="121">
        <v>0.03</v>
      </c>
      <c r="FX164" s="121">
        <v>0.03</v>
      </c>
    </row>
    <row r="165" spans="2:183" x14ac:dyDescent="0.25">
      <c r="B165" s="130" t="s">
        <v>257</v>
      </c>
      <c r="D165" s="74"/>
      <c r="E165" s="114"/>
      <c r="F165" s="114"/>
      <c r="H165" s="196"/>
      <c r="J165" s="74"/>
      <c r="K165" s="196"/>
      <c r="L165" s="196"/>
      <c r="M165" s="196"/>
      <c r="N165" s="196"/>
      <c r="O165" s="87"/>
      <c r="P165" s="74"/>
      <c r="Q165" s="196"/>
      <c r="R165" s="196"/>
      <c r="S165" s="196"/>
      <c r="T165" s="196"/>
      <c r="U165" s="87"/>
      <c r="V165" s="88"/>
      <c r="W165" s="196"/>
      <c r="X165" s="196"/>
      <c r="Y165" s="196"/>
      <c r="Z165" s="196"/>
      <c r="AA165" s="87"/>
      <c r="BH165" s="97"/>
      <c r="BI165" s="97"/>
      <c r="BJ165" s="97"/>
      <c r="BK165" s="204"/>
      <c r="BM165" s="97"/>
      <c r="BN165" s="97"/>
      <c r="BO165" s="97"/>
      <c r="BP165" s="97"/>
      <c r="BQ165" s="204"/>
      <c r="BS165" s="97"/>
      <c r="BT165" s="97"/>
      <c r="BU165" s="97"/>
      <c r="BV165" s="97"/>
      <c r="BW165" s="204"/>
      <c r="BY165" s="97"/>
      <c r="BZ165" s="97"/>
      <c r="CA165" s="97"/>
      <c r="CB165" s="97"/>
      <c r="CC165" s="204"/>
      <c r="CE165" s="97"/>
      <c r="CF165" s="97"/>
      <c r="CG165" s="97"/>
      <c r="CH165" s="97"/>
      <c r="CI165" s="204"/>
      <c r="CK165" s="97"/>
      <c r="CL165" s="97"/>
      <c r="CM165" s="97"/>
      <c r="CN165" s="97"/>
      <c r="CO165" s="204"/>
      <c r="CQ165" s="97"/>
      <c r="CR165" s="97"/>
      <c r="CS165" s="97"/>
      <c r="CT165" s="97"/>
      <c r="CU165" s="204"/>
      <c r="CW165" s="97"/>
      <c r="CX165" s="97"/>
      <c r="CY165" s="97"/>
      <c r="CZ165" s="97"/>
      <c r="DA165" s="204"/>
      <c r="DC165" s="97"/>
      <c r="DD165" s="97"/>
      <c r="DE165" s="97"/>
      <c r="DF165" s="97"/>
      <c r="DG165" s="204"/>
      <c r="DI165" s="97"/>
      <c r="DJ165" s="97"/>
      <c r="DK165" s="97"/>
      <c r="DL165" s="97"/>
      <c r="DM165" s="204"/>
      <c r="DO165" s="97"/>
      <c r="DP165" s="97"/>
      <c r="DQ165" s="97"/>
      <c r="DR165" s="97"/>
      <c r="DS165" s="204"/>
      <c r="DT165" s="97"/>
      <c r="DU165" s="184">
        <f t="shared" ref="DU165" si="146">DU162/DO162-1</f>
        <v>5.042668735453848E-2</v>
      </c>
      <c r="DV165" s="184">
        <f t="shared" ref="DV165" si="147">DV162/DP162-1</f>
        <v>-1.4716439339555021E-2</v>
      </c>
      <c r="DW165" s="184">
        <f t="shared" ref="DW165" si="148">DW162/DQ162-1</f>
        <v>3.2246757798808146E-2</v>
      </c>
      <c r="DX165" s="184">
        <f t="shared" ref="DX165" si="149">DX162/DR162-1</f>
        <v>0.12180397727272707</v>
      </c>
      <c r="DY165" s="184">
        <f>DY162/DS162-1</f>
        <v>4.7493881990392284E-2</v>
      </c>
      <c r="EA165" s="184">
        <f t="shared" ref="EA165:EC165" si="150">EA162/DU162-1</f>
        <v>2.7326440177252609E-2</v>
      </c>
      <c r="EB165" s="184">
        <f t="shared" si="150"/>
        <v>7.9052823315118426E-2</v>
      </c>
      <c r="EC165" s="184">
        <f t="shared" si="150"/>
        <v>2.1052631578947434E-2</v>
      </c>
      <c r="ED165" s="184">
        <f>ED162/DX162-1</f>
        <v>0.17980373535929095</v>
      </c>
      <c r="EE165" s="184">
        <f>EE162/DY162-1</f>
        <v>7.9691961581725312E-2</v>
      </c>
      <c r="EG165" s="184">
        <f t="shared" ref="EG165" si="151">EG162/EA162-1</f>
        <v>7.7641984184040336E-2</v>
      </c>
      <c r="EH165" s="184">
        <f t="shared" ref="EH165" si="152">EH162/EB162-1</f>
        <v>2.2275489534098636E-2</v>
      </c>
      <c r="EI165" s="184">
        <f t="shared" ref="EI165" si="153">EI162/EC162-1</f>
        <v>5.7325906218822942E-2</v>
      </c>
      <c r="EJ165" s="184">
        <f t="shared" ref="EJ165" si="154">EJ162/ED162-1</f>
        <v>-7.8688135229406875E-2</v>
      </c>
      <c r="EK165" s="184">
        <f>EK162/EE162-1</f>
        <v>1.2909786824811809E-2</v>
      </c>
      <c r="FR165" s="97"/>
      <c r="FS165" s="97"/>
      <c r="FT165" s="97"/>
      <c r="FU165" s="121"/>
      <c r="FV165" s="121"/>
      <c r="FW165" s="121"/>
      <c r="FX165" s="121"/>
    </row>
    <row r="166" spans="2:183" x14ac:dyDescent="0.25">
      <c r="B166" s="200" t="s">
        <v>206</v>
      </c>
      <c r="D166" s="74"/>
      <c r="E166" s="114"/>
      <c r="F166" s="114"/>
      <c r="H166" s="196"/>
      <c r="J166" s="74"/>
      <c r="K166" s="196"/>
      <c r="L166" s="196"/>
      <c r="M166" s="196"/>
      <c r="N166" s="196"/>
      <c r="O166" s="87"/>
      <c r="P166" s="74"/>
      <c r="Q166" s="196"/>
      <c r="R166" s="196"/>
      <c r="S166" s="196"/>
      <c r="T166" s="196"/>
      <c r="U166" s="87"/>
      <c r="V166" s="88"/>
      <c r="W166" s="196"/>
      <c r="X166" s="196"/>
      <c r="Y166" s="196"/>
      <c r="Z166" s="196"/>
      <c r="AA166" s="87"/>
      <c r="BH166" s="97"/>
      <c r="BI166" s="97"/>
      <c r="BJ166" s="97"/>
      <c r="BK166" s="204"/>
      <c r="BM166" s="97"/>
      <c r="BN166" s="97"/>
      <c r="BO166" s="97"/>
      <c r="BP166" s="97"/>
      <c r="BQ166" s="204"/>
      <c r="BS166" s="97"/>
      <c r="BT166" s="97"/>
      <c r="BU166" s="97"/>
      <c r="BV166" s="97"/>
      <c r="BW166" s="204"/>
      <c r="BY166" s="95">
        <v>0</v>
      </c>
      <c r="BZ166" s="95">
        <v>0</v>
      </c>
      <c r="CA166" s="95">
        <v>0</v>
      </c>
      <c r="CB166" s="95">
        <v>5</v>
      </c>
      <c r="CC166" s="196">
        <f>CB166+CA166+BZ166+BY166</f>
        <v>5</v>
      </c>
      <c r="CE166" s="95"/>
      <c r="CF166" s="95"/>
      <c r="CG166" s="95"/>
      <c r="CH166" s="95"/>
      <c r="CI166" s="196">
        <f>CH166+CG166+CF166+CE166</f>
        <v>0</v>
      </c>
      <c r="CK166" s="95"/>
      <c r="CL166" s="95"/>
      <c r="CM166" s="95"/>
      <c r="CN166" s="95"/>
      <c r="CO166" s="196"/>
      <c r="CQ166" s="95"/>
      <c r="CR166" s="95"/>
      <c r="CS166" s="95"/>
      <c r="CT166" s="95"/>
      <c r="CU166" s="196">
        <f>CT166+CS166+CR166+CQ166</f>
        <v>0</v>
      </c>
      <c r="CW166" s="95"/>
      <c r="CX166" s="95"/>
      <c r="CY166" s="95"/>
      <c r="CZ166" s="95"/>
      <c r="DA166" s="196"/>
      <c r="DC166" s="95"/>
      <c r="DD166" s="95"/>
      <c r="DE166" s="95"/>
      <c r="DF166" s="95"/>
      <c r="DG166" s="196"/>
      <c r="DI166" s="95"/>
      <c r="DJ166" s="95"/>
      <c r="DK166" s="95"/>
      <c r="DL166" s="95"/>
      <c r="DM166" s="196"/>
      <c r="DO166" s="95"/>
      <c r="DP166" s="95"/>
      <c r="DQ166" s="95"/>
      <c r="DR166" s="95"/>
      <c r="DS166" s="196"/>
      <c r="DT166" s="95"/>
      <c r="DU166" s="95"/>
      <c r="DV166" s="95"/>
      <c r="DW166" s="95"/>
      <c r="DX166" s="95"/>
      <c r="DY166" s="196"/>
      <c r="EA166" s="95"/>
      <c r="EB166" s="95"/>
      <c r="EC166" s="95"/>
      <c r="ED166" s="95"/>
      <c r="EE166" s="196"/>
      <c r="EG166" s="95"/>
      <c r="EH166" s="95"/>
      <c r="EI166" s="95"/>
      <c r="EJ166" s="95"/>
      <c r="EK166" s="196"/>
      <c r="FG166" s="77">
        <f>BK166</f>
        <v>0</v>
      </c>
      <c r="FH166" s="77">
        <f>BQ166</f>
        <v>0</v>
      </c>
      <c r="FI166" s="77">
        <f>BW166</f>
        <v>0</v>
      </c>
      <c r="FJ166" s="77">
        <f>CC166</f>
        <v>5</v>
      </c>
      <c r="FK166" s="77">
        <f>CI166</f>
        <v>0</v>
      </c>
      <c r="FL166" s="77">
        <f>CO166</f>
        <v>0</v>
      </c>
      <c r="FM166" s="77">
        <f>CU166</f>
        <v>0</v>
      </c>
      <c r="FN166" s="77">
        <f>DA166</f>
        <v>0</v>
      </c>
      <c r="FO166" s="77">
        <f>DG166</f>
        <v>0</v>
      </c>
      <c r="FP166" s="77">
        <f>DM166</f>
        <v>0</v>
      </c>
      <c r="FQ166" s="77">
        <f>DS166</f>
        <v>0</v>
      </c>
      <c r="FR166" s="77">
        <f>DY166</f>
        <v>0</v>
      </c>
      <c r="FS166" s="77">
        <f>EE166</f>
        <v>0</v>
      </c>
      <c r="FT166" s="77">
        <f>EK166</f>
        <v>0</v>
      </c>
      <c r="FU166" s="95"/>
      <c r="FV166" s="95"/>
      <c r="FW166" s="95"/>
      <c r="FX166" s="95"/>
    </row>
    <row r="167" spans="2:183" x14ac:dyDescent="0.25">
      <c r="B167" s="200" t="s">
        <v>211</v>
      </c>
      <c r="D167" s="74"/>
      <c r="E167" s="114"/>
      <c r="F167" s="114"/>
      <c r="H167" s="196"/>
      <c r="J167" s="74"/>
      <c r="K167" s="196"/>
      <c r="L167" s="196"/>
      <c r="M167" s="196"/>
      <c r="N167" s="196"/>
      <c r="O167" s="87"/>
      <c r="P167" s="74"/>
      <c r="Q167" s="196"/>
      <c r="R167" s="196"/>
      <c r="S167" s="196"/>
      <c r="T167" s="196"/>
      <c r="U167" s="87"/>
      <c r="V167" s="88"/>
      <c r="W167" s="196"/>
      <c r="X167" s="196"/>
      <c r="Y167" s="196"/>
      <c r="Z167" s="196"/>
      <c r="AA167" s="87"/>
      <c r="BI167" s="95">
        <v>10</v>
      </c>
      <c r="BJ167" s="95">
        <v>9</v>
      </c>
      <c r="BK167" s="196">
        <f>BJ167+BI167+BH167+BG167</f>
        <v>19</v>
      </c>
      <c r="BM167" s="95">
        <v>3</v>
      </c>
      <c r="BN167" s="95">
        <v>2</v>
      </c>
      <c r="BO167" s="95">
        <v>1</v>
      </c>
      <c r="BP167" s="95">
        <v>0.5</v>
      </c>
      <c r="BQ167" s="196">
        <f>BP167+BO167+BN167+BM167</f>
        <v>6.5</v>
      </c>
      <c r="BS167" s="95">
        <v>0.5</v>
      </c>
      <c r="BT167" s="95">
        <v>0</v>
      </c>
      <c r="BU167" s="95">
        <v>0</v>
      </c>
      <c r="BV167" s="95">
        <v>0</v>
      </c>
      <c r="BW167" s="196">
        <f>BV167+BU167+BT167+BS167</f>
        <v>0.5</v>
      </c>
      <c r="BY167" s="95">
        <v>0</v>
      </c>
      <c r="BZ167" s="95">
        <v>0</v>
      </c>
      <c r="CA167" s="95">
        <v>0</v>
      </c>
      <c r="CB167" s="95">
        <v>10</v>
      </c>
      <c r="CC167" s="196">
        <f>CB167+CA167+BZ167+BY167</f>
        <v>10</v>
      </c>
      <c r="CE167" s="95">
        <v>0</v>
      </c>
      <c r="CF167" s="95">
        <v>0</v>
      </c>
      <c r="CG167" s="95">
        <v>0</v>
      </c>
      <c r="CH167" s="95">
        <v>0</v>
      </c>
      <c r="CI167" s="196">
        <f>CH167+CG167+CF167+CE167</f>
        <v>0</v>
      </c>
      <c r="CK167" s="95">
        <v>0</v>
      </c>
      <c r="CL167" s="95">
        <v>0</v>
      </c>
      <c r="CM167" s="95">
        <v>0</v>
      </c>
      <c r="CN167" s="95">
        <v>0</v>
      </c>
      <c r="CO167" s="196">
        <f>CN167+CM167+CL167+CK167</f>
        <v>0</v>
      </c>
      <c r="CQ167" s="95">
        <v>0</v>
      </c>
      <c r="CR167" s="95">
        <v>0</v>
      </c>
      <c r="CS167" s="95">
        <v>0</v>
      </c>
      <c r="CT167" s="95">
        <v>0</v>
      </c>
      <c r="CU167" s="196">
        <f>CT167+CS167+CR167+CQ167</f>
        <v>0</v>
      </c>
      <c r="CW167" s="95">
        <v>0</v>
      </c>
      <c r="CX167" s="95">
        <v>0</v>
      </c>
      <c r="CY167" s="95">
        <v>0</v>
      </c>
      <c r="CZ167" s="95">
        <v>0</v>
      </c>
      <c r="DA167" s="196">
        <f>CZ167+CY167+CX167+CW167</f>
        <v>0</v>
      </c>
      <c r="DC167" s="95">
        <v>0</v>
      </c>
      <c r="DD167" s="95">
        <v>0</v>
      </c>
      <c r="DE167" s="95">
        <v>0</v>
      </c>
      <c r="DF167" s="95">
        <v>0</v>
      </c>
      <c r="DG167" s="196">
        <f>DF167+DE167+DD167+DC167</f>
        <v>0</v>
      </c>
      <c r="DI167" s="95">
        <v>0</v>
      </c>
      <c r="DJ167" s="95">
        <v>0</v>
      </c>
      <c r="DK167" s="95">
        <v>0</v>
      </c>
      <c r="DL167" s="95">
        <v>0</v>
      </c>
      <c r="DM167" s="196">
        <f>DL167+DK167+DJ167+DI167</f>
        <v>0</v>
      </c>
      <c r="DO167" s="95">
        <v>0</v>
      </c>
      <c r="DP167" s="95">
        <v>0</v>
      </c>
      <c r="DQ167" s="95">
        <v>0</v>
      </c>
      <c r="DR167" s="95">
        <v>0</v>
      </c>
      <c r="DS167" s="196">
        <f>DR167+DQ167+DP167+DO167</f>
        <v>0</v>
      </c>
      <c r="DT167" s="95"/>
      <c r="DU167" s="95">
        <v>0</v>
      </c>
      <c r="DV167" s="95">
        <v>0</v>
      </c>
      <c r="DW167" s="95">
        <v>0</v>
      </c>
      <c r="DX167" s="95">
        <v>0</v>
      </c>
      <c r="DY167" s="196">
        <f>DX167+DW167+DV167+DU167</f>
        <v>0</v>
      </c>
      <c r="EA167" s="95">
        <v>0</v>
      </c>
      <c r="EB167" s="95">
        <v>0</v>
      </c>
      <c r="EC167" s="95">
        <v>0</v>
      </c>
      <c r="ED167" s="95">
        <v>0</v>
      </c>
      <c r="EE167" s="196">
        <f>ED167+EC167+EB167+EA167</f>
        <v>0</v>
      </c>
      <c r="EG167" s="95">
        <v>0</v>
      </c>
      <c r="EH167" s="95">
        <v>0</v>
      </c>
      <c r="EI167" s="95">
        <v>0</v>
      </c>
      <c r="EJ167" s="95">
        <v>0</v>
      </c>
      <c r="EK167" s="196">
        <f>EJ167+EI167+EH167+EG167</f>
        <v>0</v>
      </c>
      <c r="FG167" s="77">
        <f>BK167</f>
        <v>19</v>
      </c>
      <c r="FH167" s="77">
        <f>BQ167</f>
        <v>6.5</v>
      </c>
      <c r="FI167" s="77">
        <f>BW167</f>
        <v>0.5</v>
      </c>
      <c r="FJ167" s="77">
        <f>CC167</f>
        <v>10</v>
      </c>
      <c r="FK167" s="77">
        <f>CI167</f>
        <v>0</v>
      </c>
      <c r="FL167" s="77">
        <f>CO167</f>
        <v>0</v>
      </c>
      <c r="FM167" s="77">
        <f>CU167</f>
        <v>0</v>
      </c>
      <c r="FN167" s="77">
        <f>DA167</f>
        <v>0</v>
      </c>
      <c r="FO167" s="77">
        <f>DG167</f>
        <v>0</v>
      </c>
      <c r="FP167" s="77">
        <f>DM167</f>
        <v>0</v>
      </c>
      <c r="FQ167" s="77">
        <f>DS167</f>
        <v>0</v>
      </c>
      <c r="FR167" s="77">
        <f>DY167</f>
        <v>0</v>
      </c>
      <c r="FS167" s="77">
        <f>EE167</f>
        <v>0</v>
      </c>
      <c r="FT167" s="77">
        <f>EK167</f>
        <v>0</v>
      </c>
      <c r="FU167" s="95">
        <v>0</v>
      </c>
      <c r="FV167" s="95">
        <v>0</v>
      </c>
      <c r="FW167" s="95">
        <v>0</v>
      </c>
      <c r="FX167" s="95">
        <v>0</v>
      </c>
    </row>
    <row r="168" spans="2:183" x14ac:dyDescent="0.25">
      <c r="B168" s="200" t="s">
        <v>205</v>
      </c>
      <c r="D168" s="74"/>
      <c r="E168" s="114"/>
      <c r="F168" s="114"/>
      <c r="H168" s="196"/>
      <c r="J168" s="74"/>
      <c r="K168" s="196"/>
      <c r="L168" s="196"/>
      <c r="M168" s="196"/>
      <c r="N168" s="196"/>
      <c r="O168" s="87"/>
      <c r="P168" s="74"/>
      <c r="Q168" s="196"/>
      <c r="R168" s="196"/>
      <c r="S168" s="196"/>
      <c r="T168" s="196"/>
      <c r="U168" s="87"/>
      <c r="V168" s="88"/>
      <c r="W168" s="196"/>
      <c r="X168" s="196"/>
      <c r="Y168" s="196"/>
      <c r="Z168" s="196"/>
      <c r="AA168" s="87"/>
      <c r="BG168" s="134"/>
      <c r="BH168" s="134"/>
      <c r="BI168" s="129">
        <f>10/4</f>
        <v>2.5</v>
      </c>
      <c r="BJ168" s="129">
        <f>10/4</f>
        <v>2.5</v>
      </c>
      <c r="BK168" s="208">
        <f>SUM(BJ168,BI168)</f>
        <v>5</v>
      </c>
      <c r="BM168" s="129">
        <f>10/4</f>
        <v>2.5</v>
      </c>
      <c r="BN168" s="129">
        <f>10/4</f>
        <v>2.5</v>
      </c>
      <c r="BO168" s="129">
        <f>10/4</f>
        <v>2.5</v>
      </c>
      <c r="BP168" s="129">
        <f>10/4</f>
        <v>2.5</v>
      </c>
      <c r="BQ168" s="208">
        <f>BP168+BO168+BN168+BM168</f>
        <v>10</v>
      </c>
      <c r="BS168" s="129">
        <f>10/4</f>
        <v>2.5</v>
      </c>
      <c r="BT168" s="129">
        <f>10/4</f>
        <v>2.5</v>
      </c>
      <c r="BU168" s="129">
        <f>10/4</f>
        <v>2.5</v>
      </c>
      <c r="BV168" s="129">
        <f>10/4</f>
        <v>2.5</v>
      </c>
      <c r="BW168" s="208">
        <f>BV168+BU168+BT168+BS168</f>
        <v>10</v>
      </c>
      <c r="BY168" s="129">
        <f>10/4</f>
        <v>2.5</v>
      </c>
      <c r="BZ168" s="129">
        <f>10/4</f>
        <v>2.5</v>
      </c>
      <c r="CA168" s="129">
        <f>10/4</f>
        <v>2.5</v>
      </c>
      <c r="CB168" s="129">
        <f>10/4</f>
        <v>2.5</v>
      </c>
      <c r="CC168" s="208">
        <f>CB168+CA168+BZ168+BY168</f>
        <v>10</v>
      </c>
      <c r="CE168" s="129">
        <f>10/4</f>
        <v>2.5</v>
      </c>
      <c r="CF168" s="129">
        <f>10/4</f>
        <v>2.5</v>
      </c>
      <c r="CG168" s="129">
        <f>10/4</f>
        <v>2.5</v>
      </c>
      <c r="CH168" s="129">
        <f>10/4</f>
        <v>2.5</v>
      </c>
      <c r="CI168" s="208">
        <f>CH168+CG168+CF168+CE168</f>
        <v>10</v>
      </c>
      <c r="CK168" s="129">
        <f>10/4</f>
        <v>2.5</v>
      </c>
      <c r="CL168" s="129">
        <f>10/4</f>
        <v>2.5</v>
      </c>
      <c r="CM168" s="129">
        <f>10/4</f>
        <v>2.5</v>
      </c>
      <c r="CN168" s="129">
        <f>10/4</f>
        <v>2.5</v>
      </c>
      <c r="CO168" s="208">
        <f>CN168+CM168+CL168+CK168</f>
        <v>10</v>
      </c>
      <c r="CQ168" s="129">
        <f>10/4</f>
        <v>2.5</v>
      </c>
      <c r="CR168" s="129">
        <f>10/4</f>
        <v>2.5</v>
      </c>
      <c r="CS168" s="129">
        <f>10/4</f>
        <v>2.5</v>
      </c>
      <c r="CT168" s="129">
        <f>10/4</f>
        <v>2.5</v>
      </c>
      <c r="CU168" s="208">
        <f>CT168+CS168+CR168+CQ168</f>
        <v>10</v>
      </c>
      <c r="CW168" s="129">
        <f>10/4</f>
        <v>2.5</v>
      </c>
      <c r="CX168" s="129">
        <f>10/4</f>
        <v>2.5</v>
      </c>
      <c r="CY168" s="129">
        <f>10/4</f>
        <v>2.5</v>
      </c>
      <c r="CZ168" s="129">
        <f>10/4</f>
        <v>2.5</v>
      </c>
      <c r="DA168" s="208">
        <f>CZ168+CY168+CX168+CW168</f>
        <v>10</v>
      </c>
      <c r="DC168" s="129">
        <f>10/4</f>
        <v>2.5</v>
      </c>
      <c r="DD168" s="129">
        <f>10/4</f>
        <v>2.5</v>
      </c>
      <c r="DE168" s="129">
        <f>10/4</f>
        <v>2.5</v>
      </c>
      <c r="DF168" s="129">
        <f>10/4</f>
        <v>2.5</v>
      </c>
      <c r="DG168" s="208">
        <f>DF168+DE168+DD168+DC168</f>
        <v>10</v>
      </c>
      <c r="DI168" s="129">
        <f>10/4</f>
        <v>2.5</v>
      </c>
      <c r="DJ168" s="129">
        <f>10/4</f>
        <v>2.5</v>
      </c>
      <c r="DK168" s="129">
        <f>10/4</f>
        <v>2.5</v>
      </c>
      <c r="DL168" s="129">
        <f>10/4</f>
        <v>2.5</v>
      </c>
      <c r="DM168" s="208">
        <f>DL168+DK168+DJ168+DI168</f>
        <v>10</v>
      </c>
      <c r="DO168" s="129">
        <f>10/4</f>
        <v>2.5</v>
      </c>
      <c r="DP168" s="129">
        <f>10/4</f>
        <v>2.5</v>
      </c>
      <c r="DQ168" s="129">
        <f>10/4</f>
        <v>2.5</v>
      </c>
      <c r="DR168" s="129">
        <f>10/4</f>
        <v>2.5</v>
      </c>
      <c r="DS168" s="208">
        <f>DR168+DQ168+DP168+DO168</f>
        <v>10</v>
      </c>
      <c r="DT168" s="129"/>
      <c r="DU168" s="129">
        <f>10/4</f>
        <v>2.5</v>
      </c>
      <c r="DV168" s="129">
        <f>10/4</f>
        <v>2.5</v>
      </c>
      <c r="DW168" s="129">
        <f>10/4</f>
        <v>2.5</v>
      </c>
      <c r="DX168" s="129">
        <f>10/4</f>
        <v>2.5</v>
      </c>
      <c r="DY168" s="208">
        <f>DX168+DW168+DV168+DU168</f>
        <v>10</v>
      </c>
      <c r="EA168" s="129">
        <f>10/4</f>
        <v>2.5</v>
      </c>
      <c r="EB168" s="129">
        <f>10/4</f>
        <v>2.5</v>
      </c>
      <c r="EC168" s="129">
        <f>10/4</f>
        <v>2.5</v>
      </c>
      <c r="ED168" s="129">
        <f>10/4</f>
        <v>2.5</v>
      </c>
      <c r="EE168" s="208">
        <f>ED168+EC168+EB168+EA168</f>
        <v>10</v>
      </c>
      <c r="EG168" s="129">
        <f>10/4</f>
        <v>2.5</v>
      </c>
      <c r="EH168" s="129">
        <f>10/4</f>
        <v>2.5</v>
      </c>
      <c r="EI168" s="129">
        <f>10/4</f>
        <v>2.5</v>
      </c>
      <c r="EJ168" s="129">
        <f>10/4</f>
        <v>2.5</v>
      </c>
      <c r="EK168" s="208">
        <f>EJ168+EI168+EH168+EG168</f>
        <v>10</v>
      </c>
      <c r="FG168" s="152">
        <f>BK168</f>
        <v>5</v>
      </c>
      <c r="FH168" s="152">
        <f>BQ168</f>
        <v>10</v>
      </c>
      <c r="FI168" s="152">
        <f>BW168</f>
        <v>10</v>
      </c>
      <c r="FJ168" s="152">
        <f>CC168</f>
        <v>10</v>
      </c>
      <c r="FK168" s="152">
        <f>CI168</f>
        <v>10</v>
      </c>
      <c r="FL168" s="152">
        <f>CO168</f>
        <v>10</v>
      </c>
      <c r="FM168" s="152">
        <f>CU168</f>
        <v>10</v>
      </c>
      <c r="FN168" s="152">
        <f>DA168</f>
        <v>10</v>
      </c>
      <c r="FO168" s="152">
        <f>DG168</f>
        <v>10</v>
      </c>
      <c r="FP168" s="152">
        <f>DM168</f>
        <v>10</v>
      </c>
      <c r="FQ168" s="152">
        <f>DS168</f>
        <v>10</v>
      </c>
      <c r="FR168" s="152">
        <f>DY168</f>
        <v>10</v>
      </c>
      <c r="FS168" s="152">
        <f>EE168</f>
        <v>10</v>
      </c>
      <c r="FT168" s="152">
        <f>EK168</f>
        <v>10</v>
      </c>
      <c r="FU168" s="129">
        <v>10</v>
      </c>
      <c r="FV168" s="129">
        <v>10</v>
      </c>
      <c r="FW168" s="129">
        <v>10</v>
      </c>
      <c r="FX168" s="129">
        <v>10</v>
      </c>
    </row>
    <row r="169" spans="2:183" x14ac:dyDescent="0.25">
      <c r="B169" s="123" t="s">
        <v>210</v>
      </c>
      <c r="D169" s="74"/>
      <c r="E169" s="114"/>
      <c r="F169" s="114"/>
      <c r="H169" s="87"/>
      <c r="J169" s="74"/>
      <c r="K169" s="87"/>
      <c r="L169" s="87"/>
      <c r="M169" s="87"/>
      <c r="N169" s="87"/>
      <c r="O169" s="87"/>
      <c r="P169" s="74"/>
      <c r="Q169" s="87"/>
      <c r="R169" s="87"/>
      <c r="S169" s="87"/>
      <c r="T169" s="87"/>
      <c r="U169" s="87"/>
      <c r="V169" s="88"/>
      <c r="W169" s="87"/>
      <c r="X169" s="87"/>
      <c r="Y169" s="87"/>
      <c r="Z169" s="87"/>
      <c r="AA169" s="87"/>
      <c r="BG169" s="87">
        <v>62.6</v>
      </c>
      <c r="BH169" s="87">
        <v>67.900000000000006</v>
      </c>
      <c r="BI169" s="87">
        <v>91.2</v>
      </c>
      <c r="BJ169" s="87">
        <v>90</v>
      </c>
      <c r="BK169" s="87">
        <f>BK162+BK167+BK168</f>
        <v>311.7</v>
      </c>
      <c r="BM169" s="87">
        <v>84.9</v>
      </c>
      <c r="BN169" s="87">
        <v>79.900000000000006</v>
      </c>
      <c r="BO169" s="87">
        <v>76.900000000000006</v>
      </c>
      <c r="BP169" s="87">
        <v>79.400000000000006</v>
      </c>
      <c r="BQ169" s="87">
        <f>BQ162+BQ167+BQ168</f>
        <v>321.10000000000002</v>
      </c>
      <c r="BS169" s="87">
        <v>82.3</v>
      </c>
      <c r="BT169" s="87">
        <v>88.3</v>
      </c>
      <c r="BU169" s="87">
        <v>85.6</v>
      </c>
      <c r="BV169" s="87">
        <v>89.5</v>
      </c>
      <c r="BW169" s="87">
        <f>BW162+BW167+BW168</f>
        <v>345.7</v>
      </c>
      <c r="BY169" s="87">
        <v>88.8</v>
      </c>
      <c r="BZ169" s="87">
        <v>90.4</v>
      </c>
      <c r="CA169" s="87">
        <v>88.8</v>
      </c>
      <c r="CB169" s="87">
        <v>106.8</v>
      </c>
      <c r="CC169" s="87">
        <f>CC162+CC167+CC168</f>
        <v>369.8</v>
      </c>
      <c r="CE169" s="87">
        <v>98.6</v>
      </c>
      <c r="CF169" s="87">
        <v>102</v>
      </c>
      <c r="CG169" s="87">
        <v>103.3</v>
      </c>
      <c r="CH169" s="87">
        <v>112.7</v>
      </c>
      <c r="CI169" s="87">
        <f>CI162+CI166+CI167+CI168</f>
        <v>416.6</v>
      </c>
      <c r="CK169" s="87">
        <v>114.2</v>
      </c>
      <c r="CL169" s="87">
        <v>117.4</v>
      </c>
      <c r="CM169" s="87">
        <v>121.8</v>
      </c>
      <c r="CN169" s="87">
        <v>134.6</v>
      </c>
      <c r="CO169" s="87">
        <f>CO162+CO166+CO167+CO168</f>
        <v>487.99999999999994</v>
      </c>
      <c r="CQ169" s="87">
        <v>121</v>
      </c>
      <c r="CR169" s="87">
        <v>123.5</v>
      </c>
      <c r="CS169" s="87">
        <v>128.5</v>
      </c>
      <c r="CT169" s="87">
        <v>147.6</v>
      </c>
      <c r="CU169" s="87">
        <f>CU162+CU166+CU167+CU168</f>
        <v>520.6</v>
      </c>
      <c r="CW169" s="87">
        <v>130.69999999999999</v>
      </c>
      <c r="CX169" s="87">
        <v>131.19999999999999</v>
      </c>
      <c r="CY169" s="87">
        <v>131.5</v>
      </c>
      <c r="CZ169" s="87">
        <v>151.5</v>
      </c>
      <c r="DA169" s="87">
        <f>DA162+DA166+DA167+DA168</f>
        <v>544.9</v>
      </c>
      <c r="DC169" s="87">
        <v>168.4</v>
      </c>
      <c r="DD169" s="87">
        <v>171.8</v>
      </c>
      <c r="DE169" s="87">
        <v>182.9</v>
      </c>
      <c r="DF169" s="87">
        <v>202.5</v>
      </c>
      <c r="DG169" s="87">
        <f>DG162+DG166+DG167+DG168</f>
        <v>725.6</v>
      </c>
      <c r="DI169" s="87">
        <v>207.7</v>
      </c>
      <c r="DJ169" s="87">
        <v>222</v>
      </c>
      <c r="DK169" s="87">
        <v>235.8</v>
      </c>
      <c r="DL169" s="87">
        <v>280.39999999999998</v>
      </c>
      <c r="DM169" s="87">
        <f>DM162+DM166+DM167+DM168</f>
        <v>945.90000000000009</v>
      </c>
      <c r="DO169" s="87">
        <v>260.3</v>
      </c>
      <c r="DP169" s="87">
        <v>281.10000000000002</v>
      </c>
      <c r="DQ169" s="87">
        <v>287.8</v>
      </c>
      <c r="DR169" s="87">
        <v>284.10000000000002</v>
      </c>
      <c r="DS169" s="87">
        <f>DS162+DS166+DS167+DS168</f>
        <v>1113.3000000000002</v>
      </c>
      <c r="DT169" s="87"/>
      <c r="DU169" s="87">
        <v>273.3</v>
      </c>
      <c r="DV169" s="87">
        <v>277</v>
      </c>
      <c r="DW169" s="87">
        <v>297</v>
      </c>
      <c r="DX169" s="87">
        <v>318.39999999999998</v>
      </c>
      <c r="DY169" s="87">
        <f>DY162+DY166+DY167+DY168</f>
        <v>1165.7</v>
      </c>
      <c r="EA169" s="87">
        <v>280.7</v>
      </c>
      <c r="EB169" s="87">
        <v>298.7</v>
      </c>
      <c r="EC169" s="87">
        <v>303.2</v>
      </c>
      <c r="ED169" s="87">
        <v>375.2</v>
      </c>
      <c r="EE169" s="87">
        <f>EE162+EE166+EE167+EE168</f>
        <v>1257.8</v>
      </c>
      <c r="EG169" s="87">
        <v>302.3</v>
      </c>
      <c r="EH169" s="87">
        <v>305.298</v>
      </c>
      <c r="EI169" s="87">
        <v>320.43790000000001</v>
      </c>
      <c r="EJ169" s="87">
        <v>345.87293200000005</v>
      </c>
      <c r="EK169" s="87">
        <f>EK162+EK166+EK167+EK168</f>
        <v>1273.9088320000001</v>
      </c>
      <c r="FG169" s="87">
        <f>SUM(FG166:FG168)+FG162</f>
        <v>311.7</v>
      </c>
      <c r="FH169" s="87">
        <f t="shared" ref="FH169:FP169" si="155">SUM(FH166:FH168)+FH162</f>
        <v>321.10000000000002</v>
      </c>
      <c r="FI169" s="87">
        <f t="shared" si="155"/>
        <v>345.7</v>
      </c>
      <c r="FJ169" s="87">
        <f t="shared" si="155"/>
        <v>374.8</v>
      </c>
      <c r="FK169" s="87">
        <f t="shared" si="155"/>
        <v>416.6</v>
      </c>
      <c r="FL169" s="87">
        <f t="shared" si="155"/>
        <v>487.99999999999994</v>
      </c>
      <c r="FM169" s="87">
        <f t="shared" si="155"/>
        <v>520.6</v>
      </c>
      <c r="FN169" s="87">
        <f t="shared" si="155"/>
        <v>544.9</v>
      </c>
      <c r="FO169" s="87">
        <f t="shared" si="155"/>
        <v>725.6</v>
      </c>
      <c r="FP169" s="87">
        <f t="shared" si="155"/>
        <v>945.90000000000009</v>
      </c>
      <c r="FQ169" s="87">
        <f>SUM(FQ166:FQ168)+FQ162</f>
        <v>1113.3000000000002</v>
      </c>
      <c r="FR169" s="87">
        <f>SUM(FR166:FR168)+FR162</f>
        <v>1165.7</v>
      </c>
      <c r="FS169" s="87">
        <f>SUM(FS166:FS168)+FS162</f>
        <v>1257.8</v>
      </c>
      <c r="FT169" s="87">
        <f>SUM(FT166:FT168)+FT162</f>
        <v>1273.9088320000001</v>
      </c>
      <c r="FU169" s="87">
        <v>1311.8260969600001</v>
      </c>
      <c r="FV169" s="87">
        <v>1350.8808798688001</v>
      </c>
      <c r="FW169" s="87">
        <v>1391.1073062648641</v>
      </c>
      <c r="FX169" s="87">
        <v>1432.54052545281</v>
      </c>
    </row>
    <row r="170" spans="2:183" x14ac:dyDescent="0.25">
      <c r="B170" s="200" t="s">
        <v>172</v>
      </c>
      <c r="D170" s="74"/>
      <c r="E170" s="114"/>
      <c r="F170" s="114"/>
      <c r="H170" s="196"/>
      <c r="J170" s="74"/>
      <c r="K170" s="196"/>
      <c r="L170" s="196"/>
      <c r="M170" s="196"/>
      <c r="N170" s="196"/>
      <c r="O170" s="87"/>
      <c r="P170" s="74"/>
      <c r="Q170" s="196"/>
      <c r="R170" s="196"/>
      <c r="S170" s="196"/>
      <c r="T170" s="196"/>
      <c r="U170" s="87"/>
      <c r="V170" s="88"/>
      <c r="W170" s="196"/>
      <c r="X170" s="196"/>
      <c r="Y170" s="196"/>
      <c r="Z170" s="196"/>
      <c r="AA170" s="87"/>
      <c r="AM170" s="87">
        <f>Financials!AG18-Financials!AM18</f>
        <v>55697</v>
      </c>
      <c r="BG170" s="184">
        <f>BG169/Financials!BG$9</f>
        <v>7.0171505436610257E-2</v>
      </c>
      <c r="BH170" s="184">
        <f>BH169/Financials!BH$9</f>
        <v>5.5715106260769677E-2</v>
      </c>
      <c r="BI170" s="184">
        <f>BI169/Financials!BI$9</f>
        <v>6.550782933486568E-2</v>
      </c>
      <c r="BJ170" s="184">
        <f>BJ169/Financials!BJ$9</f>
        <v>4.6818914841595997E-2</v>
      </c>
      <c r="BK170" s="184">
        <f>BK169/Financials!BK$9</f>
        <v>5.7453044071295589E-2</v>
      </c>
      <c r="BM170" s="184">
        <f>BM169/Financials!BM$9</f>
        <v>6.0794844253490875E-2</v>
      </c>
      <c r="BN170" s="184">
        <f>BN169/Financials!BN$9</f>
        <v>4.8612801168167442E-2</v>
      </c>
      <c r="BO170" s="184">
        <f>BO169/Financials!BO$9</f>
        <v>5.81606413553169E-2</v>
      </c>
      <c r="BP170" s="184">
        <f>BP169/Financials!BP$9</f>
        <v>5.3145917001338694E-2</v>
      </c>
      <c r="BQ170" s="184">
        <f>BQ169/Financials!BQ$9</f>
        <v>5.4829841367416289E-2</v>
      </c>
      <c r="BS170" s="184">
        <f>BS169/Financials!BS$9</f>
        <v>4.9881811018849621E-2</v>
      </c>
      <c r="BT170" s="184">
        <f>BT169/Financials!BT$9</f>
        <v>5.3382504080769E-2</v>
      </c>
      <c r="BU170" s="184">
        <f>BU169/Financials!BU$9</f>
        <v>5.5254324812806614E-2</v>
      </c>
      <c r="BV170" s="184">
        <f>BV169/Financials!BV$9</f>
        <v>6.2404127736717344E-2</v>
      </c>
      <c r="BW170" s="184">
        <f>BW169/Financials!BW$9</f>
        <v>5.4982981836689253E-2</v>
      </c>
      <c r="BY170" s="184">
        <f>BY169/Financials!BY$9</f>
        <v>6.6606660666066617E-2</v>
      </c>
      <c r="BZ170" s="184">
        <f>BZ169/Financials!BZ$9</f>
        <v>5.1965969188319153E-2</v>
      </c>
      <c r="CA170" s="184">
        <f>CA169/Financials!CA$9</f>
        <v>4.8936404717293068E-2</v>
      </c>
      <c r="CB170" s="184">
        <f>CB169/Financials!CB$9</f>
        <v>5.5992450456118281E-2</v>
      </c>
      <c r="CC170" s="184">
        <f>CC169/Financials!CC$9</f>
        <v>5.4423971272149298E-2</v>
      </c>
      <c r="CE170" s="184">
        <f>CE169/Financials!CE$9</f>
        <v>5.0730603004733484E-2</v>
      </c>
      <c r="CF170" s="184">
        <f>CF169/Financials!CF$9</f>
        <v>4.8539069191967266E-2</v>
      </c>
      <c r="CG170" s="184">
        <f>CG169/Financials!CG$9</f>
        <v>4.2208057530440463E-2</v>
      </c>
      <c r="CH170" s="184">
        <f>CH169/Financials!CH$9</f>
        <v>4.4016559912513673E-2</v>
      </c>
      <c r="CI170" s="184">
        <f>CI169/Financials!CI$9</f>
        <v>4.6018911276069288E-2</v>
      </c>
      <c r="CK170" s="184">
        <f>CK169/Financials!CK$9</f>
        <v>4.99781181619256E-2</v>
      </c>
      <c r="CL170" s="184">
        <f>CL169/Financials!CL$9</f>
        <v>4.2840461246533353E-2</v>
      </c>
      <c r="CM170" s="184">
        <f>CM169/Financials!CM$9</f>
        <v>4.3874500198119663E-2</v>
      </c>
      <c r="CN170" s="184">
        <f>CN169/Financials!CN$9</f>
        <v>4.2832140015910895E-2</v>
      </c>
      <c r="CO170" s="184">
        <f>CO169/Financials!CO$9</f>
        <v>4.4590643274853799E-2</v>
      </c>
      <c r="CQ170" s="184">
        <f>CQ169/Financials!CQ$9</f>
        <v>5.4281997218608408E-2</v>
      </c>
      <c r="CR170" s="184">
        <f>CR169/Financials!CR$9</f>
        <v>4.8093773122006307E-2</v>
      </c>
      <c r="CS170" s="184">
        <f>CS169/Financials!CS$9</f>
        <v>4.3026954629164574E-2</v>
      </c>
      <c r="CT170" s="184">
        <f>CT169/Financials!CT$9</f>
        <v>3.6567238132989795E-2</v>
      </c>
      <c r="CU170" s="184">
        <f>CU169/Financials!CU$9</f>
        <v>4.4044365857579169E-2</v>
      </c>
      <c r="CW170" s="184">
        <f>CW169/Financials!CW$9</f>
        <v>5.3552405146275503E-2</v>
      </c>
      <c r="CX170" s="184">
        <f>CX169/Financials!CX$9</f>
        <v>3.9450341281534712E-2</v>
      </c>
      <c r="CY170" s="184">
        <f>CY169/Financials!CY$9</f>
        <v>3.3223850429509851E-2</v>
      </c>
      <c r="CZ170" s="184">
        <f>CZ169/Financials!CZ$9</f>
        <v>3.5612703039420789E-2</v>
      </c>
      <c r="DA170" s="184">
        <f>DA169/Financials!DA$9</f>
        <v>3.8981571567561379E-2</v>
      </c>
      <c r="DC170" s="184">
        <f>DC169/DC$9</f>
        <v>3.8589335227663335E-2</v>
      </c>
      <c r="DD170" s="184">
        <f>DD169/DD$9</f>
        <v>4.2734192328739866E-2</v>
      </c>
      <c r="DE170" s="184">
        <f>DE169/DE$9</f>
        <v>3.4895922767252396E-2</v>
      </c>
      <c r="DF170" s="184">
        <f>DF169/DF$9</f>
        <v>4.0616976893453144E-2</v>
      </c>
      <c r="DG170" s="184">
        <f>DG169/DG$9</f>
        <v>3.8987695448928057E-2</v>
      </c>
      <c r="DI170" s="184">
        <f>DI169/DI$9</f>
        <v>5.8765278406518788E-2</v>
      </c>
      <c r="DJ170" s="184">
        <f>DJ169/DJ$9</f>
        <v>4.0880213608323356E-2</v>
      </c>
      <c r="DK170" s="184">
        <f>DK169/DK$9</f>
        <v>4.0807850059706149E-2</v>
      </c>
      <c r="DL170" s="184">
        <f>DL169/DL$9</f>
        <v>4.3606730739323814E-2</v>
      </c>
      <c r="DM170" s="184">
        <f>DM169/DM$9</f>
        <v>4.4673977726770391E-2</v>
      </c>
      <c r="DO170" s="184">
        <f>DO169/DO$9</f>
        <v>3.8584684711393077E-2</v>
      </c>
      <c r="DP170" s="184">
        <f>DP169/DP$9</f>
        <v>4.0725555249699376E-2</v>
      </c>
      <c r="DQ170" s="184">
        <f>DQ169/DQ$9</f>
        <v>4.3129027423947253E-2</v>
      </c>
      <c r="DR170" s="184">
        <f>DR169/DR$9</f>
        <v>3.9256598037860996E-2</v>
      </c>
      <c r="DS170" s="184">
        <f>DS169/DS$9</f>
        <v>4.0397699439374428E-2</v>
      </c>
      <c r="DT170" s="184"/>
      <c r="DU170" s="184">
        <f>DU169/DU$9</f>
        <v>5.1663516068052931E-2</v>
      </c>
      <c r="DV170" s="184">
        <f>DV169/DV$9</f>
        <v>4.4371115525084902E-2</v>
      </c>
      <c r="DW170" s="184">
        <f>DW169/DW$9</f>
        <v>3.9773412076654212E-2</v>
      </c>
      <c r="DX170" s="184">
        <f>DX169/DX$9</f>
        <v>3.4374055361229866E-2</v>
      </c>
      <c r="DY170" s="184">
        <f>DY169/DY$9</f>
        <v>4.1244882867646285E-2</v>
      </c>
      <c r="EA170" s="184">
        <f>EA169/EA$9</f>
        <v>3.6259122908996966E-2</v>
      </c>
      <c r="EB170" s="184">
        <f>EB169/EB$9</f>
        <v>3.8834067891363414E-2</v>
      </c>
      <c r="EC170" s="184">
        <f>EC169/EC$9</f>
        <v>4.0340606705694518E-2</v>
      </c>
      <c r="ED170" s="184">
        <f>ED169/ED$9</f>
        <v>3.8608767236056801E-2</v>
      </c>
      <c r="EE170" s="184">
        <f>EE169/EE$9</f>
        <v>3.8503453004848899E-2</v>
      </c>
      <c r="EG170" s="184">
        <f>EG169/EG$9</f>
        <v>3.448354531454971E-2</v>
      </c>
      <c r="EH170" s="184">
        <f>EH169/EH$9</f>
        <v>3.6609108568961796E-2</v>
      </c>
      <c r="EI170" s="184">
        <f>EI169/EI$9</f>
        <v>3.1593581464136065E-2</v>
      </c>
      <c r="EJ170" s="184">
        <f>EJ169/EJ$9</f>
        <v>3.3176639094040943E-2</v>
      </c>
      <c r="EK170" s="184">
        <f>EK169/EK$9</f>
        <v>3.3814368711029573E-2</v>
      </c>
      <c r="FG170" s="184">
        <f t="shared" ref="FG170:FP170" si="156">FG169/FG$9</f>
        <v>5.7453044071295589E-2</v>
      </c>
      <c r="FH170" s="184">
        <f t="shared" si="156"/>
        <v>5.4829841367416289E-2</v>
      </c>
      <c r="FI170" s="184">
        <f t="shared" si="156"/>
        <v>5.4982981836689253E-2</v>
      </c>
      <c r="FJ170" s="184">
        <f t="shared" si="156"/>
        <v>5.5159828103844122E-2</v>
      </c>
      <c r="FK170" s="184">
        <f t="shared" si="156"/>
        <v>4.6018911276069288E-2</v>
      </c>
      <c r="FL170" s="184">
        <f t="shared" si="156"/>
        <v>4.4590643274853799E-2</v>
      </c>
      <c r="FM170" s="184">
        <f t="shared" si="156"/>
        <v>4.4044365857579169E-2</v>
      </c>
      <c r="FN170" s="184">
        <f t="shared" si="156"/>
        <v>3.8981571567561379E-2</v>
      </c>
      <c r="FO170" s="184">
        <f t="shared" si="156"/>
        <v>3.8987695448928057E-2</v>
      </c>
      <c r="FP170" s="184">
        <f t="shared" si="156"/>
        <v>4.4673977726770391E-2</v>
      </c>
      <c r="FQ170" s="184">
        <f>FQ169/FQ$9</f>
        <v>4.0397699439374428E-2</v>
      </c>
      <c r="FR170" s="184">
        <f t="shared" ref="FR170:FX170" si="157">FR169/FR$9</f>
        <v>4.1244882867646285E-2</v>
      </c>
      <c r="FS170" s="184">
        <f t="shared" si="157"/>
        <v>3.8503453004848899E-2</v>
      </c>
      <c r="FT170" s="184">
        <f t="shared" si="157"/>
        <v>3.3814368711029573E-2</v>
      </c>
      <c r="FU170" s="184">
        <f t="shared" si="157"/>
        <v>2.7322909481933735E-2</v>
      </c>
      <c r="FV170" s="184">
        <f t="shared" si="157"/>
        <v>3.2711814780134386E-2</v>
      </c>
      <c r="FW170" s="184">
        <f t="shared" ca="1" si="157"/>
        <v>6.283940400970589E-2</v>
      </c>
      <c r="FX170" s="184">
        <f t="shared" si="157"/>
        <v>5.5225155183223205E-2</v>
      </c>
    </row>
    <row r="171" spans="2:183" x14ac:dyDescent="0.25">
      <c r="B171" s="200"/>
      <c r="D171" s="74"/>
      <c r="E171" s="114"/>
      <c r="F171" s="114"/>
      <c r="H171" s="196"/>
      <c r="J171" s="74"/>
      <c r="K171" s="196"/>
      <c r="L171" s="196"/>
      <c r="M171" s="196"/>
      <c r="N171" s="196"/>
      <c r="O171" s="87"/>
      <c r="P171" s="74"/>
      <c r="Q171" s="196"/>
      <c r="R171" s="196"/>
      <c r="S171" s="196"/>
      <c r="T171" s="196"/>
      <c r="U171" s="87"/>
      <c r="V171" s="88"/>
      <c r="W171" s="196"/>
      <c r="X171" s="196"/>
      <c r="Y171" s="196"/>
      <c r="Z171" s="196"/>
      <c r="AA171" s="87"/>
      <c r="AM171" s="87"/>
      <c r="BG171" s="184"/>
      <c r="BH171" s="184"/>
      <c r="BI171" s="184"/>
      <c r="BJ171" s="184"/>
      <c r="BK171" s="184"/>
      <c r="BM171" s="184"/>
      <c r="BN171" s="184"/>
      <c r="BO171" s="184"/>
      <c r="BP171" s="184"/>
      <c r="BQ171" s="184"/>
      <c r="BS171" s="184"/>
      <c r="BT171" s="184"/>
      <c r="BU171" s="184"/>
      <c r="BV171" s="184"/>
      <c r="BW171" s="184"/>
      <c r="BY171" s="184"/>
      <c r="BZ171" s="184"/>
      <c r="CA171" s="184"/>
      <c r="CB171" s="184"/>
      <c r="CC171" s="184"/>
      <c r="CE171" s="184"/>
      <c r="CF171" s="184"/>
      <c r="CG171" s="184"/>
      <c r="CH171" s="184"/>
      <c r="CI171" s="184"/>
      <c r="CK171" s="184"/>
      <c r="CL171" s="184"/>
      <c r="CM171" s="184"/>
      <c r="CN171" s="184"/>
      <c r="CO171" s="184"/>
      <c r="CQ171" s="184"/>
      <c r="CR171" s="184"/>
      <c r="CS171" s="184"/>
      <c r="CT171" s="184"/>
      <c r="CU171" s="184"/>
      <c r="CW171" s="184"/>
      <c r="CX171" s="184"/>
      <c r="CY171" s="184"/>
      <c r="CZ171" s="184"/>
      <c r="DA171" s="184"/>
      <c r="DC171" s="184"/>
      <c r="DD171" s="184"/>
      <c r="DE171" s="184"/>
      <c r="DF171" s="184"/>
      <c r="DG171" s="184"/>
      <c r="DI171" s="184"/>
      <c r="DJ171" s="184"/>
      <c r="DK171" s="184"/>
      <c r="DL171" s="184"/>
      <c r="DM171" s="184"/>
      <c r="DO171" s="184"/>
      <c r="DP171" s="184"/>
      <c r="DQ171" s="184"/>
      <c r="DR171" s="184"/>
      <c r="DS171" s="184"/>
      <c r="DT171" s="184"/>
      <c r="DU171" s="184"/>
      <c r="DV171" s="184"/>
      <c r="DW171" s="184"/>
      <c r="DX171" s="184"/>
      <c r="DY171" s="184"/>
      <c r="EA171" s="184"/>
      <c r="EB171" s="184"/>
      <c r="EC171" s="184"/>
      <c r="ED171" s="184"/>
      <c r="EE171" s="184"/>
      <c r="EG171" s="184"/>
      <c r="EH171" s="184"/>
      <c r="EI171" s="184"/>
      <c r="EJ171" s="184"/>
      <c r="EK171" s="184"/>
      <c r="FG171" s="184"/>
      <c r="FH171" s="184"/>
      <c r="FI171" s="184"/>
      <c r="FJ171" s="184"/>
      <c r="FK171" s="184"/>
      <c r="FL171" s="184"/>
      <c r="FM171" s="184"/>
      <c r="FN171" s="184"/>
    </row>
    <row r="172" spans="2:183" x14ac:dyDescent="0.25">
      <c r="B172" s="78" t="s">
        <v>209</v>
      </c>
      <c r="D172" s="104"/>
      <c r="E172" s="133"/>
      <c r="F172" s="133"/>
      <c r="H172" s="76"/>
      <c r="J172" s="104"/>
      <c r="K172" s="76"/>
      <c r="L172" s="76"/>
      <c r="M172" s="76"/>
      <c r="N172" s="76"/>
      <c r="O172" s="117"/>
      <c r="P172" s="104"/>
      <c r="Q172" s="76"/>
      <c r="R172" s="76"/>
      <c r="S172" s="76"/>
      <c r="T172" s="76"/>
      <c r="U172" s="117"/>
      <c r="V172" s="132"/>
      <c r="W172" s="76"/>
      <c r="X172" s="76"/>
      <c r="Y172" s="76"/>
      <c r="Z172" s="76"/>
      <c r="AA172" s="117"/>
      <c r="BG172" s="76">
        <f>BG178-BG177</f>
        <v>184.8</v>
      </c>
      <c r="BH172" s="76">
        <f>BH178-BH177</f>
        <v>200</v>
      </c>
      <c r="BI172" s="76">
        <f>BI178-BI177</f>
        <v>236.6</v>
      </c>
      <c r="BJ172" s="76">
        <f>BJ178-BJ177</f>
        <v>245.6</v>
      </c>
      <c r="BK172" s="76">
        <f>BH172+BJ172+BG172+BI172</f>
        <v>867.00000000000011</v>
      </c>
      <c r="BM172" s="76">
        <f>BM178-BM177</f>
        <v>271.60000000000002</v>
      </c>
      <c r="BN172" s="76">
        <f>BN178-BN177</f>
        <v>259.39999999999998</v>
      </c>
      <c r="BO172" s="76">
        <f>BO178-BO177</f>
        <v>252.60000000000002</v>
      </c>
      <c r="BP172" s="76">
        <f>BP178-BP177</f>
        <v>260.5</v>
      </c>
      <c r="BQ172" s="76">
        <f>BN172+BP172+BM172+BO172</f>
        <v>1044.0999999999999</v>
      </c>
      <c r="BS172" s="76">
        <v>253.89999999999998</v>
      </c>
      <c r="BT172" s="76">
        <v>259.89999999999998</v>
      </c>
      <c r="BU172" s="76">
        <v>258.8</v>
      </c>
      <c r="BV172" s="76">
        <v>265.5</v>
      </c>
      <c r="BW172" s="76">
        <f>BT172+BV172+BS172+BU172</f>
        <v>1038.0999999999999</v>
      </c>
      <c r="BY172" s="76">
        <v>267.2</v>
      </c>
      <c r="BZ172" s="76">
        <v>262.8</v>
      </c>
      <c r="CA172" s="76">
        <v>265.89999999999998</v>
      </c>
      <c r="CB172" s="76">
        <v>279.89999999999998</v>
      </c>
      <c r="CC172" s="76">
        <f>BZ172+CB172+BY172+CA172</f>
        <v>1075.8000000000002</v>
      </c>
      <c r="CE172" s="76">
        <v>307.60000000000002</v>
      </c>
      <c r="CF172" s="76">
        <v>305.2</v>
      </c>
      <c r="CG172" s="76">
        <v>307</v>
      </c>
      <c r="CH172" s="76">
        <v>309.89999999999998</v>
      </c>
      <c r="CI172" s="76">
        <f>CF172+CH172+CE172+CG172</f>
        <v>1229.6999999999998</v>
      </c>
      <c r="CK172" s="76">
        <v>349.15000000000003</v>
      </c>
      <c r="CL172" s="76">
        <v>371.85</v>
      </c>
      <c r="CM172" s="76">
        <v>388.35</v>
      </c>
      <c r="CN172" s="76">
        <v>434.45</v>
      </c>
      <c r="CO172" s="76">
        <f>CL172+CN172+CK172+CM172</f>
        <v>1543.8000000000002</v>
      </c>
      <c r="CQ172" s="76">
        <v>464.27299999999997</v>
      </c>
      <c r="CR172" s="76">
        <v>478.32499999999999</v>
      </c>
      <c r="CS172" s="76">
        <v>483.87299999999999</v>
      </c>
      <c r="CT172" s="76">
        <v>507.673</v>
      </c>
      <c r="CU172" s="76">
        <f>CR172+CT172+CQ172+CS172</f>
        <v>1934.144</v>
      </c>
      <c r="CW172" s="76">
        <v>535.06737999999996</v>
      </c>
      <c r="CX172" s="76">
        <v>556.91750000000002</v>
      </c>
      <c r="CY172" s="76">
        <v>525.06737999999996</v>
      </c>
      <c r="CZ172" s="76">
        <v>546.96737999999993</v>
      </c>
      <c r="DA172" s="76">
        <f>CX172+CZ172+CW172+CY172</f>
        <v>2164.01964</v>
      </c>
      <c r="DC172" s="76">
        <v>613.93142279999995</v>
      </c>
      <c r="DD172" s="76">
        <v>622.8192499999999</v>
      </c>
      <c r="DE172" s="76">
        <v>599.73142280000002</v>
      </c>
      <c r="DF172" s="76">
        <v>671.1314228</v>
      </c>
      <c r="DG172" s="76">
        <f>DD172+DF172+DC172+DE172</f>
        <v>2507.6135184</v>
      </c>
      <c r="DI172" s="76">
        <v>728.66330816800007</v>
      </c>
      <c r="DJ172" s="76">
        <v>777.02117499999997</v>
      </c>
      <c r="DK172" s="76">
        <v>809.363308168</v>
      </c>
      <c r="DL172" s="76">
        <v>896.26330816799998</v>
      </c>
      <c r="DM172" s="76">
        <f>DJ172+DL172+DI172+DK172</f>
        <v>3211.3110995040001</v>
      </c>
      <c r="DO172" s="76">
        <v>937.26110665807994</v>
      </c>
      <c r="DP172" s="76">
        <v>987.9</v>
      </c>
      <c r="DQ172" s="76">
        <v>980.76110665807994</v>
      </c>
      <c r="DR172" s="76">
        <v>1030.6611066580799</v>
      </c>
      <c r="DS172" s="76">
        <f>DP172+DR172+DO172+DQ172</f>
        <v>3936.5833199742397</v>
      </c>
      <c r="DT172" s="76"/>
      <c r="DU172" s="76">
        <v>1019.9000000000001</v>
      </c>
      <c r="DV172" s="76">
        <v>1087.3999999999999</v>
      </c>
      <c r="DW172" s="76">
        <v>1043.9227730575649</v>
      </c>
      <c r="DX172" s="76">
        <v>1104.7227730575648</v>
      </c>
      <c r="DY172" s="76">
        <f>DV172+DX172+DU172+DW172</f>
        <v>4255.9455461151301</v>
      </c>
      <c r="EA172" s="76">
        <v>1149.0999999999999</v>
      </c>
      <c r="EB172" s="76">
        <v>1152.18</v>
      </c>
      <c r="EC172" s="76">
        <v>1096.7461394410188</v>
      </c>
      <c r="ED172" s="76">
        <v>1250.3461394410187</v>
      </c>
      <c r="EE172" s="76">
        <f>EB172+ED172+EA172+EC172</f>
        <v>4648.3722788820378</v>
      </c>
      <c r="EG172" s="76">
        <v>1169.9000000000001</v>
      </c>
      <c r="EH172" s="76">
        <v>1169.9000000000001</v>
      </c>
      <c r="EI172" s="76">
        <v>1204.9970000000001</v>
      </c>
      <c r="EJ172" s="76">
        <v>1229.0969400000001</v>
      </c>
      <c r="EK172" s="76">
        <f>EH172+EJ172+EG172+EI172</f>
        <v>4773.8939399999999</v>
      </c>
      <c r="EN172" s="180" t="s">
        <v>774</v>
      </c>
      <c r="FG172" s="77">
        <f>BK172</f>
        <v>867.00000000000011</v>
      </c>
      <c r="FH172" s="77">
        <f>BQ172</f>
        <v>1044.0999999999999</v>
      </c>
      <c r="FI172" s="77">
        <f>BW172</f>
        <v>1038.0999999999999</v>
      </c>
      <c r="FJ172" s="77">
        <f>CC172</f>
        <v>1075.8000000000002</v>
      </c>
      <c r="FK172" s="77">
        <f>CI172</f>
        <v>1229.6999999999998</v>
      </c>
      <c r="FL172" s="77">
        <f>CO172</f>
        <v>1543.8000000000002</v>
      </c>
      <c r="FM172" s="77">
        <f>CU172</f>
        <v>1934.144</v>
      </c>
      <c r="FN172" s="77">
        <f>DA172</f>
        <v>2164.01964</v>
      </c>
      <c r="FO172" s="77">
        <f>DG172</f>
        <v>2507.6135184</v>
      </c>
      <c r="FP172" s="77">
        <f>DM172</f>
        <v>3211.3110995040001</v>
      </c>
      <c r="FQ172" s="77">
        <f>DS172</f>
        <v>3936.5833199742397</v>
      </c>
      <c r="FR172" s="77">
        <f>DY172</f>
        <v>4255.9455461151301</v>
      </c>
      <c r="FS172" s="77">
        <f>EE172</f>
        <v>4648.3722788820378</v>
      </c>
      <c r="FT172" s="77">
        <f>EK172</f>
        <v>4773.8939399999999</v>
      </c>
      <c r="FU172" s="77">
        <f>FT172*(1+FU175)</f>
        <v>5012.5886369999998</v>
      </c>
      <c r="FV172" s="77">
        <f t="shared" ref="FV172:FX172" si="158">FU172*(1+FV175)</f>
        <v>5363.4698415900002</v>
      </c>
      <c r="FW172" s="77">
        <f t="shared" si="158"/>
        <v>5738.9127305013008</v>
      </c>
      <c r="FX172" s="77">
        <f t="shared" si="158"/>
        <v>6140.6366216363922</v>
      </c>
    </row>
    <row r="173" spans="2:183" x14ac:dyDescent="0.25">
      <c r="B173" s="130" t="s">
        <v>208</v>
      </c>
      <c r="D173" s="74"/>
      <c r="E173" s="114"/>
      <c r="F173" s="114"/>
      <c r="H173" s="196"/>
      <c r="J173" s="74"/>
      <c r="K173" s="196"/>
      <c r="L173" s="196"/>
      <c r="M173" s="196"/>
      <c r="N173" s="196"/>
      <c r="O173" s="87"/>
      <c r="P173" s="74"/>
      <c r="Q173" s="196"/>
      <c r="R173" s="196"/>
      <c r="S173" s="196"/>
      <c r="T173" s="196"/>
      <c r="U173" s="87"/>
      <c r="V173" s="88"/>
      <c r="W173" s="196"/>
      <c r="X173" s="196"/>
      <c r="Y173" s="196"/>
      <c r="Z173" s="196"/>
      <c r="AA173" s="87"/>
      <c r="BG173" s="188">
        <f>BG172/BG$9</f>
        <v>0.20715166461159065</v>
      </c>
      <c r="BH173" s="188">
        <f>BH172/BH$9</f>
        <v>0.16410929679166325</v>
      </c>
      <c r="BI173" s="188">
        <f>BI172/BI$9</f>
        <v>0.16994684671742566</v>
      </c>
      <c r="BJ173" s="188">
        <f>BJ172/BJ$9</f>
        <v>0.12776361650106641</v>
      </c>
      <c r="BK173" s="188">
        <f>BK172/BK$9</f>
        <v>0.15980683095865669</v>
      </c>
      <c r="BM173" s="188">
        <f>BM172/BM$9</f>
        <v>0.19448621553884712</v>
      </c>
      <c r="BN173" s="188">
        <f>BN172/BN$9</f>
        <v>0.15782428814796787</v>
      </c>
      <c r="BO173" s="188">
        <f>BO172/BO$9</f>
        <v>0.19104522765088489</v>
      </c>
      <c r="BP173" s="188">
        <f>BP172/BP$9</f>
        <v>0.17436412315930389</v>
      </c>
      <c r="BQ173" s="188">
        <f>BQ172/BQ$9</f>
        <v>0.17828663149087307</v>
      </c>
      <c r="BS173" s="188">
        <f>BS172/BS$9</f>
        <v>0.15388811443117761</v>
      </c>
      <c r="BT173" s="188">
        <f>BT172/BT$9</f>
        <v>0.15712472039175382</v>
      </c>
      <c r="BU173" s="188">
        <f>BU172/BU$9</f>
        <v>0.16705396333591535</v>
      </c>
      <c r="BV173" s="188">
        <f>BV172/BV$9</f>
        <v>0.18512062473853022</v>
      </c>
      <c r="BW173" s="188">
        <f>BW172/BW$9</f>
        <v>0.16510799376530838</v>
      </c>
      <c r="BY173" s="188">
        <f>BY172/BY$9</f>
        <v>0.20042004200420044</v>
      </c>
      <c r="BZ173" s="188">
        <f>BZ172/BZ$9</f>
        <v>0.15106921131294551</v>
      </c>
      <c r="CA173" s="188">
        <f>CA172/CA$9</f>
        <v>0.14653367133252507</v>
      </c>
      <c r="CB173" s="188">
        <f>CB172/CB$9</f>
        <v>0.14674425920100662</v>
      </c>
      <c r="CC173" s="188">
        <f>CC172/CC$9</f>
        <v>0.15832695590745868</v>
      </c>
      <c r="CE173" s="188">
        <f>CE172/CE$9</f>
        <v>0.15826301708170407</v>
      </c>
      <c r="CF173" s="188">
        <f>CF172/CF$9</f>
        <v>0.145236508994004</v>
      </c>
      <c r="CG173" s="188">
        <f>CG172/CG$9</f>
        <v>0.12543924164419384</v>
      </c>
      <c r="CH173" s="188">
        <f>CH172/CH$9</f>
        <v>0.12103577566005311</v>
      </c>
      <c r="CI173" s="188">
        <f>CI172/CI$9</f>
        <v>0.13583642629904558</v>
      </c>
      <c r="CK173" s="188">
        <f>CK172/CK$9</f>
        <v>0.15280087527352298</v>
      </c>
      <c r="CL173" s="188">
        <f>CL172/CL$9</f>
        <v>0.1356918698000292</v>
      </c>
      <c r="CM173" s="188">
        <f>CM172/CM$9</f>
        <v>0.13989049385829042</v>
      </c>
      <c r="CN173" s="188">
        <f>CN172/CN$9</f>
        <v>0.13824980111376292</v>
      </c>
      <c r="CO173" s="188">
        <f>CO172/CO$9</f>
        <v>0.1410635964912281</v>
      </c>
      <c r="CQ173" s="188">
        <f>CQ172/CQ$9</f>
        <v>0.2082782288816114</v>
      </c>
      <c r="CR173" s="188">
        <f>CR172/CR$9</f>
        <v>0.18627088282253981</v>
      </c>
      <c r="CS173" s="188">
        <f>CS172/CS$9</f>
        <v>0.16202009040683074</v>
      </c>
      <c r="CT173" s="188">
        <f>CT172/CT$9</f>
        <v>0.12577370924586267</v>
      </c>
      <c r="CU173" s="188">
        <f>CU172/CU$9</f>
        <v>0.16363454851563888</v>
      </c>
      <c r="CW173" s="188">
        <f>CW172/CW$9</f>
        <v>0.2192359993444235</v>
      </c>
      <c r="CX173" s="188">
        <f>CX172/CX$9</f>
        <v>0.16745873049282858</v>
      </c>
      <c r="CY173" s="188">
        <f>CY172/CY$9</f>
        <v>0.1326597726124305</v>
      </c>
      <c r="CZ173" s="188">
        <f>CZ172/CZ$9</f>
        <v>0.12857417079993416</v>
      </c>
      <c r="DA173" s="188">
        <f>DA172/DA$9</f>
        <v>0.1548116837406284</v>
      </c>
      <c r="DC173" s="188">
        <f>DC172/DC$9</f>
        <v>0.1406841180595339</v>
      </c>
      <c r="DD173" s="188">
        <f>DD172/DD$9</f>
        <v>0.15492245410676084</v>
      </c>
      <c r="DE173" s="188">
        <f>DE172/DE$9</f>
        <v>0.11442417392631599</v>
      </c>
      <c r="DF173" s="188">
        <f>DF172/DF$9</f>
        <v>0.13461397280166879</v>
      </c>
      <c r="DG173" s="188">
        <f>DG172/DG$9</f>
        <v>0.13473824718714739</v>
      </c>
      <c r="DI173" s="188">
        <f>DI172/DI$9</f>
        <v>0.20616322662064288</v>
      </c>
      <c r="DJ173" s="188">
        <f>DJ172/DJ$9</f>
        <v>0.14308464690175859</v>
      </c>
      <c r="DK173" s="188">
        <f>DK172/DK$9</f>
        <v>0.14006945090562969</v>
      </c>
      <c r="DL173" s="188">
        <f>DL172/DL$9</f>
        <v>0.13938342635812262</v>
      </c>
      <c r="DM173" s="188">
        <f>DM172/DM$9</f>
        <v>0.15166723811499336</v>
      </c>
      <c r="DO173" s="188">
        <f>DO172/DO$9</f>
        <v>0.13893171069017815</v>
      </c>
      <c r="DP173" s="188">
        <f>DP172/DP$9</f>
        <v>0.14312620430870868</v>
      </c>
      <c r="DQ173" s="188">
        <f>DQ172/DQ$9</f>
        <v>0.14697454018553574</v>
      </c>
      <c r="DR173" s="188">
        <f>DR172/DR$9</f>
        <v>0.14241551839962413</v>
      </c>
      <c r="DS173" s="188">
        <f>DS172/DS$9</f>
        <v>0.14284461490916558</v>
      </c>
      <c r="DT173" s="188"/>
      <c r="DU173" s="188">
        <f>DU172/DU$9</f>
        <v>0.19279773156899813</v>
      </c>
      <c r="DV173" s="188">
        <f>DV172/DV$9</f>
        <v>0.17418466072916</v>
      </c>
      <c r="DW173" s="188">
        <f>DW172/DW$9</f>
        <v>0.13979922770714515</v>
      </c>
      <c r="DX173" s="188">
        <f>DX172/DX$9</f>
        <v>0.11926445276348026</v>
      </c>
      <c r="DY173" s="188">
        <f>DY172/DY$9</f>
        <v>0.15058417735317786</v>
      </c>
      <c r="EA173" s="188">
        <f>EA172/EA$9</f>
        <v>0.14843376606600786</v>
      </c>
      <c r="EB173" s="188">
        <f>EB172/EB$9</f>
        <v>0.14979523382347204</v>
      </c>
      <c r="EC173" s="188">
        <f>EC172/EC$9</f>
        <v>0.14592151935085401</v>
      </c>
      <c r="ED173" s="188">
        <f>ED172/ED$9</f>
        <v>0.12866290794824231</v>
      </c>
      <c r="EE173" s="188">
        <f>EE172/EE$9</f>
        <v>0.14229478739781914</v>
      </c>
      <c r="EG173" s="188">
        <f>EG172/EG$9</f>
        <v>0.13345120629669766</v>
      </c>
      <c r="EH173" s="188">
        <f>EH172/EH$9</f>
        <v>0.14028587188526753</v>
      </c>
      <c r="EI173" s="188">
        <f>EI172/EI$9</f>
        <v>0.1188067044614247</v>
      </c>
      <c r="EJ173" s="188">
        <f>EJ172/EJ$9</f>
        <v>0.11789678178681555</v>
      </c>
      <c r="EK173" s="188">
        <f>EK172/EK$9</f>
        <v>0.12671723895741832</v>
      </c>
      <c r="FG173" s="188">
        <f t="shared" ref="FG173:FP173" si="159">FG172/FG$9</f>
        <v>0.15980683095865669</v>
      </c>
      <c r="FH173" s="188">
        <f t="shared" si="159"/>
        <v>0.17828663149087307</v>
      </c>
      <c r="FI173" s="188">
        <f t="shared" si="159"/>
        <v>0.16510799376530838</v>
      </c>
      <c r="FJ173" s="188">
        <f t="shared" si="159"/>
        <v>0.15832695590745868</v>
      </c>
      <c r="FK173" s="188">
        <f t="shared" si="159"/>
        <v>0.13583642629904558</v>
      </c>
      <c r="FL173" s="188">
        <f t="shared" si="159"/>
        <v>0.1410635964912281</v>
      </c>
      <c r="FM173" s="188">
        <f t="shared" si="159"/>
        <v>0.16363454851563888</v>
      </c>
      <c r="FN173" s="188">
        <f t="shared" si="159"/>
        <v>0.1548116837406284</v>
      </c>
      <c r="FO173" s="188">
        <f t="shared" si="159"/>
        <v>0.13473824718714739</v>
      </c>
      <c r="FP173" s="188">
        <f t="shared" si="159"/>
        <v>0.15166723811499336</v>
      </c>
      <c r="FQ173" s="188">
        <f>FQ172/FQ$9</f>
        <v>0.14284461490916558</v>
      </c>
      <c r="FR173" s="188">
        <f>FR172/FR$9</f>
        <v>0.15058417735317786</v>
      </c>
      <c r="FS173" s="188">
        <f>FS172/FS$9</f>
        <v>0.14229478739781914</v>
      </c>
      <c r="FT173" s="188">
        <f>FT172/FT$9</f>
        <v>0.12671723895741835</v>
      </c>
      <c r="FU173" s="188">
        <f t="shared" ref="FU173:FX173" si="160">FU172/FU$9</f>
        <v>0.10440294328364524</v>
      </c>
      <c r="FV173" s="188">
        <f t="shared" si="160"/>
        <v>0.12987735236430964</v>
      </c>
      <c r="FW173" s="188">
        <f t="shared" ca="1" si="160"/>
        <v>0.25923942317340715</v>
      </c>
      <c r="FX173" s="188">
        <f t="shared" si="160"/>
        <v>0.23672461918413232</v>
      </c>
    </row>
    <row r="174" spans="2:183" x14ac:dyDescent="0.25">
      <c r="B174" s="130" t="s">
        <v>207</v>
      </c>
      <c r="D174" s="74"/>
      <c r="E174" s="114"/>
      <c r="F174" s="114"/>
      <c r="H174" s="196"/>
      <c r="J174" s="74"/>
      <c r="K174" s="196"/>
      <c r="L174" s="196"/>
      <c r="M174" s="196"/>
      <c r="N174" s="196"/>
      <c r="O174" s="87"/>
      <c r="P174" s="74"/>
      <c r="Q174" s="196"/>
      <c r="R174" s="196"/>
      <c r="S174" s="196"/>
      <c r="T174" s="196"/>
      <c r="U174" s="87"/>
      <c r="V174" s="88"/>
      <c r="W174" s="196"/>
      <c r="X174" s="196"/>
      <c r="Y174" s="196"/>
      <c r="Z174" s="196"/>
      <c r="AA174" s="87"/>
      <c r="BG174" s="188"/>
      <c r="BH174" s="188"/>
      <c r="BI174" s="188"/>
      <c r="BJ174" s="188"/>
      <c r="BK174" s="184"/>
      <c r="BM174" s="97">
        <f>BM172/BJ172-1</f>
        <v>0.10586319218241047</v>
      </c>
      <c r="BN174" s="97">
        <f>BN172/BM172-1</f>
        <v>-4.4918998527246123E-2</v>
      </c>
      <c r="BO174" s="97">
        <f>BO172/BN172-1</f>
        <v>-2.6214340786430035E-2</v>
      </c>
      <c r="BP174" s="97">
        <f>BP172/BO172-1</f>
        <v>3.1274742676167699E-2</v>
      </c>
      <c r="BQ174" s="204"/>
      <c r="BS174" s="97">
        <f>BS172/BP172-1</f>
        <v>-2.5335892514395497E-2</v>
      </c>
      <c r="BT174" s="97">
        <f>BT172/BS172-1</f>
        <v>2.3631350925561234E-2</v>
      </c>
      <c r="BU174" s="97">
        <f>BU172/BT172-1</f>
        <v>-4.2323970757982554E-3</v>
      </c>
      <c r="BV174" s="97">
        <f>BV172/BU172-1</f>
        <v>2.5888717156105079E-2</v>
      </c>
      <c r="BW174" s="204"/>
      <c r="BY174" s="97">
        <f>BY172/BV172-1</f>
        <v>6.403013182674222E-3</v>
      </c>
      <c r="BZ174" s="97">
        <f>BZ172/BY172-1</f>
        <v>-1.6467065868263409E-2</v>
      </c>
      <c r="CA174" s="97">
        <f>CA172/BZ172-1</f>
        <v>1.179604261796019E-2</v>
      </c>
      <c r="CB174" s="97">
        <f>CB172/CA172-1</f>
        <v>5.2651372696502552E-2</v>
      </c>
      <c r="CC174" s="184"/>
      <c r="CE174" s="97">
        <f>CE172/CB172-1</f>
        <v>9.8963915684173065E-2</v>
      </c>
      <c r="CF174" s="97">
        <f>CF172/CE172-1</f>
        <v>-7.8023407022107527E-3</v>
      </c>
      <c r="CG174" s="97">
        <f>CG172/CF172-1</f>
        <v>5.8977719528179318E-3</v>
      </c>
      <c r="CH174" s="97">
        <f>CH172/CG172-1</f>
        <v>9.4462540716611088E-3</v>
      </c>
      <c r="CI174" s="184"/>
      <c r="CK174" s="97">
        <f>CK172/CH172-1</f>
        <v>0.12665375927718636</v>
      </c>
      <c r="CL174" s="97">
        <f>CL172/CK172-1</f>
        <v>6.5015036517256153E-2</v>
      </c>
      <c r="CM174" s="97">
        <f>CM172/CL172-1</f>
        <v>4.4372730939895133E-2</v>
      </c>
      <c r="CN174" s="97">
        <f>CN172/CM172-1</f>
        <v>0.11870735161581036</v>
      </c>
      <c r="CO174" s="184"/>
      <c r="CQ174" s="97">
        <f>CQ172/CN172-1</f>
        <v>6.8645413741512229E-2</v>
      </c>
      <c r="CR174" s="97">
        <f>CR172/CQ172-1</f>
        <v>3.026667499509994E-2</v>
      </c>
      <c r="CS174" s="97">
        <f>CS172/CR172-1</f>
        <v>1.1598808341608757E-2</v>
      </c>
      <c r="CT174" s="97">
        <f>CT172/CS172-1</f>
        <v>4.9186460083534334E-2</v>
      </c>
      <c r="CU174" s="184"/>
      <c r="CW174" s="97">
        <f>CW172/CT172-1</f>
        <v>5.3960679413717072E-2</v>
      </c>
      <c r="CX174" s="97">
        <f>CX172/CW172-1</f>
        <v>4.0836202722730031E-2</v>
      </c>
      <c r="CY174" s="97">
        <f>CY172/CX172-1</f>
        <v>-5.7190014679014523E-2</v>
      </c>
      <c r="CZ174" s="97">
        <f>CZ172/CY172-1</f>
        <v>4.1708932670698307E-2</v>
      </c>
      <c r="DA174" s="184"/>
      <c r="DC174" s="97">
        <f>DC172/CZ172-1</f>
        <v>0.12242785447278415</v>
      </c>
      <c r="DD174" s="97">
        <f>DD172/DC172-1</f>
        <v>1.447690551407943E-2</v>
      </c>
      <c r="DE174" s="97">
        <f>DE172/DD172-1</f>
        <v>-3.706986770238696E-2</v>
      </c>
      <c r="DF174" s="97">
        <f>DF172/DE172-1</f>
        <v>0.11905329166621081</v>
      </c>
      <c r="DG174" s="184"/>
      <c r="DI174" s="97">
        <f>DI172/DF172-1</f>
        <v>8.5723724763137499E-2</v>
      </c>
      <c r="DJ174" s="97">
        <f>DJ172/DI172-1</f>
        <v>6.6365173448325487E-2</v>
      </c>
      <c r="DK174" s="97">
        <f>DK172/DJ172-1</f>
        <v>4.1623232684746325E-2</v>
      </c>
      <c r="DL174" s="97">
        <f>DL172/DK172-1</f>
        <v>0.10736834635696391</v>
      </c>
      <c r="DM174" s="184"/>
      <c r="DO174" s="97">
        <f>DO172/DL172-1</f>
        <v>4.5743028992095258E-2</v>
      </c>
      <c r="DP174" s="97">
        <f>DP172/DO172-1</f>
        <v>5.4028587105763082E-2</v>
      </c>
      <c r="DQ174" s="97">
        <f>DQ172/DP172-1</f>
        <v>-7.2263319586193253E-3</v>
      </c>
      <c r="DR174" s="97">
        <f>DR172/DQ172-1</f>
        <v>5.0878852822817455E-2</v>
      </c>
      <c r="DS174" s="184"/>
      <c r="DT174" s="97"/>
      <c r="DU174" s="97">
        <f>DU172/DR172-1</f>
        <v>-1.04409748156431E-2</v>
      </c>
      <c r="DV174" s="97">
        <f>DV172/DU172-1</f>
        <v>6.6182959113638473E-2</v>
      </c>
      <c r="DW174" s="97">
        <f>DW172/DV172-1</f>
        <v>-3.9982735830821237E-2</v>
      </c>
      <c r="DX174" s="97">
        <f>DX172/DW172-1</f>
        <v>5.8241856169036099E-2</v>
      </c>
      <c r="DY174" s="184"/>
      <c r="EA174" s="97">
        <f>EA172/DX172-1</f>
        <v>4.0170464504512005E-2</v>
      </c>
      <c r="EB174" s="97">
        <f>EB172/EA172-1</f>
        <v>2.6803585414674203E-3</v>
      </c>
      <c r="EC174" s="97">
        <f>EC172/EB172-1</f>
        <v>-4.8112153100193789E-2</v>
      </c>
      <c r="ED174" s="97">
        <f>ED172/EC172-1</f>
        <v>0.14005064114315968</v>
      </c>
      <c r="EE174" s="184"/>
      <c r="EG174" s="97">
        <f>EG172/ED172-1</f>
        <v>-6.4339095314024819E-2</v>
      </c>
      <c r="EH174" s="121">
        <v>0</v>
      </c>
      <c r="EI174" s="121">
        <v>0.03</v>
      </c>
      <c r="EJ174" s="121">
        <v>0.02</v>
      </c>
      <c r="EK174" s="184"/>
      <c r="FS174" s="320"/>
      <c r="FT174" s="184"/>
      <c r="FU174" s="320"/>
      <c r="FV174" s="320"/>
      <c r="FW174" s="320"/>
      <c r="FX174" s="320"/>
    </row>
    <row r="175" spans="2:183" x14ac:dyDescent="0.25">
      <c r="B175" s="130" t="s">
        <v>257</v>
      </c>
      <c r="D175" s="74"/>
      <c r="E175" s="114"/>
      <c r="F175" s="114"/>
      <c r="H175" s="196"/>
      <c r="J175" s="74"/>
      <c r="K175" s="196"/>
      <c r="L175" s="196"/>
      <c r="M175" s="196"/>
      <c r="N175" s="196"/>
      <c r="O175" s="87"/>
      <c r="P175" s="74"/>
      <c r="Q175" s="196"/>
      <c r="R175" s="196"/>
      <c r="S175" s="196"/>
      <c r="T175" s="196"/>
      <c r="U175" s="87"/>
      <c r="V175" s="88"/>
      <c r="W175" s="196"/>
      <c r="X175" s="196"/>
      <c r="Y175" s="196"/>
      <c r="Z175" s="196"/>
      <c r="AA175" s="87"/>
      <c r="BG175" s="188"/>
      <c r="BH175" s="188"/>
      <c r="BI175" s="188"/>
      <c r="BJ175" s="188"/>
      <c r="BK175" s="184"/>
      <c r="BM175" s="97"/>
      <c r="BN175" s="97"/>
      <c r="BO175" s="97"/>
      <c r="BP175" s="97"/>
      <c r="BQ175" s="204"/>
      <c r="BS175" s="97"/>
      <c r="BT175" s="97"/>
      <c r="BU175" s="97"/>
      <c r="BV175" s="97"/>
      <c r="BW175" s="204"/>
      <c r="BY175" s="97"/>
      <c r="BZ175" s="97"/>
      <c r="CA175" s="97"/>
      <c r="CB175" s="97"/>
      <c r="CC175" s="184"/>
      <c r="CE175" s="97"/>
      <c r="CF175" s="97"/>
      <c r="CG175" s="97"/>
      <c r="CH175" s="97"/>
      <c r="CI175" s="184"/>
      <c r="CK175" s="97"/>
      <c r="CL175" s="97"/>
      <c r="CM175" s="97"/>
      <c r="CN175" s="97"/>
      <c r="CO175" s="184"/>
      <c r="CQ175" s="97"/>
      <c r="CR175" s="97"/>
      <c r="CS175" s="97"/>
      <c r="CT175" s="97"/>
      <c r="CU175" s="184"/>
      <c r="CW175" s="97"/>
      <c r="CX175" s="97"/>
      <c r="CY175" s="97"/>
      <c r="CZ175" s="97"/>
      <c r="DA175" s="184"/>
      <c r="DC175" s="97"/>
      <c r="DD175" s="97"/>
      <c r="DE175" s="97"/>
      <c r="DF175" s="97"/>
      <c r="DG175" s="184"/>
      <c r="DI175" s="184">
        <f t="shared" ref="DI175" si="161">DI172/DC172-1</f>
        <v>0.18688062071287104</v>
      </c>
      <c r="DJ175" s="184">
        <f t="shared" ref="DJ175" si="162">DJ172/DD172-1</f>
        <v>0.24758696042230577</v>
      </c>
      <c r="DK175" s="184">
        <f t="shared" ref="DK175" si="163">DK172/DE172-1</f>
        <v>0.34954294105398009</v>
      </c>
      <c r="DL175" s="184">
        <f t="shared" ref="DL175" si="164">DL172/DF172-1</f>
        <v>0.33545126590666308</v>
      </c>
      <c r="DM175" s="184">
        <f>DM172/DG172-1</f>
        <v>0.28062441677735062</v>
      </c>
      <c r="DO175" s="184">
        <f t="shared" ref="DO175" si="165">DO172/DI172-1</f>
        <v>0.28627460193451348</v>
      </c>
      <c r="DP175" s="184">
        <f t="shared" ref="DP175" si="166">DP172/DJ172-1</f>
        <v>0.27139392308066768</v>
      </c>
      <c r="DQ175" s="184">
        <f t="shared" ref="DQ175" si="167">DQ172/DK172-1</f>
        <v>0.21176867886195661</v>
      </c>
      <c r="DR175" s="184">
        <f t="shared" ref="DR175" si="168">DR172/DL172-1</f>
        <v>0.14995347602123155</v>
      </c>
      <c r="DS175" s="184">
        <f>DS172/DM172-1</f>
        <v>0.22584925533445221</v>
      </c>
      <c r="DT175" s="97"/>
      <c r="DU175" s="184">
        <f t="shared" ref="DU175" si="169">DU172/DO172-1</f>
        <v>8.8170620497183938E-2</v>
      </c>
      <c r="DV175" s="184">
        <f t="shared" ref="DV175" si="170">DV172/DP172-1</f>
        <v>0.10071869622431406</v>
      </c>
      <c r="DW175" s="184">
        <f t="shared" ref="DW175" si="171">DW172/DQ172-1</f>
        <v>6.4400663903472655E-2</v>
      </c>
      <c r="DX175" s="184">
        <f t="shared" ref="DX175" si="172">DX172/DR172-1</f>
        <v>7.1858408084913616E-2</v>
      </c>
      <c r="DY175" s="184">
        <f>DY172/DS172-1</f>
        <v>8.1126753883359992E-2</v>
      </c>
      <c r="EA175" s="184">
        <f t="shared" ref="EA175" si="173">EA172/DU172-1</f>
        <v>0.12667908618491985</v>
      </c>
      <c r="EB175" s="184">
        <f>EB172/DV172-1</f>
        <v>5.9573294096008977E-2</v>
      </c>
      <c r="EC175" s="184">
        <f>EC172/DW172-1</f>
        <v>5.0600837290615486E-2</v>
      </c>
      <c r="ED175" s="184">
        <f t="shared" ref="ED175" si="174">ED172/DX172-1</f>
        <v>0.1318189232040623</v>
      </c>
      <c r="EE175" s="184">
        <f>EE172/DY172-1</f>
        <v>9.2206709064950099E-2</v>
      </c>
      <c r="EG175" s="184">
        <f t="shared" ref="EG175:EJ175" si="175">EG172/EA172-1</f>
        <v>1.8101122617701026E-2</v>
      </c>
      <c r="EH175" s="184">
        <f t="shared" si="175"/>
        <v>1.5379541391102203E-2</v>
      </c>
      <c r="EI175" s="184">
        <f t="shared" si="175"/>
        <v>9.8701838708229905E-2</v>
      </c>
      <c r="EJ175" s="184">
        <f t="shared" si="175"/>
        <v>-1.6994653536914428E-2</v>
      </c>
      <c r="EK175" s="184">
        <f>EK172/EE172-1</f>
        <v>2.7003358076163053E-2</v>
      </c>
      <c r="FK175" s="274">
        <f t="shared" ref="FK175:FS175" si="176">FK172/FJ172-1</f>
        <v>0.14305633017289421</v>
      </c>
      <c r="FL175" s="274">
        <f t="shared" si="176"/>
        <v>0.25542815320809997</v>
      </c>
      <c r="FM175" s="274">
        <f t="shared" si="176"/>
        <v>0.25284622360409359</v>
      </c>
      <c r="FN175" s="274">
        <f t="shared" si="176"/>
        <v>0.11885135749975184</v>
      </c>
      <c r="FO175" s="274">
        <f t="shared" si="176"/>
        <v>0.1587757671182688</v>
      </c>
      <c r="FP175" s="274">
        <f t="shared" si="176"/>
        <v>0.28062441677735062</v>
      </c>
      <c r="FQ175" s="274">
        <f t="shared" si="176"/>
        <v>0.22584925533445221</v>
      </c>
      <c r="FR175" s="274">
        <f t="shared" si="176"/>
        <v>8.1126753883359992E-2</v>
      </c>
      <c r="FS175" s="274">
        <f t="shared" si="176"/>
        <v>9.2206709064950099E-2</v>
      </c>
      <c r="FT175" s="274">
        <f>FT172/FS172-1</f>
        <v>2.7003358076163053E-2</v>
      </c>
      <c r="FU175" s="880">
        <v>0.05</v>
      </c>
      <c r="FV175" s="131">
        <v>7.0000000000000007E-2</v>
      </c>
      <c r="FW175" s="131">
        <v>7.0000000000000007E-2</v>
      </c>
      <c r="FX175" s="131">
        <v>7.0000000000000007E-2</v>
      </c>
    </row>
    <row r="176" spans="2:183" x14ac:dyDescent="0.25">
      <c r="B176" s="200" t="s">
        <v>206</v>
      </c>
      <c r="D176" s="74"/>
      <c r="E176" s="114"/>
      <c r="F176" s="114"/>
      <c r="H176" s="196"/>
      <c r="J176" s="74"/>
      <c r="K176" s="196"/>
      <c r="L176" s="196"/>
      <c r="M176" s="196"/>
      <c r="N176" s="196"/>
      <c r="O176" s="87"/>
      <c r="P176" s="74"/>
      <c r="Q176" s="196"/>
      <c r="R176" s="196"/>
      <c r="S176" s="196"/>
      <c r="T176" s="196"/>
      <c r="U176" s="87"/>
      <c r="V176" s="88"/>
      <c r="W176" s="196"/>
      <c r="X176" s="196"/>
      <c r="Y176" s="196"/>
      <c r="Z176" s="196"/>
      <c r="AA176" s="87"/>
      <c r="BG176" s="188"/>
      <c r="BH176" s="188"/>
      <c r="BI176" s="188"/>
      <c r="BJ176" s="188"/>
      <c r="BK176" s="184"/>
      <c r="BM176" s="97"/>
      <c r="BN176" s="97"/>
      <c r="BO176" s="97"/>
      <c r="BP176" s="97"/>
      <c r="BQ176" s="204"/>
      <c r="BS176" s="97"/>
      <c r="BT176" s="97"/>
      <c r="BU176" s="97"/>
      <c r="BV176" s="97"/>
      <c r="BW176" s="204"/>
      <c r="BY176" s="95">
        <v>0</v>
      </c>
      <c r="BZ176" s="95">
        <v>0</v>
      </c>
      <c r="CA176" s="95">
        <v>0</v>
      </c>
      <c r="CB176" s="95"/>
      <c r="CC176" s="196">
        <f>CB176+CA176+BZ176+BY176</f>
        <v>0</v>
      </c>
      <c r="CE176" s="95"/>
      <c r="CF176" s="95"/>
      <c r="CG176" s="95"/>
      <c r="CH176" s="95"/>
      <c r="CI176" s="196">
        <f>CH176+CG176+CF176+CE176</f>
        <v>0</v>
      </c>
      <c r="CK176" s="95">
        <f>CE176*1.06</f>
        <v>0</v>
      </c>
      <c r="CL176" s="95">
        <f>CF176*1.1</f>
        <v>0</v>
      </c>
      <c r="CM176" s="95">
        <f>CG176*1.06</f>
        <v>0</v>
      </c>
      <c r="CN176" s="95">
        <f>CH176*1.06</f>
        <v>0</v>
      </c>
      <c r="CO176" s="196">
        <f>CN176+CM176+CL176+CK176</f>
        <v>0</v>
      </c>
      <c r="CQ176" s="95">
        <f>CK176*1.06</f>
        <v>0</v>
      </c>
      <c r="CR176" s="95">
        <f>CL176*1.1</f>
        <v>0</v>
      </c>
      <c r="CS176" s="95">
        <f>CM176*1.06</f>
        <v>0</v>
      </c>
      <c r="CT176" s="95">
        <f>CN176*1.06</f>
        <v>0</v>
      </c>
      <c r="CU176" s="196">
        <f>CT176+CS176+CR176+CQ176</f>
        <v>0</v>
      </c>
      <c r="CW176" s="95">
        <f>CQ176*1.06</f>
        <v>0</v>
      </c>
      <c r="CX176" s="95">
        <f>CR176*1.1</f>
        <v>0</v>
      </c>
      <c r="CY176" s="95">
        <f>CS176*1.06</f>
        <v>0</v>
      </c>
      <c r="CZ176" s="95">
        <f>CT176*1.06</f>
        <v>0</v>
      </c>
      <c r="DA176" s="196">
        <f>CZ176+CY176+CX176+CW176</f>
        <v>0</v>
      </c>
      <c r="DC176" s="95">
        <f>CW176*1.06</f>
        <v>0</v>
      </c>
      <c r="DD176" s="95">
        <f>CX176*1.1</f>
        <v>0</v>
      </c>
      <c r="DE176" s="95">
        <f>CY176*1.06</f>
        <v>0</v>
      </c>
      <c r="DF176" s="95">
        <f>CZ176*1.06</f>
        <v>0</v>
      </c>
      <c r="DG176" s="196">
        <f>DF176+DE176+DD176+DC176</f>
        <v>0</v>
      </c>
      <c r="DI176" s="95">
        <f>DC176*1.06</f>
        <v>0</v>
      </c>
      <c r="DJ176" s="95">
        <f>DD176*1.1</f>
        <v>0</v>
      </c>
      <c r="DK176" s="95">
        <f>DE176*1.06</f>
        <v>0</v>
      </c>
      <c r="DL176" s="95">
        <f>DF176*1.06</f>
        <v>0</v>
      </c>
      <c r="DM176" s="196">
        <f>DL176+DK176+DJ176+DI176</f>
        <v>0</v>
      </c>
      <c r="DO176" s="95">
        <f>DI176*1.06</f>
        <v>0</v>
      </c>
      <c r="DP176" s="95">
        <f>DJ176*1.1</f>
        <v>0</v>
      </c>
      <c r="DQ176" s="95">
        <f>DK176*1.06</f>
        <v>0</v>
      </c>
      <c r="DR176" s="95">
        <f>DL176*1.06</f>
        <v>0</v>
      </c>
      <c r="DS176" s="196">
        <f>DR176+DQ176+DP176+DO176</f>
        <v>0</v>
      </c>
      <c r="DT176" s="95"/>
      <c r="DU176" s="95">
        <f>DO176*1.06</f>
        <v>0</v>
      </c>
      <c r="DV176" s="95">
        <f>DP176*1.1</f>
        <v>0</v>
      </c>
      <c r="DW176" s="95">
        <f>DQ176*1.06</f>
        <v>0</v>
      </c>
      <c r="DX176" s="95">
        <f>DR176*1.06</f>
        <v>0</v>
      </c>
      <c r="DY176" s="196">
        <f>DX176+DW176+DV176+DU176</f>
        <v>0</v>
      </c>
      <c r="EA176" s="95">
        <f>DU176*1.06</f>
        <v>0</v>
      </c>
      <c r="EB176" s="95">
        <f>DV176*1.1</f>
        <v>0</v>
      </c>
      <c r="EC176" s="95">
        <f>DW176*1.06</f>
        <v>0</v>
      </c>
      <c r="ED176" s="95">
        <f>DX176*1.06</f>
        <v>0</v>
      </c>
      <c r="EE176" s="196">
        <f>ED176+EC176+EB176+EA176</f>
        <v>0</v>
      </c>
      <c r="EG176" s="95">
        <f>EA176*1.1</f>
        <v>0</v>
      </c>
      <c r="EH176" s="95">
        <f>EB176*1.1</f>
        <v>0</v>
      </c>
      <c r="EI176" s="95">
        <f>EC176*1.06</f>
        <v>0</v>
      </c>
      <c r="EJ176" s="95">
        <f>ED176*1.06</f>
        <v>0</v>
      </c>
      <c r="EK176" s="196">
        <f>EJ176+EI176+EH176+EG176</f>
        <v>0</v>
      </c>
      <c r="FG176" s="77">
        <f>BK176</f>
        <v>0</v>
      </c>
      <c r="FH176" s="77">
        <f>BQ176</f>
        <v>0</v>
      </c>
      <c r="FI176" s="77">
        <f>BW176</f>
        <v>0</v>
      </c>
      <c r="FJ176" s="77">
        <f>CC176</f>
        <v>0</v>
      </c>
      <c r="FK176" s="77">
        <f>CI176</f>
        <v>0</v>
      </c>
      <c r="FL176" s="77">
        <f>CO176</f>
        <v>0</v>
      </c>
      <c r="FM176" s="77">
        <f>CU176</f>
        <v>0</v>
      </c>
      <c r="FN176" s="77">
        <f>DA176</f>
        <v>0</v>
      </c>
      <c r="FO176" s="77">
        <f>DG176</f>
        <v>0</v>
      </c>
      <c r="FP176" s="77">
        <f>DM176</f>
        <v>0</v>
      </c>
      <c r="FQ176" s="77">
        <f>DS176</f>
        <v>0</v>
      </c>
      <c r="FR176" s="77">
        <f>DY176</f>
        <v>0</v>
      </c>
      <c r="FS176" s="346">
        <f>EE176</f>
        <v>0</v>
      </c>
      <c r="FT176" s="77">
        <f>EK176</f>
        <v>0</v>
      </c>
      <c r="FU176" s="95">
        <f>FT176*1.06</f>
        <v>0</v>
      </c>
      <c r="FV176" s="95">
        <f>FU176*1.06</f>
        <v>0</v>
      </c>
      <c r="FW176" s="95">
        <f>FV176*1.06</f>
        <v>0</v>
      </c>
      <c r="FX176" s="95">
        <f>FW176*1.06</f>
        <v>0</v>
      </c>
    </row>
    <row r="177" spans="2:180" x14ac:dyDescent="0.25">
      <c r="B177" s="200" t="s">
        <v>205</v>
      </c>
      <c r="D177" s="74"/>
      <c r="E177" s="114"/>
      <c r="F177" s="114"/>
      <c r="H177" s="196"/>
      <c r="J177" s="74"/>
      <c r="K177" s="196"/>
      <c r="L177" s="196"/>
      <c r="M177" s="196"/>
      <c r="N177" s="196"/>
      <c r="O177" s="87"/>
      <c r="P177" s="74"/>
      <c r="Q177" s="196"/>
      <c r="R177" s="196"/>
      <c r="S177" s="196"/>
      <c r="T177" s="196"/>
      <c r="U177" s="87"/>
      <c r="V177" s="88"/>
      <c r="W177" s="196"/>
      <c r="X177" s="196"/>
      <c r="Y177" s="196"/>
      <c r="Z177" s="196"/>
      <c r="AA177" s="87"/>
      <c r="BG177" s="186"/>
      <c r="BH177" s="186"/>
      <c r="BI177" s="129">
        <v>7.5</v>
      </c>
      <c r="BJ177" s="129">
        <v>7.5</v>
      </c>
      <c r="BK177" s="208">
        <f>SUM(BJ177,BI177)</f>
        <v>15</v>
      </c>
      <c r="BM177" s="129">
        <v>7.5</v>
      </c>
      <c r="BN177" s="129">
        <v>7.5</v>
      </c>
      <c r="BO177" s="129">
        <v>7.5</v>
      </c>
      <c r="BP177" s="129">
        <v>7.5</v>
      </c>
      <c r="BQ177" s="208">
        <f>BP177+BO177+BN177+BM177</f>
        <v>30</v>
      </c>
      <c r="BS177" s="129">
        <v>7.5</v>
      </c>
      <c r="BT177" s="129">
        <v>7.5</v>
      </c>
      <c r="BU177" s="129">
        <v>7.5</v>
      </c>
      <c r="BV177" s="129">
        <v>7.5</v>
      </c>
      <c r="BW177" s="208">
        <f>BV177+BU177+BT177+BS177</f>
        <v>30</v>
      </c>
      <c r="BY177" s="129">
        <v>7.5</v>
      </c>
      <c r="BZ177" s="129">
        <v>7.5</v>
      </c>
      <c r="CA177" s="129">
        <v>7.5</v>
      </c>
      <c r="CB177" s="129">
        <v>7.5</v>
      </c>
      <c r="CC177" s="208">
        <f>CB177+CA177+BZ177+BY177</f>
        <v>30</v>
      </c>
      <c r="CE177" s="129">
        <v>7.5</v>
      </c>
      <c r="CF177" s="129">
        <v>7.5</v>
      </c>
      <c r="CG177" s="129">
        <v>7.5</v>
      </c>
      <c r="CH177" s="129">
        <v>7.5</v>
      </c>
      <c r="CI177" s="208">
        <f>CH177+CG177+CF177+CE177</f>
        <v>30</v>
      </c>
      <c r="CK177" s="129">
        <f>CE177*1.06</f>
        <v>7.95</v>
      </c>
      <c r="CL177" s="129">
        <f>CF177*1.1</f>
        <v>8.25</v>
      </c>
      <c r="CM177" s="129">
        <f>CG177*1.06</f>
        <v>7.95</v>
      </c>
      <c r="CN177" s="129">
        <f>CH177*1.06</f>
        <v>7.95</v>
      </c>
      <c r="CO177" s="208">
        <f>CN177+CM177+CL177+CK177</f>
        <v>32.1</v>
      </c>
      <c r="CQ177" s="129">
        <f>CK177*1.06</f>
        <v>8.4270000000000014</v>
      </c>
      <c r="CR177" s="129">
        <f>CL177*1.1</f>
        <v>9.0750000000000011</v>
      </c>
      <c r="CS177" s="129">
        <f>CM177*1.06</f>
        <v>8.4270000000000014</v>
      </c>
      <c r="CT177" s="129">
        <f>CN177*1.06</f>
        <v>8.4270000000000014</v>
      </c>
      <c r="CU177" s="208">
        <f>CT177+CS177+CR177+CQ177</f>
        <v>34.356000000000002</v>
      </c>
      <c r="CW177" s="129">
        <f>CQ177*1.06</f>
        <v>8.9326200000000018</v>
      </c>
      <c r="CX177" s="129">
        <f>CR177*1.1</f>
        <v>9.9825000000000017</v>
      </c>
      <c r="CY177" s="129">
        <f>CS177*1.06</f>
        <v>8.9326200000000018</v>
      </c>
      <c r="CZ177" s="129">
        <f>CT177*1.06</f>
        <v>8.9326200000000018</v>
      </c>
      <c r="DA177" s="208">
        <f>CZ177+CY177+CX177+CW177</f>
        <v>36.780360000000009</v>
      </c>
      <c r="DC177" s="129">
        <f>CW177*1.06</f>
        <v>9.4685772000000021</v>
      </c>
      <c r="DD177" s="129">
        <f>CX177*1.1</f>
        <v>10.980750000000002</v>
      </c>
      <c r="DE177" s="129">
        <f>CY177*1.06</f>
        <v>9.4685772000000021</v>
      </c>
      <c r="DF177" s="129">
        <f>CZ177*1.06</f>
        <v>9.4685772000000021</v>
      </c>
      <c r="DG177" s="208">
        <f>DF177+DE177+DD177+DC177</f>
        <v>39.38648160000001</v>
      </c>
      <c r="DI177" s="129">
        <f>DC177*1.06</f>
        <v>10.036691832000002</v>
      </c>
      <c r="DJ177" s="129">
        <f>DD177*1.1</f>
        <v>12.078825000000004</v>
      </c>
      <c r="DK177" s="129">
        <f>DE177*1.06</f>
        <v>10.036691832000002</v>
      </c>
      <c r="DL177" s="129">
        <f>DF177*1.06</f>
        <v>10.036691832000002</v>
      </c>
      <c r="DM177" s="208">
        <f>DL177+DK177+DJ177+DI177</f>
        <v>42.188900496000009</v>
      </c>
      <c r="DO177" s="129">
        <f>DI177*1.06</f>
        <v>10.638893341920003</v>
      </c>
      <c r="DP177" s="129">
        <v>12</v>
      </c>
      <c r="DQ177" s="129">
        <f>DK177*1.06</f>
        <v>10.638893341920003</v>
      </c>
      <c r="DR177" s="129">
        <f>DL177*1.06</f>
        <v>10.638893341920003</v>
      </c>
      <c r="DS177" s="208">
        <f>DR177+DQ177+DP177+DO177</f>
        <v>43.916680025760009</v>
      </c>
      <c r="DT177" s="129"/>
      <c r="DU177" s="129">
        <v>12</v>
      </c>
      <c r="DV177" s="129">
        <f>DP177*1.1</f>
        <v>13.200000000000001</v>
      </c>
      <c r="DW177" s="129">
        <f>DQ177*1.06</f>
        <v>11.277226942435204</v>
      </c>
      <c r="DX177" s="129">
        <f>DR177*1.06</f>
        <v>11.277226942435204</v>
      </c>
      <c r="DY177" s="208">
        <f>DX177+DW177+DV177+DU177</f>
        <v>47.754453884870408</v>
      </c>
      <c r="EA177" s="129">
        <v>12</v>
      </c>
      <c r="EB177" s="129">
        <f>DV177*1.1</f>
        <v>14.520000000000003</v>
      </c>
      <c r="EC177" s="129">
        <f>DW177*1.06</f>
        <v>11.953860558981317</v>
      </c>
      <c r="ED177" s="129">
        <f>DX177*1.06</f>
        <v>11.953860558981317</v>
      </c>
      <c r="EE177" s="208">
        <f>ED177+EC177+EB177+EA177</f>
        <v>50.427721117962633</v>
      </c>
      <c r="EG177" s="129">
        <v>15</v>
      </c>
      <c r="EH177" s="129">
        <v>15</v>
      </c>
      <c r="EI177" s="129">
        <v>15</v>
      </c>
      <c r="EJ177" s="129">
        <v>15</v>
      </c>
      <c r="EK177" s="208">
        <f>EJ177+EI177+EH177+EG177</f>
        <v>60</v>
      </c>
      <c r="FG177" s="76">
        <f>BK177</f>
        <v>15</v>
      </c>
      <c r="FH177" s="76">
        <f>BQ177</f>
        <v>30</v>
      </c>
      <c r="FI177" s="76">
        <f>BW177</f>
        <v>30</v>
      </c>
      <c r="FJ177" s="76">
        <f>CC177</f>
        <v>30</v>
      </c>
      <c r="FK177" s="76">
        <f>CI177</f>
        <v>30</v>
      </c>
      <c r="FL177" s="76">
        <f>CO177</f>
        <v>32.1</v>
      </c>
      <c r="FM177" s="76">
        <f>CU177</f>
        <v>34.356000000000002</v>
      </c>
      <c r="FN177" s="76">
        <f>DA177</f>
        <v>36.780360000000009</v>
      </c>
      <c r="FO177" s="76">
        <f>DG177</f>
        <v>39.38648160000001</v>
      </c>
      <c r="FP177" s="76">
        <f>DM177</f>
        <v>42.188900496000009</v>
      </c>
      <c r="FQ177" s="76">
        <f>DS177</f>
        <v>43.916680025760009</v>
      </c>
      <c r="FR177" s="76">
        <f>DY177</f>
        <v>47.754453884870408</v>
      </c>
      <c r="FS177" s="142">
        <f>EE177</f>
        <v>50.427721117962633</v>
      </c>
      <c r="FT177" s="76">
        <f>EK177</f>
        <v>60</v>
      </c>
      <c r="FU177" s="105">
        <f>FT177</f>
        <v>60</v>
      </c>
      <c r="FV177" s="105">
        <f>FU177</f>
        <v>60</v>
      </c>
      <c r="FW177" s="105">
        <f>FV177</f>
        <v>60</v>
      </c>
      <c r="FX177" s="105">
        <f>FW177</f>
        <v>60</v>
      </c>
    </row>
    <row r="178" spans="2:180" x14ac:dyDescent="0.25">
      <c r="B178" s="123" t="s">
        <v>204</v>
      </c>
      <c r="D178" s="74"/>
      <c r="E178" s="114"/>
      <c r="F178" s="114"/>
      <c r="H178" s="87"/>
      <c r="J178" s="74"/>
      <c r="K178" s="87"/>
      <c r="L178" s="87"/>
      <c r="M178" s="87"/>
      <c r="N178" s="87"/>
      <c r="O178" s="87"/>
      <c r="P178" s="74"/>
      <c r="Q178" s="87"/>
      <c r="R178" s="87"/>
      <c r="S178" s="87"/>
      <c r="T178" s="87"/>
      <c r="U178" s="87"/>
      <c r="V178" s="88"/>
      <c r="W178" s="87"/>
      <c r="X178" s="87"/>
      <c r="Y178" s="87"/>
      <c r="Z178" s="87"/>
      <c r="AA178" s="87"/>
      <c r="BG178" s="87">
        <v>184.8</v>
      </c>
      <c r="BH178" s="87">
        <v>200</v>
      </c>
      <c r="BI178" s="87">
        <v>244.1</v>
      </c>
      <c r="BJ178" s="87">
        <v>253.1</v>
      </c>
      <c r="BK178" s="87">
        <f>BK172+BK177</f>
        <v>882.00000000000011</v>
      </c>
      <c r="BM178" s="87">
        <v>279.10000000000002</v>
      </c>
      <c r="BN178" s="87">
        <v>266.89999999999998</v>
      </c>
      <c r="BO178" s="87">
        <v>260.10000000000002</v>
      </c>
      <c r="BP178" s="87">
        <v>268</v>
      </c>
      <c r="BQ178" s="87">
        <f>BQ172+BQ177</f>
        <v>1074.0999999999999</v>
      </c>
      <c r="BS178" s="87">
        <v>261.39999999999998</v>
      </c>
      <c r="BT178" s="87">
        <v>267.39999999999998</v>
      </c>
      <c r="BU178" s="87">
        <v>266.3</v>
      </c>
      <c r="BV178" s="87">
        <v>273</v>
      </c>
      <c r="BW178" s="87">
        <f>BW172+BW177</f>
        <v>1068.0999999999999</v>
      </c>
      <c r="BY178" s="87">
        <v>274.7</v>
      </c>
      <c r="BZ178" s="87">
        <v>270.3</v>
      </c>
      <c r="CA178" s="87">
        <v>273.39999999999998</v>
      </c>
      <c r="CB178" s="87">
        <v>287.39999999999998</v>
      </c>
      <c r="CC178" s="87">
        <f>CC172+CC177</f>
        <v>1105.8000000000002</v>
      </c>
      <c r="CE178" s="87">
        <v>315.10000000000002</v>
      </c>
      <c r="CF178" s="87">
        <v>312.7</v>
      </c>
      <c r="CG178" s="87">
        <v>314.5</v>
      </c>
      <c r="CH178" s="87">
        <v>317.39999999999998</v>
      </c>
      <c r="CI178" s="87">
        <f>CI172+CI176+CI177</f>
        <v>1259.6999999999998</v>
      </c>
      <c r="CK178" s="87">
        <v>357.1</v>
      </c>
      <c r="CL178" s="87">
        <v>380.1</v>
      </c>
      <c r="CM178" s="87">
        <v>396.3</v>
      </c>
      <c r="CN178" s="87">
        <v>442.4</v>
      </c>
      <c r="CO178" s="87">
        <f>CO172+CO176+CO177</f>
        <v>1575.9</v>
      </c>
      <c r="CQ178" s="87">
        <v>472.7</v>
      </c>
      <c r="CR178" s="87">
        <v>487.4</v>
      </c>
      <c r="CS178" s="87">
        <v>492.3</v>
      </c>
      <c r="CT178" s="87">
        <v>516.1</v>
      </c>
      <c r="CU178" s="87">
        <f>CU172+CU176+CU177</f>
        <v>1968.5</v>
      </c>
      <c r="CW178" s="87">
        <v>544</v>
      </c>
      <c r="CX178" s="87">
        <v>566.9</v>
      </c>
      <c r="CY178" s="87">
        <v>534</v>
      </c>
      <c r="CZ178" s="87">
        <v>555.9</v>
      </c>
      <c r="DA178" s="87">
        <f>DA172+DA176+DA177</f>
        <v>2200.8000000000002</v>
      </c>
      <c r="DC178" s="87">
        <v>623.4</v>
      </c>
      <c r="DD178" s="87">
        <v>633.79999999999995</v>
      </c>
      <c r="DE178" s="87">
        <v>609.20000000000005</v>
      </c>
      <c r="DF178" s="87">
        <v>680.6</v>
      </c>
      <c r="DG178" s="87">
        <f>DG172+DG176+DG177</f>
        <v>2547</v>
      </c>
      <c r="DI178" s="87">
        <v>738.7</v>
      </c>
      <c r="DJ178" s="87">
        <v>789.1</v>
      </c>
      <c r="DK178" s="87">
        <v>819.4</v>
      </c>
      <c r="DL178" s="87">
        <v>906.3</v>
      </c>
      <c r="DM178" s="87">
        <f>DM172+DM176+DM177</f>
        <v>3253.5</v>
      </c>
      <c r="DO178" s="87">
        <v>947.9</v>
      </c>
      <c r="DP178" s="87">
        <v>999.9</v>
      </c>
      <c r="DQ178" s="87">
        <v>991.4</v>
      </c>
      <c r="DR178" s="87">
        <v>1041.3</v>
      </c>
      <c r="DS178" s="87">
        <f>DS172+DS176+DS177</f>
        <v>3980.4999999999995</v>
      </c>
      <c r="DT178" s="87"/>
      <c r="DU178" s="87">
        <v>1031.9000000000001</v>
      </c>
      <c r="DV178" s="87">
        <v>1100.5999999999999</v>
      </c>
      <c r="DW178" s="87">
        <v>1055.2</v>
      </c>
      <c r="DX178" s="87">
        <v>1116</v>
      </c>
      <c r="DY178" s="87">
        <f>DY172+DY176+DY177</f>
        <v>4303.7000000000007</v>
      </c>
      <c r="EA178" s="87">
        <v>1161.0999999999999</v>
      </c>
      <c r="EB178" s="87">
        <v>1166.7</v>
      </c>
      <c r="EC178" s="87">
        <v>1108.7</v>
      </c>
      <c r="ED178" s="87">
        <v>1262.3</v>
      </c>
      <c r="EE178" s="87">
        <f>EE172+EE176+EE177</f>
        <v>4698.8</v>
      </c>
      <c r="EG178" s="87">
        <v>1184.9000000000001</v>
      </c>
      <c r="EH178" s="87">
        <v>1184.9000000000001</v>
      </c>
      <c r="EI178" s="87">
        <v>1219.9970000000001</v>
      </c>
      <c r="EJ178" s="87">
        <v>1244.0969400000001</v>
      </c>
      <c r="EK178" s="87">
        <f>EK172+EK176+EK177</f>
        <v>4833.8939399999999</v>
      </c>
      <c r="FG178" s="87">
        <f>FG172+FG176+FG177</f>
        <v>882.00000000000011</v>
      </c>
      <c r="FH178" s="87">
        <f t="shared" ref="FH178:FP178" si="177">FH172+FH176+FH177</f>
        <v>1074.0999999999999</v>
      </c>
      <c r="FI178" s="87">
        <f t="shared" si="177"/>
        <v>1068.0999999999999</v>
      </c>
      <c r="FJ178" s="87">
        <f t="shared" si="177"/>
        <v>1105.8000000000002</v>
      </c>
      <c r="FK178" s="87">
        <f t="shared" si="177"/>
        <v>1259.6999999999998</v>
      </c>
      <c r="FL178" s="87">
        <f t="shared" si="177"/>
        <v>1575.9</v>
      </c>
      <c r="FM178" s="87">
        <f t="shared" si="177"/>
        <v>1968.5</v>
      </c>
      <c r="FN178" s="87">
        <f t="shared" si="177"/>
        <v>2200.8000000000002</v>
      </c>
      <c r="FO178" s="87">
        <f t="shared" si="177"/>
        <v>2547</v>
      </c>
      <c r="FP178" s="87">
        <f t="shared" si="177"/>
        <v>3253.5</v>
      </c>
      <c r="FQ178" s="87">
        <f>FQ172+FQ176+FQ177</f>
        <v>3980.4999999999995</v>
      </c>
      <c r="FR178" s="87">
        <f>FR172+FR176+FR177</f>
        <v>4303.7000000000007</v>
      </c>
      <c r="FS178" s="87">
        <f t="shared" ref="FS178:FX178" si="178">FS176+FS177+FS172</f>
        <v>4698.8</v>
      </c>
      <c r="FT178" s="87">
        <f t="shared" si="178"/>
        <v>4833.8939399999999</v>
      </c>
      <c r="FU178" s="87">
        <f>FU176+FU177+FU172</f>
        <v>5072.5886369999998</v>
      </c>
      <c r="FV178" s="87">
        <f t="shared" si="178"/>
        <v>5423.4698415900002</v>
      </c>
      <c r="FW178" s="87">
        <f t="shared" si="178"/>
        <v>5798.9127305013008</v>
      </c>
      <c r="FX178" s="87">
        <f t="shared" si="178"/>
        <v>6200.6366216363922</v>
      </c>
    </row>
    <row r="179" spans="2:180" x14ac:dyDescent="0.25">
      <c r="B179" s="200" t="s">
        <v>172</v>
      </c>
      <c r="D179" s="74"/>
      <c r="E179" s="114"/>
      <c r="F179" s="114"/>
      <c r="H179" s="196"/>
      <c r="J179" s="74"/>
      <c r="K179" s="196"/>
      <c r="L179" s="196"/>
      <c r="M179" s="196"/>
      <c r="N179" s="196"/>
      <c r="O179" s="87"/>
      <c r="P179" s="74"/>
      <c r="Q179" s="196"/>
      <c r="R179" s="196"/>
      <c r="S179" s="196"/>
      <c r="T179" s="196"/>
      <c r="U179" s="87"/>
      <c r="V179" s="88"/>
      <c r="W179" s="196"/>
      <c r="X179" s="196"/>
      <c r="Y179" s="196"/>
      <c r="Z179" s="196"/>
      <c r="AA179" s="87"/>
      <c r="AM179" s="87">
        <f>Financials!AG19-Financials!AM19</f>
        <v>49367</v>
      </c>
      <c r="BG179" s="184">
        <f>BG178/Financials!BG$9</f>
        <v>0.20715166461159065</v>
      </c>
      <c r="BH179" s="184">
        <f>BH178/Financials!BH$9</f>
        <v>0.16410929679166325</v>
      </c>
      <c r="BI179" s="184">
        <f>BI178/Financials!BI$9</f>
        <v>0.17533400373509553</v>
      </c>
      <c r="BJ179" s="184">
        <f>BJ178/Financials!BJ$9</f>
        <v>0.13166519273786609</v>
      </c>
      <c r="BK179" s="184">
        <f>BK178/Financials!BK$9</f>
        <v>0.16257165502368534</v>
      </c>
      <c r="BM179" s="184">
        <f>BM178/Financials!BM$9</f>
        <v>0.19985678481919086</v>
      </c>
      <c r="BN179" s="184">
        <f>BN178/Financials!BN$9</f>
        <v>0.16238744220004867</v>
      </c>
      <c r="BO179" s="184">
        <f>BO178/Financials!BO$9</f>
        <v>0.19671759189230073</v>
      </c>
      <c r="BP179" s="184">
        <f>BP178/Financials!BP$9</f>
        <v>0.17938420348058903</v>
      </c>
      <c r="BQ179" s="184">
        <f>BQ178/Financials!BQ$9</f>
        <v>0.18340931987773848</v>
      </c>
      <c r="BS179" s="188">
        <f>BS178/Financials!BS$9</f>
        <v>0.15843384447542272</v>
      </c>
      <c r="BT179" s="188">
        <f>BT178/Financials!BT$9</f>
        <v>0.16165890816758358</v>
      </c>
      <c r="BU179" s="188">
        <f>BU178/Financials!BU$9</f>
        <v>0.17189517170152341</v>
      </c>
      <c r="BV179" s="188">
        <f>BV178/Financials!BV$9</f>
        <v>0.19035002091758474</v>
      </c>
      <c r="BW179" s="184">
        <f>BW178/Financials!BW$9</f>
        <v>0.16987944142252759</v>
      </c>
      <c r="BY179" s="188">
        <f>BY178/Financials!BY$9</f>
        <v>0.20604560456045606</v>
      </c>
      <c r="BZ179" s="188">
        <f>BZ178/Financials!BZ$9</f>
        <v>0.1553805472522419</v>
      </c>
      <c r="CA179" s="188">
        <f>CA178/Financials!CA$9</f>
        <v>0.15066681362283699</v>
      </c>
      <c r="CB179" s="188">
        <f>CB178/Financials!CB$9</f>
        <v>0.15067631330607109</v>
      </c>
      <c r="CC179" s="184">
        <f>CC178/Financials!CC$9</f>
        <v>0.16274209689762764</v>
      </c>
      <c r="CE179" s="188">
        <f>CE178/Financials!CE$9</f>
        <v>0.1621218357686767</v>
      </c>
      <c r="CF179" s="188">
        <f>CF178/Financials!CF$9</f>
        <v>0.14880555819929572</v>
      </c>
      <c r="CG179" s="188">
        <f>CG178/Financials!CG$9</f>
        <v>0.12850371823159271</v>
      </c>
      <c r="CH179" s="188">
        <f>CH178/Financials!CH$9</f>
        <v>0.12396500546789563</v>
      </c>
      <c r="CI179" s="184">
        <f>CI178/Financials!CI$9</f>
        <v>0.13915031813361611</v>
      </c>
      <c r="CK179" s="188">
        <f>CK178/Financials!CK$9</f>
        <v>0.15628008752735231</v>
      </c>
      <c r="CL179" s="188">
        <f>CL178/Financials!CL$9</f>
        <v>0.13870237921471318</v>
      </c>
      <c r="CM179" s="188">
        <f>CM178/Financials!CM$9</f>
        <v>0.14275422355102482</v>
      </c>
      <c r="CN179" s="188">
        <f>CN178/Financials!CN$9</f>
        <v>0.14077963404932378</v>
      </c>
      <c r="CO179" s="184">
        <f>CO178/Financials!CO$9</f>
        <v>0.1439967105263158</v>
      </c>
      <c r="CQ179" s="188">
        <f>CQ178/Financials!CQ$9</f>
        <v>0.21205867839038178</v>
      </c>
      <c r="CR179" s="188">
        <f>CR178/Financials!CR$9</f>
        <v>0.18980489894466293</v>
      </c>
      <c r="CS179" s="188">
        <f>CS178/Financials!CS$9</f>
        <v>0.16484178804620794</v>
      </c>
      <c r="CT179" s="188">
        <f>CT178/Financials!CT$9</f>
        <v>0.12786146070756121</v>
      </c>
      <c r="CU179" s="184">
        <f>CU178/Financials!CU$9</f>
        <v>0.16654117209113445</v>
      </c>
      <c r="CW179" s="188">
        <f>CW178/Financials!CW$9</f>
        <v>0.22289600917807098</v>
      </c>
      <c r="CX179" s="188">
        <f>CX178/Financials!CX$9</f>
        <v>0.17046035421114353</v>
      </c>
      <c r="CY179" s="188">
        <f>CY178/Financials!CY$9</f>
        <v>0.1349166245578575</v>
      </c>
      <c r="CZ179" s="188">
        <f>CZ178/Financials!CZ$9</f>
        <v>0.13067393808326083</v>
      </c>
      <c r="DA179" s="184">
        <f>DA178/Financials!DA$9</f>
        <v>0.15744291192124996</v>
      </c>
      <c r="DC179" s="188">
        <f>DC178/Financials!DC$9</f>
        <v>0.14285386924539975</v>
      </c>
      <c r="DD179" s="188">
        <f>DD178/Financials!DD$9</f>
        <v>0.15765384806726032</v>
      </c>
      <c r="DE179" s="188">
        <f>DE178/Financials!DE$9</f>
        <v>0.11623070612252685</v>
      </c>
      <c r="DF179" s="188">
        <f>DF178/Financials!DF$9</f>
        <v>0.13651315789473684</v>
      </c>
      <c r="DG179" s="184">
        <f>DG178/Financials!DG$9</f>
        <v>0.13685454838536348</v>
      </c>
      <c r="DI179" s="188">
        <f>DI178/Financials!DI$9</f>
        <v>0.20900294250792217</v>
      </c>
      <c r="DJ179" s="188">
        <f>DJ178/Financials!DJ$9</f>
        <v>0.14530890341589173</v>
      </c>
      <c r="DK179" s="188">
        <f>DK178/Financials!DK$9</f>
        <v>0.14180641365107385</v>
      </c>
      <c r="DL179" s="188">
        <f>DL178/Financials!DL$9</f>
        <v>0.14094429411215825</v>
      </c>
      <c r="DM179" s="184">
        <f>DM178/Financials!DM$9</f>
        <v>0.15365978066819691</v>
      </c>
      <c r="DO179" s="188">
        <f>DO178/Financials!DO$9</f>
        <v>0.14050873084106608</v>
      </c>
      <c r="DP179" s="188">
        <f>DP178/Financials!DP$9</f>
        <v>0.14486475522651868</v>
      </c>
      <c r="DQ179" s="188">
        <f>DQ178/Financials!DQ$9</f>
        <v>0.14856885958339577</v>
      </c>
      <c r="DR179" s="188">
        <f>DR178/Financials!DR$9</f>
        <v>0.14388558795080833</v>
      </c>
      <c r="DS179" s="184">
        <f>DS178/Financials!DS$9</f>
        <v>0.14443819511221581</v>
      </c>
      <c r="DT179" s="188"/>
      <c r="DU179" s="188">
        <f>DU178/Financials!DU$9</f>
        <v>0.19506616257088849</v>
      </c>
      <c r="DV179" s="188">
        <f>DV178/Financials!DV$9</f>
        <v>0.17629909655923626</v>
      </c>
      <c r="DW179" s="188">
        <f>DW178/Financials!DW$9</f>
        <v>0.14130944250264488</v>
      </c>
      <c r="DX179" s="188">
        <f>DX178/Financials!DX$9</f>
        <v>0.12048192771084339</v>
      </c>
      <c r="DY179" s="184">
        <f>DY178/Financials!DY$9</f>
        <v>0.15227382894182837</v>
      </c>
      <c r="EA179" s="188">
        <f>EA178/Financials!EA$9</f>
        <v>0.14998385325841243</v>
      </c>
      <c r="EB179" s="188">
        <f>EB178/Financials!EB$9</f>
        <v>0.15168298295565349</v>
      </c>
      <c r="EC179" s="188">
        <f>EC178/Financials!EC$9</f>
        <v>0.14751197445449707</v>
      </c>
      <c r="ED179" s="188">
        <f>ED178/Financials!ED$9</f>
        <v>0.12989298209508129</v>
      </c>
      <c r="EE179" s="184">
        <f>EE178/Financials!EE$9</f>
        <v>0.14383846794338051</v>
      </c>
      <c r="EG179" s="188">
        <f>EG178/Financials!EG$9</f>
        <v>0.1351622654423088</v>
      </c>
      <c r="EH179" s="188">
        <f>EH178/Financials!EH$9</f>
        <v>0.14208456243854475</v>
      </c>
      <c r="EI179" s="188">
        <f>EI178/Financials!EI$9</f>
        <v>0.12028562977569633</v>
      </c>
      <c r="EJ179" s="188">
        <f>EJ178/Financials!EJ$9</f>
        <v>0.11933560379446145</v>
      </c>
      <c r="EK179" s="184">
        <f>EK178/Financials!EK$9</f>
        <v>0.12830986636661565</v>
      </c>
      <c r="FG179" s="188">
        <f t="shared" ref="FG179:FS179" si="179">FG178/FG$9</f>
        <v>0.16257165502368534</v>
      </c>
      <c r="FH179" s="188">
        <f t="shared" si="179"/>
        <v>0.18340931987773848</v>
      </c>
      <c r="FI179" s="188">
        <f t="shared" si="179"/>
        <v>0.16987944142252759</v>
      </c>
      <c r="FJ179" s="188">
        <f t="shared" si="179"/>
        <v>0.16274209689762764</v>
      </c>
      <c r="FK179" s="188">
        <f t="shared" si="179"/>
        <v>0.13915031813361611</v>
      </c>
      <c r="FL179" s="188">
        <f t="shared" si="179"/>
        <v>0.1439967105263158</v>
      </c>
      <c r="FM179" s="188">
        <f t="shared" si="179"/>
        <v>0.16654117209113445</v>
      </c>
      <c r="FN179" s="188">
        <f t="shared" si="179"/>
        <v>0.15744291192124996</v>
      </c>
      <c r="FO179" s="188">
        <f t="shared" si="179"/>
        <v>0.13685454838536348</v>
      </c>
      <c r="FP179" s="188">
        <f t="shared" si="179"/>
        <v>0.15365978066819691</v>
      </c>
      <c r="FQ179" s="188">
        <f>FQ178/FQ$9</f>
        <v>0.14443819511221581</v>
      </c>
      <c r="FR179" s="188">
        <f>FR178/FR$9</f>
        <v>0.15227382894182837</v>
      </c>
      <c r="FS179" s="188">
        <f t="shared" si="179"/>
        <v>0.14383846794338051</v>
      </c>
      <c r="FT179" s="188">
        <f>FT178/FT$9</f>
        <v>0.12830986636661568</v>
      </c>
      <c r="FU179" s="188">
        <f>FU178/FU$9</f>
        <v>0.10565263222695494</v>
      </c>
      <c r="FV179" s="188">
        <f>FV178/FV$9</f>
        <v>0.1313302627697028</v>
      </c>
      <c r="FW179" s="188">
        <f ca="1">FW178/FW$9</f>
        <v>0.26194975631852291</v>
      </c>
      <c r="FX179" s="188">
        <f>FX178/FX$9</f>
        <v>0.23903764925352322</v>
      </c>
    </row>
    <row r="180" spans="2:180" x14ac:dyDescent="0.25">
      <c r="B180" s="200"/>
      <c r="D180" s="74"/>
      <c r="E180" s="114"/>
      <c r="F180" s="114"/>
      <c r="H180" s="196"/>
      <c r="J180" s="74"/>
      <c r="K180" s="196"/>
      <c r="L180" s="196"/>
      <c r="M180" s="196"/>
      <c r="N180" s="196"/>
      <c r="O180" s="87"/>
      <c r="P180" s="74"/>
      <c r="Q180" s="196"/>
      <c r="R180" s="196"/>
      <c r="S180" s="196"/>
      <c r="T180" s="196"/>
      <c r="U180" s="87"/>
      <c r="V180" s="88"/>
      <c r="W180" s="196"/>
      <c r="X180" s="196"/>
      <c r="Y180" s="196"/>
      <c r="Z180" s="196"/>
      <c r="AA180" s="87"/>
      <c r="AM180" s="87"/>
      <c r="BG180" s="184"/>
      <c r="BH180" s="184"/>
      <c r="BI180" s="184"/>
      <c r="BJ180" s="184"/>
      <c r="BK180" s="184"/>
      <c r="BM180" s="184"/>
      <c r="BN180" s="184"/>
      <c r="BO180" s="184"/>
      <c r="BP180" s="184"/>
      <c r="BQ180" s="184"/>
      <c r="BS180" s="188"/>
      <c r="BT180" s="188"/>
      <c r="BU180" s="188"/>
      <c r="BV180" s="188"/>
      <c r="BW180" s="184"/>
      <c r="BY180" s="188"/>
      <c r="BZ180" s="188"/>
      <c r="CA180" s="188"/>
      <c r="CB180" s="188"/>
      <c r="CC180" s="184"/>
      <c r="CE180" s="188"/>
      <c r="CF180" s="188"/>
      <c r="CG180" s="188"/>
      <c r="CH180" s="188"/>
      <c r="CI180" s="184"/>
      <c r="CK180" s="188"/>
      <c r="CL180" s="188"/>
      <c r="CM180" s="188"/>
      <c r="CN180" s="188"/>
      <c r="CO180" s="184"/>
      <c r="CQ180" s="188"/>
      <c r="CR180" s="188"/>
      <c r="CS180" s="188"/>
      <c r="CT180" s="188"/>
      <c r="CU180" s="184"/>
      <c r="CW180" s="188"/>
      <c r="CX180" s="188"/>
      <c r="CY180" s="188"/>
      <c r="CZ180" s="188"/>
      <c r="DA180" s="184"/>
      <c r="DC180" s="188"/>
      <c r="DD180" s="188"/>
      <c r="DE180" s="188"/>
      <c r="DF180" s="188"/>
      <c r="DG180" s="184"/>
      <c r="DI180" s="188"/>
      <c r="DJ180" s="188"/>
      <c r="DK180" s="188"/>
      <c r="DL180" s="188"/>
      <c r="DM180" s="184"/>
      <c r="DO180" s="188"/>
      <c r="DP180" s="188"/>
      <c r="DQ180" s="188"/>
      <c r="DR180" s="188"/>
      <c r="DS180" s="184"/>
      <c r="DT180" s="188"/>
      <c r="DU180" s="188"/>
      <c r="DV180" s="188"/>
      <c r="DW180" s="188"/>
      <c r="DX180" s="188"/>
      <c r="DY180" s="184"/>
      <c r="EA180" s="188"/>
      <c r="EB180" s="188"/>
      <c r="EC180" s="188"/>
      <c r="ED180" s="188"/>
      <c r="EE180" s="184"/>
      <c r="EG180" s="188"/>
      <c r="EH180" s="188"/>
      <c r="EI180" s="188"/>
      <c r="EJ180" s="188"/>
      <c r="EK180" s="184"/>
      <c r="FG180" s="184"/>
      <c r="FH180" s="184"/>
      <c r="FI180" s="184"/>
      <c r="FJ180" s="184"/>
      <c r="FK180" s="184"/>
      <c r="FL180" s="184"/>
      <c r="FM180" s="184"/>
      <c r="FN180" s="184"/>
      <c r="FS180" s="184"/>
      <c r="FT180" s="184"/>
      <c r="FU180" s="184"/>
      <c r="FV180" s="184"/>
      <c r="FW180" s="184"/>
      <c r="FX180" s="184"/>
    </row>
    <row r="181" spans="2:180" x14ac:dyDescent="0.25">
      <c r="B181" s="128" t="s">
        <v>103</v>
      </c>
      <c r="D181" s="74"/>
      <c r="E181" s="114"/>
      <c r="F181" s="114"/>
      <c r="H181" s="196"/>
      <c r="J181" s="74"/>
      <c r="K181" s="196"/>
      <c r="L181" s="196"/>
      <c r="M181" s="196"/>
      <c r="N181" s="196"/>
      <c r="O181" s="87"/>
      <c r="P181" s="74"/>
      <c r="Q181" s="196"/>
      <c r="R181" s="196"/>
      <c r="S181" s="196"/>
      <c r="T181" s="196"/>
      <c r="U181" s="87"/>
      <c r="V181" s="88"/>
      <c r="W181" s="196"/>
      <c r="X181" s="196"/>
      <c r="Y181" s="196"/>
      <c r="Z181" s="196"/>
      <c r="AA181" s="87"/>
      <c r="BG181" s="87">
        <v>-14.2</v>
      </c>
      <c r="BH181" s="87">
        <v>-16.3</v>
      </c>
      <c r="BI181" s="87">
        <v>-16.7</v>
      </c>
      <c r="BJ181" s="87">
        <v>-17.2</v>
      </c>
      <c r="BK181" s="87">
        <f>BG181+BH181+BI181+BJ181</f>
        <v>-64.400000000000006</v>
      </c>
      <c r="BM181" s="87">
        <v>-20.2</v>
      </c>
      <c r="BN181" s="87">
        <v>-20.3</v>
      </c>
      <c r="BO181" s="87">
        <v>-20.3</v>
      </c>
      <c r="BP181" s="87">
        <v>-20.2</v>
      </c>
      <c r="BQ181" s="87">
        <f>BM181+BN181+BO181+BP181</f>
        <v>-81</v>
      </c>
      <c r="BS181" s="87">
        <v>-20.8</v>
      </c>
      <c r="BT181" s="87">
        <v>-20.8</v>
      </c>
      <c r="BU181" s="87">
        <v>-20.8</v>
      </c>
      <c r="BV181" s="87">
        <v>-20.8</v>
      </c>
      <c r="BW181" s="87">
        <f>BS181+BT181+BU181+BV181</f>
        <v>-83.2</v>
      </c>
      <c r="BY181" s="87">
        <v>-23.4</v>
      </c>
      <c r="BZ181" s="87">
        <v>-23.5</v>
      </c>
      <c r="CA181" s="87">
        <v>-23.4</v>
      </c>
      <c r="CB181" s="87">
        <v>-23.5</v>
      </c>
      <c r="CC181" s="87">
        <f>BY181+BZ181+CA181+CB181</f>
        <v>-93.8</v>
      </c>
      <c r="CE181" s="87">
        <v>-23.9</v>
      </c>
      <c r="CF181" s="87">
        <v>-24</v>
      </c>
      <c r="CG181" s="87">
        <v>-23.9</v>
      </c>
      <c r="CH181" s="87">
        <v>-24</v>
      </c>
      <c r="CI181" s="87">
        <f>CE181+CF181+CG181+CH181</f>
        <v>-95.8</v>
      </c>
      <c r="CK181" s="87">
        <v>0</v>
      </c>
      <c r="CL181" s="87">
        <v>0</v>
      </c>
      <c r="CM181" s="87">
        <v>0</v>
      </c>
      <c r="CN181" s="87">
        <v>0</v>
      </c>
      <c r="CO181" s="87">
        <f>CK181+CL181+CM181+CN181</f>
        <v>0</v>
      </c>
      <c r="CQ181" s="87">
        <v>0</v>
      </c>
      <c r="CR181" s="87">
        <v>0</v>
      </c>
      <c r="CS181" s="87">
        <v>0</v>
      </c>
      <c r="CT181" s="87">
        <v>0</v>
      </c>
      <c r="CU181" s="87">
        <f>CQ181+CR181+CS181+CT181</f>
        <v>0</v>
      </c>
      <c r="CW181" s="87">
        <v>0</v>
      </c>
      <c r="CX181" s="87">
        <v>0</v>
      </c>
      <c r="CY181" s="87">
        <v>0</v>
      </c>
      <c r="CZ181" s="87">
        <v>0</v>
      </c>
      <c r="DA181" s="87">
        <f>CW181+CX181+CY181+CZ181</f>
        <v>0</v>
      </c>
      <c r="DC181" s="87">
        <v>0</v>
      </c>
      <c r="DD181" s="87">
        <v>0</v>
      </c>
      <c r="DE181" s="87">
        <v>0</v>
      </c>
      <c r="DF181" s="87">
        <v>-213.7</v>
      </c>
      <c r="DG181" s="87">
        <f>DC181+DD181+DE181+DF181</f>
        <v>-213.7</v>
      </c>
      <c r="DI181" s="87">
        <v>0</v>
      </c>
      <c r="DJ181" s="87">
        <v>0</v>
      </c>
      <c r="DK181" s="87">
        <v>0</v>
      </c>
      <c r="DL181" s="87">
        <v>0</v>
      </c>
      <c r="DM181" s="87">
        <f>DI181+DJ181+DK181+DL181</f>
        <v>0</v>
      </c>
      <c r="DO181" s="87">
        <v>0</v>
      </c>
      <c r="DP181" s="87">
        <v>0</v>
      </c>
      <c r="DQ181" s="87">
        <v>0</v>
      </c>
      <c r="DR181" s="87">
        <v>0</v>
      </c>
      <c r="DS181" s="87">
        <f>DO181+DP181+DQ181+DR181</f>
        <v>0</v>
      </c>
      <c r="DT181" s="87"/>
      <c r="DU181" s="87">
        <v>0</v>
      </c>
      <c r="DV181" s="87">
        <v>0</v>
      </c>
      <c r="DW181" s="87">
        <v>0</v>
      </c>
      <c r="DX181" s="87">
        <v>0</v>
      </c>
      <c r="DY181" s="87">
        <f>DU181+DV181+DW181+DX181</f>
        <v>0</v>
      </c>
      <c r="EA181" s="87">
        <v>0</v>
      </c>
      <c r="EB181" s="87">
        <v>0</v>
      </c>
      <c r="EC181" s="87">
        <v>0</v>
      </c>
      <c r="ED181" s="87">
        <v>0</v>
      </c>
      <c r="EE181" s="87">
        <f>EA181+EB181+EC181+ED181</f>
        <v>0</v>
      </c>
      <c r="EG181" s="87">
        <v>0</v>
      </c>
      <c r="EH181" s="87">
        <v>0</v>
      </c>
      <c r="EI181" s="87">
        <v>0</v>
      </c>
      <c r="EJ181" s="87">
        <v>0</v>
      </c>
      <c r="EK181" s="87">
        <f>EG181+EH181+EI181+EJ181</f>
        <v>0</v>
      </c>
      <c r="FG181" s="87">
        <f>BK181</f>
        <v>-64.400000000000006</v>
      </c>
      <c r="FH181" s="87">
        <f>BQ181</f>
        <v>-81</v>
      </c>
      <c r="FI181" s="87">
        <f>BW181</f>
        <v>-83.2</v>
      </c>
      <c r="FJ181" s="87">
        <f>CC181</f>
        <v>-93.8</v>
      </c>
      <c r="FK181" s="87">
        <f>CI181</f>
        <v>-95.8</v>
      </c>
      <c r="FL181" s="87">
        <f>CO181</f>
        <v>0</v>
      </c>
      <c r="FM181" s="87">
        <f>CU181</f>
        <v>0</v>
      </c>
      <c r="FN181" s="87">
        <f>DA181</f>
        <v>0</v>
      </c>
      <c r="FO181" s="87">
        <f>DG181</f>
        <v>-213.7</v>
      </c>
      <c r="FP181" s="87">
        <f>DM181</f>
        <v>0</v>
      </c>
      <c r="FQ181" s="87">
        <f>DS181</f>
        <v>0</v>
      </c>
      <c r="FR181" s="87">
        <f>DY181</f>
        <v>0</v>
      </c>
      <c r="FS181" s="250">
        <f>EE181</f>
        <v>0</v>
      </c>
      <c r="FT181" s="250">
        <f>EK181</f>
        <v>0</v>
      </c>
      <c r="FU181" s="112">
        <v>0</v>
      </c>
      <c r="FV181" s="112">
        <v>0</v>
      </c>
      <c r="FW181" s="112">
        <v>0</v>
      </c>
      <c r="FX181" s="112">
        <v>0</v>
      </c>
    </row>
    <row r="182" spans="2:180" x14ac:dyDescent="0.25">
      <c r="B182" s="200"/>
      <c r="D182" s="74"/>
      <c r="E182" s="114"/>
      <c r="F182" s="114"/>
      <c r="H182" s="196"/>
      <c r="J182" s="74"/>
      <c r="K182" s="196"/>
      <c r="L182" s="196"/>
      <c r="M182" s="196"/>
      <c r="N182" s="196"/>
      <c r="O182" s="87"/>
      <c r="P182" s="74"/>
      <c r="Q182" s="196"/>
      <c r="R182" s="196"/>
      <c r="S182" s="196"/>
      <c r="T182" s="196"/>
      <c r="U182" s="87"/>
      <c r="V182" s="88"/>
      <c r="W182" s="196"/>
      <c r="X182" s="196"/>
      <c r="Y182" s="196"/>
      <c r="Z182" s="196"/>
      <c r="AA182" s="87"/>
    </row>
    <row r="183" spans="2:180" x14ac:dyDescent="0.25">
      <c r="B183" s="200"/>
      <c r="D183" s="74"/>
      <c r="E183" s="114"/>
      <c r="F183" s="114"/>
      <c r="H183" s="196"/>
      <c r="J183" s="74"/>
      <c r="K183" s="196"/>
      <c r="L183" s="196"/>
      <c r="M183" s="196"/>
      <c r="N183" s="196"/>
      <c r="O183" s="87"/>
      <c r="P183" s="74"/>
      <c r="Q183" s="196"/>
      <c r="R183" s="196"/>
      <c r="S183" s="196"/>
      <c r="T183" s="196"/>
      <c r="U183" s="87"/>
      <c r="V183" s="88"/>
      <c r="W183" s="196"/>
      <c r="X183" s="196"/>
      <c r="Y183" s="196"/>
      <c r="Z183" s="196"/>
      <c r="AA183" s="87"/>
    </row>
    <row r="184" spans="2:180" x14ac:dyDescent="0.25">
      <c r="B184" s="200"/>
      <c r="D184" s="74"/>
      <c r="E184" s="114"/>
      <c r="F184" s="114"/>
      <c r="H184" s="196"/>
      <c r="J184" s="74"/>
      <c r="K184" s="196"/>
      <c r="L184" s="196"/>
      <c r="M184" s="196"/>
      <c r="N184" s="196"/>
      <c r="O184" s="87"/>
      <c r="P184" s="74"/>
      <c r="Q184" s="196"/>
      <c r="R184" s="196"/>
      <c r="S184" s="196"/>
      <c r="T184" s="196"/>
      <c r="U184" s="87"/>
      <c r="V184" s="88"/>
      <c r="W184" s="196"/>
      <c r="X184" s="196"/>
      <c r="Y184" s="196"/>
      <c r="Z184" s="196"/>
      <c r="AA184" s="87"/>
    </row>
    <row r="185" spans="2:180" x14ac:dyDescent="0.25">
      <c r="B185" s="127" t="s">
        <v>200</v>
      </c>
      <c r="D185" s="74"/>
      <c r="E185" s="114"/>
      <c r="F185" s="114"/>
      <c r="H185" s="196"/>
      <c r="J185" s="74"/>
      <c r="K185" s="196"/>
      <c r="L185" s="196"/>
      <c r="M185" s="196"/>
      <c r="N185" s="196"/>
      <c r="O185" s="87"/>
      <c r="P185" s="74"/>
      <c r="Q185" s="196"/>
      <c r="R185" s="196"/>
      <c r="S185" s="196"/>
      <c r="T185" s="196"/>
      <c r="U185" s="87"/>
      <c r="V185" s="88"/>
      <c r="W185" s="196"/>
      <c r="X185" s="196"/>
      <c r="Y185" s="196"/>
      <c r="Z185" s="196"/>
      <c r="AA185" s="87"/>
    </row>
    <row r="186" spans="2:180" x14ac:dyDescent="0.25">
      <c r="B186" s="200"/>
      <c r="D186" s="74"/>
      <c r="E186" s="188"/>
      <c r="F186" s="188"/>
      <c r="G186" s="188"/>
      <c r="H186" s="188"/>
      <c r="I186" s="188"/>
      <c r="J186" s="74"/>
      <c r="K186" s="204"/>
      <c r="L186" s="188"/>
      <c r="M186" s="188"/>
      <c r="N186" s="188"/>
      <c r="O186" s="188"/>
      <c r="P186" s="125"/>
      <c r="Q186" s="204"/>
      <c r="R186" s="188"/>
      <c r="S186" s="204"/>
      <c r="T186" s="188"/>
      <c r="U186" s="196"/>
    </row>
    <row r="187" spans="2:180" x14ac:dyDescent="0.25">
      <c r="B187" s="200" t="s">
        <v>203</v>
      </c>
      <c r="D187" s="74"/>
      <c r="E187" s="196"/>
      <c r="F187" s="196"/>
      <c r="G187" s="196"/>
      <c r="H187" s="196">
        <f>I187-G187-F187-E187</f>
        <v>27998</v>
      </c>
      <c r="I187" s="196">
        <v>27998</v>
      </c>
      <c r="J187" s="74"/>
      <c r="K187" s="196"/>
      <c r="L187" s="196"/>
      <c r="M187" s="196"/>
      <c r="N187" s="196">
        <f>O187-M187-L187-K187</f>
        <v>38429</v>
      </c>
      <c r="O187" s="196">
        <v>38429</v>
      </c>
      <c r="P187" s="125"/>
      <c r="Q187" s="196"/>
      <c r="R187" s="196"/>
      <c r="S187" s="196"/>
      <c r="T187" s="196">
        <f>U187-S187-R187-Q187</f>
        <v>49634</v>
      </c>
      <c r="U187" s="196">
        <v>49634</v>
      </c>
      <c r="W187" s="196">
        <v>10260</v>
      </c>
      <c r="X187" s="196">
        <v>8170</v>
      </c>
      <c r="Y187" s="196">
        <v>9527</v>
      </c>
      <c r="Z187" s="196">
        <f>AA187-Y187-X187-W187</f>
        <v>50208</v>
      </c>
      <c r="AA187" s="196">
        <v>78165</v>
      </c>
      <c r="AC187" s="196">
        <v>4203</v>
      </c>
      <c r="AD187" s="196">
        <v>6372</v>
      </c>
      <c r="AE187" s="196">
        <v>7059</v>
      </c>
      <c r="AF187" s="196">
        <f>AG187-AE187-AD187-AC187</f>
        <v>54863</v>
      </c>
      <c r="AG187" s="196">
        <v>72497</v>
      </c>
      <c r="AH187" s="188">
        <f>AG187/(Financials!Z236/2+Financials!AF236/2)</f>
        <v>6.0900866088154502E-2</v>
      </c>
      <c r="AI187" s="196">
        <f>AI190+Financials!AI30</f>
        <v>11893.257365103205</v>
      </c>
      <c r="AJ187" s="196">
        <f>AJ190+Financials!AJ30</f>
        <v>12972.846105810262</v>
      </c>
      <c r="AK187" s="196">
        <f>AK190+Financials!AK30</f>
        <v>10638.471429852385</v>
      </c>
      <c r="AL187" s="196">
        <f>AL190+Financials!AL30</f>
        <v>10301.73733733846</v>
      </c>
      <c r="AM187" s="196">
        <f>AL187+AK187+AJ187+AI187</f>
        <v>45806.312238104314</v>
      </c>
      <c r="AN187" s="188">
        <f>AM187/(Financials!AF236/2+Financials!AL236/2)</f>
        <v>4.2684814442722464E-2</v>
      </c>
      <c r="AO187" s="196">
        <f>AO190+Financials!AO30</f>
        <v>10797.929768090922</v>
      </c>
      <c r="AP187" s="196">
        <f>AP190+Financials!AP30</f>
        <v>11131.973443496187</v>
      </c>
      <c r="AQ187" s="196">
        <f>AQ190+Financials!AQ30</f>
        <v>12558.437553991742</v>
      </c>
      <c r="AR187" s="196">
        <f>AR190+Financials!AR30</f>
        <v>13190.577789192324</v>
      </c>
      <c r="AS187" s="196">
        <f>AP187+AR187+AO187+AQ187</f>
        <v>47678.918554771168</v>
      </c>
      <c r="AU187" s="196">
        <f>AU190+Financials!AU30</f>
        <v>15698.161089194862</v>
      </c>
      <c r="AV187" s="196">
        <f>AV190+Financials!AV30</f>
        <v>15317.16876551833</v>
      </c>
      <c r="AW187" s="196">
        <f>AW190+Financials!AW30</f>
        <v>15913.435879566254</v>
      </c>
      <c r="AX187" s="196">
        <f>AX190+Financials!AX30</f>
        <v>15745.883297874479</v>
      </c>
      <c r="AY187" s="196">
        <f>AV187+AX187+AU187+AW187</f>
        <v>62674.649032153931</v>
      </c>
      <c r="BA187" s="196">
        <f>BA190+Financials!BA30</f>
        <v>14310.357555683939</v>
      </c>
      <c r="BB187" s="196">
        <f>BB190+Financials!BB30</f>
        <v>14367.15471827243</v>
      </c>
      <c r="BC187" s="196">
        <f>BC190+Financials!BC30</f>
        <v>14462.716655919916</v>
      </c>
      <c r="BD187" s="196">
        <f>BD190+Financials!BD30</f>
        <v>14568.694787332151</v>
      </c>
      <c r="BE187" s="196">
        <f>BB187+BD187+BA187+BC187</f>
        <v>57708.923717208432</v>
      </c>
      <c r="BG187" s="196">
        <f>BG188*BG236</f>
        <v>1.7566525078302657</v>
      </c>
      <c r="BH187" s="196">
        <f>BH188*BH236</f>
        <v>1.571326211009568</v>
      </c>
      <c r="BI187" s="196">
        <f>BI188*BI236</f>
        <v>2.0340498562663578</v>
      </c>
      <c r="BJ187" s="196">
        <f>BK187-SUM(BG187:BI187)</f>
        <v>3.8379714248938077</v>
      </c>
      <c r="BK187" s="275">
        <v>9.1999999999999993</v>
      </c>
      <c r="BM187" s="196">
        <f>BM188*BM236</f>
        <v>3.5929375904112422</v>
      </c>
      <c r="BN187" s="196">
        <f>BN188*BN236</f>
        <v>3.1627918991527175</v>
      </c>
      <c r="BO187" s="196">
        <f>BO188*BO236</f>
        <v>3.2134325273816908</v>
      </c>
      <c r="BP187" s="196">
        <f>BQ187-SUM(BM187:BO187)</f>
        <v>4.530837983054349</v>
      </c>
      <c r="BQ187" s="275">
        <v>14.5</v>
      </c>
      <c r="BS187" s="196">
        <f>BS188*BS236</f>
        <v>3.4523854845686137</v>
      </c>
      <c r="BT187" s="196">
        <f>BT188*BT236</f>
        <v>3.1001266093211051</v>
      </c>
      <c r="BU187" s="196">
        <f>BU188*BU236</f>
        <v>3.3311139987691187</v>
      </c>
      <c r="BV187" s="196">
        <f>BV188*BV236</f>
        <v>4.3264973429333278</v>
      </c>
      <c r="BW187" s="196">
        <f>SUM(BS187:BV187)</f>
        <v>14.210123435592166</v>
      </c>
      <c r="BY187" s="196">
        <f>BY188*BY236</f>
        <v>2.5638481946585845</v>
      </c>
      <c r="BZ187" s="196">
        <f>BZ188*BZ236</f>
        <v>2.3932480409672867</v>
      </c>
      <c r="CA187" s="196">
        <f>CA188*CA236</f>
        <v>3.6195065382574665</v>
      </c>
      <c r="CB187" s="196">
        <f>CB188*CB236</f>
        <v>5.1151808379114536</v>
      </c>
      <c r="CC187" s="196">
        <f>SUM(BY187:CB187)</f>
        <v>13.69178361179479</v>
      </c>
      <c r="CE187" s="196">
        <f>CE188*CE236</f>
        <v>3.6165244525410856</v>
      </c>
      <c r="CF187" s="196">
        <f>CF188*CF236</f>
        <v>2.3784618659568975</v>
      </c>
      <c r="CG187" s="196">
        <f>CG188*CG236</f>
        <v>2.5814922018138389</v>
      </c>
      <c r="CH187" s="196">
        <f>CH188*CH236</f>
        <v>5.6475</v>
      </c>
      <c r="CI187" s="196">
        <f>SUM(CE187:CH187)</f>
        <v>14.223978520311821</v>
      </c>
      <c r="CK187" s="196">
        <f>CK188*CK236</f>
        <v>4.9296000000000006</v>
      </c>
      <c r="CL187" s="196">
        <f>CL188*CL236</f>
        <v>5.8142499999999995</v>
      </c>
      <c r="CM187" s="196">
        <f>CM188*CM236</f>
        <v>5.508</v>
      </c>
      <c r="CN187" s="196">
        <f>CN188*CN236</f>
        <v>7.8027499999999996</v>
      </c>
      <c r="CO187" s="196">
        <f>SUM(CK187:CN187)</f>
        <v>24.054600000000001</v>
      </c>
      <c r="CQ187" s="196">
        <f>CQ188*CQ236</f>
        <v>4.5060000000000002</v>
      </c>
      <c r="CR187" s="196">
        <f>CR188*CR236</f>
        <v>4.1527500000000002</v>
      </c>
      <c r="CS187" s="196">
        <f>CS188*CS236</f>
        <v>3.9652499999999997</v>
      </c>
      <c r="CT187" s="196">
        <f>CT188*CT236</f>
        <v>8.8307500000000001</v>
      </c>
      <c r="CU187" s="196">
        <f>SUM(CQ187:CT187)</f>
        <v>21.454750000000001</v>
      </c>
      <c r="CW187" s="196">
        <f>CW188*CW236</f>
        <v>10.8948</v>
      </c>
      <c r="CX187" s="196">
        <f>CX188*CX236</f>
        <v>13.9964</v>
      </c>
      <c r="CY187" s="196">
        <f>CY188*CY236</f>
        <v>14.125999999999999</v>
      </c>
      <c r="CZ187" s="196">
        <f>CZ188*CZ236</f>
        <v>24.197599999999998</v>
      </c>
      <c r="DA187" s="196">
        <f>SUM(CW187:CZ187)</f>
        <v>63.214799999999997</v>
      </c>
      <c r="DC187" s="196">
        <f>DC188*DC236</f>
        <v>12.975200000000001</v>
      </c>
      <c r="DD187" s="196">
        <f>DD188*DD236</f>
        <v>20.746400000000001</v>
      </c>
      <c r="DE187" s="196">
        <f>DE188*DE236</f>
        <v>17.274799999999999</v>
      </c>
      <c r="DF187" s="196">
        <f>DF188*DF236</f>
        <v>27.807200000000002</v>
      </c>
      <c r="DG187" s="196">
        <f>SUM(DC187:DF187)</f>
        <v>78.803600000000003</v>
      </c>
      <c r="DI187" s="196">
        <f>DI188*DI236</f>
        <v>17.296400000000002</v>
      </c>
      <c r="DJ187" s="196">
        <f>DJ188*DJ236</f>
        <v>16.385999999999999</v>
      </c>
      <c r="DK187" s="196">
        <f>DK188*DK236</f>
        <v>12.6112</v>
      </c>
      <c r="DL187" s="196">
        <f>DL188*DL236</f>
        <v>63.234209999999997</v>
      </c>
      <c r="DM187" s="196">
        <f>SUM(DI187:DL187)</f>
        <v>109.52780999999999</v>
      </c>
      <c r="DO187" s="196">
        <f>DO188*DO236</f>
        <v>66.477000000000004</v>
      </c>
      <c r="DP187" s="196">
        <f>DP188*DP236</f>
        <v>69.754300000000001</v>
      </c>
      <c r="DQ187" s="196">
        <f>DQ188*DP236</f>
        <v>76.095600000000005</v>
      </c>
      <c r="DR187" s="196">
        <f>DR188*DQ236</f>
        <v>59.706000000000003</v>
      </c>
      <c r="DS187" s="196">
        <f>SUM(DO187:DR187)</f>
        <v>272.03290000000004</v>
      </c>
      <c r="DT187" s="196"/>
      <c r="DU187" s="196">
        <f>DU188*DR236</f>
        <v>84.056399999999996</v>
      </c>
      <c r="DV187" s="196">
        <f>DV188*DU236</f>
        <v>61.209600000000002</v>
      </c>
      <c r="DW187" s="196">
        <f>DW188*DV236</f>
        <v>57.763200000000005</v>
      </c>
      <c r="DX187" s="196">
        <f>DX188*DW236</f>
        <v>59.751600000000003</v>
      </c>
      <c r="DY187" s="196">
        <f>SUM(DU187:DX187)</f>
        <v>262.7808</v>
      </c>
      <c r="EA187" s="196">
        <f>EA188*DX236</f>
        <v>152.83080000000001</v>
      </c>
      <c r="EB187" s="196">
        <f>EB188*EA236</f>
        <v>109.1808</v>
      </c>
      <c r="EC187" s="196">
        <f>EC188*EB236</f>
        <v>86.921999999999997</v>
      </c>
      <c r="ED187" s="196">
        <f>ED188*EC236</f>
        <v>61.518000000000001</v>
      </c>
      <c r="EE187" s="196">
        <f>SUM(EA187:ED187)</f>
        <v>410.4516000000001</v>
      </c>
      <c r="EG187" s="196">
        <f>EG188*ED236</f>
        <v>154.99199999999999</v>
      </c>
      <c r="EH187" s="196">
        <f>EH188*EG236</f>
        <v>95.673720000000003</v>
      </c>
      <c r="EI187" s="196">
        <f>EI188*EH236</f>
        <v>45.29567089485959</v>
      </c>
      <c r="EJ187" s="196">
        <f>EJ188*EI236</f>
        <v>25.67689337129249</v>
      </c>
      <c r="EK187" s="196">
        <f>SUM(EG187:EJ187)</f>
        <v>321.63828426615203</v>
      </c>
      <c r="FG187" s="77">
        <f>BK187</f>
        <v>9.1999999999999993</v>
      </c>
      <c r="FH187" s="77">
        <f>BQ187</f>
        <v>14.5</v>
      </c>
      <c r="FI187" s="77">
        <f>BW187</f>
        <v>14.210123435592166</v>
      </c>
      <c r="FJ187" s="77">
        <f>CC187</f>
        <v>13.69178361179479</v>
      </c>
      <c r="FK187" s="77">
        <f>CI187</f>
        <v>14.223978520311821</v>
      </c>
      <c r="FL187" s="77">
        <f>CO187</f>
        <v>24.054600000000001</v>
      </c>
      <c r="FM187" s="77">
        <f>CU187</f>
        <v>21.454750000000001</v>
      </c>
      <c r="FN187" s="77">
        <f>DA187</f>
        <v>63.214799999999997</v>
      </c>
      <c r="FO187" s="77">
        <f>DG187</f>
        <v>78.803600000000003</v>
      </c>
      <c r="FP187" s="77">
        <f>DM187</f>
        <v>109.52780999999999</v>
      </c>
      <c r="FQ187" s="77">
        <f>DS187</f>
        <v>272.03290000000004</v>
      </c>
      <c r="FR187" s="77">
        <f>DY187</f>
        <v>262.7808</v>
      </c>
      <c r="FS187" s="77">
        <f>EE187</f>
        <v>410.4516000000001</v>
      </c>
      <c r="FT187" s="77">
        <f>EK187</f>
        <v>321.63828426615203</v>
      </c>
      <c r="FU187" s="77">
        <f>FT236*FU188</f>
        <v>269.21527897686076</v>
      </c>
      <c r="FV187" s="77">
        <f>FU236*FV188</f>
        <v>458.1025654277675</v>
      </c>
      <c r="FW187" s="77">
        <f>FV236*FW188</f>
        <v>959.24878583886812</v>
      </c>
      <c r="FX187" s="77">
        <f ca="1">FW236*FX188</f>
        <v>1033.0196185366156</v>
      </c>
    </row>
    <row r="188" spans="2:180" x14ac:dyDescent="0.25">
      <c r="B188" s="200" t="s">
        <v>201</v>
      </c>
      <c r="D188" s="74"/>
      <c r="E188" s="196"/>
      <c r="F188" s="196"/>
      <c r="G188" s="196"/>
      <c r="H188" s="196"/>
      <c r="I188" s="196"/>
      <c r="J188" s="74"/>
      <c r="K188" s="196"/>
      <c r="L188" s="196"/>
      <c r="M188" s="196"/>
      <c r="N188" s="196"/>
      <c r="O188" s="196"/>
      <c r="P188" s="125"/>
      <c r="Q188" s="196"/>
      <c r="R188" s="196"/>
      <c r="S188" s="196"/>
      <c r="T188" s="196"/>
      <c r="U188" s="196"/>
      <c r="W188" s="204">
        <f>W187/Financials!T236</f>
        <v>6.1961872311437523E-3</v>
      </c>
      <c r="X188" s="204">
        <f>X187/Financials!W236</f>
        <v>5.5836064767101415E-3</v>
      </c>
      <c r="Y188" s="204">
        <f>Y187/Financials!X236</f>
        <v>4.1435088435013197E-3</v>
      </c>
      <c r="Z188" s="204">
        <f>Z187/Financials!Y236</f>
        <v>2.0533062983518504E-2</v>
      </c>
      <c r="AA188" s="204">
        <f>AA187/AVERAGE(Financials!W236,Financials!T236,Financials!X236,Financials!Y236,Financials!Z236)</f>
        <v>4.278235671262922E-2</v>
      </c>
      <c r="AC188" s="204">
        <f>AC187/Financials!Z236</f>
        <v>3.3051911081473E-3</v>
      </c>
      <c r="AD188" s="204">
        <f>AD187/Financials!AC236</f>
        <v>4.5607324656585149E-3</v>
      </c>
      <c r="AE188" s="204">
        <f>AE187/Financials!AD236</f>
        <v>5.1870162201722685E-3</v>
      </c>
      <c r="AF188" s="204">
        <f>AF187/Financials!AE236</f>
        <v>4.1784685828484998E-2</v>
      </c>
      <c r="AI188" s="204">
        <f>AI187/Financials!AF236</f>
        <v>1.0722528782513275E-2</v>
      </c>
      <c r="AJ188" s="204">
        <f>AJ187/Financials!AI236</f>
        <v>1.1270837009070523E-2</v>
      </c>
      <c r="AK188" s="204">
        <f>AK187/Financials!AJ236</f>
        <v>9.736305373906233E-3</v>
      </c>
      <c r="AL188" s="204">
        <f>AL187/Financials!AK236</f>
        <v>1.0119306480114948E-2</v>
      </c>
      <c r="AO188" s="204">
        <f>AO187/Financials!AL236</f>
        <v>1.0411918308713672E-2</v>
      </c>
      <c r="AP188" s="204">
        <f>AP187/Financials!AO236</f>
        <v>1.0238180303040731E-2</v>
      </c>
      <c r="AQ188" s="204">
        <f>AQ187/Financials!AP236</f>
        <v>1.0565739150253863E-2</v>
      </c>
      <c r="AR188" s="204">
        <f>AR187/Financials!AQ236</f>
        <v>8.5210450834575738E-3</v>
      </c>
      <c r="AU188" s="204">
        <f>AU187/Financials!AR236</f>
        <v>8.0510243893556384E-3</v>
      </c>
      <c r="AV188" s="204">
        <f>AV187/Financials!AU236</f>
        <v>5.6740762235667087E-3</v>
      </c>
      <c r="AW188" s="204">
        <f>AW187/Financials!AV236</f>
        <v>5.8033754711958917E-3</v>
      </c>
      <c r="AX188" s="204">
        <f>AX187/Financials!AW236</f>
        <v>5.5480368196590959E-3</v>
      </c>
      <c r="BA188" s="204">
        <f>BA187/Financials!AX236</f>
        <v>5.2384353011508669E-3</v>
      </c>
      <c r="BB188" s="204">
        <f>BB187/Financials!BA236</f>
        <v>4.8646152631788547E-3</v>
      </c>
      <c r="BC188" s="204">
        <f>BC187/Financials!BB236</f>
        <v>7.8100856765956992E-3</v>
      </c>
      <c r="BD188" s="204">
        <f>BD187/Financials!BC236</f>
        <v>2.8461152589146191E-3</v>
      </c>
      <c r="BG188" s="204">
        <f>$BK$188/4</f>
        <v>9.8682799159050937E-4</v>
      </c>
      <c r="BH188" s="204">
        <f>$BK$188/4</f>
        <v>9.8682799159050937E-4</v>
      </c>
      <c r="BI188" s="204">
        <f>$BK$188/4</f>
        <v>9.8682799159050937E-4</v>
      </c>
      <c r="BJ188" s="101">
        <f>BJ187/BJ236</f>
        <v>1.646703318699879E-3</v>
      </c>
      <c r="BK188" s="101">
        <f>BK187/BK236</f>
        <v>3.9473119663620375E-3</v>
      </c>
      <c r="BM188" s="204">
        <f>$BQ$188/4</f>
        <v>1.4982434387270098E-3</v>
      </c>
      <c r="BN188" s="204">
        <f>$BQ$188/4</f>
        <v>1.4982434387270098E-3</v>
      </c>
      <c r="BO188" s="204">
        <f>$BQ$188/4</f>
        <v>1.4982434387270098E-3</v>
      </c>
      <c r="BP188" s="101">
        <f>BP187/BP236</f>
        <v>1.8726340082886336E-3</v>
      </c>
      <c r="BQ188" s="101">
        <f>BQ187/BQ236</f>
        <v>5.9929737549080393E-3</v>
      </c>
      <c r="BS188" s="126">
        <f>AVERAGE(BG188,BM188)</f>
        <v>1.2425357151587596E-3</v>
      </c>
      <c r="BT188" s="126">
        <f>AVERAGE(BH188,BN188)</f>
        <v>1.2425357151587596E-3</v>
      </c>
      <c r="BU188" s="126">
        <f>AVERAGE(BI188,BO188)</f>
        <v>1.2425357151587596E-3</v>
      </c>
      <c r="BV188" s="126">
        <f>AVERAGE(BJ188,BP188)</f>
        <v>1.7596686634942563E-3</v>
      </c>
      <c r="BW188" s="101">
        <f>BW187/BW236</f>
        <v>5.7795271629691169E-3</v>
      </c>
      <c r="BY188" s="126">
        <f>BS188</f>
        <v>1.2425357151587596E-3</v>
      </c>
      <c r="BZ188" s="126">
        <f>BT188</f>
        <v>1.2425357151587596E-3</v>
      </c>
      <c r="CA188" s="126">
        <f>BU188</f>
        <v>1.2425357151587596E-3</v>
      </c>
      <c r="CB188" s="126">
        <f>BV188</f>
        <v>1.7596686634942563E-3</v>
      </c>
      <c r="CC188" s="101">
        <f>CC187/CC236</f>
        <v>4.710097909042206E-3</v>
      </c>
      <c r="CE188" s="126">
        <f>BY188</f>
        <v>1.2425357151587596E-3</v>
      </c>
      <c r="CF188" s="126">
        <f>BZ188</f>
        <v>1.2425357151587596E-3</v>
      </c>
      <c r="CG188" s="126">
        <f>CA188</f>
        <v>1.2425357151587596E-3</v>
      </c>
      <c r="CH188" s="126">
        <v>2.5000000000000001E-3</v>
      </c>
      <c r="CI188" s="101">
        <f>CI187/CI236</f>
        <v>6.2965819036351579E-3</v>
      </c>
      <c r="CK188" s="126">
        <v>2E-3</v>
      </c>
      <c r="CL188" s="126">
        <v>2.5000000000000001E-3</v>
      </c>
      <c r="CM188" s="126">
        <v>2.5000000000000001E-3</v>
      </c>
      <c r="CN188" s="126">
        <v>2.5000000000000001E-3</v>
      </c>
      <c r="CO188" s="101">
        <f>CO187/CO236</f>
        <v>7.7070904488802027E-3</v>
      </c>
      <c r="CQ188" s="126">
        <v>2E-3</v>
      </c>
      <c r="CR188" s="126">
        <v>2.5000000000000001E-3</v>
      </c>
      <c r="CS188" s="126">
        <v>2.5000000000000001E-3</v>
      </c>
      <c r="CT188" s="126">
        <v>2.5000000000000001E-3</v>
      </c>
      <c r="CU188" s="101">
        <f>CU187/CU236</f>
        <v>6.0738753786484722E-3</v>
      </c>
      <c r="CW188" s="126">
        <v>4.0000000000000001E-3</v>
      </c>
      <c r="CX188" s="126">
        <v>4.0000000000000001E-3</v>
      </c>
      <c r="CY188" s="126">
        <v>4.0000000000000001E-3</v>
      </c>
      <c r="CZ188" s="126">
        <v>4.0000000000000001E-3</v>
      </c>
      <c r="DA188" s="101">
        <f>DA187/DA236</f>
        <v>1.044976361292029E-2</v>
      </c>
      <c r="DC188" s="126">
        <v>4.0000000000000001E-3</v>
      </c>
      <c r="DD188" s="126">
        <v>4.0000000000000001E-3</v>
      </c>
      <c r="DE188" s="126">
        <v>4.0000000000000001E-3</v>
      </c>
      <c r="DF188" s="126">
        <v>4.0000000000000001E-3</v>
      </c>
      <c r="DG188" s="101">
        <f>DG187/DG236</f>
        <v>1.1335711614258177E-2</v>
      </c>
      <c r="DI188" s="126">
        <v>4.0000000000000001E-3</v>
      </c>
      <c r="DJ188" s="126">
        <v>4.0000000000000001E-3</v>
      </c>
      <c r="DK188" s="126">
        <v>4.0000000000000001E-3</v>
      </c>
      <c r="DL188" s="126">
        <v>8.6999999999999994E-3</v>
      </c>
      <c r="DM188" s="101">
        <f>DM187/DF236</f>
        <v>1.5755316608648116E-2</v>
      </c>
      <c r="DO188" s="126">
        <v>0.01</v>
      </c>
      <c r="DP188" s="126">
        <v>1.0999999999999999E-2</v>
      </c>
      <c r="DQ188" s="126">
        <v>1.2E-2</v>
      </c>
      <c r="DR188" s="126">
        <v>1.2E-2</v>
      </c>
      <c r="DS188" s="101">
        <f>DS187/DL236</f>
        <v>3.7427307623515822E-2</v>
      </c>
      <c r="DT188" s="126"/>
      <c r="DU188" s="126">
        <v>1.2E-2</v>
      </c>
      <c r="DV188" s="126">
        <v>1.2E-2</v>
      </c>
      <c r="DW188" s="126">
        <v>1.2E-2</v>
      </c>
      <c r="DX188" s="126">
        <v>1.2E-2</v>
      </c>
      <c r="DY188" s="101">
        <f>DY187/DR236</f>
        <v>3.7514925692749154E-2</v>
      </c>
      <c r="EA188" s="126">
        <v>1.2E-2</v>
      </c>
      <c r="EB188" s="126">
        <v>1.2E-2</v>
      </c>
      <c r="EC188" s="126">
        <v>1.2E-2</v>
      </c>
      <c r="ED188" s="126">
        <v>1.2E-2</v>
      </c>
      <c r="EE188" s="101">
        <f>EE187/DX236</f>
        <v>3.2227922643864988E-2</v>
      </c>
      <c r="EG188" s="126">
        <v>1.2E-2</v>
      </c>
      <c r="EH188" s="126">
        <v>1.2E-2</v>
      </c>
      <c r="EI188" s="126">
        <v>1.2E-2</v>
      </c>
      <c r="EJ188" s="126">
        <v>1.2E-2</v>
      </c>
      <c r="EK188" s="101">
        <f>EK187/ED236</f>
        <v>2.4902313740024159E-2</v>
      </c>
      <c r="FG188" s="101">
        <f t="shared" ref="FG188:FP188" si="180">FG187/FG236</f>
        <v>3.9473119663620375E-3</v>
      </c>
      <c r="FH188" s="101">
        <f t="shared" si="180"/>
        <v>5.9929737549080393E-3</v>
      </c>
      <c r="FI188" s="101">
        <f t="shared" si="180"/>
        <v>5.7795271629691169E-3</v>
      </c>
      <c r="FJ188" s="101">
        <f t="shared" si="180"/>
        <v>4.710097909042206E-3</v>
      </c>
      <c r="FK188" s="101">
        <f t="shared" si="180"/>
        <v>6.2965819036351579E-3</v>
      </c>
      <c r="FL188" s="101">
        <f t="shared" si="180"/>
        <v>7.7070904488802027E-3</v>
      </c>
      <c r="FM188" s="101">
        <f t="shared" si="180"/>
        <v>6.0738753786484722E-3</v>
      </c>
      <c r="FN188" s="101">
        <f t="shared" si="180"/>
        <v>1.044976361292029E-2</v>
      </c>
      <c r="FO188" s="101">
        <f t="shared" si="180"/>
        <v>1.1335711614258177E-2</v>
      </c>
      <c r="FP188" s="101">
        <f t="shared" si="180"/>
        <v>1.506924727928126E-2</v>
      </c>
      <c r="FQ188" s="101">
        <f>FQ187/FQ236</f>
        <v>3.8835767413308214E-2</v>
      </c>
      <c r="FR188" s="101">
        <f>FR187/FR236</f>
        <v>2.0633076578804796E-2</v>
      </c>
      <c r="FS188" s="101">
        <f>FS187/FS236</f>
        <v>3.1778538247135342E-2</v>
      </c>
      <c r="FT188" s="101">
        <f>FT187/FT236</f>
        <v>4.7789008928248396E-2</v>
      </c>
      <c r="FU188" s="100">
        <v>0.04</v>
      </c>
      <c r="FV188" s="100">
        <v>0.04</v>
      </c>
      <c r="FW188" s="100">
        <v>0.04</v>
      </c>
      <c r="FX188" s="100">
        <v>0.04</v>
      </c>
    </row>
    <row r="189" spans="2:180" x14ac:dyDescent="0.25">
      <c r="B189" s="200"/>
      <c r="D189" s="74"/>
      <c r="E189" s="196"/>
      <c r="F189" s="196"/>
      <c r="G189" s="196"/>
      <c r="H189" s="196"/>
      <c r="I189" s="196"/>
      <c r="J189" s="74"/>
      <c r="K189" s="196"/>
      <c r="L189" s="196"/>
      <c r="M189" s="196"/>
      <c r="N189" s="196"/>
      <c r="O189" s="196"/>
      <c r="P189" s="125"/>
      <c r="Q189" s="196"/>
      <c r="R189" s="196"/>
      <c r="S189" s="196"/>
      <c r="T189" s="196"/>
      <c r="U189" s="196"/>
      <c r="W189" s="196"/>
      <c r="X189" s="196"/>
      <c r="Y189" s="196"/>
      <c r="Z189" s="196"/>
      <c r="AA189" s="196"/>
      <c r="AC189" s="196"/>
      <c r="AD189" s="196"/>
      <c r="AE189" s="196"/>
      <c r="AF189" s="196"/>
      <c r="AG189" s="196"/>
      <c r="AH189" s="188"/>
      <c r="AI189" s="196"/>
      <c r="AJ189" s="196"/>
      <c r="AK189" s="196"/>
      <c r="AL189" s="196"/>
      <c r="AM189" s="196"/>
      <c r="AN189" s="188"/>
      <c r="AO189" s="196"/>
      <c r="AP189" s="196"/>
      <c r="AQ189" s="196"/>
      <c r="AR189" s="196"/>
      <c r="AS189" s="196"/>
      <c r="AU189" s="196"/>
      <c r="AV189" s="196"/>
      <c r="AW189" s="196"/>
      <c r="AX189" s="196"/>
      <c r="AY189" s="196"/>
      <c r="BA189" s="196"/>
      <c r="BB189" s="196"/>
      <c r="BC189" s="196"/>
      <c r="BD189" s="196"/>
      <c r="BE189" s="196"/>
      <c r="BG189" s="196"/>
      <c r="BH189" s="196"/>
      <c r="BI189" s="196"/>
      <c r="BJ189" s="196"/>
      <c r="BK189" s="196"/>
      <c r="BM189" s="196"/>
      <c r="BN189" s="196"/>
      <c r="BO189" s="196"/>
      <c r="BP189" s="196"/>
      <c r="BQ189" s="196"/>
      <c r="BS189" s="196"/>
      <c r="BT189" s="196"/>
      <c r="BU189" s="196"/>
      <c r="BV189" s="196"/>
      <c r="BW189" s="196"/>
      <c r="BY189" s="196"/>
      <c r="BZ189" s="196"/>
      <c r="CA189" s="196"/>
      <c r="CB189" s="196"/>
      <c r="CC189" s="196"/>
      <c r="CE189" s="196"/>
      <c r="CF189" s="196"/>
      <c r="CG189" s="196"/>
      <c r="CH189" s="196"/>
      <c r="CI189" s="196"/>
      <c r="CK189" s="196"/>
      <c r="CL189" s="196"/>
      <c r="CM189" s="196"/>
      <c r="CN189" s="196"/>
      <c r="CO189" s="196"/>
      <c r="CQ189" s="196"/>
      <c r="CR189" s="196"/>
      <c r="CS189" s="196"/>
      <c r="CT189" s="196"/>
      <c r="CU189" s="196"/>
      <c r="CW189" s="196"/>
      <c r="CX189" s="196"/>
      <c r="CY189" s="196"/>
      <c r="CZ189" s="196"/>
      <c r="DA189" s="196"/>
      <c r="DC189" s="196"/>
      <c r="DD189" s="196"/>
      <c r="DE189" s="196"/>
      <c r="DF189" s="196"/>
      <c r="DG189" s="196"/>
      <c r="DI189" s="196"/>
      <c r="DJ189" s="196"/>
      <c r="DK189" s="196"/>
      <c r="DL189" s="196"/>
      <c r="DM189" s="196"/>
      <c r="DO189" s="196"/>
      <c r="DP189" s="196"/>
      <c r="DQ189" s="196"/>
      <c r="DR189" s="196"/>
      <c r="DS189" s="196"/>
      <c r="DT189" s="196"/>
      <c r="DU189" s="196"/>
      <c r="DV189" s="196"/>
      <c r="DW189" s="196"/>
      <c r="DX189" s="196"/>
      <c r="DY189" s="196"/>
      <c r="EA189" s="196"/>
      <c r="EB189" s="196"/>
      <c r="EC189" s="196"/>
      <c r="ED189" s="196"/>
      <c r="EE189" s="196"/>
      <c r="EG189" s="196"/>
      <c r="EH189" s="196"/>
      <c r="EI189" s="196"/>
      <c r="EJ189" s="196"/>
      <c r="EK189" s="196"/>
      <c r="FJ189" s="196"/>
      <c r="FK189" s="196"/>
      <c r="FL189" s="196"/>
      <c r="FM189" s="196"/>
      <c r="FN189" s="196"/>
    </row>
    <row r="190" spans="2:180" x14ac:dyDescent="0.25">
      <c r="B190" s="200" t="s">
        <v>202</v>
      </c>
      <c r="D190" s="74"/>
      <c r="E190" s="196">
        <f>8457-F190</f>
        <v>4058</v>
      </c>
      <c r="F190" s="196">
        <v>4399</v>
      </c>
      <c r="G190" s="196">
        <v>3051</v>
      </c>
      <c r="H190" s="196">
        <f>I190-G190-F190-E190</f>
        <v>32563</v>
      </c>
      <c r="I190" s="196">
        <v>44071</v>
      </c>
      <c r="J190" s="74"/>
      <c r="K190" s="196">
        <v>4601</v>
      </c>
      <c r="L190" s="196">
        <v>3799</v>
      </c>
      <c r="M190" s="196">
        <v>3911</v>
      </c>
      <c r="N190" s="196">
        <f>O190-M190-L190-K190</f>
        <v>75486</v>
      </c>
      <c r="O190" s="196">
        <v>87797</v>
      </c>
      <c r="P190" s="125"/>
      <c r="Q190" s="196">
        <v>4376</v>
      </c>
      <c r="R190" s="196">
        <v>1888</v>
      </c>
      <c r="S190" s="196">
        <v>365</v>
      </c>
      <c r="T190" s="196">
        <f>U190-S190-R190-Q190</f>
        <v>43859</v>
      </c>
      <c r="U190" s="196">
        <v>50488</v>
      </c>
      <c r="W190" s="196"/>
      <c r="X190" s="96"/>
      <c r="Y190" s="96"/>
      <c r="Z190" s="196">
        <f>AA190-Y190-X190-W190</f>
        <v>44714</v>
      </c>
      <c r="AA190" s="196">
        <v>44714</v>
      </c>
      <c r="AC190" s="196"/>
      <c r="AD190" s="96"/>
      <c r="AE190" s="96"/>
      <c r="AF190" s="196">
        <f>AG190-AE190-AD190-AC190</f>
        <v>49898</v>
      </c>
      <c r="AG190" s="196">
        <v>49898</v>
      </c>
      <c r="AH190" s="188">
        <f>AG190/((Financials!Z248+Financials!Z256)/2+(Financials!AF248+Financials!AF256)/2)</f>
        <v>7.9896498663801593E-2</v>
      </c>
      <c r="AI190" s="196">
        <f>($AH$190/4)*(Financials!AF248+Financials!AF256)</f>
        <v>12924.257365103205</v>
      </c>
      <c r="AJ190" s="196">
        <f>($AH$190/4)*(Financials!AI248+Financials!AI256)</f>
        <v>13210.846105810262</v>
      </c>
      <c r="AK190" s="196">
        <f>($AH$190/4)*(Financials!AJ248+Financials!AJ256)</f>
        <v>13021.471429852385</v>
      </c>
      <c r="AL190" s="196">
        <f>($AH$190/4)*(Financials!AK248+Financials!AK256)</f>
        <v>13186.73733733846</v>
      </c>
      <c r="AM190" s="196">
        <f>AL190+AK190+AJ190+AI190</f>
        <v>52343.312238104314</v>
      </c>
      <c r="AN190" s="188">
        <f>AM190/((Financials!AF248+Financials!AF256)/2+(Financials!AL248+Financials!AL256)/2)</f>
        <v>7.7729550117989252E-2</v>
      </c>
      <c r="AO190" s="196">
        <f>($AN$190/4)*(Financials!AL248+Financials!AL256)</f>
        <v>13597.929768090922</v>
      </c>
      <c r="AP190" s="196">
        <f>($AN$190/4)*(Financials!AO248+Financials!AO256)</f>
        <v>13831.973443496187</v>
      </c>
      <c r="AQ190" s="196">
        <f>($AN$190/4)*(Financials!AP248+Financials!AP256)</f>
        <v>14158.437553991742</v>
      </c>
      <c r="AR190" s="196">
        <f>($AN$190/4)*(Financials!AQ248+Financials!AQ256)</f>
        <v>14290.577789192324</v>
      </c>
      <c r="AS190" s="196">
        <f>AP190+AR190+AO190+AQ190</f>
        <v>55878.918554771168</v>
      </c>
      <c r="AU190" s="196">
        <f>($AN$190/4)*(Financials!AR248+Financials!AR256)</f>
        <v>13798.161089194862</v>
      </c>
      <c r="AV190" s="196">
        <f>($AN$190/4)*(Financials!AU248+Financials!AU256)</f>
        <v>13517.16876551833</v>
      </c>
      <c r="AW190" s="196">
        <f>($AN$190/4)*(Financials!AV248+Financials!AV256)</f>
        <v>13713.435879566254</v>
      </c>
      <c r="AX190" s="196">
        <f>($AN$190/4)*(Financials!AW248+Financials!AW256)</f>
        <v>14245.883297874479</v>
      </c>
      <c r="AY190" s="196">
        <f>AV190+AX190+AU190+AW190</f>
        <v>55274.649032153931</v>
      </c>
      <c r="BA190" s="196">
        <f>($AN$190/4)*(Financials!AX248+Financials!AX256)</f>
        <v>14309.757555683938</v>
      </c>
      <c r="BB190" s="196">
        <f>($AN$190/4)*(Financials!BA248+Financials!BA256)</f>
        <v>14368.054718272429</v>
      </c>
      <c r="BC190" s="196">
        <f>($AN$190/4)*(Financials!BB248+Financials!BB256)</f>
        <v>14465.216655919916</v>
      </c>
      <c r="BD190" s="196">
        <f>($AN$190/4)*(Financials!BC248+Financials!BC256)</f>
        <v>14572.094787332151</v>
      </c>
      <c r="BE190" s="196">
        <f>BB190+BD190+BA190+BC190</f>
        <v>57715.123717208437</v>
      </c>
      <c r="BG190" s="196">
        <f>BG187-BG193</f>
        <v>5.0566525078302655</v>
      </c>
      <c r="BH190" s="196">
        <f>BH187-BH193</f>
        <v>7.571326211009568</v>
      </c>
      <c r="BI190" s="196">
        <f>BI187-BI193</f>
        <v>13.634049856266358</v>
      </c>
      <c r="BJ190" s="196">
        <f>BJ187-BJ193</f>
        <v>7.3379714248938077</v>
      </c>
      <c r="BK190" s="275">
        <v>33.6</v>
      </c>
      <c r="BM190" s="196">
        <f>BM187-BM193</f>
        <v>6.1929375904112423</v>
      </c>
      <c r="BN190" s="196">
        <f>BN187-BN193</f>
        <v>4.5627918991527174</v>
      </c>
      <c r="BO190" s="196">
        <f>BO187-BO193</f>
        <v>5.2134325273816913</v>
      </c>
      <c r="BP190" s="196">
        <f>BP187-BP193</f>
        <v>7.1308379830543487</v>
      </c>
      <c r="BQ190" s="275">
        <v>23.1</v>
      </c>
      <c r="BS190" s="196">
        <v>6.9523854845686142</v>
      </c>
      <c r="BT190" s="196">
        <v>7.3001266093211052</v>
      </c>
      <c r="BU190" s="196">
        <v>7.5311139987691185</v>
      </c>
      <c r="BV190" s="196">
        <v>8.9264973429333274</v>
      </c>
      <c r="BW190" s="196">
        <f>BT190+BV190+BS190+BU190</f>
        <v>30.710123435592163</v>
      </c>
      <c r="BY190" s="196">
        <v>6.1638481946585841</v>
      </c>
      <c r="BZ190" s="196">
        <v>5.9932480409672868</v>
      </c>
      <c r="CA190" s="196">
        <v>37.519506538257467</v>
      </c>
      <c r="CB190" s="196">
        <v>79.91518083791145</v>
      </c>
      <c r="CC190" s="196">
        <f>BZ190+CB190+BY190+CA190</f>
        <v>129.5917836117948</v>
      </c>
      <c r="CE190" s="196">
        <v>17.716524452541087</v>
      </c>
      <c r="CF190" s="196">
        <v>13.178461865956898</v>
      </c>
      <c r="CG190" s="196">
        <v>15.081492201813839</v>
      </c>
      <c r="CH190" s="196">
        <v>18.547499999999999</v>
      </c>
      <c r="CI190" s="196">
        <f>CF190+CH190+CE190+CG190</f>
        <v>64.523978520311829</v>
      </c>
      <c r="CK190" s="196">
        <v>15.429600000000001</v>
      </c>
      <c r="CL190" s="196">
        <v>8.0142500000000005</v>
      </c>
      <c r="CM190" s="196">
        <v>13.608000000000001</v>
      </c>
      <c r="CN190" s="196">
        <v>15.30275</v>
      </c>
      <c r="CO190" s="196">
        <f>CL190+CN190+CK190+CM190</f>
        <v>52.354600000000005</v>
      </c>
      <c r="CQ190" s="196">
        <v>12.406000000000001</v>
      </c>
      <c r="CR190" s="196">
        <v>11.05275</v>
      </c>
      <c r="CS190" s="196">
        <v>9.3652499999999996</v>
      </c>
      <c r="CT190" s="196">
        <v>13.630749999999999</v>
      </c>
      <c r="CU190" s="196">
        <f>CR190+CT190+CQ190+CS190</f>
        <v>46.454750000000004</v>
      </c>
      <c r="CW190" s="196">
        <v>22.294800000000002</v>
      </c>
      <c r="CX190" s="196">
        <v>21.096399999999999</v>
      </c>
      <c r="CY190" s="196">
        <v>22.526</v>
      </c>
      <c r="CZ190" s="196">
        <v>32.197599999999994</v>
      </c>
      <c r="DA190" s="196">
        <f>CX190+CZ190+CW190+CY190</f>
        <v>98.114799999999988</v>
      </c>
      <c r="DC190" s="196">
        <v>25.075200000000002</v>
      </c>
      <c r="DD190" s="196">
        <v>30.546400000000002</v>
      </c>
      <c r="DE190" s="196">
        <v>27.774799999999999</v>
      </c>
      <c r="DF190" s="196">
        <v>40.007199999999997</v>
      </c>
      <c r="DG190" s="196">
        <f>DD190+DF190+DC190+DE190</f>
        <v>123.40360000000001</v>
      </c>
      <c r="DI190" s="196">
        <v>32.8964</v>
      </c>
      <c r="DJ190" s="196">
        <v>27.186</v>
      </c>
      <c r="DK190" s="196">
        <v>27.711199999999998</v>
      </c>
      <c r="DL190" s="196">
        <v>66.334209999999999</v>
      </c>
      <c r="DM190" s="196">
        <f>SUM(DI190:DL190)</f>
        <v>154.12781000000001</v>
      </c>
      <c r="DO190" s="196">
        <v>54.277000000000001</v>
      </c>
      <c r="DP190" s="196">
        <v>53.054299999999998</v>
      </c>
      <c r="DQ190" s="196">
        <v>68.99560000000001</v>
      </c>
      <c r="DR190" s="196">
        <v>54.506</v>
      </c>
      <c r="DS190" s="196">
        <f>SUM(DO190:DR190)</f>
        <v>230.83290000000002</v>
      </c>
      <c r="DT190" s="196"/>
      <c r="DU190" s="196">
        <v>57.856399999999994</v>
      </c>
      <c r="DV190" s="196">
        <v>73.1096</v>
      </c>
      <c r="DW190" s="196">
        <v>58.563200000000002</v>
      </c>
      <c r="DX190" s="196">
        <v>53.451600000000006</v>
      </c>
      <c r="DY190" s="196">
        <f>SUM(DU190:DX190)</f>
        <v>242.98080000000002</v>
      </c>
      <c r="EA190" s="196">
        <v>103.63080000000001</v>
      </c>
      <c r="EB190" s="196">
        <v>84.380800000000008</v>
      </c>
      <c r="EC190" s="196">
        <v>67.521999999999991</v>
      </c>
      <c r="ED190" s="196">
        <v>50.317999999999998</v>
      </c>
      <c r="EE190" s="196">
        <f>SUM(EA190:ED190)</f>
        <v>305.85160000000002</v>
      </c>
      <c r="EG190" s="196">
        <v>114.09199999999998</v>
      </c>
      <c r="EH190" s="196">
        <f>EH191*(EG248+EG256)</f>
        <v>61.425000000000004</v>
      </c>
      <c r="EI190" s="196">
        <f>EI191*(EH248+EH256)</f>
        <v>61.425000000000004</v>
      </c>
      <c r="EJ190" s="196">
        <f>EJ191*(EI248+EI256)</f>
        <v>61.425000000000004</v>
      </c>
      <c r="EK190" s="196">
        <f>SUM(EG190:EJ190)</f>
        <v>298.36700000000002</v>
      </c>
      <c r="FG190" s="77">
        <f>BK190</f>
        <v>33.6</v>
      </c>
      <c r="FH190" s="77">
        <f>BQ190</f>
        <v>23.1</v>
      </c>
      <c r="FI190" s="77">
        <f>BW190</f>
        <v>30.710123435592163</v>
      </c>
      <c r="FJ190" s="77">
        <f>CC190</f>
        <v>129.5917836117948</v>
      </c>
      <c r="FK190" s="77">
        <f>CI190</f>
        <v>64.523978520311829</v>
      </c>
      <c r="FL190" s="77">
        <f>CO190</f>
        <v>52.354600000000005</v>
      </c>
      <c r="FM190" s="77">
        <f>CU190</f>
        <v>46.454750000000004</v>
      </c>
      <c r="FN190" s="77">
        <f>DA190</f>
        <v>98.114799999999988</v>
      </c>
      <c r="FO190" s="77">
        <f>DG190</f>
        <v>123.40360000000001</v>
      </c>
      <c r="FP190" s="77">
        <f>DM190</f>
        <v>154.12781000000001</v>
      </c>
      <c r="FQ190" s="77">
        <f>DS190</f>
        <v>230.83290000000002</v>
      </c>
      <c r="FR190" s="77">
        <f>DY190</f>
        <v>242.98080000000002</v>
      </c>
      <c r="FS190" s="77">
        <f>EE190</f>
        <v>305.85160000000002</v>
      </c>
      <c r="FT190" s="77">
        <f>EK190</f>
        <v>298.36700000000002</v>
      </c>
      <c r="FU190" s="77">
        <f>FU191*(FT248+FT256)</f>
        <v>219.375</v>
      </c>
      <c r="FV190" s="77">
        <f>FV191*(FU248+FU256)</f>
        <v>219.375</v>
      </c>
      <c r="FW190" s="77">
        <f>FW191*(FV248+FV256)</f>
        <v>219.375</v>
      </c>
      <c r="FX190" s="77">
        <f>FX191*(FW248+FW256)</f>
        <v>219.375</v>
      </c>
    </row>
    <row r="191" spans="2:180" x14ac:dyDescent="0.25">
      <c r="B191" s="200" t="s">
        <v>201</v>
      </c>
      <c r="D191" s="74"/>
      <c r="E191" s="124"/>
      <c r="F191" s="124"/>
      <c r="G191" s="124"/>
      <c r="H191" s="124"/>
      <c r="I191" s="76"/>
      <c r="J191" s="74"/>
      <c r="K191" s="124"/>
      <c r="L191" s="124"/>
      <c r="M191" s="124"/>
      <c r="N191" s="124"/>
      <c r="O191" s="76"/>
      <c r="P191" s="125"/>
      <c r="Q191" s="124"/>
      <c r="R191" s="124"/>
      <c r="S191" s="124"/>
      <c r="T191" s="124"/>
      <c r="U191" s="76"/>
      <c r="W191" s="124"/>
      <c r="X191" s="124"/>
      <c r="Y191" s="124"/>
      <c r="Z191" s="124"/>
      <c r="AA191" s="76"/>
      <c r="AC191" s="124"/>
      <c r="AD191" s="124"/>
      <c r="AE191" s="124"/>
      <c r="AF191" s="124"/>
      <c r="AG191" s="76"/>
      <c r="AI191" s="96"/>
      <c r="AJ191" s="96"/>
      <c r="AU191" s="101">
        <f>AU190/(Financials!AR248+Financials!AR256)</f>
        <v>1.9432387529497313E-2</v>
      </c>
      <c r="AV191" s="101">
        <f>AV190/(Financials!AU248+Financials!AU256)</f>
        <v>1.9432387529497313E-2</v>
      </c>
      <c r="AW191" s="101">
        <f>AW190/(Financials!AV248+Financials!AV256)</f>
        <v>1.9432387529497313E-2</v>
      </c>
      <c r="AX191" s="101">
        <f>AX190/(Financials!AW248+Financials!AW256)</f>
        <v>1.9432387529497313E-2</v>
      </c>
      <c r="BA191" s="101">
        <f>BA190/(Financials!AX248+Financials!AX256)</f>
        <v>1.9432387529497313E-2</v>
      </c>
      <c r="BB191" s="101">
        <f>BB190/(Financials!BA248+Financials!BA256)</f>
        <v>1.9432387529497313E-2</v>
      </c>
      <c r="BC191" s="101">
        <f>BC190/(Financials!BB248+Financials!BB256)</f>
        <v>1.9432387529497313E-2</v>
      </c>
      <c r="BD191" s="101">
        <f>BD190/(Financials!BC248+Financials!BC256)</f>
        <v>1.9432387529497313E-2</v>
      </c>
      <c r="BG191" s="101">
        <f>BG190/(BD248+BD256)</f>
        <v>6.6577826596493337E-6</v>
      </c>
      <c r="BH191" s="101">
        <f>BH190/(BG248+BG256)</f>
        <v>1.0092410305264686E-2</v>
      </c>
      <c r="BI191" s="101">
        <f>BI190/(BH248+BH256)</f>
        <v>1.8439342515913386E-2</v>
      </c>
      <c r="BJ191" s="101">
        <f>BJ190/(BI248+BI256)</f>
        <v>6.7730952786540597E-3</v>
      </c>
      <c r="BK191" s="101">
        <f>BK190/(BD248+BD256)</f>
        <v>4.4239048860449501E-5</v>
      </c>
      <c r="BM191" s="101">
        <f>BM190/(BJ248+BJ256)</f>
        <v>5.7630165553799011E-3</v>
      </c>
      <c r="BN191" s="101">
        <f>BN190/(BM248+BM256)</f>
        <v>4.1415919934217277E-3</v>
      </c>
      <c r="BO191" s="101">
        <f>BO190/(BN248+BN256)</f>
        <v>4.6436559431564011E-3</v>
      </c>
      <c r="BP191" s="101">
        <f>BP190/(BO248+BO256)</f>
        <v>6.245807114876367E-3</v>
      </c>
      <c r="BQ191" s="101">
        <f>BQ190/(BJ248+BJ256)</f>
        <v>2.1496370742601897E-2</v>
      </c>
      <c r="BS191" s="101">
        <f>BS190/(BP248+BP256)</f>
        <v>6.0235535302102013E-3</v>
      </c>
      <c r="BT191" s="101">
        <f>BT190/(BS248+BS256)</f>
        <v>6.2942978180040568E-3</v>
      </c>
      <c r="BU191" s="101">
        <f>BU190/(BT248+BT256)</f>
        <v>6.7242089274724276E-3</v>
      </c>
      <c r="BV191" s="101">
        <f>BV190/(BU248+BU256)</f>
        <v>7.9030520964438484E-3</v>
      </c>
      <c r="BW191" s="101">
        <f>BW190/(BP248+BP256)</f>
        <v>2.6607280744751483E-2</v>
      </c>
      <c r="BY191" s="101">
        <f>BY190/(BV248+BV256)</f>
        <v>5.4561814593773426E-3</v>
      </c>
      <c r="BZ191" s="101">
        <f>BZ190/(BY248+BY256)</f>
        <v>5.2183265485130923E-3</v>
      </c>
      <c r="CA191" s="101">
        <f>CA190/(BZ248+BZ256)</f>
        <v>3.2470364810261762E-2</v>
      </c>
      <c r="CB191" s="101">
        <f>CB190/(CA248+CA256)</f>
        <v>3.0259439923480291E-2</v>
      </c>
      <c r="CC191" s="101">
        <f>CC190/(BV248+BV256)</f>
        <v>0.11471344924475063</v>
      </c>
      <c r="CE191" s="101">
        <f>CE190/(CB248+CB256)</f>
        <v>5.337106327019457E-3</v>
      </c>
      <c r="CF191" s="101">
        <f>CF190/(CE248+CE256)</f>
        <v>4.0117083305804867E-3</v>
      </c>
      <c r="CG191" s="101">
        <f>CG190/(CF248+CF256)</f>
        <v>4.9915576228946315E-3</v>
      </c>
      <c r="CH191" s="101">
        <f>CH190/(CG248+CG256)</f>
        <v>6.1368825067001954E-3</v>
      </c>
      <c r="CI191" s="101">
        <f>CI190/(CB248+CB256)</f>
        <v>1.9437860677906864E-2</v>
      </c>
      <c r="CK191" s="101">
        <f>CK190/(CH248+CH256)</f>
        <v>5.1001884110666714E-3</v>
      </c>
      <c r="CL191" s="101">
        <f>CL190/(CK248+CK256)</f>
        <v>2.6683036457466293E-3</v>
      </c>
      <c r="CM191" s="101">
        <f>CM190/(CL248+CL256)</f>
        <v>4.5307141668053941E-3</v>
      </c>
      <c r="CN191" s="101">
        <f>CN190/(CM248+CM256)</f>
        <v>5.1037237147097568E-3</v>
      </c>
      <c r="CO191" s="101">
        <f>CO190/(CH248+CH256)</f>
        <v>1.7305589528311245E-2</v>
      </c>
      <c r="CQ191" s="101">
        <f>CQ190/(CN248+CN256)</f>
        <v>4.0991244011234097E-3</v>
      </c>
      <c r="CR191" s="101">
        <f>CR190/(CQ248+CQ256)</f>
        <v>3.5856447688564475E-3</v>
      </c>
      <c r="CS191" s="101">
        <f>CS190/(CR248+CR256)</f>
        <v>2.9898001532371343E-3</v>
      </c>
      <c r="CT191" s="101">
        <f>CT190/(CS248+CS256)</f>
        <v>4.2999211356466874E-3</v>
      </c>
      <c r="CU191" s="101">
        <f>CU190/(CN248+CN256)</f>
        <v>1.5349330910292419E-2</v>
      </c>
      <c r="CW191" s="101">
        <f>CW190/(CT248+CT256)</f>
        <v>7.1726667310105206E-3</v>
      </c>
      <c r="CX191" s="101">
        <f>CX190/(CW248+CW256)</f>
        <v>5.4538028023370039E-3</v>
      </c>
      <c r="CY191" s="101">
        <f>CY190/(CX248+CX256)</f>
        <v>4.8704864864864868E-3</v>
      </c>
      <c r="CZ191" s="101">
        <f>CZ190/(CY248+CY256)</f>
        <v>6.9590853091836503E-3</v>
      </c>
      <c r="DA191" s="101">
        <f>DA190/(CT248+CT256)</f>
        <v>3.15654216131004E-2</v>
      </c>
      <c r="DC191" s="101">
        <f>DC190/(CZ248+CZ256)</f>
        <v>5.3600102603565481E-3</v>
      </c>
      <c r="DD191" s="101">
        <f>DD190/(DC248+DC256)</f>
        <v>6.5696834136269797E-3</v>
      </c>
      <c r="DE191" s="101">
        <f>DE190/(DD248+DD256)</f>
        <v>5.9920177766271876E-3</v>
      </c>
      <c r="DF191" s="101">
        <f>DF190/(DE248+DE256)</f>
        <v>9.7076579636998922E-3</v>
      </c>
      <c r="DG191" s="101">
        <f>DG190/(CZ248+CZ256)</f>
        <v>2.6378436150656239E-2</v>
      </c>
      <c r="DI191" s="101">
        <f>DI190/(DF248+DF256)</f>
        <v>7.17619598176305E-3</v>
      </c>
      <c r="DJ191" s="101">
        <f>DJ190/(DI248+DI256)</f>
        <v>6.0944225251076036E-3</v>
      </c>
      <c r="DK191" s="101">
        <f>DK190/(DJ248+DJ256)</f>
        <v>5.6618175874468771E-3</v>
      </c>
      <c r="DL191" s="101">
        <f>DL190/(DK248+DK256)</f>
        <v>1.6533126464283933E-2</v>
      </c>
      <c r="DM191" s="101">
        <f>DM190/(DF248+DF256)</f>
        <v>3.3622261730765032E-2</v>
      </c>
      <c r="DO191" s="101">
        <f>DO190/(DL248+DL256)</f>
        <v>1.2739883579006668E-2</v>
      </c>
      <c r="DP191" s="101">
        <f>DP190/(DO248+DO256)</f>
        <v>1.238949605343048E-2</v>
      </c>
      <c r="DQ191" s="101">
        <f>DQ190/(DP248+DP256)</f>
        <v>1.3107066869300913E-2</v>
      </c>
      <c r="DR191" s="101">
        <f>DR190/(DQ248+DQ256)</f>
        <v>1.034563917623612E-2</v>
      </c>
      <c r="DS191" s="101">
        <f>DS190/(DL248+DL256)</f>
        <v>5.4181039339029208E-2</v>
      </c>
      <c r="DT191" s="101"/>
      <c r="DU191" s="101">
        <f>DU190/(DR248+DR256)</f>
        <v>1.2491665946972966E-2</v>
      </c>
      <c r="DV191" s="101">
        <f>DV190/(DU248+DU256)</f>
        <v>1.5851694455887771E-2</v>
      </c>
      <c r="DW191" s="101">
        <f>DW190/(DV248+DV256)</f>
        <v>1.2708200420979537E-2</v>
      </c>
      <c r="DX191" s="101">
        <f>DX190/(DW248+DW256)</f>
        <v>1.1391343264497155E-2</v>
      </c>
      <c r="DY191" s="101">
        <f>DY190/(DR248+DR256)</f>
        <v>5.2461525174885566E-2</v>
      </c>
      <c r="EA191" s="101">
        <f>EA190/(DX248+DX256)</f>
        <v>2.2107432374776005E-2</v>
      </c>
      <c r="EB191" s="101">
        <f>EB190/(EA248+EA256)</f>
        <v>1.798665615074713E-2</v>
      </c>
      <c r="EC191" s="101">
        <f>EC190/(EB248+EB256)</f>
        <v>1.4338316486876751E-2</v>
      </c>
      <c r="ED191" s="101">
        <f>ED190/(EC248+EC256)</f>
        <v>1.3544549125168236E-2</v>
      </c>
      <c r="EE191" s="101">
        <f>EE190/(DX248+DX256)</f>
        <v>6.5246949398412829E-2</v>
      </c>
      <c r="EG191" s="101">
        <f>EG190/(ED248+ED256)</f>
        <v>2.5983739096768314E-2</v>
      </c>
      <c r="EH191" s="100">
        <v>1.4E-2</v>
      </c>
      <c r="EI191" s="100">
        <v>1.4E-2</v>
      </c>
      <c r="EJ191" s="100">
        <v>1.4E-2</v>
      </c>
      <c r="EK191" s="101">
        <f>EK190/(ED248+ED256)</f>
        <v>6.7951217290304955E-2</v>
      </c>
      <c r="FG191" s="101"/>
      <c r="FH191" s="101">
        <f t="shared" ref="FH191:FT191" si="181">FH190/(FG248+FG256)</f>
        <v>2.1496370742601897E-2</v>
      </c>
      <c r="FI191" s="101">
        <f t="shared" si="181"/>
        <v>2.6607280744751483E-2</v>
      </c>
      <c r="FJ191" s="101">
        <f t="shared" si="181"/>
        <v>0.11471344924475063</v>
      </c>
      <c r="FK191" s="101">
        <f t="shared" si="181"/>
        <v>1.9437860677906864E-2</v>
      </c>
      <c r="FL191" s="101">
        <f t="shared" si="181"/>
        <v>1.7305589528311245E-2</v>
      </c>
      <c r="FM191" s="101">
        <f t="shared" si="181"/>
        <v>1.5349330910292419E-2</v>
      </c>
      <c r="FN191" s="101">
        <f t="shared" si="181"/>
        <v>3.15654216131004E-2</v>
      </c>
      <c r="FO191" s="101">
        <f t="shared" si="181"/>
        <v>2.6378436150656239E-2</v>
      </c>
      <c r="FP191" s="101">
        <f t="shared" si="181"/>
        <v>3.3622261730765032E-2</v>
      </c>
      <c r="FQ191" s="101">
        <f t="shared" si="181"/>
        <v>5.4181039339029208E-2</v>
      </c>
      <c r="FR191" s="101">
        <f t="shared" si="181"/>
        <v>5.2461525174885566E-2</v>
      </c>
      <c r="FS191" s="101">
        <f t="shared" si="181"/>
        <v>6.5246949398412829E-2</v>
      </c>
      <c r="FT191" s="101">
        <f t="shared" si="181"/>
        <v>6.7951217290304955E-2</v>
      </c>
      <c r="FU191" s="100">
        <v>0.05</v>
      </c>
      <c r="FV191" s="100">
        <v>0.05</v>
      </c>
      <c r="FW191" s="100">
        <v>0.05</v>
      </c>
      <c r="FX191" s="100">
        <v>0.05</v>
      </c>
    </row>
    <row r="192" spans="2:180" x14ac:dyDescent="0.25">
      <c r="B192" s="200"/>
      <c r="D192" s="74"/>
      <c r="E192" s="124"/>
      <c r="F192" s="124"/>
      <c r="G192" s="124"/>
      <c r="H192" s="124"/>
      <c r="I192" s="76"/>
      <c r="J192" s="74"/>
      <c r="K192" s="124"/>
      <c r="L192" s="124"/>
      <c r="M192" s="124"/>
      <c r="N192" s="124"/>
      <c r="O192" s="76"/>
      <c r="P192" s="125"/>
      <c r="Q192" s="124"/>
      <c r="R192" s="124"/>
      <c r="S192" s="124"/>
      <c r="T192" s="124"/>
      <c r="U192" s="76"/>
      <c r="W192" s="124"/>
      <c r="X192" s="124"/>
      <c r="Y192" s="124"/>
      <c r="Z192" s="124"/>
      <c r="AA192" s="76"/>
      <c r="AC192" s="124"/>
      <c r="AD192" s="124"/>
      <c r="AE192" s="124"/>
      <c r="AF192" s="124"/>
      <c r="AG192" s="76"/>
      <c r="AI192" s="96"/>
      <c r="AJ192" s="96"/>
      <c r="AX192" s="74"/>
      <c r="BA192" s="88"/>
    </row>
    <row r="193" spans="2:180" x14ac:dyDescent="0.25">
      <c r="B193" s="123" t="s">
        <v>200</v>
      </c>
      <c r="C193" s="74"/>
      <c r="D193" s="74"/>
      <c r="E193" s="87">
        <f>Financials!E30</f>
        <v>-4058</v>
      </c>
      <c r="F193" s="87">
        <f>Financials!F30</f>
        <v>-4399</v>
      </c>
      <c r="G193" s="87">
        <f>Financials!G30</f>
        <v>-3051</v>
      </c>
      <c r="H193" s="87">
        <f>Financials!H30</f>
        <v>-4565</v>
      </c>
      <c r="I193" s="87">
        <f>SUM(E193:H193)</f>
        <v>-16073</v>
      </c>
      <c r="K193" s="87">
        <f>Financials!K30</f>
        <v>-4601</v>
      </c>
      <c r="L193" s="87">
        <f>Financials!L30</f>
        <v>-3799</v>
      </c>
      <c r="M193" s="87">
        <f>Financials!M30</f>
        <v>-3911</v>
      </c>
      <c r="N193" s="87">
        <f>Financials!N30</f>
        <v>-37057</v>
      </c>
      <c r="O193" s="87">
        <f>SUM(K193:N193)</f>
        <v>-49368</v>
      </c>
      <c r="Q193" s="87">
        <f>Financials!Q30</f>
        <v>-4376</v>
      </c>
      <c r="R193" s="87">
        <f>Financials!R30</f>
        <v>-1888</v>
      </c>
      <c r="S193" s="87">
        <f>Financials!S30</f>
        <v>-365</v>
      </c>
      <c r="T193" s="87">
        <f>Financials!T30</f>
        <v>5775</v>
      </c>
      <c r="U193" s="87">
        <f>SUM(Q193:T193)</f>
        <v>-854</v>
      </c>
      <c r="W193" s="87">
        <f>Financials!W30</f>
        <v>10260</v>
      </c>
      <c r="X193" s="87">
        <f>Financials!X30</f>
        <v>8170</v>
      </c>
      <c r="Y193" s="87">
        <f>Financials!Y30</f>
        <v>9527</v>
      </c>
      <c r="Z193" s="87">
        <f>Financials!Z30</f>
        <v>5494</v>
      </c>
      <c r="AA193" s="87">
        <f>SUM(W193:Z193)</f>
        <v>33451</v>
      </c>
      <c r="AC193" s="87">
        <f>Financials!AC30</f>
        <v>4203</v>
      </c>
      <c r="AD193" s="87">
        <f>Financials!AD30</f>
        <v>6372</v>
      </c>
      <c r="AE193" s="87">
        <f>Financials!AE30</f>
        <v>7059</v>
      </c>
      <c r="AF193" s="87">
        <f>Financials!AF30</f>
        <v>4965</v>
      </c>
      <c r="AG193" s="87">
        <f>SUM(AC193:AF193)</f>
        <v>22599</v>
      </c>
      <c r="AI193" s="87">
        <f>Financials!AI30</f>
        <v>-1031</v>
      </c>
      <c r="AJ193" s="87">
        <f>Financials!AJ30</f>
        <v>-238</v>
      </c>
      <c r="AK193" s="87">
        <f>Financials!AK30</f>
        <v>-2383</v>
      </c>
      <c r="AL193" s="87">
        <f>Financials!AL30</f>
        <v>-2885</v>
      </c>
      <c r="AM193" s="87">
        <f>SUM(AI193:AL193)</f>
        <v>-6537</v>
      </c>
      <c r="AO193" s="87">
        <f>Financials!AO30</f>
        <v>-2800</v>
      </c>
      <c r="AP193" s="87">
        <f>Financials!AP30</f>
        <v>-2700</v>
      </c>
      <c r="AQ193" s="87">
        <f>Financials!AQ30</f>
        <v>-1600</v>
      </c>
      <c r="AR193" s="87">
        <f>Financials!AR30</f>
        <v>-1100</v>
      </c>
      <c r="AS193" s="87">
        <f>SUM(AO193:AR193)</f>
        <v>-8200</v>
      </c>
      <c r="AU193" s="87">
        <f>Financials!AU30</f>
        <v>1900</v>
      </c>
      <c r="AV193" s="87">
        <f>Financials!AV30</f>
        <v>1800</v>
      </c>
      <c r="AW193" s="87">
        <f>Financials!AW30</f>
        <v>2200</v>
      </c>
      <c r="AX193" s="87">
        <f>Financials!AX30</f>
        <v>1500</v>
      </c>
      <c r="AY193" s="87">
        <f>SUM(AU193:AX193)</f>
        <v>7400</v>
      </c>
      <c r="BA193" s="87">
        <f>Financials!BA30</f>
        <v>0.6</v>
      </c>
      <c r="BB193" s="87">
        <f>Financials!BB30</f>
        <v>-0.9</v>
      </c>
      <c r="BC193" s="87">
        <f>Financials!BC30</f>
        <v>-2.5</v>
      </c>
      <c r="BD193" s="87">
        <f>Financials!BD30</f>
        <v>-3.4</v>
      </c>
      <c r="BE193" s="87">
        <f>SUM(BA193:BD193)</f>
        <v>-6.1999999999999993</v>
      </c>
      <c r="BG193" s="87">
        <v>-3.3</v>
      </c>
      <c r="BH193" s="87">
        <v>-6</v>
      </c>
      <c r="BI193" s="87">
        <v>-11.6</v>
      </c>
      <c r="BJ193" s="87">
        <v>-3.5</v>
      </c>
      <c r="BK193" s="87">
        <f>BG193+BH193+BI193+BJ193</f>
        <v>-24.4</v>
      </c>
      <c r="BM193" s="87">
        <v>-2.6</v>
      </c>
      <c r="BN193" s="87">
        <v>-1.4</v>
      </c>
      <c r="BO193" s="87">
        <v>-2</v>
      </c>
      <c r="BP193" s="87">
        <v>-2.6</v>
      </c>
      <c r="BQ193" s="87">
        <f>BM193+BN193+BO193+BP193</f>
        <v>-8.6</v>
      </c>
      <c r="BS193" s="87">
        <v>-3.5</v>
      </c>
      <c r="BT193" s="87">
        <v>-4.2</v>
      </c>
      <c r="BU193" s="87">
        <v>-4.2</v>
      </c>
      <c r="BV193" s="87">
        <v>-4.5999999999999996</v>
      </c>
      <c r="BW193" s="87">
        <f>BS193+BT193+BU193+BV193</f>
        <v>-16.5</v>
      </c>
      <c r="BY193" s="87">
        <v>-3.6</v>
      </c>
      <c r="BZ193" s="87">
        <v>-3.6</v>
      </c>
      <c r="CA193" s="87">
        <v>-33.9</v>
      </c>
      <c r="CB193" s="87">
        <v>-74.8</v>
      </c>
      <c r="CC193" s="87">
        <f>BY193+BZ193+CA193+CB193</f>
        <v>-115.9</v>
      </c>
      <c r="CE193" s="87">
        <v>-14.1</v>
      </c>
      <c r="CF193" s="87">
        <v>-10.8</v>
      </c>
      <c r="CG193" s="87">
        <v>-12.5</v>
      </c>
      <c r="CH193" s="87">
        <v>-12.9</v>
      </c>
      <c r="CI193" s="87">
        <f>CE193+CF193+CG193+CH193</f>
        <v>-50.3</v>
      </c>
      <c r="CK193" s="87">
        <v>-10.5</v>
      </c>
      <c r="CL193" s="87">
        <v>-2.2000000000000002</v>
      </c>
      <c r="CM193" s="87">
        <v>-8.1</v>
      </c>
      <c r="CN193" s="87">
        <v>-7.5</v>
      </c>
      <c r="CO193" s="87">
        <f>CK193+CL193+CM193+CN193</f>
        <v>-28.299999999999997</v>
      </c>
      <c r="CQ193" s="87">
        <v>-7.9</v>
      </c>
      <c r="CR193" s="87">
        <v>-6.9</v>
      </c>
      <c r="CS193" s="87">
        <v>-5.4</v>
      </c>
      <c r="CT193" s="87">
        <v>-4.8</v>
      </c>
      <c r="CU193" s="87">
        <f>CQ193+CR193+CS193+CT193</f>
        <v>-25.000000000000004</v>
      </c>
      <c r="CW193" s="87">
        <v>-11.4</v>
      </c>
      <c r="CX193" s="87">
        <v>-7.1</v>
      </c>
      <c r="CY193" s="87">
        <v>-8.4</v>
      </c>
      <c r="CZ193" s="87">
        <v>-8</v>
      </c>
      <c r="DA193" s="87">
        <f>CW193+CX193+CY193+CZ193</f>
        <v>-34.9</v>
      </c>
      <c r="DC193" s="87">
        <v>-12.1</v>
      </c>
      <c r="DD193" s="87">
        <v>-9.8000000000000007</v>
      </c>
      <c r="DE193" s="87">
        <v>-10.5</v>
      </c>
      <c r="DF193" s="87">
        <v>-12.2</v>
      </c>
      <c r="DG193" s="87">
        <f>SUM(DC193:DF193)</f>
        <v>-44.599999999999994</v>
      </c>
      <c r="DI193" s="87">
        <v>-15.6</v>
      </c>
      <c r="DJ193" s="87">
        <v>-10.8</v>
      </c>
      <c r="DK193" s="87">
        <v>-15.1</v>
      </c>
      <c r="DL193" s="87">
        <v>-3.1</v>
      </c>
      <c r="DM193" s="87">
        <f>SUM(DI193:DL193)</f>
        <v>-44.6</v>
      </c>
      <c r="DO193" s="87">
        <v>12.2</v>
      </c>
      <c r="DP193" s="87">
        <v>16.7</v>
      </c>
      <c r="DQ193" s="87">
        <v>7.1</v>
      </c>
      <c r="DR193" s="87">
        <v>5.2</v>
      </c>
      <c r="DS193" s="87">
        <f>SUM(DO193:DR193)</f>
        <v>41.2</v>
      </c>
      <c r="DT193" s="87"/>
      <c r="DU193" s="87">
        <v>26.2</v>
      </c>
      <c r="DV193" s="87">
        <v>-11.9</v>
      </c>
      <c r="DW193" s="87">
        <v>-0.8</v>
      </c>
      <c r="DX193" s="87">
        <v>6.3</v>
      </c>
      <c r="DY193" s="87">
        <f>DU193+DV193+DW193+DX193</f>
        <v>19.799999999999997</v>
      </c>
      <c r="EA193" s="87">
        <v>49.2</v>
      </c>
      <c r="EB193" s="87">
        <v>24.8</v>
      </c>
      <c r="EC193" s="87">
        <v>19.399999999999999</v>
      </c>
      <c r="ED193" s="87">
        <v>11.2</v>
      </c>
      <c r="EE193" s="87">
        <f>EA193+EB193+EC193+ED193</f>
        <v>104.60000000000001</v>
      </c>
      <c r="EG193" s="87">
        <v>40.9</v>
      </c>
      <c r="EH193" s="87">
        <v>34.248719999999999</v>
      </c>
      <c r="EI193" s="87">
        <v>-16.129329105140414</v>
      </c>
      <c r="EJ193" s="87">
        <v>-35.748106628707518</v>
      </c>
      <c r="EK193" s="87">
        <f>EG193+EH193+EI193+EJ193</f>
        <v>23.271284266152065</v>
      </c>
      <c r="FG193" s="87">
        <f>FG187-FG190</f>
        <v>-24.400000000000002</v>
      </c>
      <c r="FH193" s="87">
        <f t="shared" ref="FH193:FS193" si="182">FH187-FH190</f>
        <v>-8.6000000000000014</v>
      </c>
      <c r="FI193" s="87">
        <f t="shared" si="182"/>
        <v>-16.499999999999996</v>
      </c>
      <c r="FJ193" s="87">
        <f t="shared" si="182"/>
        <v>-115.9</v>
      </c>
      <c r="FK193" s="87">
        <f t="shared" si="182"/>
        <v>-50.300000000000011</v>
      </c>
      <c r="FL193" s="87">
        <f t="shared" si="182"/>
        <v>-28.300000000000004</v>
      </c>
      <c r="FM193" s="87">
        <f t="shared" si="182"/>
        <v>-25.000000000000004</v>
      </c>
      <c r="FN193" s="87">
        <f t="shared" si="182"/>
        <v>-34.899999999999991</v>
      </c>
      <c r="FO193" s="87">
        <f t="shared" si="182"/>
        <v>-44.600000000000009</v>
      </c>
      <c r="FP193" s="87">
        <f t="shared" si="182"/>
        <v>-44.600000000000023</v>
      </c>
      <c r="FQ193" s="87">
        <f>FQ187-FQ190</f>
        <v>41.200000000000017</v>
      </c>
      <c r="FR193" s="87">
        <f>FR187-FR190</f>
        <v>19.799999999999983</v>
      </c>
      <c r="FS193" s="87">
        <f t="shared" si="182"/>
        <v>104.60000000000008</v>
      </c>
      <c r="FT193" s="87">
        <f>FT187-FT190</f>
        <v>23.271284266152009</v>
      </c>
      <c r="FU193" s="87">
        <f>FU187-FU190</f>
        <v>49.840278976860759</v>
      </c>
      <c r="FV193" s="87">
        <f>FV187-FV190</f>
        <v>238.7275654277675</v>
      </c>
      <c r="FW193" s="87">
        <f>FW187-FW190</f>
        <v>739.87378583886812</v>
      </c>
      <c r="FX193" s="87">
        <f ca="1">FX187-FX190</f>
        <v>813.64461853661555</v>
      </c>
    </row>
    <row r="194" spans="2:180" x14ac:dyDescent="0.25">
      <c r="D194" s="74"/>
      <c r="E194" s="114"/>
      <c r="F194" s="114"/>
      <c r="H194" s="196"/>
      <c r="J194" s="74"/>
      <c r="K194" s="196"/>
      <c r="L194" s="196"/>
      <c r="M194" s="196"/>
      <c r="N194" s="196"/>
      <c r="O194" s="87"/>
      <c r="P194" s="74"/>
      <c r="Q194" s="196"/>
      <c r="R194" s="196"/>
      <c r="S194" s="196"/>
      <c r="T194" s="196"/>
      <c r="U194" s="87"/>
      <c r="V194" s="88"/>
      <c r="W194" s="196"/>
      <c r="X194" s="196"/>
      <c r="Y194" s="196"/>
      <c r="Z194" s="196"/>
      <c r="AA194" s="87"/>
      <c r="BG194" s="74"/>
      <c r="BH194" s="74"/>
      <c r="BI194" s="74"/>
      <c r="BJ194" s="74"/>
      <c r="BQ194" s="88"/>
    </row>
    <row r="196" spans="2:180" x14ac:dyDescent="0.25">
      <c r="B196" s="104" t="s">
        <v>199</v>
      </c>
    </row>
    <row r="198" spans="2:180" x14ac:dyDescent="0.25">
      <c r="B198" s="200" t="s">
        <v>198</v>
      </c>
      <c r="BG198" s="87">
        <v>8</v>
      </c>
      <c r="BH198" s="87">
        <v>-2.7</v>
      </c>
      <c r="BI198" s="87">
        <v>7.5</v>
      </c>
      <c r="BJ198" s="87">
        <v>-4.8</v>
      </c>
      <c r="BK198" s="87">
        <f>BG198+BH198+BI198+BJ198</f>
        <v>8</v>
      </c>
      <c r="BM198" s="87">
        <v>14</v>
      </c>
      <c r="BN198" s="87">
        <v>25.3</v>
      </c>
      <c r="BO198" s="87">
        <v>15.4</v>
      </c>
      <c r="BP198" s="87">
        <v>22.3</v>
      </c>
      <c r="BQ198" s="87">
        <f>BM198+BN198+BO198+BP198</f>
        <v>77</v>
      </c>
      <c r="BS198" s="87">
        <v>49.5</v>
      </c>
      <c r="BT198" s="87">
        <v>45</v>
      </c>
      <c r="BU198" s="87">
        <v>45.8</v>
      </c>
      <c r="BV198" s="87">
        <v>21.1</v>
      </c>
      <c r="BW198" s="87">
        <f>BS198+BT198+BU198+BV198</f>
        <v>161.4</v>
      </c>
      <c r="BY198" s="87">
        <v>26.4</v>
      </c>
      <c r="BZ198" s="87">
        <v>46.8</v>
      </c>
      <c r="CA198" s="87">
        <v>65.8</v>
      </c>
      <c r="CB198" s="87">
        <v>80.5</v>
      </c>
      <c r="CC198" s="87">
        <f>BY198+BZ198+CA198+CB198</f>
        <v>219.5</v>
      </c>
      <c r="CE198" s="87">
        <v>68.599999999999994</v>
      </c>
      <c r="CF198" s="87">
        <v>78.7</v>
      </c>
      <c r="CG198" s="87">
        <v>86</v>
      </c>
      <c r="CH198" s="87">
        <v>77.400000000000006</v>
      </c>
      <c r="CI198" s="87">
        <f>CE198+CF198+CG198+CH198</f>
        <v>310.70000000000005</v>
      </c>
      <c r="CK198" s="87">
        <v>74.400000000000006</v>
      </c>
      <c r="CL198" s="87">
        <v>107.5</v>
      </c>
      <c r="CM198" s="87">
        <v>129.6</v>
      </c>
      <c r="CN198" s="87">
        <v>40.1</v>
      </c>
      <c r="CO198" s="87">
        <f>CK198+CL198+CM198+CN198</f>
        <v>351.6</v>
      </c>
      <c r="CQ198" s="87">
        <v>-17</v>
      </c>
      <c r="CR198" s="87">
        <v>19.100000000000001</v>
      </c>
      <c r="CS198" s="87">
        <v>65</v>
      </c>
      <c r="CT198" s="87">
        <v>124.5</v>
      </c>
      <c r="CU198" s="87">
        <f>CQ198+CR198+CS198+CT198</f>
        <v>191.6</v>
      </c>
      <c r="CW198" s="87">
        <v>48.5</v>
      </c>
      <c r="CX198" s="87">
        <v>166.4</v>
      </c>
      <c r="CY198" s="87">
        <v>166.5</v>
      </c>
      <c r="CZ198" s="87">
        <v>170.2</v>
      </c>
      <c r="DA198" s="87">
        <f>CW198+CX198+CY198+CZ198</f>
        <v>551.59999999999991</v>
      </c>
      <c r="DC198" s="87">
        <v>230.3</v>
      </c>
      <c r="DD198" s="87">
        <v>204.2</v>
      </c>
      <c r="DE198" s="87">
        <v>270.89999999999998</v>
      </c>
      <c r="DF198" s="87">
        <v>316</v>
      </c>
      <c r="DG198" s="87">
        <f>DC198+DD198+DE198+DF198</f>
        <v>1021.4</v>
      </c>
      <c r="DI198" s="87">
        <v>114.4</v>
      </c>
      <c r="DJ198" s="87">
        <v>246.2</v>
      </c>
      <c r="DK198" s="87">
        <v>252</v>
      </c>
      <c r="DL198" s="87">
        <v>357.3</v>
      </c>
      <c r="DM198" s="87">
        <f>DI198+DJ198+DK198+DL198</f>
        <v>969.90000000000009</v>
      </c>
      <c r="DO198" s="87">
        <v>302.60000000000002</v>
      </c>
      <c r="DP198" s="87">
        <v>403.9</v>
      </c>
      <c r="DQ198" s="87">
        <v>343.7</v>
      </c>
      <c r="DR198" s="87">
        <v>385.6</v>
      </c>
      <c r="DS198" s="87">
        <f>DO198+DP198+DQ198+DR198</f>
        <v>1435.8000000000002</v>
      </c>
      <c r="DT198" s="87"/>
      <c r="DU198" s="87">
        <v>224</v>
      </c>
      <c r="DV198" s="87">
        <v>291.60000000000002</v>
      </c>
      <c r="DW198" s="87">
        <v>441.2</v>
      </c>
      <c r="DX198" s="87">
        <v>723.8</v>
      </c>
      <c r="DY198" s="87">
        <f>DU198+DV198+DW198+DX198</f>
        <v>1680.6</v>
      </c>
      <c r="EA198" s="87">
        <v>465.1</v>
      </c>
      <c r="EB198" s="87">
        <v>487.4</v>
      </c>
      <c r="EC198" s="87">
        <v>442.2</v>
      </c>
      <c r="ED198" s="87">
        <v>618.70000000000005</v>
      </c>
      <c r="EE198" s="87">
        <f>EA198+EB198+EC198+ED198</f>
        <v>2013.4</v>
      </c>
      <c r="EG198" s="87">
        <v>546.6</v>
      </c>
      <c r="EH198" s="87">
        <v>496.93886879999997</v>
      </c>
      <c r="EI198" s="87">
        <v>629.75408105212614</v>
      </c>
      <c r="EJ198" s="87">
        <v>626.02765357626299</v>
      </c>
      <c r="EK198" s="87">
        <f>EG198+EH198+EI198+EJ198</f>
        <v>2299.3206034283894</v>
      </c>
      <c r="FG198" s="87">
        <f>BK198</f>
        <v>8</v>
      </c>
      <c r="FH198" s="87">
        <f>BQ198</f>
        <v>77</v>
      </c>
      <c r="FI198" s="87">
        <f>BW198</f>
        <v>161.4</v>
      </c>
      <c r="FJ198" s="87">
        <f>CC198</f>
        <v>219.5</v>
      </c>
      <c r="FK198" s="87">
        <f>CI198</f>
        <v>310.70000000000005</v>
      </c>
      <c r="FL198" s="87">
        <f>CO198</f>
        <v>351.6</v>
      </c>
      <c r="FM198" s="87">
        <f>CU198</f>
        <v>191.6</v>
      </c>
      <c r="FN198" s="87">
        <f>DA198</f>
        <v>551.59999999999991</v>
      </c>
      <c r="FO198" s="87">
        <f>DG198</f>
        <v>1021.4</v>
      </c>
      <c r="FP198" s="87">
        <f>DM198</f>
        <v>969.90000000000009</v>
      </c>
      <c r="FQ198" s="87">
        <f>DS198</f>
        <v>1435.8000000000002</v>
      </c>
      <c r="FR198" s="87">
        <f>DY198</f>
        <v>1680.6</v>
      </c>
      <c r="FS198" s="87">
        <f>EE198</f>
        <v>2013.4</v>
      </c>
      <c r="FT198" s="87">
        <f>EK198</f>
        <v>2299.3206034283894</v>
      </c>
      <c r="FU198" s="87">
        <f>FU32*FU199</f>
        <v>3149.4922790326141</v>
      </c>
      <c r="FV198" s="87">
        <f>FV32*FV199</f>
        <v>2515.195058027804</v>
      </c>
      <c r="FW198" s="87">
        <f>FW32*FW199</f>
        <v>663.31533110626901</v>
      </c>
      <c r="FX198" s="87">
        <f ca="1">FX32*FX199</f>
        <v>898.39045807434923</v>
      </c>
    </row>
    <row r="199" spans="2:180" x14ac:dyDescent="0.25">
      <c r="B199" s="200" t="s">
        <v>197</v>
      </c>
      <c r="BG199" s="97">
        <f>BG198/Financials!BG32</f>
        <v>7.6775431861804286E-2</v>
      </c>
      <c r="BH199" s="97">
        <f>BH198/Financials!BH32</f>
        <v>-9.8396501457725938E-3</v>
      </c>
      <c r="BI199" s="97">
        <f>BI198/Financials!BI32</f>
        <v>2.7312454479242531E-2</v>
      </c>
      <c r="BJ199" s="97">
        <f>BJ198/Financials!BJ32</f>
        <v>-8.7225149918226386E-3</v>
      </c>
      <c r="BK199" s="97">
        <f>BK198/Financials!BK32</f>
        <v>6.6472787702534265E-3</v>
      </c>
      <c r="BM199" s="97">
        <f>BM198/Financials!BM32</f>
        <v>5.3211706575446605E-2</v>
      </c>
      <c r="BN199" s="97">
        <f>BN198/Financials!BN32</f>
        <v>5.9669811320754725E-2</v>
      </c>
      <c r="BO199" s="97">
        <f>BO198/Financials!BO32</f>
        <v>5.9367771781033148E-2</v>
      </c>
      <c r="BP199" s="97">
        <f>BP198/Financials!BP32</f>
        <v>6.8174870070314891E-2</v>
      </c>
      <c r="BQ199" s="97">
        <f>BQ198/Financials!BQ32</f>
        <v>6.045854271356782E-2</v>
      </c>
      <c r="BS199" s="97">
        <f>BS198/Financials!BS32</f>
        <v>0.10946483856700572</v>
      </c>
      <c r="BT199" s="97">
        <f>BT198/Financials!BT32</f>
        <v>0.10851217747769472</v>
      </c>
      <c r="BU199" s="97">
        <f>BU198/Financials!BU32</f>
        <v>0.1243889190657252</v>
      </c>
      <c r="BV199" s="97">
        <f>BV198/Financials!BV32</f>
        <v>6.7304625199362089E-2</v>
      </c>
      <c r="BW199" s="97">
        <f>BW198/Financials!BW32</f>
        <v>0.10422316931421934</v>
      </c>
      <c r="BY199" s="97">
        <f>BY198/Financials!BY32</f>
        <v>0.11764705882352952</v>
      </c>
      <c r="BZ199" s="97">
        <f>BZ198/Financials!BZ32</f>
        <v>0.11682476285571641</v>
      </c>
      <c r="CA199" s="97">
        <f>CA198/Financials!CA32</f>
        <v>0.14251678579163962</v>
      </c>
      <c r="CB199" s="97">
        <f>CB198/Financials!CB32</f>
        <v>0.17688420127444524</v>
      </c>
      <c r="CC199" s="97">
        <f>CC198/Financials!CC32</f>
        <v>0.14236606563756657</v>
      </c>
      <c r="CE199" s="97">
        <f>CE198/Financials!CE32</f>
        <v>0.13174572690608799</v>
      </c>
      <c r="CF199" s="97">
        <f>CF198/Financials!CF32</f>
        <v>0.14440366972477076</v>
      </c>
      <c r="CG199" s="97">
        <f>CG198/Financials!CG32</f>
        <v>0.13372725859119891</v>
      </c>
      <c r="CH199" s="97">
        <f>CH198/Financials!CH32</f>
        <v>0.10500610500610498</v>
      </c>
      <c r="CI199" s="97">
        <f>CI198/Financials!CI32</f>
        <v>0.12702890551535231</v>
      </c>
      <c r="CK199" s="97">
        <f>CK198/Financials!CK32</f>
        <v>0.11777742599335128</v>
      </c>
      <c r="CL199" s="97">
        <f>CL198/Financials!CL32</f>
        <v>0.15643189755529685</v>
      </c>
      <c r="CM199" s="97">
        <f>CM198/Financials!CM32</f>
        <v>0.16005928121526494</v>
      </c>
      <c r="CN199" s="97">
        <f>CN198/Financials!CN32</f>
        <v>4.9604156358238491E-2</v>
      </c>
      <c r="CO199" s="97">
        <f>CO198/Financials!CO32</f>
        <v>0.11971399387129723</v>
      </c>
      <c r="CQ199" s="97">
        <f>CQ198/Financials!CQ32</f>
        <v>-5.2083333333333336E-2</v>
      </c>
      <c r="CR199" s="97">
        <f>CR198/Financials!CR32</f>
        <v>3.9187525646286414E-2</v>
      </c>
      <c r="CS199" s="97">
        <f>CS198/Financials!CS32</f>
        <v>9.5560129373713595E-2</v>
      </c>
      <c r="CT199" s="97">
        <f>CT198/Financials!CT32</f>
        <v>9.7908147216105731E-2</v>
      </c>
      <c r="CU199" s="97">
        <f>CU198/Financials!CU32</f>
        <v>6.9279722302574481E-2</v>
      </c>
      <c r="CW199" s="97">
        <f>CW198/Financials!CW32</f>
        <v>0.11678304839874794</v>
      </c>
      <c r="CX199" s="97">
        <f>CX198/Financials!CX32</f>
        <v>0.18530066815144769</v>
      </c>
      <c r="CY199" s="97">
        <f>CY198/Financials!CY32</f>
        <v>0.13788819875776398</v>
      </c>
      <c r="CZ199" s="97">
        <f>CZ198/Financials!CZ32</f>
        <v>0.11379287290231996</v>
      </c>
      <c r="DA199" s="97">
        <f>DA198/Financials!DA32</f>
        <v>0.13733349931532426</v>
      </c>
      <c r="DC199" s="97">
        <f>DC198/Financials!DC32</f>
        <v>0.14872457216661289</v>
      </c>
      <c r="DD199" s="97">
        <f>DD198/Financials!DD32</f>
        <v>0.16612430849332899</v>
      </c>
      <c r="DE199" s="97">
        <f>DE198/Financials!DE32</f>
        <v>0.14192162615255655</v>
      </c>
      <c r="DF199" s="97">
        <f>DF198/Financials!DF32</f>
        <v>0.15651312530955916</v>
      </c>
      <c r="DG199" s="97">
        <f>DG198/Financials!DG32</f>
        <v>0.15232272015509657</v>
      </c>
      <c r="DI199" s="97">
        <f>DI198/Financials!DI32</f>
        <v>0.14876462938881677</v>
      </c>
      <c r="DJ199" s="97">
        <f>DJ198/Financials!DJ32</f>
        <v>0.14988432972117374</v>
      </c>
      <c r="DK199" s="97">
        <f>DK198/Financials!DK32</f>
        <v>0.13101798897785177</v>
      </c>
      <c r="DL199" s="97">
        <f>DL198/Financials!DL32</f>
        <v>0.16845033237471124</v>
      </c>
      <c r="DM199" s="101">
        <f>DM198/Financials!DM32</f>
        <v>0.15023001502455047</v>
      </c>
      <c r="DO199" s="97">
        <f>DO198/Financials!DO32</f>
        <v>0.13647844127728664</v>
      </c>
      <c r="DP199" s="97">
        <f>DP198/Financials!DP32</f>
        <v>0.17717243496951354</v>
      </c>
      <c r="DQ199" s="97">
        <f>DQ198/Financials!DQ32</f>
        <v>0.15697647864809319</v>
      </c>
      <c r="DR199" s="97">
        <f>DR198/Financials!DR32</f>
        <v>0.1608610404238455</v>
      </c>
      <c r="DS199" s="101">
        <f>DS198/Financials!DS32</f>
        <v>0.15806682446193651</v>
      </c>
      <c r="DT199" s="97"/>
      <c r="DU199" s="97">
        <f>DU198/Financials!DU32</f>
        <v>0.1580135440180587</v>
      </c>
      <c r="DV199" s="97">
        <f>DV198/Financials!DV32</f>
        <v>0.15998244362758551</v>
      </c>
      <c r="DW199" s="97">
        <f>DW198/Financials!DW32</f>
        <v>0.1807900344205868</v>
      </c>
      <c r="DX199" s="97">
        <f>DX198/Financials!DX32</f>
        <v>0.21530773120742483</v>
      </c>
      <c r="DY199" s="101">
        <f>DY198/DY32</f>
        <v>0.18585773688401314</v>
      </c>
      <c r="EA199" s="97">
        <f>EA198/Financials!EA32</f>
        <v>0.16687596426393028</v>
      </c>
      <c r="EB199" s="97">
        <f>EB198/Financials!EB32</f>
        <v>0.1812637137863066</v>
      </c>
      <c r="EC199" s="97">
        <f>EC198/Financials!EC32</f>
        <v>0.17774740734785752</v>
      </c>
      <c r="ED199" s="97">
        <f>ED198/Financials!ED32</f>
        <v>0.17771894882576697</v>
      </c>
      <c r="EE199" s="101">
        <f>EE198/EE32</f>
        <v>0.17591747103490094</v>
      </c>
      <c r="EG199" s="97">
        <f>EG198/Financials!EG32</f>
        <v>0.1709032923740737</v>
      </c>
      <c r="EH199" s="121">
        <v>0.16500000000000001</v>
      </c>
      <c r="EI199" s="121">
        <v>0.17</v>
      </c>
      <c r="EJ199" s="121">
        <v>0.16500000000000001</v>
      </c>
      <c r="EK199" s="101">
        <f>EK198/EK32</f>
        <v>0.16772841111692888</v>
      </c>
      <c r="FG199" s="97">
        <f t="shared" ref="FG199:FT199" si="183">FG198/FG32</f>
        <v>6.6472787702534265E-3</v>
      </c>
      <c r="FH199" s="97">
        <f t="shared" si="183"/>
        <v>6.045854271356782E-2</v>
      </c>
      <c r="FI199" s="97">
        <f t="shared" si="183"/>
        <v>0.10422316931421934</v>
      </c>
      <c r="FJ199" s="97">
        <f t="shared" si="183"/>
        <v>0.14236606563756657</v>
      </c>
      <c r="FK199" s="97">
        <f t="shared" si="183"/>
        <v>0.12702890551535231</v>
      </c>
      <c r="FL199" s="97">
        <f t="shared" si="183"/>
        <v>0.11971399387129723</v>
      </c>
      <c r="FM199" s="97">
        <f t="shared" si="183"/>
        <v>6.9279722302574481E-2</v>
      </c>
      <c r="FN199" s="97">
        <f t="shared" si="183"/>
        <v>0.13733349931532426</v>
      </c>
      <c r="FO199" s="97">
        <f t="shared" si="183"/>
        <v>0.15232272015509657</v>
      </c>
      <c r="FP199" s="97">
        <f t="shared" si="183"/>
        <v>0.15023001502455047</v>
      </c>
      <c r="FQ199" s="97">
        <f t="shared" si="183"/>
        <v>0.15806682446193651</v>
      </c>
      <c r="FR199" s="97">
        <f t="shared" si="183"/>
        <v>0.18585773688401314</v>
      </c>
      <c r="FS199" s="97">
        <f t="shared" si="183"/>
        <v>0.17591747103490094</v>
      </c>
      <c r="FT199" s="97">
        <f t="shared" si="183"/>
        <v>0.16772841111692899</v>
      </c>
      <c r="FU199" s="119">
        <v>0.155</v>
      </c>
      <c r="FV199" s="119">
        <v>0.155</v>
      </c>
      <c r="FW199" s="119">
        <v>0.155</v>
      </c>
      <c r="FX199" s="119">
        <v>0.155</v>
      </c>
    </row>
    <row r="200" spans="2:180" x14ac:dyDescent="0.25">
      <c r="B200" s="122" t="s">
        <v>196</v>
      </c>
      <c r="BG200" s="97"/>
      <c r="BH200" s="97"/>
      <c r="BI200" s="97"/>
      <c r="BJ200" s="97"/>
      <c r="BK200" s="97"/>
      <c r="BM200" s="97"/>
      <c r="BN200" s="97"/>
      <c r="BO200" s="97"/>
      <c r="BP200" s="97"/>
      <c r="BQ200" s="97"/>
      <c r="BS200" s="97"/>
      <c r="BT200" s="97"/>
      <c r="BU200" s="97"/>
      <c r="BV200" s="97"/>
      <c r="BW200" s="97"/>
      <c r="BY200" s="97"/>
      <c r="BZ200" s="97"/>
      <c r="CA200" s="97"/>
      <c r="CB200" s="97"/>
      <c r="CC200" s="97"/>
      <c r="CE200" s="97"/>
      <c r="CF200" s="97"/>
      <c r="CG200" s="97"/>
      <c r="CH200" s="121"/>
      <c r="CI200" s="97"/>
      <c r="CK200" s="121"/>
      <c r="CL200" s="121"/>
      <c r="CM200" s="121"/>
      <c r="CN200" s="121"/>
      <c r="CO200" s="97"/>
      <c r="CQ200" s="121"/>
      <c r="CR200" s="121"/>
      <c r="CS200" s="121"/>
      <c r="CT200" s="121"/>
      <c r="CU200" s="97"/>
      <c r="CW200" s="121"/>
      <c r="CX200" s="121"/>
      <c r="CY200" s="121"/>
      <c r="CZ200" s="121"/>
      <c r="DA200" s="97"/>
      <c r="DC200" s="121"/>
      <c r="DD200" s="121"/>
      <c r="DE200" s="121"/>
      <c r="DF200" s="121"/>
      <c r="DG200" s="97"/>
      <c r="DI200" s="121"/>
      <c r="DJ200" s="121"/>
      <c r="DK200" s="121"/>
      <c r="DL200" s="121"/>
      <c r="DM200" s="97"/>
      <c r="DO200" s="121"/>
      <c r="DP200" s="121"/>
      <c r="DQ200" s="121"/>
      <c r="DR200" s="121"/>
      <c r="DS200" s="97"/>
      <c r="DT200" s="121"/>
      <c r="DU200" s="121"/>
      <c r="DV200" s="121"/>
      <c r="DW200" s="121"/>
      <c r="DX200" s="121"/>
      <c r="DY200" s="97"/>
      <c r="EA200" s="121"/>
      <c r="EB200" s="121"/>
      <c r="EC200" s="121"/>
      <c r="ED200" s="121"/>
      <c r="EE200" s="97"/>
      <c r="EG200" s="121"/>
      <c r="EH200" s="121"/>
      <c r="EI200" s="121"/>
      <c r="EJ200" s="121"/>
      <c r="EK200" s="97"/>
      <c r="FG200" s="97"/>
      <c r="FH200" s="97"/>
      <c r="FI200" s="97"/>
      <c r="FJ200" s="97"/>
      <c r="FK200" s="97"/>
      <c r="FL200" s="97"/>
      <c r="FM200" s="119"/>
      <c r="FN200" s="119"/>
    </row>
    <row r="201" spans="2:180" x14ac:dyDescent="0.25">
      <c r="B201" s="209" t="s">
        <v>195</v>
      </c>
      <c r="BG201" s="97"/>
      <c r="BH201" s="97"/>
      <c r="BI201" s="97"/>
      <c r="BJ201" s="97"/>
      <c r="BK201" s="97"/>
      <c r="BM201" s="97"/>
      <c r="BN201" s="97"/>
      <c r="BO201" s="97"/>
      <c r="BP201" s="97"/>
      <c r="BQ201" s="97"/>
      <c r="BS201" s="97"/>
      <c r="BT201" s="97"/>
      <c r="BU201" s="97"/>
      <c r="BV201" s="97"/>
      <c r="BW201" s="97"/>
      <c r="BY201" s="97"/>
      <c r="BZ201" s="97"/>
      <c r="CA201" s="97"/>
      <c r="CB201" s="97"/>
      <c r="CC201" s="97"/>
      <c r="CE201" s="97"/>
      <c r="CF201" s="97"/>
      <c r="CG201" s="97"/>
      <c r="CH201" s="87">
        <v>-16.7</v>
      </c>
      <c r="CI201" s="87">
        <f>CE202+CH201+CG202+CF202</f>
        <v>-16.7</v>
      </c>
      <c r="CK201" s="87">
        <v>-17.600000000000001</v>
      </c>
      <c r="CL201" s="87">
        <v>4.3</v>
      </c>
      <c r="CM201" s="87">
        <v>0.3</v>
      </c>
      <c r="CN201" s="87">
        <v>19.2</v>
      </c>
      <c r="CO201" s="87">
        <f>CL201+CN201+CK201+CM201</f>
        <v>6.1999999999999984</v>
      </c>
      <c r="CQ201" s="87">
        <v>12</v>
      </c>
      <c r="CR201" s="87">
        <v>7.7</v>
      </c>
      <c r="CS201" s="87">
        <v>11.6</v>
      </c>
      <c r="CT201" s="87">
        <v>-13.1</v>
      </c>
      <c r="CU201" s="87">
        <f>CR201+CT201+CQ201+CS201</f>
        <v>18.2</v>
      </c>
      <c r="CW201" s="87">
        <v>23.8</v>
      </c>
      <c r="CX201" s="87">
        <v>19.399999999999999</v>
      </c>
      <c r="CY201" s="87">
        <v>20.5</v>
      </c>
      <c r="CZ201" s="87">
        <v>25</v>
      </c>
      <c r="DA201" s="87">
        <f>CX201+CZ201+CW201+CY201</f>
        <v>88.7</v>
      </c>
      <c r="DC201" s="87">
        <v>13.2</v>
      </c>
      <c r="DD201" s="87">
        <v>13.2</v>
      </c>
      <c r="DE201" s="87">
        <v>102.3</v>
      </c>
      <c r="DF201" s="87">
        <v>70.400000000000006</v>
      </c>
      <c r="DG201" s="87">
        <f>DD201+DF201+DC201+DE201</f>
        <v>199.10000000000002</v>
      </c>
      <c r="DI201" s="87">
        <v>40.700000000000003</v>
      </c>
      <c r="DJ201" s="87">
        <v>14.5</v>
      </c>
      <c r="DK201" s="87">
        <v>30.1</v>
      </c>
      <c r="DL201" s="87">
        <v>52.7</v>
      </c>
      <c r="DM201" s="87">
        <f>DJ201+DL201+DI201+DK201</f>
        <v>138</v>
      </c>
      <c r="DO201" s="87">
        <v>41.2</v>
      </c>
      <c r="DP201" s="87">
        <v>65.900000000000006</v>
      </c>
      <c r="DQ201" s="87">
        <v>47.6</v>
      </c>
      <c r="DR201" s="87">
        <v>36.6</v>
      </c>
      <c r="DS201" s="87">
        <f>DP201+DR201+DO201+DQ201</f>
        <v>191.29999999999998</v>
      </c>
      <c r="DT201" s="87"/>
      <c r="DU201" s="87">
        <v>30.2</v>
      </c>
      <c r="DV201" s="87">
        <v>46.8</v>
      </c>
      <c r="DW201" s="87">
        <v>77.3</v>
      </c>
      <c r="DX201" s="87">
        <v>55.5</v>
      </c>
      <c r="DY201" s="87">
        <f>DV201+DX201+DU201+DW201</f>
        <v>209.8</v>
      </c>
      <c r="DZ201" s="84"/>
      <c r="EA201" s="87">
        <v>33</v>
      </c>
      <c r="EB201" s="87">
        <v>88.8</v>
      </c>
      <c r="EC201" s="87">
        <v>78.900000000000006</v>
      </c>
      <c r="ED201" s="87">
        <v>16</v>
      </c>
      <c r="EE201" s="87">
        <f>EB201+ED201+EA201+EC201</f>
        <v>216.70000000000002</v>
      </c>
      <c r="EF201" s="84"/>
      <c r="EG201" s="87">
        <v>104.6</v>
      </c>
      <c r="EH201" s="112">
        <v>75</v>
      </c>
      <c r="EI201" s="112">
        <v>75</v>
      </c>
      <c r="EJ201" s="112">
        <v>75</v>
      </c>
      <c r="EK201" s="87">
        <f>EH201+EJ201+EG201+EI201</f>
        <v>329.6</v>
      </c>
      <c r="EL201" s="84"/>
      <c r="EM201" s="84"/>
      <c r="EN201" s="84"/>
      <c r="FG201" s="87">
        <f>BK201</f>
        <v>0</v>
      </c>
      <c r="FH201" s="87">
        <f>BQ201</f>
        <v>0</v>
      </c>
      <c r="FI201" s="87">
        <f>BW201</f>
        <v>0</v>
      </c>
      <c r="FJ201" s="87">
        <f>CC201</f>
        <v>0</v>
      </c>
      <c r="FK201" s="87">
        <f>CI201</f>
        <v>-16.7</v>
      </c>
      <c r="FL201" s="87">
        <f>CO201</f>
        <v>6.1999999999999984</v>
      </c>
      <c r="FM201" s="87">
        <f>CU201</f>
        <v>18.2</v>
      </c>
      <c r="FN201" s="87">
        <f>DA201</f>
        <v>88.7</v>
      </c>
      <c r="FO201" s="87">
        <f>DG201</f>
        <v>199.10000000000002</v>
      </c>
      <c r="FP201" s="87">
        <f>DM201</f>
        <v>138</v>
      </c>
      <c r="FQ201" s="87">
        <f>DS201</f>
        <v>191.29999999999998</v>
      </c>
      <c r="FR201" s="87">
        <f>DY201</f>
        <v>209.8</v>
      </c>
      <c r="FS201" s="87">
        <f>EE201</f>
        <v>216.70000000000002</v>
      </c>
      <c r="FT201" s="87">
        <f>EK201</f>
        <v>329.6</v>
      </c>
      <c r="FU201" s="87">
        <f>FU24*FU202</f>
        <v>405.38929494080003</v>
      </c>
      <c r="FV201" s="87">
        <f>FV24*FV202</f>
        <v>319.76674650148391</v>
      </c>
      <c r="FW201" s="87">
        <f>FW24*FW202</f>
        <v>70.791599264676719</v>
      </c>
      <c r="FX201" s="87">
        <f>FX24*FX202</f>
        <v>99.648457058215968</v>
      </c>
    </row>
    <row r="202" spans="2:180" x14ac:dyDescent="0.25">
      <c r="B202" s="209" t="s">
        <v>395</v>
      </c>
      <c r="BG202" s="97"/>
      <c r="BH202" s="97"/>
      <c r="BI202" s="97"/>
      <c r="BJ202" s="97"/>
      <c r="BK202" s="97"/>
      <c r="BM202" s="97"/>
      <c r="BN202" s="97"/>
      <c r="BO202" s="97"/>
      <c r="BP202" s="97"/>
      <c r="BQ202" s="97"/>
      <c r="BS202" s="97"/>
      <c r="BT202" s="97"/>
      <c r="BU202" s="97"/>
      <c r="BV202" s="97"/>
      <c r="BW202" s="97"/>
      <c r="BY202" s="97"/>
      <c r="BZ202" s="97"/>
      <c r="CA202" s="97"/>
      <c r="CB202" s="97"/>
      <c r="CC202" s="97"/>
      <c r="CE202" s="97"/>
      <c r="CF202" s="97"/>
      <c r="CG202" s="97"/>
      <c r="CH202" s="276">
        <f>CH201/CH24</f>
        <v>-2.226666666666666E-2</v>
      </c>
      <c r="CI202" s="276">
        <f>CI201/CI24</f>
        <v>-6.6901690569665922E-3</v>
      </c>
      <c r="CK202" s="276">
        <f>CK201/CK24</f>
        <v>-2.7405792587978824E-2</v>
      </c>
      <c r="CL202" s="276">
        <f>CL201/CL24</f>
        <v>6.2373078038874376E-3</v>
      </c>
      <c r="CM202" s="276">
        <f>CM201/CM24</f>
        <v>3.668378576669113E-4</v>
      </c>
      <c r="CN202" s="276">
        <f>CN201/CN24</f>
        <v>2.3532295624463778E-2</v>
      </c>
      <c r="CO202" s="276">
        <f>CO201/CO24</f>
        <v>2.0908508413988456E-3</v>
      </c>
      <c r="CQ202" s="276">
        <f>CQ201/CQ24</f>
        <v>3.5895901884534856E-2</v>
      </c>
      <c r="CR202" s="276">
        <f>CR201/CR24</f>
        <v>1.5577584462876794E-2</v>
      </c>
      <c r="CS202" s="276">
        <f>CS201/CS24</f>
        <v>1.6919486581096845E-2</v>
      </c>
      <c r="CT202" s="276">
        <f>CT201/CT24</f>
        <v>-1.0263240363522412E-2</v>
      </c>
      <c r="CU202" s="276">
        <f>CU201/CU24</f>
        <v>6.5218949329893215E-3</v>
      </c>
      <c r="CW202" s="276">
        <f>CW201/CW24</f>
        <v>5.5776892430278911E-2</v>
      </c>
      <c r="CX202" s="276">
        <f>CX201/CX24</f>
        <v>2.1434095680035355E-2</v>
      </c>
      <c r="CY202" s="276">
        <f>CY201/CY24</f>
        <v>1.6859939139731883E-2</v>
      </c>
      <c r="CZ202" s="276">
        <f>CZ201/CZ24</f>
        <v>1.6625656713440178E-2</v>
      </c>
      <c r="DA202" s="276">
        <f>DA201/DA24</f>
        <v>2.1893666386927975E-2</v>
      </c>
      <c r="DC202" s="276">
        <f>DC201/DC24</f>
        <v>8.4582852748942734E-3</v>
      </c>
      <c r="DD202" s="276">
        <f>DD201/DD24</f>
        <v>1.0653753026634382E-2</v>
      </c>
      <c r="DE202" s="276">
        <f>DE201/DE24</f>
        <v>5.3300682540509556E-2</v>
      </c>
      <c r="DF202" s="276">
        <f>DF201/DF24</f>
        <v>3.4659314690823159E-2</v>
      </c>
      <c r="DG202" s="276">
        <f>DG201/DG24</f>
        <v>2.9495859320602658E-2</v>
      </c>
      <c r="DI202" s="276">
        <f>DI201/DI24</f>
        <v>5.1873566148355893E-2</v>
      </c>
      <c r="DJ202" s="276">
        <f>DJ201/DJ24</f>
        <v>8.7698076690456029E-3</v>
      </c>
      <c r="DK202" s="276">
        <f>DK201/DK24</f>
        <v>1.5527469693061652E-2</v>
      </c>
      <c r="DL202" s="276">
        <f>DL201/DL24</f>
        <v>2.4809339986818571E-2</v>
      </c>
      <c r="DM202" s="276">
        <f>DM201/DM24</f>
        <v>2.122848308643685E-2</v>
      </c>
      <c r="DO202" s="276">
        <f>DO201/DO24</f>
        <v>1.8684807256235822E-2</v>
      </c>
      <c r="DP202" s="276">
        <f>DP201/DP24</f>
        <v>2.9120636323464431E-2</v>
      </c>
      <c r="DQ202" s="276">
        <f>DQ201/DQ24</f>
        <v>2.1810850439882703E-2</v>
      </c>
      <c r="DR202" s="276">
        <f>DR201/DR24</f>
        <v>1.5301643045277813E-2</v>
      </c>
      <c r="DS202" s="276">
        <f>DS201/DS24</f>
        <v>2.1156121783174636E-2</v>
      </c>
      <c r="DT202" s="276"/>
      <c r="DU202" s="276">
        <f>DU201/DU24</f>
        <v>2.1704757797901396E-2</v>
      </c>
      <c r="DV202" s="276">
        <f>DV201/DV24</f>
        <v>2.5509647879646796E-2</v>
      </c>
      <c r="DW202" s="276">
        <f>DW201/DW24</f>
        <v>3.1664755038505653E-2</v>
      </c>
      <c r="DX202" s="276">
        <f>DX201/DX24</f>
        <v>1.6540501877570488E-2</v>
      </c>
      <c r="DY202" s="276">
        <f>DY201/DY24</f>
        <v>2.3252720945182104E-2</v>
      </c>
      <c r="EA202" s="276">
        <f>EA201/EA24</f>
        <v>1.2053033346725594E-2</v>
      </c>
      <c r="EB202" s="276">
        <f>EB201/EB24</f>
        <v>3.3332082129049201E-2</v>
      </c>
      <c r="EC202" s="276">
        <f>EC201/EC24</f>
        <v>3.1964025279533299E-2</v>
      </c>
      <c r="ED202" s="276">
        <f>ED201/ED24</f>
        <v>4.6107656213200329E-3</v>
      </c>
      <c r="EE202" s="276">
        <f>EE201/EE24</f>
        <v>1.9108438325868997E-2</v>
      </c>
      <c r="EG202" s="276">
        <f>EG201/EG24</f>
        <v>3.312852346867675E-2</v>
      </c>
      <c r="EH202" s="276">
        <f>EH201/EH24</f>
        <v>2.5188899957078119E-2</v>
      </c>
      <c r="EI202" s="276">
        <f>EI201/EI24</f>
        <v>2.0158228114325966E-2</v>
      </c>
      <c r="EJ202" s="276">
        <f>EJ201/EJ24</f>
        <v>1.9582986322162949E-2</v>
      </c>
      <c r="EK202" s="276">
        <f>EK201/EK24</f>
        <v>2.4084197305063695E-2</v>
      </c>
      <c r="FG202" s="276">
        <f t="shared" ref="FG202:FT202" si="184">FG201/FG24</f>
        <v>0</v>
      </c>
      <c r="FH202" s="276">
        <f t="shared" si="184"/>
        <v>0</v>
      </c>
      <c r="FI202" s="276">
        <f t="shared" si="184"/>
        <v>0</v>
      </c>
      <c r="FJ202" s="276">
        <f t="shared" si="184"/>
        <v>0</v>
      </c>
      <c r="FK202" s="276">
        <f t="shared" si="184"/>
        <v>-6.6901690569665922E-3</v>
      </c>
      <c r="FL202" s="276">
        <f t="shared" si="184"/>
        <v>2.0908508413988456E-3</v>
      </c>
      <c r="FM202" s="276">
        <f t="shared" si="184"/>
        <v>6.5218949329893215E-3</v>
      </c>
      <c r="FN202" s="276">
        <f t="shared" si="184"/>
        <v>2.1893666386927975E-2</v>
      </c>
      <c r="FO202" s="276">
        <f t="shared" si="184"/>
        <v>2.9495859320602658E-2</v>
      </c>
      <c r="FP202" s="276">
        <f t="shared" si="184"/>
        <v>2.122848308643685E-2</v>
      </c>
      <c r="FQ202" s="276">
        <f t="shared" si="184"/>
        <v>2.1156121783174636E-2</v>
      </c>
      <c r="FR202" s="276">
        <f t="shared" si="184"/>
        <v>2.3252720945182104E-2</v>
      </c>
      <c r="FS202" s="276">
        <f t="shared" si="184"/>
        <v>1.9108438325868997E-2</v>
      </c>
      <c r="FT202" s="276">
        <f t="shared" si="184"/>
        <v>2.4084197305063705E-2</v>
      </c>
      <c r="FU202" s="131">
        <v>0.02</v>
      </c>
      <c r="FV202" s="131">
        <v>0.02</v>
      </c>
      <c r="FW202" s="131">
        <v>0.02</v>
      </c>
      <c r="FX202" s="131">
        <v>0.02</v>
      </c>
    </row>
    <row r="204" spans="2:180" x14ac:dyDescent="0.25">
      <c r="CH204" s="118"/>
    </row>
    <row r="205" spans="2:180" x14ac:dyDescent="0.25">
      <c r="B205" s="104" t="s">
        <v>194</v>
      </c>
    </row>
    <row r="206" spans="2:180" x14ac:dyDescent="0.25">
      <c r="B206" s="197" t="s">
        <v>193</v>
      </c>
      <c r="AI206" s="77">
        <v>432.11200000000002</v>
      </c>
      <c r="AJ206" s="77">
        <v>432.45400000000001</v>
      </c>
      <c r="AK206" s="77">
        <v>432.67500000000001</v>
      </c>
      <c r="AL206" s="77">
        <v>433.23</v>
      </c>
      <c r="AM206" s="196">
        <f>AVERAGE(AI206:AL206)</f>
        <v>432.61775</v>
      </c>
      <c r="AO206" s="77">
        <v>434</v>
      </c>
      <c r="AP206" s="77">
        <v>435.1</v>
      </c>
      <c r="AQ206" s="77">
        <v>435.5</v>
      </c>
      <c r="AR206" s="77">
        <v>435.9</v>
      </c>
      <c r="AS206" s="196">
        <f>AVERAGE(AO206:AR206)</f>
        <v>435.125</v>
      </c>
      <c r="AU206" s="77">
        <v>436.6</v>
      </c>
      <c r="AV206" s="77">
        <v>429.5</v>
      </c>
      <c r="AW206" s="77">
        <v>421.9</v>
      </c>
      <c r="AX206" s="77">
        <v>415.6</v>
      </c>
      <c r="AY206" s="196">
        <f>AVERAGE(AU206:AX206)</f>
        <v>425.9</v>
      </c>
      <c r="BA206" s="77">
        <v>0.4118</v>
      </c>
      <c r="BB206" s="77">
        <v>0.40949999999999998</v>
      </c>
      <c r="BC206" s="77">
        <v>0.42249999999999999</v>
      </c>
      <c r="BD206" s="77">
        <v>452.5</v>
      </c>
      <c r="BE206" s="196">
        <f>AVERAGE(BA206:BD206)</f>
        <v>113.43595000000001</v>
      </c>
      <c r="BG206" s="77">
        <v>407.5</v>
      </c>
      <c r="BH206" s="77">
        <v>426.1</v>
      </c>
      <c r="BI206" s="77">
        <v>443</v>
      </c>
      <c r="BJ206" s="77">
        <v>442</v>
      </c>
      <c r="BK206" s="196">
        <f>AVERAGE(BG206:BJ206)</f>
        <v>429.65</v>
      </c>
      <c r="BM206" s="77">
        <v>440</v>
      </c>
      <c r="BN206" s="77">
        <v>438.5</v>
      </c>
      <c r="BO206" s="77">
        <v>436.1</v>
      </c>
      <c r="BP206" s="77">
        <v>434.1</v>
      </c>
      <c r="BQ206" s="196">
        <f>AVERAGE(BM206:BP206)</f>
        <v>437.17499999999995</v>
      </c>
      <c r="BS206" s="77">
        <v>432.6</v>
      </c>
      <c r="BT206" s="77">
        <v>431.4</v>
      </c>
      <c r="BU206" s="77">
        <v>429.9</v>
      </c>
      <c r="BV206" s="77">
        <v>428.8</v>
      </c>
      <c r="BW206" s="196">
        <f>AVERAGE(BS206:BV206)</f>
        <v>430.67500000000001</v>
      </c>
      <c r="BY206" s="77">
        <v>427</v>
      </c>
      <c r="BZ206" s="77">
        <v>424.5</v>
      </c>
      <c r="CA206" s="77">
        <v>423.8</v>
      </c>
      <c r="CB206" s="77">
        <v>427.1</v>
      </c>
      <c r="CC206" s="196">
        <f>AVERAGE(BY206:CB206)</f>
        <v>425.6</v>
      </c>
      <c r="CE206" s="77">
        <v>430.1</v>
      </c>
      <c r="CF206" s="77">
        <v>430.4</v>
      </c>
      <c r="CG206" s="77">
        <v>430.1</v>
      </c>
      <c r="CH206" s="77">
        <v>428.4</v>
      </c>
      <c r="CI206" s="196">
        <f>AVERAGE(CE206:CH206)</f>
        <v>429.75</v>
      </c>
      <c r="CK206" s="77">
        <v>427.2</v>
      </c>
      <c r="CL206" s="77">
        <v>426</v>
      </c>
      <c r="CM206" s="77">
        <v>424.3</v>
      </c>
      <c r="CN206" s="77">
        <v>422.2</v>
      </c>
      <c r="CO206" s="196">
        <f>AVERAGE(CK206:CN206)</f>
        <v>424.92500000000001</v>
      </c>
      <c r="CQ206" s="77">
        <v>421.1</v>
      </c>
      <c r="CR206" s="77">
        <v>421.1</v>
      </c>
      <c r="CS206" s="77">
        <v>420.9</v>
      </c>
      <c r="CT206" s="77">
        <v>420.1</v>
      </c>
      <c r="CU206" s="196">
        <f>AVERAGE(CQ206:CT206)</f>
        <v>420.79999999999995</v>
      </c>
      <c r="CW206" s="77">
        <v>419</v>
      </c>
      <c r="CX206" s="77">
        <v>418.4</v>
      </c>
      <c r="CY206" s="77">
        <v>418.4</v>
      </c>
      <c r="CZ206" s="77">
        <v>417.5</v>
      </c>
      <c r="DA206" s="196">
        <f>AVERAGE(CW206:CZ206)</f>
        <v>418.32499999999999</v>
      </c>
      <c r="DC206" s="77">
        <v>415.3</v>
      </c>
      <c r="DD206" s="77">
        <v>411.5</v>
      </c>
      <c r="DE206" s="77">
        <v>407.9</v>
      </c>
      <c r="DF206" s="77">
        <v>404.3</v>
      </c>
      <c r="DG206" s="196">
        <f>AVERAGE(DC206:DF206)</f>
        <v>409.74999999999994</v>
      </c>
      <c r="DI206" s="77">
        <v>401.1</v>
      </c>
      <c r="DJ206" s="77">
        <v>398.3</v>
      </c>
      <c r="DK206" s="77">
        <v>396.2</v>
      </c>
      <c r="DL206" s="77">
        <v>394.9</v>
      </c>
      <c r="DM206" s="196">
        <f>AVERAGE(DI206:DL206)</f>
        <v>397.625</v>
      </c>
      <c r="DO206" s="77">
        <v>394.5</v>
      </c>
      <c r="DP206" s="77">
        <v>393.8</v>
      </c>
      <c r="DQ206" s="77">
        <v>393.7</v>
      </c>
      <c r="DR206" s="77">
        <v>393.4</v>
      </c>
      <c r="DS206" s="196">
        <f>AVERAGE(DO206:DR206)</f>
        <v>393.85</v>
      </c>
      <c r="DT206" s="77"/>
      <c r="DU206" s="77">
        <v>393.4</v>
      </c>
      <c r="DV206" s="77">
        <v>393.2</v>
      </c>
      <c r="DW206" s="77">
        <v>393.2</v>
      </c>
      <c r="DX206" s="77">
        <v>393.3</v>
      </c>
      <c r="DY206" s="196">
        <f>AVERAGE(DU206:DX206)</f>
        <v>393.27499999999998</v>
      </c>
      <c r="EA206" s="77">
        <v>392.3</v>
      </c>
      <c r="EB206" s="77">
        <v>388.2</v>
      </c>
      <c r="EC206" s="77">
        <v>387.3</v>
      </c>
      <c r="ED206" s="77">
        <v>385.5</v>
      </c>
      <c r="EE206" s="196">
        <f>AVERAGE(EA206:ED206)</f>
        <v>388.32499999999999</v>
      </c>
      <c r="EG206" s="77">
        <v>385.4</v>
      </c>
      <c r="EH206" s="77">
        <v>384.60848504036721</v>
      </c>
      <c r="EI206" s="77">
        <v>383.81697008073445</v>
      </c>
      <c r="EJ206" s="77">
        <v>383.02545512110169</v>
      </c>
      <c r="EK206" s="196">
        <f>AVERAGE(EG206:EJ206)</f>
        <v>384.21272756055083</v>
      </c>
      <c r="FG206" s="77">
        <f>BK206</f>
        <v>429.65</v>
      </c>
      <c r="FH206" s="77">
        <f>BQ206</f>
        <v>437.17499999999995</v>
      </c>
      <c r="FI206" s="77">
        <f>BW206</f>
        <v>430.67500000000001</v>
      </c>
      <c r="FJ206" s="77">
        <f>CC206</f>
        <v>425.6</v>
      </c>
      <c r="FK206" s="77">
        <f>CI206</f>
        <v>429.75</v>
      </c>
      <c r="FL206" s="77">
        <f>CO206</f>
        <v>424.92500000000001</v>
      </c>
      <c r="FM206" s="77">
        <f>CU206</f>
        <v>420.79999999999995</v>
      </c>
      <c r="FN206" s="77">
        <f>DA206</f>
        <v>418.32499999999999</v>
      </c>
      <c r="FO206" s="77">
        <f>DG206</f>
        <v>409.74999999999994</v>
      </c>
      <c r="FP206" s="77">
        <f>DM206</f>
        <v>397.625</v>
      </c>
      <c r="FQ206" s="77">
        <f>DS206</f>
        <v>393.85</v>
      </c>
      <c r="FR206" s="77">
        <f>DY206</f>
        <v>393.27499999999998</v>
      </c>
      <c r="FS206" s="77">
        <f>EE206</f>
        <v>388.32499999999999</v>
      </c>
      <c r="FT206" s="77">
        <f>EK206</f>
        <v>384.21272756055083</v>
      </c>
      <c r="FU206" s="77">
        <f>FT206+FU337/Cover!$E$26</f>
        <v>377.88060788348895</v>
      </c>
      <c r="FV206" s="77">
        <f>FU206+FV337/Cover!$E$26</f>
        <v>374.71454804495801</v>
      </c>
      <c r="FW206" s="77">
        <f>FV206+FW337/Cover!$E$26</f>
        <v>371.54848820642707</v>
      </c>
      <c r="FX206" s="77">
        <f>FW206+FX337/Cover!$E$26</f>
        <v>368.38242836789613</v>
      </c>
    </row>
    <row r="207" spans="2:180" x14ac:dyDescent="0.25">
      <c r="B207" s="197" t="s">
        <v>192</v>
      </c>
      <c r="AI207" s="77">
        <v>432.11200000000002</v>
      </c>
      <c r="AJ207" s="77">
        <v>432.45400000000001</v>
      </c>
      <c r="AK207" s="77">
        <v>434.97500000000002</v>
      </c>
      <c r="AL207" s="77">
        <v>436.95299999999997</v>
      </c>
      <c r="AM207" s="196">
        <f>AVERAGE(AI207:AL207)</f>
        <v>434.12350000000004</v>
      </c>
      <c r="AO207" s="77">
        <v>437.9</v>
      </c>
      <c r="AP207" s="77">
        <v>438.9</v>
      </c>
      <c r="AQ207" s="77">
        <v>439.3</v>
      </c>
      <c r="AR207" s="77">
        <v>439.9</v>
      </c>
      <c r="AS207" s="196">
        <f>AVERAGE(AO207:AR207)</f>
        <v>439</v>
      </c>
      <c r="AU207" s="77">
        <v>440.6</v>
      </c>
      <c r="AV207" s="77">
        <v>432.9</v>
      </c>
      <c r="AW207" s="77">
        <v>425.3</v>
      </c>
      <c r="AX207" s="77">
        <v>419</v>
      </c>
      <c r="AY207" s="196">
        <f>AVERAGE(AU207:AX207)</f>
        <v>429.45</v>
      </c>
      <c r="BA207" s="77">
        <v>0.41499999999999998</v>
      </c>
      <c r="BB207" s="77">
        <v>0.41270000000000001</v>
      </c>
      <c r="BC207" s="77">
        <v>0.42569999999999997</v>
      </c>
      <c r="BD207" s="77">
        <v>455.4</v>
      </c>
      <c r="BE207" s="196">
        <f>AVERAGE(BA207:BD207)</f>
        <v>114.16334999999999</v>
      </c>
      <c r="BG207" s="77">
        <v>410.6</v>
      </c>
      <c r="BH207" s="77">
        <v>430.4</v>
      </c>
      <c r="BI207" s="77">
        <v>447.1</v>
      </c>
      <c r="BJ207" s="77">
        <v>445.7</v>
      </c>
      <c r="BK207" s="196">
        <f>AVERAGE(BG207:BJ207)</f>
        <v>433.45</v>
      </c>
      <c r="BM207" s="77">
        <v>443.5</v>
      </c>
      <c r="BN207" s="77">
        <v>441.6</v>
      </c>
      <c r="BO207" s="77">
        <v>439</v>
      </c>
      <c r="BP207" s="77">
        <v>436.7</v>
      </c>
      <c r="BQ207" s="196">
        <f>AVERAGE(BM207:BP207)</f>
        <v>440.2</v>
      </c>
      <c r="BS207" s="77">
        <v>435.3</v>
      </c>
      <c r="BT207" s="77">
        <v>433.8</v>
      </c>
      <c r="BU207" s="77">
        <v>432.3</v>
      </c>
      <c r="BV207" s="77">
        <v>430.8</v>
      </c>
      <c r="BW207" s="196">
        <f>AVERAGE(BS207:BV207)</f>
        <v>433.05</v>
      </c>
      <c r="BY207" s="77">
        <v>429.1</v>
      </c>
      <c r="BZ207" s="77">
        <v>426.5</v>
      </c>
      <c r="CA207" s="77">
        <v>425.8</v>
      </c>
      <c r="CB207" s="77">
        <v>429.2</v>
      </c>
      <c r="CC207" s="196">
        <f>AVERAGE(BY207:CB207)</f>
        <v>427.65000000000003</v>
      </c>
      <c r="CE207" s="77">
        <v>432.3</v>
      </c>
      <c r="CF207" s="77">
        <v>432.4</v>
      </c>
      <c r="CG207" s="77">
        <v>432</v>
      </c>
      <c r="CH207" s="77">
        <v>430.3</v>
      </c>
      <c r="CI207" s="196">
        <f>AVERAGE(CE207:CH207)</f>
        <v>431.75</v>
      </c>
      <c r="CK207" s="77">
        <v>428.9</v>
      </c>
      <c r="CL207" s="77">
        <v>427.6</v>
      </c>
      <c r="CM207" s="77">
        <v>425.9</v>
      </c>
      <c r="CN207" s="77">
        <v>423.6</v>
      </c>
      <c r="CO207" s="196">
        <f>AVERAGE(CK207:CN207)</f>
        <v>426.5</v>
      </c>
      <c r="CQ207" s="77">
        <v>422.5</v>
      </c>
      <c r="CR207" s="77">
        <v>421.8</v>
      </c>
      <c r="CS207" s="77">
        <v>421.7</v>
      </c>
      <c r="CT207" s="77">
        <v>421.1</v>
      </c>
      <c r="CU207" s="196">
        <f>AVERAGE(CQ207:CT207)</f>
        <v>421.77499999999998</v>
      </c>
      <c r="CW207" s="77">
        <v>419.7</v>
      </c>
      <c r="CX207" s="77">
        <v>419</v>
      </c>
      <c r="CY207" s="77">
        <v>419.2</v>
      </c>
      <c r="CZ207" s="77">
        <v>418.4</v>
      </c>
      <c r="DA207" s="196">
        <f>AVERAGE(CW207:CZ207)</f>
        <v>419.07500000000005</v>
      </c>
      <c r="DC207" s="77">
        <v>415.8</v>
      </c>
      <c r="DD207" s="77">
        <v>412</v>
      </c>
      <c r="DE207" s="77">
        <v>408.6</v>
      </c>
      <c r="DF207" s="77">
        <v>405</v>
      </c>
      <c r="DG207" s="196">
        <f>AVERAGE(DC207:DF207)</f>
        <v>410.35</v>
      </c>
      <c r="DI207" s="77">
        <v>401.5</v>
      </c>
      <c r="DJ207" s="77">
        <v>398.6</v>
      </c>
      <c r="DK207" s="77">
        <v>396.6</v>
      </c>
      <c r="DL207" s="77">
        <v>395.2</v>
      </c>
      <c r="DM207" s="196">
        <f>AVERAGE(DI207:DL207)</f>
        <v>397.97500000000002</v>
      </c>
      <c r="DO207" s="77">
        <v>394.8</v>
      </c>
      <c r="DP207" s="77">
        <v>394</v>
      </c>
      <c r="DQ207" s="77">
        <v>393.4</v>
      </c>
      <c r="DR207" s="77">
        <v>393.8</v>
      </c>
      <c r="DS207" s="196">
        <f>AVERAGE(DO207:DR207)</f>
        <v>393.99999999999994</v>
      </c>
      <c r="DT207" s="77"/>
      <c r="DU207" s="77">
        <v>393.7</v>
      </c>
      <c r="DV207" s="77">
        <v>393.5</v>
      </c>
      <c r="DW207" s="77">
        <v>393.6</v>
      </c>
      <c r="DX207" s="77">
        <v>393.6</v>
      </c>
      <c r="DY207" s="196">
        <f>AVERAGE(DU207:DX207)</f>
        <v>393.6</v>
      </c>
      <c r="EA207" s="77">
        <v>392.5</v>
      </c>
      <c r="EB207" s="77">
        <v>388.4</v>
      </c>
      <c r="EC207" s="77">
        <v>387.6</v>
      </c>
      <c r="ED207" s="77">
        <v>387</v>
      </c>
      <c r="EE207" s="196">
        <f>AVERAGE(EA207:ED207)</f>
        <v>388.875</v>
      </c>
      <c r="EG207" s="77">
        <v>385.7</v>
      </c>
      <c r="EH207" s="77">
        <v>384.60848504036721</v>
      </c>
      <c r="EI207" s="77">
        <v>383.81697008073445</v>
      </c>
      <c r="EJ207" s="77">
        <v>383.02545512110169</v>
      </c>
      <c r="EK207" s="196">
        <f>AVERAGE(EG207:EJ207)</f>
        <v>384.28772756055088</v>
      </c>
      <c r="FG207" s="77">
        <f>BK207</f>
        <v>433.45</v>
      </c>
      <c r="FH207" s="77">
        <f>BQ207</f>
        <v>440.2</v>
      </c>
      <c r="FI207" s="77">
        <f>BW207</f>
        <v>433.05</v>
      </c>
      <c r="FJ207" s="77">
        <f>CC207</f>
        <v>427.65000000000003</v>
      </c>
      <c r="FK207" s="77">
        <f>CI207</f>
        <v>431.75</v>
      </c>
      <c r="FL207" s="77">
        <f>CO207</f>
        <v>426.5</v>
      </c>
      <c r="FM207" s="77">
        <f>CU207</f>
        <v>421.77499999999998</v>
      </c>
      <c r="FN207" s="77">
        <f>DA207</f>
        <v>419.07500000000005</v>
      </c>
      <c r="FO207" s="77">
        <f>DG207</f>
        <v>410.35</v>
      </c>
      <c r="FP207" s="77">
        <f>DM207</f>
        <v>397.97500000000002</v>
      </c>
      <c r="FQ207" s="77">
        <f>DS207</f>
        <v>393.99999999999994</v>
      </c>
      <c r="FR207" s="77">
        <f>DY207</f>
        <v>393.6</v>
      </c>
      <c r="FS207" s="77">
        <f>EE207</f>
        <v>388.875</v>
      </c>
      <c r="FT207" s="77">
        <f>EK207</f>
        <v>384.28772756055088</v>
      </c>
      <c r="FU207" s="77">
        <f>FU206+FU208</f>
        <v>377.95560788348899</v>
      </c>
      <c r="FV207" s="77">
        <f>FV206+FV208</f>
        <v>374.78954804495805</v>
      </c>
      <c r="FW207" s="77">
        <f>FW206+FW208</f>
        <v>371.62348820642711</v>
      </c>
      <c r="FX207" s="77">
        <f>FX206+FX208</f>
        <v>368.45742836789617</v>
      </c>
    </row>
    <row r="208" spans="2:180" x14ac:dyDescent="0.25">
      <c r="B208" s="200" t="s">
        <v>191</v>
      </c>
      <c r="D208" s="74"/>
      <c r="E208" s="114"/>
      <c r="F208" s="114"/>
      <c r="H208" s="196"/>
      <c r="J208" s="74"/>
      <c r="K208" s="196"/>
      <c r="L208" s="196"/>
      <c r="M208" s="196"/>
      <c r="N208" s="196"/>
      <c r="P208" s="74"/>
      <c r="Q208" s="196"/>
      <c r="R208" s="196"/>
      <c r="S208" s="196"/>
      <c r="T208" s="196"/>
      <c r="U208" s="88"/>
      <c r="V208" s="88"/>
      <c r="W208" s="196"/>
      <c r="X208" s="196"/>
      <c r="Y208" s="196"/>
      <c r="Z208" s="88"/>
      <c r="AA208" s="88"/>
      <c r="AB208" s="88"/>
      <c r="AC208" s="196"/>
      <c r="AD208" s="196"/>
      <c r="AE208" s="196"/>
      <c r="AF208" s="88"/>
      <c r="AG208" s="88"/>
      <c r="AI208" s="77">
        <f>AI207-AI206</f>
        <v>0</v>
      </c>
      <c r="AJ208" s="77">
        <f>AJ207-AJ206</f>
        <v>0</v>
      </c>
      <c r="AK208" s="77">
        <f>AK207-AK206</f>
        <v>2.3000000000000114</v>
      </c>
      <c r="AL208" s="77">
        <f>AL207-AL206</f>
        <v>3.7229999999999563</v>
      </c>
      <c r="AM208" s="77">
        <f>AM207-AM206</f>
        <v>1.5057500000000346</v>
      </c>
      <c r="AO208" s="77">
        <f>AO207-AO206</f>
        <v>3.8999999999999773</v>
      </c>
      <c r="AP208" s="77">
        <f>AP207-AP206</f>
        <v>3.7999999999999545</v>
      </c>
      <c r="AQ208" s="77">
        <f>AQ207-AQ206</f>
        <v>3.8000000000000114</v>
      </c>
      <c r="AR208" s="77">
        <f>AR207-AR206</f>
        <v>4</v>
      </c>
      <c r="AS208" s="77">
        <f>AS207-AS206</f>
        <v>3.875</v>
      </c>
      <c r="AU208" s="77">
        <f>AU207-AU206</f>
        <v>4</v>
      </c>
      <c r="AV208" s="77">
        <f>AV207-AV206</f>
        <v>3.3999999999999773</v>
      </c>
      <c r="AW208" s="77">
        <f>AW207-AW206</f>
        <v>3.4000000000000341</v>
      </c>
      <c r="AX208" s="77">
        <f>AX207-AX206</f>
        <v>3.3999999999999773</v>
      </c>
      <c r="AY208" s="77">
        <f>AY207-AY206</f>
        <v>3.5500000000000114</v>
      </c>
      <c r="BA208" s="77">
        <f>BA207-BA206</f>
        <v>3.1999999999999806E-3</v>
      </c>
      <c r="BB208" s="77">
        <f>BB207-BB206</f>
        <v>3.2000000000000361E-3</v>
      </c>
      <c r="BC208" s="77">
        <f>BC207-BC206</f>
        <v>3.1999999999999806E-3</v>
      </c>
      <c r="BD208" s="77">
        <f>BD207-BD206</f>
        <v>2.8999999999999773</v>
      </c>
      <c r="BE208" s="77">
        <f>BE207-BE206</f>
        <v>0.72739999999998872</v>
      </c>
      <c r="BG208" s="77">
        <f>BG207-BG206</f>
        <v>3.1000000000000227</v>
      </c>
      <c r="BH208" s="77">
        <f>BH207-BH206</f>
        <v>4.2999999999999545</v>
      </c>
      <c r="BI208" s="77">
        <f>BI207-BI206</f>
        <v>4.1000000000000227</v>
      </c>
      <c r="BJ208" s="77">
        <f>BJ207-BJ206</f>
        <v>3.6999999999999886</v>
      </c>
      <c r="BK208" s="77">
        <f>BK207-BK206</f>
        <v>3.8000000000000114</v>
      </c>
      <c r="BM208" s="77">
        <f>BM207-BM206</f>
        <v>3.5</v>
      </c>
      <c r="BN208" s="77">
        <f>BN207-BN206</f>
        <v>3.1000000000000227</v>
      </c>
      <c r="BO208" s="77">
        <f>BO207-BO206</f>
        <v>2.8999999999999773</v>
      </c>
      <c r="BP208" s="77">
        <f>BP207-BP206</f>
        <v>2.5999999999999659</v>
      </c>
      <c r="BQ208" s="77">
        <f>BQ207-BQ206</f>
        <v>3.0250000000000341</v>
      </c>
      <c r="BS208" s="77">
        <f>BS207-BS206</f>
        <v>2.6999999999999886</v>
      </c>
      <c r="BT208" s="77">
        <f>BT207-BT206</f>
        <v>2.4000000000000341</v>
      </c>
      <c r="BU208" s="77">
        <f>BU207-BU206</f>
        <v>2.4000000000000341</v>
      </c>
      <c r="BV208" s="77">
        <f>BV207-BV206</f>
        <v>2</v>
      </c>
      <c r="BW208" s="77">
        <f>BW207-BW206</f>
        <v>2.375</v>
      </c>
      <c r="BY208" s="77">
        <f>BY207-BY206</f>
        <v>2.1000000000000227</v>
      </c>
      <c r="BZ208" s="77">
        <f>BZ207-BZ206</f>
        <v>2</v>
      </c>
      <c r="CA208" s="77">
        <f>CA207-CA206</f>
        <v>2</v>
      </c>
      <c r="CB208" s="77">
        <f>CB207-CB206</f>
        <v>2.0999999999999659</v>
      </c>
      <c r="CC208" s="77">
        <f>CC207-CC206</f>
        <v>2.0500000000000114</v>
      </c>
      <c r="CE208" s="77">
        <f>CE207-CE206</f>
        <v>2.1999999999999886</v>
      </c>
      <c r="CF208" s="77">
        <f>CF207-CF206</f>
        <v>2</v>
      </c>
      <c r="CG208" s="77">
        <f>CG207-CG206</f>
        <v>1.8999999999999773</v>
      </c>
      <c r="CH208" s="77">
        <f>CH207-CH206</f>
        <v>1.9000000000000341</v>
      </c>
      <c r="CI208" s="77">
        <f>CI207-CI206</f>
        <v>2</v>
      </c>
      <c r="CK208" s="77">
        <f>CK207-CK206</f>
        <v>1.6999999999999886</v>
      </c>
      <c r="CL208" s="77">
        <f>CL207-CL206</f>
        <v>1.6000000000000227</v>
      </c>
      <c r="CM208" s="77">
        <f>CM207-CM206</f>
        <v>1.5999999999999659</v>
      </c>
      <c r="CN208" s="77">
        <f>CN207-CN206</f>
        <v>1.4000000000000341</v>
      </c>
      <c r="CO208" s="77">
        <f>CO207-CO206</f>
        <v>1.5749999999999886</v>
      </c>
      <c r="CQ208" s="77">
        <f>CQ207-CQ206</f>
        <v>1.3999999999999773</v>
      </c>
      <c r="CR208" s="77">
        <f>CR207-CR206</f>
        <v>0.69999999999998863</v>
      </c>
      <c r="CS208" s="77">
        <f>CS207-CS206</f>
        <v>0.80000000000001137</v>
      </c>
      <c r="CT208" s="77">
        <f>CT207-CT206</f>
        <v>1</v>
      </c>
      <c r="CU208" s="77">
        <f>CU207-CU206</f>
        <v>0.97500000000002274</v>
      </c>
      <c r="CW208" s="77">
        <f>CW207-CW206</f>
        <v>0.69999999999998863</v>
      </c>
      <c r="CX208" s="77">
        <f>CX207-CX206</f>
        <v>0.60000000000002274</v>
      </c>
      <c r="CY208" s="77">
        <f>CY207-CY206</f>
        <v>0.80000000000001137</v>
      </c>
      <c r="CZ208" s="77">
        <f>CZ207-CZ206</f>
        <v>0.89999999999997726</v>
      </c>
      <c r="DA208" s="77">
        <f>DA207-DA206</f>
        <v>0.75000000000005684</v>
      </c>
      <c r="DC208" s="77">
        <f>DC207-DC206</f>
        <v>0.5</v>
      </c>
      <c r="DD208" s="77">
        <f>DD207-DD206</f>
        <v>0.5</v>
      </c>
      <c r="DE208" s="77">
        <f>DE207-DE206</f>
        <v>0.70000000000004547</v>
      </c>
      <c r="DF208" s="77">
        <f>DF207-DF206</f>
        <v>0.69999999999998863</v>
      </c>
      <c r="DG208" s="77">
        <f>DG207-DG206</f>
        <v>0.60000000000007958</v>
      </c>
      <c r="DI208" s="77">
        <f>DI207-DI206</f>
        <v>0.39999999999997726</v>
      </c>
      <c r="DJ208" s="77">
        <f>DJ207-DJ206</f>
        <v>0.30000000000001137</v>
      </c>
      <c r="DK208" s="77">
        <f>DK207-DK206</f>
        <v>0.40000000000003411</v>
      </c>
      <c r="DL208" s="77">
        <f>DL207-DL206</f>
        <v>0.30000000000001137</v>
      </c>
      <c r="DM208" s="77">
        <f>DM207-DM206</f>
        <v>0.35000000000002274</v>
      </c>
      <c r="DO208" s="77">
        <f>DO207-DO206</f>
        <v>0.30000000000001137</v>
      </c>
      <c r="DP208" s="77">
        <f>DP207-DP206</f>
        <v>0.19999999999998863</v>
      </c>
      <c r="DQ208" s="77">
        <f>DQ207-DQ206</f>
        <v>-0.30000000000001137</v>
      </c>
      <c r="DR208" s="77">
        <f>DR207-DR206</f>
        <v>0.40000000000003411</v>
      </c>
      <c r="DS208" s="77">
        <f>DS207-DS206</f>
        <v>0.14999999999992042</v>
      </c>
      <c r="DT208" s="77"/>
      <c r="DU208" s="77">
        <f>DR208</f>
        <v>0.40000000000003411</v>
      </c>
      <c r="DV208" s="77">
        <f>DU208</f>
        <v>0.40000000000003411</v>
      </c>
      <c r="DW208" s="77">
        <f>DW207-DW206</f>
        <v>0.40000000000003411</v>
      </c>
      <c r="DX208" s="77">
        <f>DX207-DX206</f>
        <v>0.30000000000001137</v>
      </c>
      <c r="DY208" s="77">
        <f>DY207-DY206</f>
        <v>0.32500000000004547</v>
      </c>
      <c r="EA208" s="77">
        <f>DX208</f>
        <v>0.30000000000001137</v>
      </c>
      <c r="EB208" s="77">
        <f>DY208</f>
        <v>0.32500000000004547</v>
      </c>
      <c r="EC208" s="77">
        <f>DZ208</f>
        <v>0</v>
      </c>
      <c r="ED208" s="77">
        <f>EA208</f>
        <v>0.30000000000001137</v>
      </c>
      <c r="EE208" s="77">
        <f>EE207-EE206</f>
        <v>0.55000000000001137</v>
      </c>
      <c r="EG208" s="95">
        <f>EF208</f>
        <v>0</v>
      </c>
      <c r="EH208" s="95">
        <f>EG208</f>
        <v>0</v>
      </c>
      <c r="EI208" s="95">
        <f>EH208</f>
        <v>0</v>
      </c>
      <c r="EJ208" s="95">
        <f>EI208</f>
        <v>0</v>
      </c>
      <c r="EK208" s="77">
        <f>EK207-EK206</f>
        <v>7.5000000000045475E-2</v>
      </c>
      <c r="FG208" s="77">
        <f>BK208</f>
        <v>3.8000000000000114</v>
      </c>
      <c r="FH208" s="77">
        <f>BQ208</f>
        <v>3.0250000000000341</v>
      </c>
      <c r="FI208" s="77">
        <f>BW208</f>
        <v>2.375</v>
      </c>
      <c r="FJ208" s="77">
        <f>CC208</f>
        <v>2.0500000000000114</v>
      </c>
      <c r="FK208" s="77">
        <f>CI208</f>
        <v>2</v>
      </c>
      <c r="FL208" s="77">
        <f>CO208</f>
        <v>1.5749999999999886</v>
      </c>
      <c r="FM208" s="77">
        <f>CU208</f>
        <v>0.97500000000002274</v>
      </c>
      <c r="FN208" s="77">
        <f>DA208</f>
        <v>0.75000000000005684</v>
      </c>
      <c r="FO208" s="77">
        <f>DG208</f>
        <v>0.60000000000007958</v>
      </c>
      <c r="FP208" s="77">
        <f>DM208</f>
        <v>0.35000000000002274</v>
      </c>
      <c r="FQ208" s="77">
        <f>DS208</f>
        <v>0.14999999999992042</v>
      </c>
      <c r="FR208" s="77">
        <f>DY208</f>
        <v>0.32500000000004547</v>
      </c>
      <c r="FS208" s="77">
        <f>EE208</f>
        <v>0.55000000000001137</v>
      </c>
      <c r="FT208" s="77">
        <f>EK208</f>
        <v>7.5000000000045475E-2</v>
      </c>
      <c r="FU208" s="95">
        <f>FT208</f>
        <v>7.5000000000045475E-2</v>
      </c>
      <c r="FV208" s="95">
        <f>FU208</f>
        <v>7.5000000000045475E-2</v>
      </c>
      <c r="FW208" s="95">
        <f>FV208</f>
        <v>7.5000000000045475E-2</v>
      </c>
      <c r="FX208" s="95">
        <f>FW208</f>
        <v>7.5000000000045475E-2</v>
      </c>
    </row>
    <row r="212" spans="1:180" x14ac:dyDescent="0.25">
      <c r="D212" s="74"/>
      <c r="E212" s="114"/>
      <c r="F212" s="114"/>
      <c r="H212" s="196"/>
      <c r="J212" s="74"/>
      <c r="K212" s="196"/>
      <c r="L212" s="196"/>
      <c r="M212" s="196"/>
      <c r="N212" s="196"/>
      <c r="P212" s="74"/>
      <c r="Q212" s="196"/>
      <c r="R212" s="196"/>
      <c r="S212" s="196"/>
      <c r="T212" s="196"/>
      <c r="U212" s="88"/>
      <c r="V212" s="88"/>
      <c r="W212" s="196"/>
      <c r="X212" s="196"/>
      <c r="Y212" s="196"/>
      <c r="Z212" s="88"/>
      <c r="AA212" s="88"/>
      <c r="AB212" s="88"/>
      <c r="AC212" s="196"/>
      <c r="AD212" s="196"/>
      <c r="AE212" s="196"/>
      <c r="AF212" s="88"/>
      <c r="AG212" s="88"/>
      <c r="AI212" s="88"/>
      <c r="AJ212" s="88"/>
      <c r="AK212" s="88"/>
      <c r="AL212" s="88"/>
      <c r="AS212" s="88"/>
    </row>
    <row r="213" spans="1:180" x14ac:dyDescent="0.25">
      <c r="B213" s="104" t="s">
        <v>190</v>
      </c>
      <c r="D213" s="74"/>
      <c r="E213" s="114"/>
      <c r="F213" s="114"/>
      <c r="H213" s="196"/>
      <c r="J213" s="74"/>
      <c r="K213" s="196"/>
      <c r="L213" s="196"/>
      <c r="M213" s="196"/>
      <c r="N213" s="196"/>
      <c r="P213" s="74"/>
      <c r="Q213" s="196"/>
      <c r="R213" s="196"/>
      <c r="S213" s="196"/>
      <c r="T213" s="196"/>
      <c r="U213" s="88"/>
      <c r="V213" s="88"/>
      <c r="W213" s="196"/>
      <c r="X213" s="196"/>
      <c r="Y213" s="196"/>
      <c r="Z213" s="88"/>
      <c r="AA213" s="88"/>
      <c r="AB213" s="88"/>
      <c r="AC213" s="196"/>
      <c r="AD213" s="196"/>
      <c r="AE213" s="196"/>
      <c r="AF213" s="88"/>
      <c r="AG213" s="88"/>
      <c r="AI213" s="88"/>
      <c r="AJ213" s="88"/>
      <c r="AK213" s="88"/>
      <c r="AL213" s="88"/>
      <c r="AS213" s="88"/>
    </row>
    <row r="214" spans="1:180" x14ac:dyDescent="0.25">
      <c r="D214" s="74"/>
      <c r="E214" s="114"/>
      <c r="F214" s="114"/>
      <c r="H214" s="196"/>
      <c r="J214" s="74"/>
      <c r="K214" s="196"/>
      <c r="L214" s="196"/>
      <c r="M214" s="196"/>
      <c r="N214" s="196"/>
      <c r="P214" s="74"/>
      <c r="Q214" s="196"/>
      <c r="R214" s="196"/>
      <c r="S214" s="196"/>
      <c r="T214" s="196"/>
      <c r="U214" s="88"/>
      <c r="V214" s="88"/>
      <c r="W214" s="196"/>
      <c r="X214" s="196"/>
      <c r="Y214" s="196"/>
      <c r="Z214" s="88"/>
      <c r="AA214" s="88"/>
      <c r="AB214" s="88"/>
      <c r="AC214" s="196"/>
      <c r="AD214" s="196"/>
      <c r="AE214" s="196"/>
      <c r="AF214" s="88"/>
      <c r="AG214" s="88"/>
      <c r="AI214" s="88"/>
      <c r="AJ214" s="88"/>
      <c r="AK214" s="88"/>
      <c r="AL214" s="88"/>
      <c r="AS214" s="88"/>
    </row>
    <row r="215" spans="1:180" x14ac:dyDescent="0.25">
      <c r="B215" s="198" t="s">
        <v>189</v>
      </c>
      <c r="D215" s="74"/>
      <c r="E215" s="114"/>
      <c r="F215" s="114"/>
      <c r="H215" s="88"/>
      <c r="J215" s="74"/>
      <c r="K215" s="88"/>
      <c r="L215" s="88"/>
      <c r="M215" s="88"/>
      <c r="N215" s="88"/>
      <c r="O215" s="88" t="s">
        <v>188</v>
      </c>
      <c r="P215" s="74"/>
      <c r="Q215" s="88"/>
      <c r="R215" s="88"/>
      <c r="S215" s="88"/>
      <c r="T215" s="88"/>
      <c r="U215" s="88" t="s">
        <v>188</v>
      </c>
      <c r="V215" s="88"/>
      <c r="W215" s="88"/>
      <c r="X215" s="88"/>
      <c r="Y215" s="88"/>
      <c r="Z215" s="88"/>
      <c r="AA215" s="117" t="s">
        <v>188</v>
      </c>
      <c r="AG215" s="117" t="s">
        <v>188</v>
      </c>
      <c r="AP215" s="196">
        <v>1500</v>
      </c>
      <c r="AQ215" s="196">
        <v>1803</v>
      </c>
      <c r="AR215" s="196">
        <v>2061</v>
      </c>
      <c r="AS215" s="196">
        <f>AR215</f>
        <v>2061</v>
      </c>
      <c r="AU215" s="196">
        <v>2122</v>
      </c>
      <c r="AV215" s="196">
        <v>2159</v>
      </c>
      <c r="AX215" s="196">
        <v>1935</v>
      </c>
      <c r="AY215" s="196">
        <f>AX215</f>
        <v>1935</v>
      </c>
      <c r="BA215" s="196">
        <v>1833</v>
      </c>
      <c r="BB215" s="196">
        <v>1860</v>
      </c>
      <c r="BC215" s="196">
        <v>2027</v>
      </c>
      <c r="BD215" s="196">
        <v>2139</v>
      </c>
      <c r="BG215" s="196">
        <v>2249</v>
      </c>
      <c r="BH215" s="196">
        <v>2482</v>
      </c>
      <c r="BI215" s="196">
        <v>2825</v>
      </c>
      <c r="BJ215" s="196">
        <v>2865</v>
      </c>
      <c r="BM215" s="196">
        <v>2867</v>
      </c>
      <c r="BN215" s="196">
        <v>2820</v>
      </c>
      <c r="BO215" s="196">
        <v>2771</v>
      </c>
      <c r="BP215" s="196">
        <v>2754</v>
      </c>
      <c r="BS215" s="196">
        <v>2644</v>
      </c>
      <c r="BT215" s="196">
        <v>2527</v>
      </c>
      <c r="BU215" s="196">
        <v>2498</v>
      </c>
      <c r="BV215" s="196">
        <v>2513</v>
      </c>
      <c r="BW215" s="196">
        <v>2513</v>
      </c>
      <c r="BY215" s="196">
        <v>2492</v>
      </c>
      <c r="BZ215" s="196">
        <v>2569</v>
      </c>
      <c r="CA215" s="196">
        <v>2599</v>
      </c>
      <c r="CB215" s="196">
        <v>2656</v>
      </c>
      <c r="CE215" s="196">
        <v>2657</v>
      </c>
      <c r="CF215" s="196">
        <v>2722</v>
      </c>
      <c r="CG215" s="196">
        <v>2826</v>
      </c>
      <c r="CH215" s="196">
        <v>2997</v>
      </c>
      <c r="CK215" s="196">
        <v>3271</v>
      </c>
      <c r="CL215" s="196">
        <v>3407</v>
      </c>
      <c r="CM215" s="196">
        <v>3378</v>
      </c>
      <c r="CN215" s="196">
        <v>3203</v>
      </c>
      <c r="CQ215" s="196">
        <v>2395</v>
      </c>
      <c r="CR215" s="196">
        <v>2157</v>
      </c>
      <c r="CS215" s="196">
        <v>1913</v>
      </c>
      <c r="CT215" s="196">
        <v>1681</v>
      </c>
      <c r="CW215" s="196">
        <v>1467</v>
      </c>
      <c r="CX215" s="196">
        <v>1482</v>
      </c>
      <c r="CY215" s="196">
        <v>1451</v>
      </c>
      <c r="CZ215" s="196">
        <v>1459</v>
      </c>
      <c r="DC215" s="196">
        <v>1561</v>
      </c>
      <c r="DD215" s="196">
        <v>1609</v>
      </c>
      <c r="DE215" s="196">
        <v>1659</v>
      </c>
      <c r="DF215" s="196">
        <v>2155</v>
      </c>
      <c r="DG215" s="196">
        <v>2155</v>
      </c>
      <c r="DI215" s="196">
        <v>2329</v>
      </c>
      <c r="DJ215" s="196">
        <v>2689</v>
      </c>
      <c r="DK215" s="196">
        <v>2875</v>
      </c>
      <c r="DL215" s="196">
        <v>2974</v>
      </c>
      <c r="DM215" s="196">
        <v>2974</v>
      </c>
      <c r="DO215" s="196">
        <v>2816</v>
      </c>
      <c r="DP215" s="196">
        <v>2676</v>
      </c>
      <c r="DQ215" s="196">
        <v>2416</v>
      </c>
      <c r="DR215" s="196">
        <v>2107</v>
      </c>
      <c r="DS215" s="196">
        <v>2107</v>
      </c>
      <c r="DT215" s="196"/>
      <c r="DU215" s="196">
        <v>1773</v>
      </c>
      <c r="DV215" s="196">
        <v>1584</v>
      </c>
      <c r="DW215" s="196">
        <v>1417</v>
      </c>
      <c r="DX215" s="196">
        <v>1241</v>
      </c>
      <c r="DY215" s="196">
        <v>1241</v>
      </c>
      <c r="EA215" s="196">
        <v>998</v>
      </c>
      <c r="EB215" s="196">
        <v>870</v>
      </c>
      <c r="EC215" s="196">
        <v>789</v>
      </c>
      <c r="ED215" s="196">
        <v>689</v>
      </c>
      <c r="EE215" s="196">
        <v>689</v>
      </c>
      <c r="EG215" s="196">
        <v>622</v>
      </c>
    </row>
    <row r="216" spans="1:180" x14ac:dyDescent="0.25">
      <c r="B216" s="198" t="s">
        <v>187</v>
      </c>
      <c r="D216" s="74"/>
      <c r="E216" s="114"/>
      <c r="F216" s="114"/>
      <c r="H216" s="196">
        <v>5071</v>
      </c>
      <c r="J216" s="74"/>
      <c r="K216" s="196">
        <v>5038</v>
      </c>
      <c r="L216" s="196">
        <v>5032</v>
      </c>
      <c r="M216" s="196">
        <v>5014</v>
      </c>
      <c r="N216" s="196">
        <v>5055</v>
      </c>
      <c r="O216" s="87">
        <f>AVERAGE(K216,L216,M216,N216)</f>
        <v>5034.75</v>
      </c>
      <c r="P216" s="74"/>
      <c r="Q216" s="196">
        <v>5088</v>
      </c>
      <c r="R216" s="196">
        <v>5209</v>
      </c>
      <c r="S216" s="196">
        <v>5388</v>
      </c>
      <c r="T216" s="196">
        <v>5594</v>
      </c>
      <c r="U216" s="87">
        <f>AVERAGE(Q216,R216,S216,T216)</f>
        <v>5319.75</v>
      </c>
      <c r="V216" s="88"/>
      <c r="W216" s="196">
        <v>5975</v>
      </c>
      <c r="X216" s="196">
        <v>6213</v>
      </c>
      <c r="Y216" s="196">
        <v>6403</v>
      </c>
      <c r="Z216" s="196">
        <v>6582</v>
      </c>
      <c r="AA216" s="87">
        <f>AVERAGE(W216,X216,Y216,Z216)</f>
        <v>6293.25</v>
      </c>
      <c r="AC216" s="196">
        <v>6765</v>
      </c>
      <c r="AD216" s="196">
        <v>6821</v>
      </c>
      <c r="AE216" s="196">
        <v>6907</v>
      </c>
      <c r="AF216" s="196">
        <v>6920</v>
      </c>
      <c r="AG216" s="87">
        <f>AVERAGE(AC216,AD216,AE216,AF216)</f>
        <v>6853.25</v>
      </c>
      <c r="AJ216" s="196">
        <v>6597</v>
      </c>
      <c r="AO216" s="196"/>
      <c r="AP216" s="196">
        <v>6691</v>
      </c>
      <c r="AQ216" s="196">
        <v>6919</v>
      </c>
      <c r="AR216" s="196">
        <v>7184</v>
      </c>
      <c r="AS216" s="196">
        <f>AR216</f>
        <v>7184</v>
      </c>
      <c r="AU216" s="196">
        <v>7402</v>
      </c>
      <c r="AV216" s="196">
        <v>7697</v>
      </c>
      <c r="AX216" s="196">
        <v>7955</v>
      </c>
      <c r="AY216" s="196">
        <f>AX216</f>
        <v>7955</v>
      </c>
      <c r="BA216" s="196">
        <v>7986</v>
      </c>
      <c r="BB216" s="196">
        <v>8010</v>
      </c>
      <c r="BC216" s="196">
        <v>8203</v>
      </c>
      <c r="BD216" s="196">
        <v>8497</v>
      </c>
      <c r="BG216" s="196">
        <v>8625</v>
      </c>
      <c r="BH216" s="196">
        <v>10001</v>
      </c>
      <c r="BI216" s="196">
        <v>10187</v>
      </c>
      <c r="BJ216" s="196">
        <v>10360</v>
      </c>
      <c r="BM216" s="196">
        <v>10582</v>
      </c>
      <c r="BN216" s="196">
        <v>10786</v>
      </c>
      <c r="BO216" s="196">
        <v>11076</v>
      </c>
      <c r="BP216" s="196">
        <v>11318</v>
      </c>
      <c r="BS216" s="196">
        <v>11533</v>
      </c>
      <c r="BT216" s="196">
        <v>11676</v>
      </c>
      <c r="BU216" s="196">
        <v>11920</v>
      </c>
      <c r="BV216" s="196">
        <v>12168</v>
      </c>
      <c r="BW216" s="196">
        <v>12168</v>
      </c>
      <c r="BY216" s="196">
        <v>12407</v>
      </c>
      <c r="BZ216" s="196">
        <v>12598</v>
      </c>
      <c r="CA216" s="196">
        <v>12933</v>
      </c>
      <c r="CB216" s="196">
        <v>13991</v>
      </c>
      <c r="CE216" s="196">
        <v>14483</v>
      </c>
      <c r="CF216" s="196">
        <v>15005</v>
      </c>
      <c r="CG216" s="196">
        <v>15615</v>
      </c>
      <c r="CH216" s="196">
        <v>16219</v>
      </c>
      <c r="CK216" s="196">
        <v>16994</v>
      </c>
      <c r="CL216" s="196">
        <v>16994</v>
      </c>
      <c r="CM216" s="196">
        <v>16994</v>
      </c>
      <c r="CN216" s="196">
        <v>16994</v>
      </c>
      <c r="CQ216" s="196">
        <v>21461</v>
      </c>
      <c r="CR216" s="196">
        <v>21461</v>
      </c>
      <c r="CS216" s="196">
        <v>21461</v>
      </c>
      <c r="CT216" s="196">
        <v>21461</v>
      </c>
      <c r="CW216" s="196">
        <v>23860</v>
      </c>
      <c r="CX216" s="196">
        <v>23860</v>
      </c>
      <c r="CY216" s="196">
        <v>23860</v>
      </c>
      <c r="CZ216" s="196">
        <v>23860</v>
      </c>
      <c r="DC216" s="196">
        <v>27248</v>
      </c>
      <c r="DD216" s="196">
        <v>27248</v>
      </c>
      <c r="DE216" s="196">
        <v>27248</v>
      </c>
      <c r="DF216" s="196">
        <v>27248</v>
      </c>
      <c r="DG216" s="196">
        <v>27248</v>
      </c>
      <c r="DI216" s="196">
        <v>30861</v>
      </c>
      <c r="DJ216" s="196">
        <v>32627</v>
      </c>
      <c r="DK216" s="196">
        <v>33127</v>
      </c>
      <c r="DL216" s="196">
        <v>33627</v>
      </c>
      <c r="DM216" s="196">
        <v>33627</v>
      </c>
      <c r="DO216" s="196">
        <v>37704</v>
      </c>
      <c r="DP216" s="196">
        <v>38866</v>
      </c>
      <c r="DQ216" s="196">
        <v>39850</v>
      </c>
      <c r="DR216" s="196">
        <v>40310</v>
      </c>
      <c r="DS216" s="196">
        <v>40310</v>
      </c>
      <c r="DT216" s="196"/>
      <c r="DU216" s="196">
        <v>40940</v>
      </c>
      <c r="DV216" s="196">
        <v>41505</v>
      </c>
      <c r="DW216" s="196">
        <v>42372</v>
      </c>
      <c r="DX216" s="196">
        <v>42786</v>
      </c>
      <c r="DY216" s="196">
        <v>42786</v>
      </c>
      <c r="EA216" s="196">
        <v>43129</v>
      </c>
      <c r="EB216" s="196">
        <v>43193</v>
      </c>
      <c r="EC216" s="196">
        <v>43461</v>
      </c>
      <c r="ED216" s="196">
        <v>43520</v>
      </c>
      <c r="EE216" s="196">
        <v>43520</v>
      </c>
      <c r="EG216" s="196">
        <v>43882</v>
      </c>
      <c r="FO216" s="77">
        <f>DG216</f>
        <v>27248</v>
      </c>
      <c r="FP216" s="77">
        <f>DM216</f>
        <v>33627</v>
      </c>
      <c r="FQ216" s="77">
        <f>DS216</f>
        <v>40310</v>
      </c>
      <c r="FR216" s="77">
        <f>DY216</f>
        <v>42786</v>
      </c>
      <c r="FS216" s="77"/>
      <c r="FT216" s="77"/>
    </row>
    <row r="217" spans="1:180" x14ac:dyDescent="0.25">
      <c r="B217" s="198" t="s">
        <v>186</v>
      </c>
      <c r="D217" s="74"/>
      <c r="E217" s="115">
        <v>0.80011215384615397</v>
      </c>
      <c r="F217" s="115">
        <v>0.83002061538461547</v>
      </c>
      <c r="G217" s="115">
        <v>0.81818848484848505</v>
      </c>
      <c r="H217" s="115">
        <v>0.7710796969696968</v>
      </c>
      <c r="J217" s="74"/>
      <c r="K217" s="115">
        <v>0.76301000000000008</v>
      </c>
      <c r="L217" s="115">
        <v>0.79496369230769237</v>
      </c>
      <c r="M217" s="115">
        <v>0.82000500000000009</v>
      </c>
      <c r="N217" s="115">
        <v>0.84147584615384619</v>
      </c>
      <c r="O217" s="87"/>
      <c r="P217" s="74"/>
      <c r="Q217" s="115">
        <v>0.83164107692307709</v>
      </c>
      <c r="R217" s="115">
        <v>0.79538461538461513</v>
      </c>
      <c r="S217" s="115">
        <v>0.78474907692307683</v>
      </c>
      <c r="T217" s="115">
        <v>0.77566153846153829</v>
      </c>
      <c r="U217" s="87"/>
      <c r="V217" s="88"/>
      <c r="W217" s="115">
        <v>0.76308076923076928</v>
      </c>
      <c r="X217" s="115">
        <v>0.74157046153846184</v>
      </c>
      <c r="Y217" s="115">
        <v>0.72769015384615365</v>
      </c>
      <c r="Z217" s="115">
        <v>0.69077590909090913</v>
      </c>
      <c r="AA217" s="116">
        <f>AVERAGE(W217,X217,Y217,Z217)</f>
        <v>0.73077932342657348</v>
      </c>
      <c r="AC217" s="115">
        <v>0.66776199999999986</v>
      </c>
      <c r="AD217" s="115">
        <v>0.64013276923076923</v>
      </c>
      <c r="AE217" s="115">
        <v>0.66686325373134303</v>
      </c>
      <c r="AF217" s="115">
        <f>1/1.31</f>
        <v>0.76335877862595414</v>
      </c>
      <c r="AG217" s="116">
        <f>AVERAGE(AC217,AD217,AE217,AF217)</f>
        <v>0.68452920039701648</v>
      </c>
      <c r="AI217" s="115">
        <f>AF217</f>
        <v>0.76335877862595414</v>
      </c>
      <c r="AJ217" s="115">
        <f>AI217</f>
        <v>0.76335877862595414</v>
      </c>
      <c r="AK217" s="115">
        <f>AJ217</f>
        <v>0.76335877862595414</v>
      </c>
      <c r="AL217" s="115">
        <f>AK217</f>
        <v>0.76335877862595414</v>
      </c>
      <c r="AM217" s="116">
        <f>AVERAGE(AI217,AJ217,AK217,AL217)</f>
        <v>0.76335877862595414</v>
      </c>
      <c r="AO217" s="115">
        <f>AL217</f>
        <v>0.76335877862595414</v>
      </c>
      <c r="AP217" s="115">
        <f>AO217</f>
        <v>0.76335877862595414</v>
      </c>
      <c r="AQ217" s="115">
        <f>AP217</f>
        <v>0.76335877862595414</v>
      </c>
      <c r="AR217" s="115">
        <f>AQ217</f>
        <v>0.76335877862595414</v>
      </c>
      <c r="FO217" s="77">
        <f>DG217</f>
        <v>0</v>
      </c>
      <c r="FP217" s="77">
        <f>DM217</f>
        <v>0</v>
      </c>
      <c r="FQ217" s="77">
        <f>DS217</f>
        <v>0</v>
      </c>
      <c r="FR217" s="77">
        <f>DY217</f>
        <v>0</v>
      </c>
      <c r="FS217" s="77"/>
      <c r="FT217" s="77"/>
    </row>
    <row r="223" spans="1:180" x14ac:dyDescent="0.25">
      <c r="A223" s="157" t="s">
        <v>98</v>
      </c>
      <c r="B223" s="156"/>
      <c r="C223" s="156"/>
      <c r="D223" s="156"/>
      <c r="E223" s="155" t="str">
        <f>E$3</f>
        <v>1Q04</v>
      </c>
      <c r="F223" s="155" t="str">
        <f>F$3</f>
        <v>2Q04</v>
      </c>
      <c r="G223" s="155" t="str">
        <f>G$3</f>
        <v>3Q04</v>
      </c>
      <c r="H223" s="155" t="str">
        <f>H$3</f>
        <v>4Q04</v>
      </c>
      <c r="I223" s="155">
        <f>I$3</f>
        <v>2004</v>
      </c>
      <c r="J223" s="156"/>
      <c r="K223" s="155" t="str">
        <f>K$3</f>
        <v>1Q05</v>
      </c>
      <c r="L223" s="155" t="str">
        <f>L$3</f>
        <v>2Q05</v>
      </c>
      <c r="M223" s="155" t="str">
        <f>M$3</f>
        <v>3Q05</v>
      </c>
      <c r="N223" s="155" t="str">
        <f>N$3</f>
        <v>4Q05</v>
      </c>
      <c r="O223" s="155">
        <f>O$3</f>
        <v>2005</v>
      </c>
      <c r="P223" s="156"/>
      <c r="Q223" s="155" t="str">
        <f>Q$3</f>
        <v>1Q06</v>
      </c>
      <c r="R223" s="155" t="str">
        <f>R$3</f>
        <v>2Q06</v>
      </c>
      <c r="S223" s="155" t="str">
        <f>S$3</f>
        <v>3Q06</v>
      </c>
      <c r="T223" s="155" t="str">
        <f>T$3</f>
        <v>4Q06</v>
      </c>
      <c r="U223" s="155">
        <f>U$3</f>
        <v>2006</v>
      </c>
      <c r="V223" s="156"/>
      <c r="W223" s="155" t="str">
        <f>W$3</f>
        <v>1Q07</v>
      </c>
      <c r="X223" s="155" t="str">
        <f>X$3</f>
        <v>2Q07</v>
      </c>
      <c r="Y223" s="155" t="str">
        <f>Y$3</f>
        <v>3Q07</v>
      </c>
      <c r="Z223" s="155" t="str">
        <f>Z$3</f>
        <v>4Q07</v>
      </c>
      <c r="AA223" s="155">
        <f>AA$3</f>
        <v>2007</v>
      </c>
      <c r="AB223" s="156"/>
      <c r="AC223" s="155" t="str">
        <f>AC$3</f>
        <v>1Q08</v>
      </c>
      <c r="AD223" s="155" t="str">
        <f>AD$3</f>
        <v>2Q08</v>
      </c>
      <c r="AE223" s="155" t="str">
        <f>AE$3</f>
        <v>3Q08</v>
      </c>
      <c r="AF223" s="155" t="str">
        <f>AF$3</f>
        <v>4Q08</v>
      </c>
      <c r="AG223" s="155">
        <f>AG$3</f>
        <v>2008</v>
      </c>
      <c r="AH223" s="156"/>
      <c r="AI223" s="155" t="str">
        <f>AI$3</f>
        <v>1Q09</v>
      </c>
      <c r="AJ223" s="155" t="str">
        <f>AJ$3</f>
        <v>2Q09</v>
      </c>
      <c r="AK223" s="155" t="str">
        <f>AK$3</f>
        <v>3Q09</v>
      </c>
      <c r="AL223" s="155" t="str">
        <f>AL$3</f>
        <v>4Q09</v>
      </c>
      <c r="AM223" s="155">
        <f>AM$3</f>
        <v>2009</v>
      </c>
      <c r="AN223" s="156"/>
      <c r="AO223" s="155" t="str">
        <f>AO$3</f>
        <v>1Q10</v>
      </c>
      <c r="AP223" s="155" t="str">
        <f>AP$3</f>
        <v>2Q10</v>
      </c>
      <c r="AQ223" s="155" t="str">
        <f>AQ$3</f>
        <v>3Q10</v>
      </c>
      <c r="AR223" s="155" t="str">
        <f>AR$3</f>
        <v>4Q10</v>
      </c>
      <c r="AS223" s="155">
        <f>AS$3</f>
        <v>2010</v>
      </c>
      <c r="AT223" s="156"/>
      <c r="AU223" s="155" t="str">
        <f>AU$3</f>
        <v>1Q11</v>
      </c>
      <c r="AV223" s="155" t="str">
        <f>AV$3</f>
        <v>2Q11</v>
      </c>
      <c r="AW223" s="155" t="str">
        <f>AW$3</f>
        <v>3Q11</v>
      </c>
      <c r="AX223" s="155" t="str">
        <f>AX$3</f>
        <v>4Q11</v>
      </c>
      <c r="AY223" s="155">
        <f>AY$3</f>
        <v>2011</v>
      </c>
      <c r="AZ223" s="156"/>
      <c r="BA223" s="155" t="str">
        <f>BA$3</f>
        <v>1Q12</v>
      </c>
      <c r="BB223" s="155" t="str">
        <f>BB$3</f>
        <v>2Q12</v>
      </c>
      <c r="BC223" s="155" t="str">
        <f>BC$3</f>
        <v>3Q12</v>
      </c>
      <c r="BD223" s="155" t="str">
        <f>BD$3</f>
        <v>4Q12</v>
      </c>
      <c r="BE223" s="155">
        <f>BE$3</f>
        <v>2012</v>
      </c>
      <c r="BF223" s="156"/>
      <c r="BG223" s="155" t="str">
        <f>BG$3</f>
        <v>1Q13</v>
      </c>
      <c r="BH223" s="155" t="str">
        <f>BH$3</f>
        <v>2Q13</v>
      </c>
      <c r="BI223" s="155" t="str">
        <f>BI$3</f>
        <v>3Q13</v>
      </c>
      <c r="BJ223" s="155" t="str">
        <f>BJ$3</f>
        <v>4Q13</v>
      </c>
      <c r="BK223" s="155"/>
      <c r="BL223" s="156"/>
      <c r="BM223" s="155" t="str">
        <f>BM$3</f>
        <v>1Q14</v>
      </c>
      <c r="BN223" s="155" t="str">
        <f>BN$3</f>
        <v>2Q14</v>
      </c>
      <c r="BO223" s="155" t="str">
        <f>BO$3</f>
        <v>3Q14</v>
      </c>
      <c r="BP223" s="155" t="str">
        <f>BP$3</f>
        <v>4Q14</v>
      </c>
      <c r="BQ223" s="155"/>
      <c r="BR223" s="156"/>
      <c r="BS223" s="155" t="str">
        <f>BS$3</f>
        <v>1Q15</v>
      </c>
      <c r="BT223" s="155" t="str">
        <f>BT$3</f>
        <v>2Q15</v>
      </c>
      <c r="BU223" s="155" t="str">
        <f>BU$3</f>
        <v>3Q15</v>
      </c>
      <c r="BV223" s="155" t="str">
        <f>BV$3</f>
        <v>4Q15</v>
      </c>
      <c r="BW223" s="155">
        <f>BW$3</f>
        <v>2015</v>
      </c>
      <c r="BX223" s="156"/>
      <c r="BY223" s="155" t="str">
        <f>BY$3</f>
        <v>1Q16</v>
      </c>
      <c r="BZ223" s="155" t="str">
        <f>BZ$3</f>
        <v>2Q16</v>
      </c>
      <c r="CA223" s="155" t="str">
        <f>CA$3</f>
        <v>3Q16</v>
      </c>
      <c r="CB223" s="155" t="str">
        <f>CB$3</f>
        <v>4Q16</v>
      </c>
      <c r="CC223" s="155">
        <f>CC$3</f>
        <v>2016</v>
      </c>
      <c r="CD223" s="156"/>
      <c r="CE223" s="155" t="str">
        <f>CE$3</f>
        <v>1Q17</v>
      </c>
      <c r="CF223" s="155" t="str">
        <f>CF$3</f>
        <v>2Q17</v>
      </c>
      <c r="CG223" s="155" t="str">
        <f>CG$3</f>
        <v>3Q17</v>
      </c>
      <c r="CH223" s="155" t="str">
        <f>CH$3</f>
        <v>4Q17</v>
      </c>
      <c r="CI223" s="155">
        <f>CI$3</f>
        <v>2017</v>
      </c>
      <c r="CJ223" s="156"/>
      <c r="CK223" s="155" t="str">
        <f>CK$3</f>
        <v>1Q18</v>
      </c>
      <c r="CL223" s="155" t="str">
        <f>CL$3</f>
        <v>2Q18</v>
      </c>
      <c r="CM223" s="155" t="str">
        <f>CM$3</f>
        <v>3Q18</v>
      </c>
      <c r="CN223" s="155" t="str">
        <f>CN$3</f>
        <v>4Q18</v>
      </c>
      <c r="CO223" s="155">
        <f>CO$3</f>
        <v>2018</v>
      </c>
      <c r="CP223" s="156"/>
      <c r="CQ223" s="155" t="str">
        <f>CQ$3</f>
        <v>1Q19</v>
      </c>
      <c r="CR223" s="155" t="str">
        <f>CR$3</f>
        <v>2Q19</v>
      </c>
      <c r="CS223" s="155" t="str">
        <f>CS$3</f>
        <v>3Q19</v>
      </c>
      <c r="CT223" s="155" t="str">
        <f>CT$3</f>
        <v>4Q19</v>
      </c>
      <c r="CU223" s="155">
        <f>CU$3</f>
        <v>2019</v>
      </c>
      <c r="CV223" s="156"/>
      <c r="CW223" s="155" t="str">
        <f>CW$3</f>
        <v>1Q20</v>
      </c>
      <c r="CX223" s="155" t="str">
        <f>CX$3</f>
        <v>2Q20</v>
      </c>
      <c r="CY223" s="155" t="str">
        <f>CY$3</f>
        <v>3Q20</v>
      </c>
      <c r="CZ223" s="155" t="str">
        <f>CZ$3</f>
        <v>4Q20</v>
      </c>
      <c r="DA223" s="155">
        <f>DA$3</f>
        <v>2020</v>
      </c>
      <c r="DB223" s="156"/>
      <c r="DC223" s="155" t="str">
        <f>DC$3</f>
        <v>1Q21</v>
      </c>
      <c r="DD223" s="155" t="str">
        <f>DD$3</f>
        <v>2Q21</v>
      </c>
      <c r="DE223" s="155" t="str">
        <f>DE$3</f>
        <v>3Q21</v>
      </c>
      <c r="DF223" s="155" t="str">
        <f>DF$3</f>
        <v>4Q21</v>
      </c>
      <c r="DG223" s="155">
        <f>DG$3</f>
        <v>2021</v>
      </c>
      <c r="DH223" s="156"/>
      <c r="DI223" s="155" t="str">
        <f>DI$3</f>
        <v>1Q22</v>
      </c>
      <c r="DJ223" s="155" t="str">
        <f>DJ$3</f>
        <v>2Q22</v>
      </c>
      <c r="DK223" s="155" t="str">
        <f>DK$3</f>
        <v>3Q22</v>
      </c>
      <c r="DL223" s="155" t="str">
        <f>DL$3</f>
        <v>4Q22</v>
      </c>
      <c r="DM223" s="155">
        <f>DM$3</f>
        <v>2022</v>
      </c>
      <c r="DN223" s="156"/>
      <c r="DO223" s="155" t="str">
        <f>DO$3</f>
        <v>1Q23</v>
      </c>
      <c r="DP223" s="155" t="str">
        <f>DP$3</f>
        <v>2Q23</v>
      </c>
      <c r="DQ223" s="155" t="str">
        <f>DQ$3</f>
        <v>3Q23</v>
      </c>
      <c r="DR223" s="155" t="str">
        <f>DR$3</f>
        <v>4Q23</v>
      </c>
      <c r="DS223" s="155">
        <f>DS$3</f>
        <v>2023</v>
      </c>
      <c r="DT223" s="155"/>
      <c r="DU223" s="155" t="str">
        <f>DU$3</f>
        <v>1Q24</v>
      </c>
      <c r="DV223" s="155" t="str">
        <f>DV$3</f>
        <v>2Q24</v>
      </c>
      <c r="DW223" s="155" t="str">
        <f>DW$3</f>
        <v>3Q24</v>
      </c>
      <c r="DX223" s="155" t="str">
        <f>DX$3</f>
        <v>4Q24</v>
      </c>
      <c r="DY223" s="155">
        <f>DY$3</f>
        <v>2024</v>
      </c>
      <c r="DZ223" s="156"/>
      <c r="EA223" s="155" t="str">
        <f>EA$3</f>
        <v>1Q25</v>
      </c>
      <c r="EB223" s="155" t="str">
        <f>EB$3</f>
        <v>2Q25</v>
      </c>
      <c r="EC223" s="155" t="str">
        <f>EC$3</f>
        <v>3Q25</v>
      </c>
      <c r="ED223" s="155" t="str">
        <f>ED$3</f>
        <v>4Q25</v>
      </c>
      <c r="EE223" s="155">
        <f>EE$3</f>
        <v>2025</v>
      </c>
      <c r="EF223" s="156"/>
      <c r="EG223" s="155" t="str">
        <f>EG$3</f>
        <v>1Q26</v>
      </c>
      <c r="EH223" s="155" t="str">
        <f>EH$3</f>
        <v>2Q26e</v>
      </c>
      <c r="EI223" s="155" t="str">
        <f>EI$3</f>
        <v>3Q26e</v>
      </c>
      <c r="EJ223" s="155" t="str">
        <f>EJ$3</f>
        <v>4Q26e</v>
      </c>
      <c r="EK223" s="155" t="str">
        <f>EK$3</f>
        <v>2026e</v>
      </c>
      <c r="EP223" s="195"/>
      <c r="ET223" s="155"/>
      <c r="EU223" s="155"/>
      <c r="EV223" s="155">
        <f t="shared" ref="EV223:FX223" si="185">EV$3</f>
        <v>2002</v>
      </c>
      <c r="EW223" s="155">
        <f t="shared" si="185"/>
        <v>2003</v>
      </c>
      <c r="EX223" s="155">
        <f t="shared" si="185"/>
        <v>2004</v>
      </c>
      <c r="EY223" s="155">
        <f t="shared" si="185"/>
        <v>2005</v>
      </c>
      <c r="EZ223" s="155">
        <f t="shared" si="185"/>
        <v>2006</v>
      </c>
      <c r="FA223" s="155">
        <f t="shared" si="185"/>
        <v>2007</v>
      </c>
      <c r="FB223" s="155">
        <f t="shared" si="185"/>
        <v>2008</v>
      </c>
      <c r="FC223" s="155">
        <f t="shared" si="185"/>
        <v>2009</v>
      </c>
      <c r="FD223" s="155">
        <f t="shared" si="185"/>
        <v>2010</v>
      </c>
      <c r="FE223" s="155">
        <f t="shared" si="185"/>
        <v>2011</v>
      </c>
      <c r="FF223" s="155">
        <f t="shared" si="185"/>
        <v>2012</v>
      </c>
      <c r="FG223" s="155">
        <f t="shared" si="185"/>
        <v>2013</v>
      </c>
      <c r="FH223" s="155">
        <f t="shared" si="185"/>
        <v>2014</v>
      </c>
      <c r="FI223" s="155">
        <f t="shared" si="185"/>
        <v>2015</v>
      </c>
      <c r="FJ223" s="155">
        <f t="shared" si="185"/>
        <v>2016</v>
      </c>
      <c r="FK223" s="155">
        <f t="shared" si="185"/>
        <v>2017</v>
      </c>
      <c r="FL223" s="155">
        <f t="shared" si="185"/>
        <v>2018</v>
      </c>
      <c r="FM223" s="155">
        <f t="shared" si="185"/>
        <v>2019</v>
      </c>
      <c r="FN223" s="155">
        <f t="shared" si="185"/>
        <v>2020</v>
      </c>
      <c r="FO223" s="155">
        <f t="shared" si="185"/>
        <v>2021</v>
      </c>
      <c r="FP223" s="155">
        <f t="shared" si="185"/>
        <v>2022</v>
      </c>
      <c r="FQ223" s="155">
        <f t="shared" si="185"/>
        <v>2023</v>
      </c>
      <c r="FR223" s="155">
        <f t="shared" si="185"/>
        <v>2024</v>
      </c>
      <c r="FS223" s="155">
        <f t="shared" si="185"/>
        <v>2025</v>
      </c>
      <c r="FT223" s="155" t="str">
        <f t="shared" si="185"/>
        <v>2026e</v>
      </c>
      <c r="FU223" s="155" t="str">
        <f t="shared" si="185"/>
        <v>2027e</v>
      </c>
      <c r="FV223" s="155" t="str">
        <f t="shared" si="185"/>
        <v>2028e</v>
      </c>
      <c r="FW223" s="155" t="str">
        <f t="shared" si="185"/>
        <v>2029e</v>
      </c>
      <c r="FX223" s="155" t="str">
        <f t="shared" si="185"/>
        <v>2030e</v>
      </c>
    </row>
    <row r="224" spans="1:180" x14ac:dyDescent="0.25">
      <c r="A224" s="305" t="str">
        <f>$A$3</f>
        <v>EURm unless otherwise stated</v>
      </c>
      <c r="C224" s="74"/>
      <c r="D224" s="74"/>
      <c r="J224" s="74"/>
      <c r="L224" s="74"/>
      <c r="P224" s="74"/>
      <c r="Q224" s="74"/>
      <c r="EU224" s="114"/>
    </row>
    <row r="225" spans="1:184" x14ac:dyDescent="0.25">
      <c r="A225" s="84"/>
      <c r="C225" s="74"/>
      <c r="D225" s="74"/>
      <c r="J225" s="74"/>
      <c r="L225" s="74"/>
      <c r="P225" s="74"/>
      <c r="Q225" s="74"/>
      <c r="EU225" s="114"/>
    </row>
    <row r="226" spans="1:184" x14ac:dyDescent="0.25">
      <c r="B226" s="198" t="s">
        <v>184</v>
      </c>
      <c r="C226" s="74"/>
      <c r="D226" s="74"/>
      <c r="E226" s="196"/>
      <c r="F226" s="196"/>
      <c r="G226" s="196"/>
      <c r="H226" s="196">
        <v>303691</v>
      </c>
      <c r="I226" s="196"/>
      <c r="J226" s="74"/>
      <c r="K226" s="196">
        <v>310316</v>
      </c>
      <c r="L226" s="196">
        <v>306919</v>
      </c>
      <c r="M226" s="196">
        <v>292799</v>
      </c>
      <c r="N226" s="196">
        <v>278581</v>
      </c>
      <c r="O226" s="196"/>
      <c r="Q226" s="196">
        <v>278114</v>
      </c>
      <c r="R226" s="196">
        <v>287000</v>
      </c>
      <c r="S226" s="196">
        <v>281454</v>
      </c>
      <c r="T226" s="196">
        <v>270890</v>
      </c>
      <c r="U226" s="196"/>
      <c r="W226" s="196">
        <v>288522</v>
      </c>
      <c r="X226" s="196">
        <v>313507</v>
      </c>
      <c r="Y226" s="196">
        <v>343246</v>
      </c>
      <c r="Z226" s="196">
        <v>380894</v>
      </c>
      <c r="AC226" s="196">
        <v>401359</v>
      </c>
      <c r="AD226" s="196">
        <v>458100</v>
      </c>
      <c r="AE226" s="196">
        <v>503057</v>
      </c>
      <c r="AF226" s="196">
        <v>540640</v>
      </c>
      <c r="AI226" s="196">
        <v>586644</v>
      </c>
      <c r="AJ226" s="196">
        <v>591917</v>
      </c>
      <c r="AK226" s="196">
        <v>561684</v>
      </c>
      <c r="AL226" s="196">
        <v>655360</v>
      </c>
      <c r="AO226" s="196">
        <v>720700</v>
      </c>
      <c r="AP226" s="196">
        <v>742800</v>
      </c>
      <c r="AQ226" s="196">
        <v>720600</v>
      </c>
      <c r="AR226" s="196">
        <v>745331</v>
      </c>
      <c r="AU226" s="196">
        <v>848700</v>
      </c>
      <c r="AV226" s="196">
        <v>960200</v>
      </c>
      <c r="AW226" s="196">
        <v>1060300</v>
      </c>
      <c r="AX226" s="196">
        <v>1053600</v>
      </c>
      <c r="BA226" s="196">
        <v>1124600</v>
      </c>
      <c r="BB226" s="196">
        <v>1169200</v>
      </c>
      <c r="BC226" s="196">
        <v>1036900</v>
      </c>
      <c r="BD226" s="196">
        <v>1029900</v>
      </c>
      <c r="BG226" s="196">
        <v>1012.3</v>
      </c>
      <c r="BH226" s="196">
        <v>1127.2</v>
      </c>
      <c r="BI226" s="196">
        <v>1163.2</v>
      </c>
      <c r="BJ226" s="196">
        <v>1217.8</v>
      </c>
      <c r="BK226" s="196">
        <f>BJ226</f>
        <v>1217.8</v>
      </c>
      <c r="BM226" s="196">
        <v>1231.2</v>
      </c>
      <c r="BN226" s="196">
        <v>1275.0999999999999</v>
      </c>
      <c r="BO226" s="196">
        <v>1372.4</v>
      </c>
      <c r="BP226" s="196">
        <v>1447.5</v>
      </c>
      <c r="BQ226" s="196">
        <f>BP226</f>
        <v>1447.5</v>
      </c>
      <c r="BS226" s="196">
        <v>1523.4</v>
      </c>
      <c r="BT226" s="196">
        <v>1518.9</v>
      </c>
      <c r="BU226" s="196">
        <v>1532.6</v>
      </c>
      <c r="BV226" s="196">
        <v>1620.7</v>
      </c>
      <c r="BW226" s="196">
        <f>BV226</f>
        <v>1620.7</v>
      </c>
      <c r="BY226" s="196">
        <v>1580.3</v>
      </c>
      <c r="BZ226" s="196">
        <v>1608.9</v>
      </c>
      <c r="CA226" s="196">
        <v>1587.4</v>
      </c>
      <c r="CB226" s="196">
        <v>1687.2</v>
      </c>
      <c r="CC226" s="196">
        <f>CB226</f>
        <v>1687.2</v>
      </c>
      <c r="CE226" s="196">
        <v>1622.4</v>
      </c>
      <c r="CF226" s="196">
        <v>1567.3</v>
      </c>
      <c r="CG226" s="196">
        <v>1552</v>
      </c>
      <c r="CH226" s="196">
        <v>1600.8</v>
      </c>
      <c r="CI226" s="196">
        <f>CH226</f>
        <v>1600.8</v>
      </c>
      <c r="CK226" s="196">
        <v>1683.5</v>
      </c>
      <c r="CL226" s="196">
        <v>1584.6</v>
      </c>
      <c r="CM226" s="196">
        <v>1572.4</v>
      </c>
      <c r="CN226" s="196">
        <v>1589.5</v>
      </c>
      <c r="CO226" s="196">
        <f>CN226</f>
        <v>1589.5</v>
      </c>
      <c r="CQ226" s="196">
        <v>1621.8</v>
      </c>
      <c r="CR226" s="196">
        <v>1669.8</v>
      </c>
      <c r="CS226" s="196">
        <v>1817.9</v>
      </c>
      <c r="CT226" s="196">
        <v>1999.3</v>
      </c>
      <c r="CU226" s="196">
        <f>CT226</f>
        <v>1999.3</v>
      </c>
      <c r="CW226" s="196">
        <v>2046.9</v>
      </c>
      <c r="CX226" s="196">
        <v>2109.6</v>
      </c>
      <c r="CY226" s="196">
        <v>2198.3000000000002</v>
      </c>
      <c r="CZ226" s="196">
        <v>2470.3000000000002</v>
      </c>
      <c r="DA226" s="196">
        <f>CZ226</f>
        <v>2470.3000000000002</v>
      </c>
      <c r="DC226" s="196">
        <v>2521.6</v>
      </c>
      <c r="DD226" s="196">
        <v>2609.4</v>
      </c>
      <c r="DE226" s="196">
        <v>2730.3</v>
      </c>
      <c r="DF226" s="196">
        <v>2982.7</v>
      </c>
      <c r="DG226" s="196">
        <f t="shared" ref="DG226:DG232" si="186">DF226</f>
        <v>2982.7</v>
      </c>
      <c r="DI226" s="196">
        <v>3159.4</v>
      </c>
      <c r="DJ226" s="196">
        <v>3357.7</v>
      </c>
      <c r="DK226" s="196">
        <v>3561.7</v>
      </c>
      <c r="DL226" s="196">
        <v>3944.2</v>
      </c>
      <c r="DM226" s="196">
        <f>DL226</f>
        <v>3944.2</v>
      </c>
      <c r="DO226" s="196">
        <v>4354.8</v>
      </c>
      <c r="DP226" s="196">
        <v>4727.8999999999996</v>
      </c>
      <c r="DQ226" s="196">
        <v>5093.2</v>
      </c>
      <c r="DR226" s="196">
        <v>5493.2</v>
      </c>
      <c r="DS226" s="196">
        <f>DR226</f>
        <v>5493.2</v>
      </c>
      <c r="DT226" s="196"/>
      <c r="DU226" s="196">
        <v>5841.4</v>
      </c>
      <c r="DV226" s="196">
        <v>6084</v>
      </c>
      <c r="DW226" s="196">
        <v>6211.9</v>
      </c>
      <c r="DX226" s="196">
        <v>6846.8</v>
      </c>
      <c r="DY226" s="196">
        <f>DX226</f>
        <v>6846.8</v>
      </c>
      <c r="EA226" s="196">
        <v>7152.9</v>
      </c>
      <c r="EB226" s="196">
        <v>7296</v>
      </c>
      <c r="EC226" s="196">
        <v>7681.2</v>
      </c>
      <c r="ED226" s="196">
        <v>7893.8</v>
      </c>
      <c r="EE226" s="196">
        <f>ED226</f>
        <v>7893.8</v>
      </c>
      <c r="EG226" s="196">
        <v>8088.68</v>
      </c>
      <c r="EH226" s="196">
        <v>8488.3713225529009</v>
      </c>
      <c r="EI226" s="196">
        <v>9092.1347428460613</v>
      </c>
      <c r="EJ226" s="196">
        <v>9416.6509120605697</v>
      </c>
      <c r="EK226" s="196">
        <f>EJ226</f>
        <v>9416.6509120605697</v>
      </c>
      <c r="EU226" s="114"/>
      <c r="EV226" s="77">
        <v>495723</v>
      </c>
      <c r="EW226" s="77">
        <v>347883</v>
      </c>
      <c r="EX226" s="196">
        <f>H226</f>
        <v>303691</v>
      </c>
      <c r="EY226" s="196">
        <f>N226</f>
        <v>278581</v>
      </c>
      <c r="EZ226" s="196">
        <f>T226</f>
        <v>270890</v>
      </c>
      <c r="FA226" s="196">
        <f>Z226</f>
        <v>380894</v>
      </c>
      <c r="FB226" s="196">
        <f>AF226</f>
        <v>540640</v>
      </c>
      <c r="FC226" s="196">
        <f>AL226</f>
        <v>655360</v>
      </c>
      <c r="FD226" s="196">
        <f>AR226</f>
        <v>745331</v>
      </c>
      <c r="FE226" s="196">
        <f>AX226</f>
        <v>1053600</v>
      </c>
      <c r="FF226" s="196">
        <f>BD226</f>
        <v>1029900</v>
      </c>
      <c r="FG226" s="196">
        <f>BK226</f>
        <v>1217.8</v>
      </c>
      <c r="FH226" s="196">
        <f>BQ226</f>
        <v>1447.5</v>
      </c>
      <c r="FI226" s="196">
        <f>BW226</f>
        <v>1620.7</v>
      </c>
      <c r="FJ226" s="196">
        <f>CC226</f>
        <v>1687.2</v>
      </c>
      <c r="FK226" s="196">
        <f t="shared" ref="FK226:FK232" si="187">CI226</f>
        <v>1600.8</v>
      </c>
      <c r="FL226" s="196">
        <f t="shared" ref="FL226:FL232" si="188">CO226</f>
        <v>1589.5</v>
      </c>
      <c r="FM226" s="77">
        <f t="shared" ref="FM226:FM232" si="189">CU226</f>
        <v>1999.3</v>
      </c>
      <c r="FN226" s="77">
        <f t="shared" ref="FN226:FN232" si="190">DA226</f>
        <v>2470.3000000000002</v>
      </c>
      <c r="FO226" s="77">
        <f t="shared" ref="FO226:FO232" si="191">DG226</f>
        <v>2982.7</v>
      </c>
      <c r="FP226" s="77">
        <f t="shared" ref="FP226:FP232" si="192">DM226</f>
        <v>3944.2</v>
      </c>
      <c r="FQ226" s="77">
        <f t="shared" ref="FQ226:FQ232" si="193">DS226</f>
        <v>5493.2</v>
      </c>
      <c r="FR226" s="77">
        <f t="shared" ref="FR226:FR232" si="194">DY226</f>
        <v>6846.8</v>
      </c>
      <c r="FS226" s="196">
        <f>EE226</f>
        <v>7893.8</v>
      </c>
      <c r="FT226" s="196">
        <f t="shared" ref="FT226:FT232" si="195">EK226</f>
        <v>9416.6509120605697</v>
      </c>
      <c r="FU226" s="196">
        <f>FT226-FU325-80%*FU308</f>
        <v>10895.418896600569</v>
      </c>
      <c r="FV226" s="196">
        <f>FU226-FV325-80%*FV308</f>
        <v>12167.34866814069</v>
      </c>
      <c r="FW226" s="196">
        <f ca="1">FV226-FW325-80%*FW308</f>
        <v>12849.183668140689</v>
      </c>
      <c r="FX226" s="196">
        <f ca="1">FW226-FX325-80%*FX308</f>
        <v>13648.135668140689</v>
      </c>
    </row>
    <row r="227" spans="1:184" x14ac:dyDescent="0.25">
      <c r="B227" s="198" t="s">
        <v>93</v>
      </c>
      <c r="C227" s="74"/>
      <c r="D227" s="74"/>
      <c r="E227" s="196"/>
      <c r="F227" s="196"/>
      <c r="G227" s="196"/>
      <c r="H227" s="196">
        <v>0</v>
      </c>
      <c r="I227" s="196"/>
      <c r="J227" s="74"/>
      <c r="K227" s="196">
        <v>0</v>
      </c>
      <c r="L227" s="196">
        <v>0</v>
      </c>
      <c r="M227" s="196">
        <v>0</v>
      </c>
      <c r="N227" s="196">
        <v>0</v>
      </c>
      <c r="O227" s="196"/>
      <c r="Q227" s="196">
        <v>0</v>
      </c>
      <c r="R227" s="196">
        <v>0</v>
      </c>
      <c r="S227" s="196">
        <v>0</v>
      </c>
      <c r="T227" s="196">
        <v>0</v>
      </c>
      <c r="U227" s="196"/>
      <c r="W227" s="196">
        <v>141700</v>
      </c>
      <c r="X227" s="196">
        <v>140200</v>
      </c>
      <c r="Y227" s="196">
        <v>133400</v>
      </c>
      <c r="Z227" s="196">
        <v>128271</v>
      </c>
      <c r="AC227" s="196">
        <v>119717</v>
      </c>
      <c r="AD227" s="196">
        <v>119823</v>
      </c>
      <c r="AE227" s="196">
        <v>129238</v>
      </c>
      <c r="AF227" s="196">
        <v>131453</v>
      </c>
      <c r="AI227" s="196">
        <v>139727</v>
      </c>
      <c r="AJ227" s="196">
        <v>134536</v>
      </c>
      <c r="AK227" s="196">
        <v>128595</v>
      </c>
      <c r="AL227" s="196">
        <v>131462</v>
      </c>
      <c r="AO227" s="196">
        <v>141100</v>
      </c>
      <c r="AP227" s="196">
        <v>153200</v>
      </c>
      <c r="AQ227" s="196">
        <v>140900</v>
      </c>
      <c r="AR227" s="196">
        <v>141286</v>
      </c>
      <c r="AU227" s="196">
        <v>133300</v>
      </c>
      <c r="AV227" s="196">
        <v>132400</v>
      </c>
      <c r="AW227" s="196">
        <v>139200</v>
      </c>
      <c r="AX227" s="196">
        <v>146000</v>
      </c>
      <c r="BA227" s="196">
        <v>141500</v>
      </c>
      <c r="BB227" s="196">
        <v>150200</v>
      </c>
      <c r="BC227" s="196">
        <v>145900</v>
      </c>
      <c r="BD227" s="196">
        <v>149200</v>
      </c>
      <c r="BG227" s="196">
        <v>153.19999999999999</v>
      </c>
      <c r="BH227" s="196">
        <v>2208</v>
      </c>
      <c r="BI227" s="196">
        <v>2133.6</v>
      </c>
      <c r="BJ227" s="196">
        <v>2088.6</v>
      </c>
      <c r="BK227" s="196">
        <f t="shared" ref="BK227:BK232" si="196">BJ227</f>
        <v>2088.6</v>
      </c>
      <c r="BM227" s="196">
        <v>2092.6999999999998</v>
      </c>
      <c r="BN227" s="196">
        <v>2116.1</v>
      </c>
      <c r="BO227" s="196">
        <v>2264.9</v>
      </c>
      <c r="BP227" s="196">
        <v>2357.5</v>
      </c>
      <c r="BQ227" s="196">
        <f t="shared" ref="BQ227:BQ232" si="197">BP227</f>
        <v>2357.5</v>
      </c>
      <c r="BS227" s="196">
        <v>2610.8000000000002</v>
      </c>
      <c r="BT227" s="196">
        <v>2569.4</v>
      </c>
      <c r="BU227" s="196">
        <v>2574</v>
      </c>
      <c r="BV227" s="196">
        <v>2624.6</v>
      </c>
      <c r="BW227" s="196">
        <f t="shared" ref="BW227:BW232" si="198">BV227</f>
        <v>2624.6</v>
      </c>
      <c r="BY227" s="196">
        <v>2537.6999999999998</v>
      </c>
      <c r="BZ227" s="196">
        <v>2603.6999999999998</v>
      </c>
      <c r="CA227" s="196">
        <v>2571</v>
      </c>
      <c r="CB227" s="196">
        <v>4873.8999999999996</v>
      </c>
      <c r="CC227" s="196">
        <f t="shared" ref="CC227:CC232" si="199">CB227</f>
        <v>4873.8999999999996</v>
      </c>
      <c r="CE227" s="196">
        <v>4784.1000000000004</v>
      </c>
      <c r="CF227" s="196">
        <v>4645.8999999999996</v>
      </c>
      <c r="CG227" s="196">
        <v>4564.7</v>
      </c>
      <c r="CH227" s="196">
        <v>4541.1000000000004</v>
      </c>
      <c r="CI227" s="196">
        <f t="shared" ref="CI227:CI232" si="200">CH227</f>
        <v>4541.1000000000004</v>
      </c>
      <c r="CK227" s="196">
        <v>970.5</v>
      </c>
      <c r="CL227" s="196">
        <v>4541.2</v>
      </c>
      <c r="CM227" s="196">
        <v>4541.2</v>
      </c>
      <c r="CN227" s="196">
        <v>4541.1000000000004</v>
      </c>
      <c r="CO227" s="196">
        <f t="shared" ref="CO227:CO232" si="201">CN227</f>
        <v>4541.1000000000004</v>
      </c>
      <c r="CQ227" s="196">
        <v>4541.1000000000004</v>
      </c>
      <c r="CR227" s="196">
        <v>4541.1000000000004</v>
      </c>
      <c r="CS227" s="196">
        <v>4541.1000000000004</v>
      </c>
      <c r="CT227" s="196">
        <v>4541.1000000000004</v>
      </c>
      <c r="CU227" s="196">
        <f t="shared" ref="CU227:CU232" si="202">CT227</f>
        <v>4541.1000000000004</v>
      </c>
      <c r="CW227" s="196">
        <v>4541.1000000000004</v>
      </c>
      <c r="CX227" s="196">
        <v>4541.1000000000004</v>
      </c>
      <c r="CY227" s="196">
        <v>4541.1000000000004</v>
      </c>
      <c r="CZ227" s="196">
        <v>4629.1000000000004</v>
      </c>
      <c r="DA227" s="196">
        <f t="shared" ref="DA227:DA232" si="203">CZ227</f>
        <v>4629.1000000000004</v>
      </c>
      <c r="DC227" s="196">
        <v>4555.5</v>
      </c>
      <c r="DD227" s="196">
        <v>4555.5</v>
      </c>
      <c r="DE227" s="196">
        <v>4555.6000000000004</v>
      </c>
      <c r="DF227" s="196">
        <v>4555.6000000000004</v>
      </c>
      <c r="DG227" s="196">
        <f t="shared" si="186"/>
        <v>4555.6000000000004</v>
      </c>
      <c r="DI227" s="196">
        <v>4555.6000000000004</v>
      </c>
      <c r="DJ227" s="196">
        <v>4555.6000000000004</v>
      </c>
      <c r="DK227" s="196">
        <v>4555.6000000000004</v>
      </c>
      <c r="DL227" s="196">
        <v>4555.6000000000004</v>
      </c>
      <c r="DM227" s="196">
        <f t="shared" ref="DM227:DM232" si="204">DL227</f>
        <v>4555.6000000000004</v>
      </c>
      <c r="DO227" s="196">
        <v>4555.6000000000004</v>
      </c>
      <c r="DP227" s="196">
        <v>4555.6000000000004</v>
      </c>
      <c r="DQ227" s="196">
        <v>4582.6000000000004</v>
      </c>
      <c r="DR227" s="196">
        <v>4588.6000000000004</v>
      </c>
      <c r="DS227" s="196">
        <f t="shared" ref="DS227:DS232" si="205">DR227</f>
        <v>4588.6000000000004</v>
      </c>
      <c r="DT227" s="196"/>
      <c r="DU227" s="196">
        <v>4588.6000000000004</v>
      </c>
      <c r="DV227" s="196">
        <v>4588.6000000000004</v>
      </c>
      <c r="DW227" s="196">
        <v>4588.6000000000004</v>
      </c>
      <c r="DX227" s="196">
        <v>4588.6000000000004</v>
      </c>
      <c r="DY227" s="196">
        <f t="shared" ref="DY227:DY232" si="206">DX227</f>
        <v>4588.6000000000004</v>
      </c>
      <c r="EA227" s="196">
        <v>4588.6000000000004</v>
      </c>
      <c r="EB227" s="196">
        <v>4588.6000000000004</v>
      </c>
      <c r="EC227" s="196">
        <v>4588.6000000000004</v>
      </c>
      <c r="ED227" s="196">
        <v>4588.6000000000004</v>
      </c>
      <c r="EE227" s="196">
        <f t="shared" ref="EE227:EE232" si="207">ED227</f>
        <v>4588.6000000000004</v>
      </c>
      <c r="EG227" s="196">
        <v>4588.6000000000004</v>
      </c>
      <c r="EH227" s="196">
        <v>4588.6000000000004</v>
      </c>
      <c r="EI227" s="196">
        <v>4588.6000000000004</v>
      </c>
      <c r="EJ227" s="196">
        <v>4588.6000000000004</v>
      </c>
      <c r="EK227" s="196">
        <f t="shared" ref="EK227:EK232" si="208">EJ227</f>
        <v>4588.6000000000004</v>
      </c>
      <c r="EU227" s="114"/>
      <c r="EV227" s="77"/>
      <c r="EW227" s="77"/>
      <c r="EX227" s="196">
        <f>H227</f>
        <v>0</v>
      </c>
      <c r="EY227" s="196">
        <f>N227</f>
        <v>0</v>
      </c>
      <c r="EZ227" s="196">
        <f>T227</f>
        <v>0</v>
      </c>
      <c r="FA227" s="196">
        <f>Z227</f>
        <v>128271</v>
      </c>
      <c r="FB227" s="196">
        <f>AF227</f>
        <v>131453</v>
      </c>
      <c r="FC227" s="196">
        <f>AL227</f>
        <v>131462</v>
      </c>
      <c r="FD227" s="196">
        <f>AR227</f>
        <v>141286</v>
      </c>
      <c r="FE227" s="196">
        <f>AX227</f>
        <v>146000</v>
      </c>
      <c r="FF227" s="196">
        <f>BD227</f>
        <v>149200</v>
      </c>
      <c r="FG227" s="196">
        <f>BK227</f>
        <v>2088.6</v>
      </c>
      <c r="FH227" s="196">
        <f>BQ227</f>
        <v>2357.5</v>
      </c>
      <c r="FI227" s="196">
        <f>BW227</f>
        <v>2624.6</v>
      </c>
      <c r="FJ227" s="196">
        <f>CC227</f>
        <v>4873.8999999999996</v>
      </c>
      <c r="FK227" s="196">
        <f t="shared" si="187"/>
        <v>4541.1000000000004</v>
      </c>
      <c r="FL227" s="196">
        <f t="shared" si="188"/>
        <v>4541.1000000000004</v>
      </c>
      <c r="FM227" s="77">
        <f t="shared" si="189"/>
        <v>4541.1000000000004</v>
      </c>
      <c r="FN227" s="77">
        <f t="shared" si="190"/>
        <v>4629.1000000000004</v>
      </c>
      <c r="FO227" s="77">
        <f t="shared" si="191"/>
        <v>4555.6000000000004</v>
      </c>
      <c r="FP227" s="77">
        <f t="shared" si="192"/>
        <v>4555.6000000000004</v>
      </c>
      <c r="FQ227" s="77">
        <f t="shared" si="193"/>
        <v>4588.6000000000004</v>
      </c>
      <c r="FR227" s="77">
        <f t="shared" si="194"/>
        <v>4588.6000000000004</v>
      </c>
      <c r="FS227" s="196">
        <f t="shared" ref="FS227:FS232" si="209">EE227</f>
        <v>4588.6000000000004</v>
      </c>
      <c r="FT227" s="196">
        <f t="shared" si="195"/>
        <v>4588.6000000000004</v>
      </c>
      <c r="FU227" s="196">
        <f>FT227</f>
        <v>4588.6000000000004</v>
      </c>
      <c r="FV227" s="196">
        <f>FU227</f>
        <v>4588.6000000000004</v>
      </c>
      <c r="FW227" s="196">
        <f>FV227</f>
        <v>4588.6000000000004</v>
      </c>
      <c r="FX227" s="196">
        <f>FW227</f>
        <v>4588.6000000000004</v>
      </c>
    </row>
    <row r="228" spans="1:184" x14ac:dyDescent="0.25">
      <c r="B228" s="84" t="s">
        <v>183</v>
      </c>
      <c r="C228" s="74"/>
      <c r="D228" s="74"/>
      <c r="E228" s="196"/>
      <c r="F228" s="196"/>
      <c r="G228" s="196"/>
      <c r="H228" s="77">
        <v>31818</v>
      </c>
      <c r="I228" s="196"/>
      <c r="J228" s="74"/>
      <c r="K228" s="77">
        <v>29772</v>
      </c>
      <c r="L228" s="77">
        <v>27726</v>
      </c>
      <c r="M228" s="77">
        <v>25680</v>
      </c>
      <c r="N228" s="77">
        <v>24943</v>
      </c>
      <c r="O228" s="196"/>
      <c r="Q228" s="77">
        <v>23197</v>
      </c>
      <c r="R228" s="77">
        <v>21500</v>
      </c>
      <c r="S228" s="77">
        <v>19705</v>
      </c>
      <c r="T228" s="77">
        <v>18076</v>
      </c>
      <c r="U228" s="196"/>
      <c r="W228" s="77">
        <f>194560-W227</f>
        <v>52860</v>
      </c>
      <c r="X228" s="77">
        <f>189921-X227</f>
        <v>49721</v>
      </c>
      <c r="Y228" s="77">
        <f>177569-Y227</f>
        <v>44169</v>
      </c>
      <c r="Z228" s="77">
        <f>166466-Z227</f>
        <v>38195</v>
      </c>
      <c r="AC228" s="77">
        <v>32507</v>
      </c>
      <c r="AD228" s="77">
        <v>30062</v>
      </c>
      <c r="AE228" s="77">
        <v>28846</v>
      </c>
      <c r="AF228" s="77">
        <v>26692</v>
      </c>
      <c r="AI228" s="77">
        <v>25554</v>
      </c>
      <c r="AJ228" s="77">
        <v>22300</v>
      </c>
      <c r="AK228" s="77">
        <v>19037</v>
      </c>
      <c r="AL228" s="77">
        <v>18128</v>
      </c>
      <c r="AO228" s="77">
        <v>17800</v>
      </c>
      <c r="AP228" s="77">
        <v>16400</v>
      </c>
      <c r="AQ228" s="77">
        <v>15000</v>
      </c>
      <c r="AR228" s="77">
        <v>13651</v>
      </c>
      <c r="AU228" s="77">
        <v>12300</v>
      </c>
      <c r="AV228" s="77">
        <v>11000</v>
      </c>
      <c r="AW228" s="77">
        <v>9700</v>
      </c>
      <c r="AX228" s="77">
        <v>8400</v>
      </c>
      <c r="BA228" s="77">
        <v>10100</v>
      </c>
      <c r="BB228" s="77">
        <v>8600</v>
      </c>
      <c r="BC228" s="77">
        <v>7200</v>
      </c>
      <c r="BD228" s="77">
        <v>9900</v>
      </c>
      <c r="BG228" s="196">
        <v>12.6</v>
      </c>
      <c r="BH228" s="196">
        <v>759.5</v>
      </c>
      <c r="BI228" s="196">
        <v>722.6</v>
      </c>
      <c r="BJ228" s="196">
        <v>697.6</v>
      </c>
      <c r="BK228" s="196">
        <f t="shared" si="196"/>
        <v>697.6</v>
      </c>
      <c r="BM228" s="196">
        <v>688.1</v>
      </c>
      <c r="BN228" s="196">
        <v>686.5</v>
      </c>
      <c r="BO228" s="196">
        <v>712.7</v>
      </c>
      <c r="BP228" s="196">
        <v>723.8</v>
      </c>
      <c r="BQ228" s="196">
        <f t="shared" si="197"/>
        <v>723.8</v>
      </c>
      <c r="BS228" s="196">
        <v>773.8</v>
      </c>
      <c r="BT228" s="196">
        <v>751.2</v>
      </c>
      <c r="BU228" s="196">
        <v>739.5</v>
      </c>
      <c r="BV228" s="196">
        <v>738.2</v>
      </c>
      <c r="BW228" s="196">
        <f t="shared" si="198"/>
        <v>738.2</v>
      </c>
      <c r="BY228" s="196">
        <v>706</v>
      </c>
      <c r="BZ228" s="196">
        <v>713.5</v>
      </c>
      <c r="CA228" s="196">
        <v>694</v>
      </c>
      <c r="CB228" s="196">
        <v>1323</v>
      </c>
      <c r="CC228" s="196">
        <f t="shared" si="199"/>
        <v>1323</v>
      </c>
      <c r="CE228" s="196">
        <v>1279.5</v>
      </c>
      <c r="CF228" s="196">
        <v>1230.4000000000001</v>
      </c>
      <c r="CG228" s="196">
        <v>1191.0999999999999</v>
      </c>
      <c r="CH228" s="196">
        <v>1166</v>
      </c>
      <c r="CI228" s="196">
        <f t="shared" si="200"/>
        <v>1166</v>
      </c>
      <c r="CK228" s="196">
        <v>4541.2</v>
      </c>
      <c r="CL228" s="196">
        <v>1130.2</v>
      </c>
      <c r="CM228" s="196">
        <v>1108.7</v>
      </c>
      <c r="CN228" s="196">
        <v>1104</v>
      </c>
      <c r="CO228" s="196">
        <f t="shared" si="201"/>
        <v>1104</v>
      </c>
      <c r="CQ228" s="196">
        <v>1158.5</v>
      </c>
      <c r="CR228" s="196">
        <v>1140.8</v>
      </c>
      <c r="CS228" s="196">
        <v>1122.8</v>
      </c>
      <c r="CT228" s="196">
        <v>1104.4000000000001</v>
      </c>
      <c r="CU228" s="196">
        <f t="shared" si="202"/>
        <v>1104.4000000000001</v>
      </c>
      <c r="CW228" s="196">
        <v>1082.5</v>
      </c>
      <c r="CX228" s="196">
        <v>1058.3</v>
      </c>
      <c r="CY228" s="196">
        <v>1035.4000000000001</v>
      </c>
      <c r="CZ228" s="196">
        <v>1049</v>
      </c>
      <c r="DA228" s="196">
        <f t="shared" si="203"/>
        <v>1049</v>
      </c>
      <c r="DC228" s="196">
        <v>1014.2</v>
      </c>
      <c r="DD228" s="196">
        <v>987.7</v>
      </c>
      <c r="DE228" s="196">
        <v>963.8</v>
      </c>
      <c r="DF228" s="196">
        <v>952.1</v>
      </c>
      <c r="DG228" s="196">
        <f t="shared" si="186"/>
        <v>952.1</v>
      </c>
      <c r="DI228" s="196">
        <v>923.4</v>
      </c>
      <c r="DJ228" s="196">
        <v>896.1</v>
      </c>
      <c r="DK228" s="196">
        <v>870.1</v>
      </c>
      <c r="DL228" s="196">
        <v>842.4</v>
      </c>
      <c r="DM228" s="196">
        <f t="shared" si="204"/>
        <v>842.4</v>
      </c>
      <c r="DO228" s="196">
        <v>813.7</v>
      </c>
      <c r="DP228" s="196">
        <v>789.2</v>
      </c>
      <c r="DQ228" s="196">
        <v>756.6</v>
      </c>
      <c r="DR228" s="196">
        <v>741.7</v>
      </c>
      <c r="DS228" s="196">
        <f t="shared" si="205"/>
        <v>741.7</v>
      </c>
      <c r="DT228" s="196"/>
      <c r="DU228" s="196">
        <v>711.1</v>
      </c>
      <c r="DV228" s="196">
        <v>686.4</v>
      </c>
      <c r="DW228" s="196">
        <v>652.9</v>
      </c>
      <c r="DX228" s="196">
        <v>621.29999999999995</v>
      </c>
      <c r="DY228" s="196">
        <f t="shared" si="206"/>
        <v>621.29999999999995</v>
      </c>
      <c r="EA228" s="196">
        <v>591.6</v>
      </c>
      <c r="EB228" s="196">
        <v>565.70000000000005</v>
      </c>
      <c r="EC228" s="196">
        <v>555.70000000000005</v>
      </c>
      <c r="ED228" s="196">
        <v>540.1</v>
      </c>
      <c r="EE228" s="196">
        <f t="shared" si="207"/>
        <v>540.1</v>
      </c>
      <c r="EG228" s="196">
        <v>508.12</v>
      </c>
      <c r="EH228" s="196">
        <v>471.33666397155844</v>
      </c>
      <c r="EI228" s="196">
        <v>428.99418571151546</v>
      </c>
      <c r="EJ228" s="196">
        <v>393.90829051514294</v>
      </c>
      <c r="EK228" s="196">
        <f t="shared" si="208"/>
        <v>393.90829051514294</v>
      </c>
      <c r="EU228" s="114"/>
      <c r="EV228" s="77">
        <v>14069</v>
      </c>
      <c r="EW228" s="77">
        <v>14590</v>
      </c>
      <c r="EX228" s="196">
        <f>H228</f>
        <v>31818</v>
      </c>
      <c r="EY228" s="196">
        <f>N228</f>
        <v>24943</v>
      </c>
      <c r="EZ228" s="196">
        <f>T228</f>
        <v>18076</v>
      </c>
      <c r="FA228" s="196">
        <f>Z228</f>
        <v>38195</v>
      </c>
      <c r="FB228" s="196">
        <f>AF228</f>
        <v>26692</v>
      </c>
      <c r="FC228" s="196">
        <f>AL228</f>
        <v>18128</v>
      </c>
      <c r="FD228" s="196">
        <f>AR228</f>
        <v>13651</v>
      </c>
      <c r="FE228" s="196">
        <f>AX228</f>
        <v>8400</v>
      </c>
      <c r="FF228" s="196">
        <f>BD228</f>
        <v>9900</v>
      </c>
      <c r="FG228" s="196">
        <f>BK228</f>
        <v>697.6</v>
      </c>
      <c r="FH228" s="196">
        <f>BQ228</f>
        <v>723.8</v>
      </c>
      <c r="FI228" s="196">
        <f>BW228</f>
        <v>738.2</v>
      </c>
      <c r="FJ228" s="196">
        <f>CC228</f>
        <v>1323</v>
      </c>
      <c r="FK228" s="196">
        <f t="shared" si="187"/>
        <v>1166</v>
      </c>
      <c r="FL228" s="196">
        <f t="shared" si="188"/>
        <v>1104</v>
      </c>
      <c r="FM228" s="77">
        <f t="shared" si="189"/>
        <v>1104.4000000000001</v>
      </c>
      <c r="FN228" s="77">
        <f t="shared" si="190"/>
        <v>1049</v>
      </c>
      <c r="FO228" s="77">
        <f t="shared" si="191"/>
        <v>952.1</v>
      </c>
      <c r="FP228" s="77">
        <f t="shared" si="192"/>
        <v>842.4</v>
      </c>
      <c r="FQ228" s="77">
        <f t="shared" si="193"/>
        <v>741.7</v>
      </c>
      <c r="FR228" s="77">
        <f t="shared" si="194"/>
        <v>621.29999999999995</v>
      </c>
      <c r="FS228" s="196">
        <f t="shared" si="209"/>
        <v>540.1</v>
      </c>
      <c r="FT228" s="196">
        <f t="shared" si="195"/>
        <v>393.90829051514294</v>
      </c>
      <c r="FU228" s="196">
        <f>FT228-FU326-20%*FU308</f>
        <v>216.25094227514293</v>
      </c>
      <c r="FV228" s="196">
        <f>FU228-FV326-20%*FV308</f>
        <v>70.828120736422932</v>
      </c>
      <c r="FW228" s="196">
        <f ca="1">FV228-FW326-20%*FW308</f>
        <v>17.368120736422952</v>
      </c>
      <c r="FX228" s="196">
        <f ca="1">FW228-FX326-20%*FX308</f>
        <v>-54.343879263577051</v>
      </c>
    </row>
    <row r="229" spans="1:184" x14ac:dyDescent="0.25">
      <c r="B229" s="198" t="s">
        <v>92</v>
      </c>
      <c r="C229" s="74"/>
      <c r="D229" s="74"/>
      <c r="E229" s="196"/>
      <c r="F229" s="196"/>
      <c r="G229" s="196"/>
      <c r="H229" s="196"/>
      <c r="I229" s="196"/>
      <c r="J229" s="74"/>
      <c r="K229" s="196"/>
      <c r="L229" s="196"/>
      <c r="M229" s="196"/>
      <c r="N229" s="196"/>
      <c r="O229" s="196"/>
      <c r="Q229" s="196"/>
      <c r="R229" s="196"/>
      <c r="S229" s="196"/>
      <c r="T229" s="196"/>
      <c r="U229" s="196"/>
      <c r="W229" s="196"/>
      <c r="X229" s="196"/>
      <c r="Y229" s="196"/>
      <c r="Z229" s="196"/>
      <c r="AC229" s="196"/>
      <c r="AD229" s="196"/>
      <c r="AE229" s="196"/>
      <c r="AF229" s="196"/>
      <c r="AI229" s="196"/>
      <c r="AJ229" s="196"/>
      <c r="AK229" s="196"/>
      <c r="AL229" s="196"/>
      <c r="AO229" s="196"/>
      <c r="AP229" s="196"/>
      <c r="AQ229" s="196"/>
      <c r="AR229" s="196"/>
      <c r="AU229" s="196"/>
      <c r="AV229" s="196"/>
      <c r="AW229" s="196"/>
      <c r="AX229" s="196"/>
      <c r="BA229" s="196"/>
      <c r="BB229" s="196"/>
      <c r="BC229" s="196"/>
      <c r="BD229" s="196"/>
      <c r="BG229" s="196"/>
      <c r="BH229" s="196"/>
      <c r="BI229" s="196"/>
      <c r="BJ229" s="196"/>
      <c r="BK229" s="196"/>
      <c r="BM229" s="196"/>
      <c r="BN229" s="196"/>
      <c r="BO229" s="196"/>
      <c r="BP229" s="196"/>
      <c r="BQ229" s="196"/>
      <c r="BS229" s="196"/>
      <c r="BT229" s="196"/>
      <c r="BU229" s="196"/>
      <c r="BV229" s="196"/>
      <c r="BW229" s="196"/>
      <c r="BY229" s="196"/>
      <c r="BZ229" s="196"/>
      <c r="CA229" s="196"/>
      <c r="CB229" s="196"/>
      <c r="CC229" s="196"/>
      <c r="CE229" s="196">
        <v>0</v>
      </c>
      <c r="CF229" s="196">
        <v>1002.1</v>
      </c>
      <c r="CG229" s="196">
        <v>1007.9</v>
      </c>
      <c r="CH229" s="196">
        <v>982.2</v>
      </c>
      <c r="CI229" s="196">
        <f t="shared" si="200"/>
        <v>982.2</v>
      </c>
      <c r="CK229" s="196">
        <v>1146.5</v>
      </c>
      <c r="CL229" s="196">
        <v>979.5</v>
      </c>
      <c r="CM229" s="196">
        <v>985.2</v>
      </c>
      <c r="CN229" s="196">
        <v>915.8</v>
      </c>
      <c r="CO229" s="196">
        <f t="shared" si="201"/>
        <v>915.8</v>
      </c>
      <c r="CQ229" s="196">
        <v>933.6</v>
      </c>
      <c r="CR229" s="196">
        <v>949.9</v>
      </c>
      <c r="CS229" s="196">
        <v>969</v>
      </c>
      <c r="CT229" s="196">
        <v>833</v>
      </c>
      <c r="CU229" s="196">
        <f t="shared" si="202"/>
        <v>833</v>
      </c>
      <c r="CW229" s="196">
        <v>865.1</v>
      </c>
      <c r="CX229" s="196">
        <v>891.6</v>
      </c>
      <c r="CY229" s="196">
        <v>918</v>
      </c>
      <c r="CZ229" s="196">
        <v>820.7</v>
      </c>
      <c r="DA229" s="196">
        <f t="shared" si="203"/>
        <v>820.7</v>
      </c>
      <c r="DC229" s="196">
        <v>842.5</v>
      </c>
      <c r="DD229" s="196">
        <v>864.9</v>
      </c>
      <c r="DE229" s="196">
        <v>963.2</v>
      </c>
      <c r="DF229" s="196">
        <v>892.5</v>
      </c>
      <c r="DG229" s="196">
        <f t="shared" si="186"/>
        <v>892.5</v>
      </c>
      <c r="DI229" s="196">
        <v>940</v>
      </c>
      <c r="DJ229" s="196">
        <v>961.4</v>
      </c>
      <c r="DK229" s="196">
        <v>998.7</v>
      </c>
      <c r="DL229" s="196">
        <v>923.6</v>
      </c>
      <c r="DM229" s="196">
        <f t="shared" si="204"/>
        <v>923.6</v>
      </c>
      <c r="DO229" s="196">
        <v>969.6</v>
      </c>
      <c r="DP229" s="196">
        <v>1040.4000000000001</v>
      </c>
      <c r="DQ229" s="196">
        <v>1094.3</v>
      </c>
      <c r="DR229" s="196">
        <v>919.6</v>
      </c>
      <c r="DS229" s="196">
        <f t="shared" si="205"/>
        <v>919.6</v>
      </c>
      <c r="DT229" s="196"/>
      <c r="DU229" s="196">
        <v>951.5</v>
      </c>
      <c r="DV229" s="196">
        <v>1002.3</v>
      </c>
      <c r="DW229" s="196">
        <v>1083.4000000000001</v>
      </c>
      <c r="DX229" s="196">
        <v>903</v>
      </c>
      <c r="DY229" s="196">
        <f t="shared" si="206"/>
        <v>903</v>
      </c>
      <c r="EA229" s="196">
        <v>938.9</v>
      </c>
      <c r="EB229" s="196">
        <v>1029.2</v>
      </c>
      <c r="EC229" s="196">
        <v>1109.3</v>
      </c>
      <c r="ED229" s="196">
        <v>2143.3000000000002</v>
      </c>
      <c r="EE229" s="196">
        <f t="shared" si="207"/>
        <v>2143.3000000000002</v>
      </c>
      <c r="EG229" s="196">
        <v>2143.3000000000002</v>
      </c>
      <c r="EH229" s="196">
        <v>2143.3000000000002</v>
      </c>
      <c r="EI229" s="196">
        <v>2143.3000000000002</v>
      </c>
      <c r="EJ229" s="196">
        <v>2143.3000000000002</v>
      </c>
      <c r="EK229" s="196">
        <f t="shared" si="208"/>
        <v>2143.3000000000002</v>
      </c>
      <c r="EU229" s="114"/>
      <c r="EV229" s="77"/>
      <c r="EW229" s="77"/>
      <c r="EX229" s="196"/>
      <c r="EY229" s="196"/>
      <c r="EZ229" s="196"/>
      <c r="FA229" s="196"/>
      <c r="FB229" s="196"/>
      <c r="FC229" s="196"/>
      <c r="FD229" s="196"/>
      <c r="FE229" s="196"/>
      <c r="FF229" s="196"/>
      <c r="FG229" s="196"/>
      <c r="FH229" s="196"/>
      <c r="FI229" s="196"/>
      <c r="FJ229" s="196"/>
      <c r="FK229" s="196">
        <f t="shared" si="187"/>
        <v>982.2</v>
      </c>
      <c r="FL229" s="196">
        <f t="shared" si="188"/>
        <v>915.8</v>
      </c>
      <c r="FM229" s="77">
        <f t="shared" si="189"/>
        <v>833</v>
      </c>
      <c r="FN229" s="77">
        <f t="shared" si="190"/>
        <v>820.7</v>
      </c>
      <c r="FO229" s="77">
        <f t="shared" si="191"/>
        <v>892.5</v>
      </c>
      <c r="FP229" s="77">
        <f t="shared" si="192"/>
        <v>923.6</v>
      </c>
      <c r="FQ229" s="77">
        <f t="shared" si="193"/>
        <v>919.6</v>
      </c>
      <c r="FR229" s="77">
        <f t="shared" si="194"/>
        <v>903</v>
      </c>
      <c r="FS229" s="196">
        <f t="shared" si="209"/>
        <v>2143.3000000000002</v>
      </c>
      <c r="FT229" s="196">
        <f t="shared" si="195"/>
        <v>2143.3000000000002</v>
      </c>
      <c r="FU229" s="196">
        <f t="shared" ref="FU229:FX232" si="210">FT229</f>
        <v>2143.3000000000002</v>
      </c>
      <c r="FV229" s="196">
        <f t="shared" si="210"/>
        <v>2143.3000000000002</v>
      </c>
      <c r="FW229" s="196">
        <f t="shared" si="210"/>
        <v>2143.3000000000002</v>
      </c>
      <c r="FX229" s="196">
        <f t="shared" si="210"/>
        <v>2143.3000000000002</v>
      </c>
    </row>
    <row r="230" spans="1:184" x14ac:dyDescent="0.25">
      <c r="B230" s="198" t="s">
        <v>182</v>
      </c>
      <c r="C230" s="74"/>
      <c r="D230" s="74"/>
      <c r="E230" s="196"/>
      <c r="F230" s="196"/>
      <c r="G230" s="196"/>
      <c r="H230" s="196">
        <v>201100</v>
      </c>
      <c r="I230" s="196"/>
      <c r="J230" s="74"/>
      <c r="K230" s="196">
        <v>210818</v>
      </c>
      <c r="L230" s="196">
        <v>206641</v>
      </c>
      <c r="M230" s="196">
        <v>195969</v>
      </c>
      <c r="N230" s="196">
        <v>206884</v>
      </c>
      <c r="O230" s="196"/>
      <c r="Q230" s="196">
        <f>240568-Q232</f>
        <v>201668</v>
      </c>
      <c r="R230" s="196">
        <v>179500</v>
      </c>
      <c r="S230" s="196">
        <f>160408</f>
        <v>160408</v>
      </c>
      <c r="T230" s="196">
        <v>200378</v>
      </c>
      <c r="U230" s="196"/>
      <c r="W230" s="196">
        <f>216435-W232</f>
        <v>176435</v>
      </c>
      <c r="X230" s="196">
        <f>245970-X232</f>
        <v>200970</v>
      </c>
      <c r="Y230" s="196">
        <f>183431-Y232</f>
        <v>133431</v>
      </c>
      <c r="Z230" s="196">
        <v>141032</v>
      </c>
      <c r="AC230" s="196">
        <v>135836</v>
      </c>
      <c r="AD230" s="196">
        <v>157647</v>
      </c>
      <c r="AE230" s="196">
        <v>139351</v>
      </c>
      <c r="AF230" s="196">
        <v>148133</v>
      </c>
      <c r="AI230" s="196">
        <v>173189</v>
      </c>
      <c r="AJ230" s="196">
        <v>198867</v>
      </c>
      <c r="AK230" s="196">
        <v>193466</v>
      </c>
      <c r="AL230" s="196">
        <v>133263</v>
      </c>
      <c r="AO230" s="196">
        <v>127900</v>
      </c>
      <c r="AP230" s="196">
        <v>126400</v>
      </c>
      <c r="AQ230" s="196">
        <v>93700</v>
      </c>
      <c r="AR230" s="196">
        <v>71008</v>
      </c>
      <c r="AU230" s="196">
        <v>67500</v>
      </c>
      <c r="AV230" s="196">
        <v>67500</v>
      </c>
      <c r="AW230" s="196">
        <v>48400</v>
      </c>
      <c r="AX230" s="196">
        <v>38700</v>
      </c>
      <c r="BA230" s="196">
        <v>38000</v>
      </c>
      <c r="BB230" s="196">
        <v>40100</v>
      </c>
      <c r="BC230" s="196">
        <v>38300</v>
      </c>
      <c r="BD230" s="196">
        <v>39400</v>
      </c>
      <c r="BG230" s="196">
        <v>40.299999999999997</v>
      </c>
      <c r="BH230" s="196">
        <v>52.5</v>
      </c>
      <c r="BI230" s="196">
        <v>65.7</v>
      </c>
      <c r="BJ230" s="196">
        <v>139.5</v>
      </c>
      <c r="BK230" s="196">
        <f t="shared" si="196"/>
        <v>139.5</v>
      </c>
      <c r="BM230" s="196">
        <v>129.1</v>
      </c>
      <c r="BN230" s="196">
        <v>126.2</v>
      </c>
      <c r="BO230" s="196">
        <v>115.8</v>
      </c>
      <c r="BP230" s="196">
        <v>28.8</v>
      </c>
      <c r="BQ230" s="196">
        <f t="shared" si="197"/>
        <v>28.8</v>
      </c>
      <c r="BS230" s="196">
        <v>30.5</v>
      </c>
      <c r="BT230" s="196">
        <v>33.299999999999997</v>
      </c>
      <c r="BU230" s="196">
        <v>32.799999999999997</v>
      </c>
      <c r="BV230" s="196">
        <v>29</v>
      </c>
      <c r="BW230" s="196">
        <f t="shared" si="198"/>
        <v>29</v>
      </c>
      <c r="BY230" s="196">
        <v>47.4</v>
      </c>
      <c r="BZ230" s="196">
        <v>50</v>
      </c>
      <c r="CA230" s="196">
        <v>39.1</v>
      </c>
      <c r="CB230" s="196">
        <v>34.9</v>
      </c>
      <c r="CC230" s="196">
        <f t="shared" si="199"/>
        <v>34.9</v>
      </c>
      <c r="CE230" s="196">
        <v>34.5</v>
      </c>
      <c r="CF230" s="196">
        <v>30.1</v>
      </c>
      <c r="CG230" s="196">
        <v>25.5</v>
      </c>
      <c r="CH230" s="196">
        <v>31.7</v>
      </c>
      <c r="CI230" s="196">
        <f t="shared" si="200"/>
        <v>31.7</v>
      </c>
      <c r="CK230" s="196">
        <v>90.7</v>
      </c>
      <c r="CL230" s="196">
        <v>97.5</v>
      </c>
      <c r="CM230" s="196">
        <v>109.5</v>
      </c>
      <c r="CN230" s="196">
        <v>236.3</v>
      </c>
      <c r="CO230" s="196">
        <f t="shared" si="201"/>
        <v>236.3</v>
      </c>
      <c r="CQ230" s="196">
        <v>280.7</v>
      </c>
      <c r="CR230" s="196">
        <v>326.60000000000002</v>
      </c>
      <c r="CS230" s="196">
        <v>309.2</v>
      </c>
      <c r="CT230" s="196">
        <v>445.3</v>
      </c>
      <c r="CU230" s="196">
        <f t="shared" si="202"/>
        <v>445.3</v>
      </c>
      <c r="CW230" s="196">
        <v>482.3</v>
      </c>
      <c r="CX230" s="196">
        <v>485.3</v>
      </c>
      <c r="CY230" s="196">
        <v>610.70000000000005</v>
      </c>
      <c r="CZ230" s="196">
        <v>671.5</v>
      </c>
      <c r="DA230" s="196">
        <f t="shared" si="203"/>
        <v>671.5</v>
      </c>
      <c r="DC230" s="196">
        <v>700.8</v>
      </c>
      <c r="DD230" s="196">
        <v>710.5</v>
      </c>
      <c r="DE230" s="196">
        <v>986</v>
      </c>
      <c r="DF230" s="196">
        <v>1098.7</v>
      </c>
      <c r="DG230" s="196">
        <f t="shared" si="186"/>
        <v>1098.7</v>
      </c>
      <c r="DI230" s="196">
        <v>1141.9000000000001</v>
      </c>
      <c r="DJ230" s="196">
        <v>1240.8</v>
      </c>
      <c r="DK230" s="196">
        <v>1599.6</v>
      </c>
      <c r="DL230" s="196">
        <v>1672.8</v>
      </c>
      <c r="DM230" s="196">
        <f t="shared" si="204"/>
        <v>1672.8</v>
      </c>
      <c r="DO230" s="196">
        <v>1667.4</v>
      </c>
      <c r="DP230" s="196">
        <v>1679.1</v>
      </c>
      <c r="DQ230" s="196">
        <v>1827.4</v>
      </c>
      <c r="DR230" s="196">
        <v>1872.3</v>
      </c>
      <c r="DS230" s="196">
        <f t="shared" si="205"/>
        <v>1872.3</v>
      </c>
      <c r="DT230" s="196"/>
      <c r="DU230" s="196">
        <v>1875.2</v>
      </c>
      <c r="DV230" s="196">
        <v>1872.4</v>
      </c>
      <c r="DW230" s="196">
        <v>1939</v>
      </c>
      <c r="DX230" s="196">
        <v>1940.7</v>
      </c>
      <c r="DY230" s="196">
        <f t="shared" si="206"/>
        <v>1940.7</v>
      </c>
      <c r="EA230" s="196">
        <v>1861</v>
      </c>
      <c r="EB230" s="196">
        <v>1830.4</v>
      </c>
      <c r="EC230" s="196">
        <v>1838.6</v>
      </c>
      <c r="ED230" s="196">
        <v>3373.3</v>
      </c>
      <c r="EE230" s="196">
        <f t="shared" si="207"/>
        <v>3373.3</v>
      </c>
      <c r="EG230" s="196">
        <v>3373.3</v>
      </c>
      <c r="EH230" s="196">
        <v>3373.3</v>
      </c>
      <c r="EI230" s="196">
        <v>3373.3</v>
      </c>
      <c r="EJ230" s="196">
        <v>3373.3</v>
      </c>
      <c r="EK230" s="196">
        <f t="shared" si="208"/>
        <v>3373.3</v>
      </c>
      <c r="EU230" s="114"/>
      <c r="EV230" s="77">
        <v>314795</v>
      </c>
      <c r="EW230" s="77">
        <v>325271</v>
      </c>
      <c r="EX230" s="196">
        <f>H230</f>
        <v>201100</v>
      </c>
      <c r="EY230" s="196">
        <f>N230</f>
        <v>206884</v>
      </c>
      <c r="EZ230" s="196">
        <f>T230</f>
        <v>200378</v>
      </c>
      <c r="FA230" s="196">
        <f>Z230</f>
        <v>141032</v>
      </c>
      <c r="FB230" s="196">
        <f>AF230</f>
        <v>148133</v>
      </c>
      <c r="FC230" s="196">
        <f>AL230</f>
        <v>133263</v>
      </c>
      <c r="FD230" s="196">
        <f>AR230</f>
        <v>71008</v>
      </c>
      <c r="FE230" s="196">
        <f>AX230</f>
        <v>38700</v>
      </c>
      <c r="FF230" s="196">
        <f>BD230</f>
        <v>39400</v>
      </c>
      <c r="FG230" s="196">
        <f>BK230</f>
        <v>139.5</v>
      </c>
      <c r="FH230" s="196">
        <f>BQ230</f>
        <v>28.8</v>
      </c>
      <c r="FI230" s="196">
        <f>BW230</f>
        <v>29</v>
      </c>
      <c r="FJ230" s="196">
        <f>CC230</f>
        <v>34.9</v>
      </c>
      <c r="FK230" s="196">
        <f t="shared" si="187"/>
        <v>31.7</v>
      </c>
      <c r="FL230" s="196">
        <f t="shared" si="188"/>
        <v>236.3</v>
      </c>
      <c r="FM230" s="77">
        <f t="shared" si="189"/>
        <v>445.3</v>
      </c>
      <c r="FN230" s="77">
        <f t="shared" si="190"/>
        <v>671.5</v>
      </c>
      <c r="FO230" s="77">
        <f t="shared" si="191"/>
        <v>1098.7</v>
      </c>
      <c r="FP230" s="77">
        <f t="shared" si="192"/>
        <v>1672.8</v>
      </c>
      <c r="FQ230" s="77">
        <f t="shared" si="193"/>
        <v>1872.3</v>
      </c>
      <c r="FR230" s="77">
        <f t="shared" si="194"/>
        <v>1940.7</v>
      </c>
      <c r="FS230" s="196">
        <f t="shared" si="209"/>
        <v>3373.3</v>
      </c>
      <c r="FT230" s="196">
        <f t="shared" si="195"/>
        <v>3373.3</v>
      </c>
      <c r="FU230" s="196">
        <f t="shared" si="210"/>
        <v>3373.3</v>
      </c>
      <c r="FV230" s="196">
        <f t="shared" si="210"/>
        <v>3373.3</v>
      </c>
      <c r="FW230" s="196">
        <f t="shared" si="210"/>
        <v>3373.3</v>
      </c>
      <c r="FX230" s="196">
        <f t="shared" si="210"/>
        <v>3373.3</v>
      </c>
    </row>
    <row r="231" spans="1:184" x14ac:dyDescent="0.25">
      <c r="B231" s="198" t="s">
        <v>181</v>
      </c>
      <c r="C231" s="74"/>
      <c r="D231" s="74"/>
      <c r="E231" s="196"/>
      <c r="F231" s="196"/>
      <c r="G231" s="196"/>
      <c r="H231" s="196"/>
      <c r="I231" s="196"/>
      <c r="J231" s="74"/>
      <c r="K231" s="196"/>
      <c r="L231" s="196"/>
      <c r="M231" s="196"/>
      <c r="N231" s="196"/>
      <c r="O231" s="196"/>
      <c r="Q231" s="196"/>
      <c r="R231" s="196"/>
      <c r="S231" s="196"/>
      <c r="T231" s="196"/>
      <c r="U231" s="196"/>
      <c r="W231" s="196"/>
      <c r="X231" s="196"/>
      <c r="Y231" s="196"/>
      <c r="Z231" s="196"/>
      <c r="AC231" s="196"/>
      <c r="AD231" s="196"/>
      <c r="AE231" s="196"/>
      <c r="AF231" s="196"/>
      <c r="AI231" s="196"/>
      <c r="AJ231" s="196"/>
      <c r="AK231" s="196"/>
      <c r="AL231" s="196"/>
      <c r="AO231" s="196"/>
      <c r="AP231" s="196"/>
      <c r="AQ231" s="196"/>
      <c r="AR231" s="196"/>
      <c r="AU231" s="196"/>
      <c r="AV231" s="196"/>
      <c r="AW231" s="196"/>
      <c r="AX231" s="196"/>
      <c r="BA231" s="196"/>
      <c r="BB231" s="196"/>
      <c r="BC231" s="196">
        <v>44700</v>
      </c>
      <c r="BD231" s="196">
        <v>38600</v>
      </c>
      <c r="BG231" s="196">
        <v>17.399999999999999</v>
      </c>
      <c r="BH231" s="196">
        <v>17.5</v>
      </c>
      <c r="BI231" s="196">
        <v>17.600000000000001</v>
      </c>
      <c r="BJ231" s="196">
        <v>46</v>
      </c>
      <c r="BK231" s="196">
        <f t="shared" si="196"/>
        <v>46</v>
      </c>
      <c r="BM231" s="196">
        <v>46.2</v>
      </c>
      <c r="BN231" s="196">
        <v>46.4</v>
      </c>
      <c r="BO231" s="196">
        <v>119.3</v>
      </c>
      <c r="BP231" s="196">
        <v>55.3</v>
      </c>
      <c r="BQ231" s="196">
        <f t="shared" si="197"/>
        <v>55.3</v>
      </c>
      <c r="BS231" s="196">
        <v>55.3</v>
      </c>
      <c r="BT231" s="196">
        <v>55.7</v>
      </c>
      <c r="BU231" s="196">
        <v>49.8</v>
      </c>
      <c r="BV231" s="196">
        <v>124</v>
      </c>
      <c r="BW231" s="196">
        <f t="shared" si="198"/>
        <v>124</v>
      </c>
      <c r="BY231" s="196">
        <v>102.2</v>
      </c>
      <c r="BZ231" s="196">
        <v>105.7</v>
      </c>
      <c r="CA231" s="196">
        <v>71.8</v>
      </c>
      <c r="CB231" s="196">
        <v>117.2</v>
      </c>
      <c r="CC231" s="196">
        <f t="shared" si="199"/>
        <v>117.2</v>
      </c>
      <c r="CE231" s="196">
        <v>213.6</v>
      </c>
      <c r="CF231" s="196">
        <v>120.2</v>
      </c>
      <c r="CG231" s="196">
        <v>263.89999999999998</v>
      </c>
      <c r="CH231" s="196">
        <v>159.4</v>
      </c>
      <c r="CI231" s="196">
        <f t="shared" si="200"/>
        <v>159.4</v>
      </c>
      <c r="CK231" s="196">
        <v>193.2</v>
      </c>
      <c r="CL231" s="196">
        <v>193</v>
      </c>
      <c r="CM231" s="196">
        <v>193.5</v>
      </c>
      <c r="CN231" s="196">
        <v>275.10000000000002</v>
      </c>
      <c r="CO231" s="196">
        <f t="shared" si="201"/>
        <v>275.10000000000002</v>
      </c>
      <c r="CQ231" s="196">
        <v>399.4</v>
      </c>
      <c r="CR231" s="196">
        <v>406.3</v>
      </c>
      <c r="CS231" s="196">
        <v>588.20000000000005</v>
      </c>
      <c r="CT231" s="196">
        <v>421.1</v>
      </c>
      <c r="CU231" s="196">
        <f t="shared" si="202"/>
        <v>421.1</v>
      </c>
      <c r="CW231" s="196">
        <v>340.8</v>
      </c>
      <c r="CX231" s="196">
        <v>444</v>
      </c>
      <c r="CY231" s="196">
        <v>349.6</v>
      </c>
      <c r="CZ231" s="196">
        <v>400.5</v>
      </c>
      <c r="DA231" s="196">
        <f t="shared" si="203"/>
        <v>400.5</v>
      </c>
      <c r="DC231" s="196">
        <v>66.599999999999994</v>
      </c>
      <c r="DD231" s="196">
        <v>6.2</v>
      </c>
      <c r="DE231" s="196">
        <v>139</v>
      </c>
      <c r="DF231" s="196">
        <v>383</v>
      </c>
      <c r="DG231" s="196">
        <f t="shared" si="186"/>
        <v>383</v>
      </c>
      <c r="DI231" s="196">
        <v>191.5</v>
      </c>
      <c r="DJ231" s="196">
        <v>0</v>
      </c>
      <c r="DK231" s="196">
        <v>174.9</v>
      </c>
      <c r="DL231" s="196">
        <v>0</v>
      </c>
      <c r="DM231" s="196">
        <f t="shared" si="204"/>
        <v>0</v>
      </c>
      <c r="DO231" s="196">
        <v>58.3</v>
      </c>
      <c r="DP231" s="196">
        <v>71.7</v>
      </c>
      <c r="DQ231" s="196">
        <v>423.4</v>
      </c>
      <c r="DR231" s="196">
        <v>60.6</v>
      </c>
      <c r="DS231" s="196">
        <f t="shared" si="205"/>
        <v>60.6</v>
      </c>
      <c r="DT231" s="196"/>
      <c r="DU231" s="196">
        <v>13.8</v>
      </c>
      <c r="DV231" s="196">
        <v>64</v>
      </c>
      <c r="DW231" s="196">
        <v>370.5</v>
      </c>
      <c r="DX231" s="196">
        <v>317.2</v>
      </c>
      <c r="DY231" s="196">
        <f t="shared" si="206"/>
        <v>317.2</v>
      </c>
      <c r="EA231" s="196">
        <v>153.4</v>
      </c>
      <c r="EB231" s="196">
        <v>175.1</v>
      </c>
      <c r="EC231" s="196">
        <v>0</v>
      </c>
      <c r="ED231" s="196">
        <v>13.3</v>
      </c>
      <c r="EE231" s="196">
        <f t="shared" si="207"/>
        <v>13.3</v>
      </c>
      <c r="EG231" s="196">
        <v>13.3</v>
      </c>
      <c r="EH231" s="196">
        <v>13.3</v>
      </c>
      <c r="EI231" s="196">
        <v>13.3</v>
      </c>
      <c r="EJ231" s="196">
        <v>13.3</v>
      </c>
      <c r="EK231" s="196">
        <f t="shared" si="208"/>
        <v>13.3</v>
      </c>
      <c r="EU231" s="114"/>
      <c r="EV231" s="77"/>
      <c r="EW231" s="77"/>
      <c r="EX231" s="196">
        <f>H231</f>
        <v>0</v>
      </c>
      <c r="EY231" s="196">
        <f>N231</f>
        <v>0</v>
      </c>
      <c r="EZ231" s="196">
        <f>T231</f>
        <v>0</v>
      </c>
      <c r="FA231" s="196">
        <f>Z231</f>
        <v>0</v>
      </c>
      <c r="FB231" s="196">
        <f>AF231</f>
        <v>0</v>
      </c>
      <c r="FC231" s="196">
        <f>AL231</f>
        <v>0</v>
      </c>
      <c r="FD231" s="196">
        <f>AR231</f>
        <v>0</v>
      </c>
      <c r="FE231" s="196">
        <f>AX231</f>
        <v>0</v>
      </c>
      <c r="FF231" s="196">
        <f>BD231</f>
        <v>38600</v>
      </c>
      <c r="FG231" s="196">
        <f>BK231</f>
        <v>46</v>
      </c>
      <c r="FH231" s="196">
        <f>BQ231</f>
        <v>55.3</v>
      </c>
      <c r="FI231" s="196">
        <f>BW231</f>
        <v>124</v>
      </c>
      <c r="FJ231" s="196">
        <f>CC231</f>
        <v>117.2</v>
      </c>
      <c r="FK231" s="196">
        <f t="shared" si="187"/>
        <v>159.4</v>
      </c>
      <c r="FL231" s="196">
        <f t="shared" si="188"/>
        <v>275.10000000000002</v>
      </c>
      <c r="FM231" s="77">
        <f t="shared" si="189"/>
        <v>421.1</v>
      </c>
      <c r="FN231" s="77">
        <f t="shared" si="190"/>
        <v>400.5</v>
      </c>
      <c r="FO231" s="77">
        <f t="shared" si="191"/>
        <v>383</v>
      </c>
      <c r="FP231" s="77">
        <f t="shared" si="192"/>
        <v>0</v>
      </c>
      <c r="FQ231" s="77">
        <f t="shared" si="193"/>
        <v>60.6</v>
      </c>
      <c r="FR231" s="77">
        <f t="shared" si="194"/>
        <v>317.2</v>
      </c>
      <c r="FS231" s="196">
        <f t="shared" si="209"/>
        <v>13.3</v>
      </c>
      <c r="FT231" s="196">
        <f t="shared" si="195"/>
        <v>13.3</v>
      </c>
      <c r="FU231" s="196">
        <f t="shared" si="210"/>
        <v>13.3</v>
      </c>
      <c r="FV231" s="196">
        <f t="shared" si="210"/>
        <v>13.3</v>
      </c>
      <c r="FW231" s="196">
        <f t="shared" si="210"/>
        <v>13.3</v>
      </c>
      <c r="FX231" s="196">
        <f t="shared" si="210"/>
        <v>13.3</v>
      </c>
    </row>
    <row r="232" spans="1:184" x14ac:dyDescent="0.25">
      <c r="B232" s="84" t="s">
        <v>164</v>
      </c>
      <c r="C232" s="74"/>
      <c r="D232" s="74"/>
      <c r="E232" s="196"/>
      <c r="F232" s="196"/>
      <c r="G232" s="196"/>
      <c r="H232" s="77">
        <v>25145</v>
      </c>
      <c r="I232" s="196"/>
      <c r="J232" s="74"/>
      <c r="K232" s="77">
        <v>41267</v>
      </c>
      <c r="L232" s="77">
        <v>40907</v>
      </c>
      <c r="M232" s="77">
        <v>45831</v>
      </c>
      <c r="N232" s="77">
        <v>39796</v>
      </c>
      <c r="O232" s="196"/>
      <c r="Q232" s="77">
        <v>38900</v>
      </c>
      <c r="R232" s="77">
        <v>38500</v>
      </c>
      <c r="S232" s="77">
        <v>36501</v>
      </c>
      <c r="T232" s="77">
        <v>35653</v>
      </c>
      <c r="U232" s="196"/>
      <c r="W232" s="96">
        <v>40000</v>
      </c>
      <c r="X232" s="96">
        <v>45000</v>
      </c>
      <c r="Y232" s="96">
        <v>50000</v>
      </c>
      <c r="Z232" s="77">
        <v>59991</v>
      </c>
      <c r="AC232" s="77">
        <v>85700</v>
      </c>
      <c r="AD232" s="77">
        <v>39342</v>
      </c>
      <c r="AE232" s="77">
        <v>50632</v>
      </c>
      <c r="AF232" s="77">
        <v>119227</v>
      </c>
      <c r="AI232" s="77">
        <f>89519+29250</f>
        <v>118769</v>
      </c>
      <c r="AJ232" s="77">
        <f>53764+20609</f>
        <v>74373</v>
      </c>
      <c r="AK232" s="77">
        <v>68061</v>
      </c>
      <c r="AL232" s="77">
        <v>77054</v>
      </c>
      <c r="AO232" s="77">
        <v>99100</v>
      </c>
      <c r="AP232" s="77">
        <v>94400</v>
      </c>
      <c r="AQ232" s="77">
        <f>32200+110600</f>
        <v>142800</v>
      </c>
      <c r="AR232" s="77">
        <f>28905+235712</f>
        <v>264617</v>
      </c>
      <c r="AU232" s="77">
        <v>227200</v>
      </c>
      <c r="AV232" s="77">
        <v>214600</v>
      </c>
      <c r="AW232" s="77">
        <v>248.4</v>
      </c>
      <c r="AX232" s="77">
        <v>307300</v>
      </c>
      <c r="BA232" s="77">
        <v>318000</v>
      </c>
      <c r="BB232" s="77">
        <v>290500</v>
      </c>
      <c r="BC232" s="77">
        <f>304900</f>
        <v>304900</v>
      </c>
      <c r="BD232" s="77">
        <f>311600</f>
        <v>311600</v>
      </c>
      <c r="BG232" s="196">
        <v>312.7</v>
      </c>
      <c r="BH232" s="196">
        <v>292.10000000000002</v>
      </c>
      <c r="BI232" s="196">
        <v>287.3</v>
      </c>
      <c r="BJ232" s="196">
        <v>298.60000000000002</v>
      </c>
      <c r="BK232" s="77">
        <f t="shared" si="196"/>
        <v>298.60000000000002</v>
      </c>
      <c r="BM232" s="196">
        <v>330.2</v>
      </c>
      <c r="BN232" s="196">
        <v>347.9</v>
      </c>
      <c r="BO232" s="196">
        <v>349.9</v>
      </c>
      <c r="BP232" s="196">
        <v>444.8</v>
      </c>
      <c r="BQ232" s="77">
        <f t="shared" si="197"/>
        <v>444.8</v>
      </c>
      <c r="BS232" s="196">
        <v>472.2</v>
      </c>
      <c r="BT232" s="196">
        <v>435</v>
      </c>
      <c r="BU232" s="196">
        <v>429.4</v>
      </c>
      <c r="BV232" s="196">
        <v>450.9</v>
      </c>
      <c r="BW232" s="77">
        <f t="shared" si="198"/>
        <v>450.9</v>
      </c>
      <c r="BY232" s="196">
        <v>483.8</v>
      </c>
      <c r="BZ232" s="196">
        <v>641.20000000000005</v>
      </c>
      <c r="CA232" s="196">
        <v>623.20000000000005</v>
      </c>
      <c r="CB232" s="196">
        <v>612.29999999999995</v>
      </c>
      <c r="CC232" s="77">
        <f t="shared" si="199"/>
        <v>612.29999999999995</v>
      </c>
      <c r="CE232" s="196">
        <v>621.1</v>
      </c>
      <c r="CF232" s="196">
        <v>634.6</v>
      </c>
      <c r="CG232" s="196">
        <v>597.4</v>
      </c>
      <c r="CH232" s="196">
        <v>821.90000000000009</v>
      </c>
      <c r="CI232" s="77">
        <f t="shared" si="200"/>
        <v>821.90000000000009</v>
      </c>
      <c r="CK232" s="196">
        <v>805.9</v>
      </c>
      <c r="CL232" s="196">
        <v>998.6</v>
      </c>
      <c r="CM232" s="196">
        <v>1034</v>
      </c>
      <c r="CN232" s="196">
        <v>943.7</v>
      </c>
      <c r="CO232" s="77">
        <f t="shared" si="201"/>
        <v>943.7</v>
      </c>
      <c r="CQ232" s="196">
        <v>1029.2</v>
      </c>
      <c r="CR232" s="196">
        <v>1104.0999999999999</v>
      </c>
      <c r="CS232" s="196">
        <v>1256.9000000000001</v>
      </c>
      <c r="CT232" s="196">
        <v>1154.3</v>
      </c>
      <c r="CU232" s="77">
        <f t="shared" si="202"/>
        <v>1154.3</v>
      </c>
      <c r="CW232" s="196">
        <v>1218.8</v>
      </c>
      <c r="CX232" s="196">
        <v>1283.6000000000001</v>
      </c>
      <c r="CY232" s="196">
        <v>1259.5</v>
      </c>
      <c r="CZ232" s="196">
        <v>1296.3</v>
      </c>
      <c r="DA232" s="77">
        <f t="shared" si="203"/>
        <v>1296.3</v>
      </c>
      <c r="DC232" s="196">
        <v>1657.9</v>
      </c>
      <c r="DD232" s="196">
        <v>1342.1000000000001</v>
      </c>
      <c r="DE232" s="196">
        <v>1281.8000000000002</v>
      </c>
      <c r="DF232" s="196">
        <v>1176.2</v>
      </c>
      <c r="DG232" s="77">
        <f t="shared" si="186"/>
        <v>1176.2</v>
      </c>
      <c r="DI232" s="196">
        <v>1111.2</v>
      </c>
      <c r="DJ232" s="196">
        <v>1065.6999999999998</v>
      </c>
      <c r="DK232" s="196">
        <v>1316.4999999999998</v>
      </c>
      <c r="DL232" s="196">
        <v>1296.8999999999999</v>
      </c>
      <c r="DM232" s="77">
        <f t="shared" si="204"/>
        <v>1296.8999999999999</v>
      </c>
      <c r="DO232" s="196">
        <v>1667.3999999999999</v>
      </c>
      <c r="DP232" s="196">
        <v>1666.3999999999999</v>
      </c>
      <c r="DQ232" s="196">
        <v>2080.3000000000002</v>
      </c>
      <c r="DR232" s="196">
        <v>1887.6</v>
      </c>
      <c r="DS232" s="77">
        <f t="shared" si="205"/>
        <v>1887.6</v>
      </c>
      <c r="DT232" s="196"/>
      <c r="DU232" s="196">
        <v>1921.3</v>
      </c>
      <c r="DV232" s="196">
        <v>1990.1</v>
      </c>
      <c r="DW232" s="196">
        <v>2055.7999999999997</v>
      </c>
      <c r="DX232" s="196">
        <v>2634.5999999999995</v>
      </c>
      <c r="DY232" s="77">
        <f t="shared" si="206"/>
        <v>2634.5999999999995</v>
      </c>
      <c r="EA232" s="196">
        <v>2668.0000000000005</v>
      </c>
      <c r="EB232" s="196">
        <v>2653.6000000000004</v>
      </c>
      <c r="EC232" s="196">
        <v>4177.3999999999996</v>
      </c>
      <c r="ED232" s="196">
        <v>1398.1</v>
      </c>
      <c r="EE232" s="77">
        <f t="shared" si="207"/>
        <v>1398.1</v>
      </c>
      <c r="EG232" s="196">
        <v>1398.1</v>
      </c>
      <c r="EH232" s="196">
        <v>1398.1</v>
      </c>
      <c r="EI232" s="196">
        <v>1398.1</v>
      </c>
      <c r="EJ232" s="196">
        <v>1398.1</v>
      </c>
      <c r="EK232" s="77">
        <f t="shared" si="208"/>
        <v>1398.1</v>
      </c>
      <c r="ET232" s="74"/>
      <c r="EU232" s="114"/>
      <c r="EV232" s="77">
        <v>61757</v>
      </c>
      <c r="EW232" s="77">
        <v>30711</v>
      </c>
      <c r="EX232" s="77">
        <f>H232</f>
        <v>25145</v>
      </c>
      <c r="EY232" s="77">
        <f>N232</f>
        <v>39796</v>
      </c>
      <c r="EZ232" s="77">
        <f>T232</f>
        <v>35653</v>
      </c>
      <c r="FA232" s="77">
        <f>Z232</f>
        <v>59991</v>
      </c>
      <c r="FB232" s="77">
        <f>AF232</f>
        <v>119227</v>
      </c>
      <c r="FC232" s="77">
        <f>AL232</f>
        <v>77054</v>
      </c>
      <c r="FD232" s="77">
        <f>AR232</f>
        <v>264617</v>
      </c>
      <c r="FE232" s="77">
        <f>AX232</f>
        <v>307300</v>
      </c>
      <c r="FF232" s="77">
        <f>BD232</f>
        <v>311600</v>
      </c>
      <c r="FG232" s="196">
        <f>BK232</f>
        <v>298.60000000000002</v>
      </c>
      <c r="FH232" s="196">
        <f>BQ232</f>
        <v>444.8</v>
      </c>
      <c r="FI232" s="196">
        <f>BW232</f>
        <v>450.9</v>
      </c>
      <c r="FJ232" s="196">
        <f>CC232</f>
        <v>612.29999999999995</v>
      </c>
      <c r="FK232" s="196">
        <f t="shared" si="187"/>
        <v>821.90000000000009</v>
      </c>
      <c r="FL232" s="196">
        <f t="shared" si="188"/>
        <v>943.7</v>
      </c>
      <c r="FM232" s="77">
        <f t="shared" si="189"/>
        <v>1154.3</v>
      </c>
      <c r="FN232" s="77">
        <f t="shared" si="190"/>
        <v>1296.3</v>
      </c>
      <c r="FO232" s="77">
        <f t="shared" si="191"/>
        <v>1176.2</v>
      </c>
      <c r="FP232" s="77">
        <f t="shared" si="192"/>
        <v>1296.8999999999999</v>
      </c>
      <c r="FQ232" s="77">
        <f t="shared" si="193"/>
        <v>1887.6</v>
      </c>
      <c r="FR232" s="77">
        <f t="shared" si="194"/>
        <v>2634.5999999999995</v>
      </c>
      <c r="FS232" s="196">
        <f t="shared" si="209"/>
        <v>1398.1</v>
      </c>
      <c r="FT232" s="196">
        <f t="shared" si="195"/>
        <v>1398.1</v>
      </c>
      <c r="FU232" s="196">
        <f t="shared" si="210"/>
        <v>1398.1</v>
      </c>
      <c r="FV232" s="196">
        <f t="shared" si="210"/>
        <v>1398.1</v>
      </c>
      <c r="FW232" s="196">
        <f t="shared" si="210"/>
        <v>1398.1</v>
      </c>
      <c r="FX232" s="196">
        <f t="shared" si="210"/>
        <v>1398.1</v>
      </c>
    </row>
    <row r="233" spans="1:184" x14ac:dyDescent="0.25">
      <c r="B233" s="74" t="s">
        <v>180</v>
      </c>
      <c r="C233" s="74"/>
      <c r="D233" s="74"/>
      <c r="E233" s="196"/>
      <c r="F233" s="196"/>
      <c r="G233" s="196"/>
      <c r="H233" s="87">
        <f>H226+H227+H228+H230+H231+H232</f>
        <v>561754</v>
      </c>
      <c r="I233" s="196"/>
      <c r="J233" s="74"/>
      <c r="K233" s="87">
        <f>K226+K227+K228+K230+K231+K232</f>
        <v>592173</v>
      </c>
      <c r="L233" s="87">
        <f>L226+L227+L228+L230+L231+L232</f>
        <v>582193</v>
      </c>
      <c r="M233" s="87">
        <f>M226+M227+M228+M230+M231+M232</f>
        <v>560279</v>
      </c>
      <c r="N233" s="87">
        <f>N226+N227+N228+N230+N231+N232</f>
        <v>550204</v>
      </c>
      <c r="O233" s="196"/>
      <c r="Q233" s="87">
        <f>Q226+Q227+Q228+Q230+Q231+Q232</f>
        <v>541879</v>
      </c>
      <c r="R233" s="87">
        <f>R226+R227+R228+R230+R231+R232</f>
        <v>526500</v>
      </c>
      <c r="S233" s="87">
        <f>S226+S227+S228+S230+S231+S232</f>
        <v>498068</v>
      </c>
      <c r="T233" s="87">
        <f>T226+T227+T228+T230+T231+T232</f>
        <v>524997</v>
      </c>
      <c r="U233" s="196"/>
      <c r="W233" s="87">
        <f>W226+W227+W228+W230+W231+W232</f>
        <v>699517</v>
      </c>
      <c r="X233" s="87">
        <f>X226+X227+X228+X230+X231+X232</f>
        <v>749398</v>
      </c>
      <c r="Y233" s="87">
        <f>Y226+Y227+Y228+Y230+Y231+Y232</f>
        <v>704246</v>
      </c>
      <c r="Z233" s="87">
        <f>Z226+Z227+Z228+Z230+Z231+Z232</f>
        <v>748383</v>
      </c>
      <c r="AC233" s="87">
        <f>AC226+AC227+AC228+AC230+AC231+AC232</f>
        <v>775119</v>
      </c>
      <c r="AD233" s="87">
        <f>AD226+AD227+AD228+AD230+AD231+AD232</f>
        <v>804974</v>
      </c>
      <c r="AE233" s="87">
        <f>AE226+AE227+AE228+AE230+AE231+AE232</f>
        <v>851124</v>
      </c>
      <c r="AF233" s="87">
        <f>AF226+AF227+AF228+AF230+AF231+AF232</f>
        <v>966145</v>
      </c>
      <c r="AI233" s="87">
        <f>AI226+AI227+AI228+AI230+AI231+AI232</f>
        <v>1043883</v>
      </c>
      <c r="AJ233" s="87">
        <f>AJ226+AJ227+AJ228+AJ230+AJ231+AJ232</f>
        <v>1021993</v>
      </c>
      <c r="AK233" s="87">
        <f>AK226+AK227+AK228+AK230+AK231+AK232</f>
        <v>970843</v>
      </c>
      <c r="AL233" s="87">
        <f>AL226+AL227+AL228+AL230+AL231+AL232</f>
        <v>1015267</v>
      </c>
      <c r="AO233" s="87">
        <f>AO226+AO227+AO228+AO230+AO231+AO232</f>
        <v>1106600</v>
      </c>
      <c r="AP233" s="87">
        <f>AP226+AP227+AP228+AP230+AP231+AP232</f>
        <v>1133200</v>
      </c>
      <c r="AQ233" s="87">
        <f>AQ226+AQ227+AQ228+AQ230+AQ231+AQ232</f>
        <v>1113000</v>
      </c>
      <c r="AR233" s="87">
        <f>AR226+AR227+AR228+AR230+AR231+AR232</f>
        <v>1235893</v>
      </c>
      <c r="AU233" s="87">
        <f>AU226+AU227+AU228+AU230+AU231+AU232</f>
        <v>1289000</v>
      </c>
      <c r="AV233" s="87">
        <f>AV226+AV227+AV228+AV230+AV231+AV232</f>
        <v>1385700</v>
      </c>
      <c r="AW233" s="87">
        <f>AW226+AW227+AW228+AW230+AW231+AW232</f>
        <v>1257848.3999999999</v>
      </c>
      <c r="AX233" s="87">
        <f>AX226+AX227+AX228+AX230+AX231+AX232</f>
        <v>1554000</v>
      </c>
      <c r="AY233" s="87"/>
      <c r="BA233" s="87">
        <f>BA226+BA227+BA228+BA230+BA231+BA232</f>
        <v>1632200</v>
      </c>
      <c r="BB233" s="87">
        <f>BB226+BB227+BB228+BB230+BB231+BB232</f>
        <v>1658600</v>
      </c>
      <c r="BC233" s="87">
        <f>BC226+BC227+BC228+BC230+BC231+BC232</f>
        <v>1577900</v>
      </c>
      <c r="BD233" s="87">
        <f>BD226+BD227+BD228+BD230+BD231+BD232</f>
        <v>1578600</v>
      </c>
      <c r="BG233" s="87">
        <f>SUM(BG226:BG232)</f>
        <v>1548.5</v>
      </c>
      <c r="BH233" s="87">
        <f>SUM(BH226:BH232)</f>
        <v>4456.8</v>
      </c>
      <c r="BI233" s="87">
        <f>SUM(BI226:BI232)</f>
        <v>4390</v>
      </c>
      <c r="BJ233" s="87">
        <f>SUM(BJ226:BJ232)</f>
        <v>4488.1000000000004</v>
      </c>
      <c r="BK233" s="87">
        <f>SUM(BK226:BK232)</f>
        <v>4488.1000000000004</v>
      </c>
      <c r="BM233" s="87">
        <f>SUM(BM226:BM232)</f>
        <v>4517.4999999999991</v>
      </c>
      <c r="BN233" s="87">
        <f>SUM(BN226:BN232)</f>
        <v>4598.1999999999989</v>
      </c>
      <c r="BO233" s="87">
        <f>SUM(BO226:BO232)</f>
        <v>4935</v>
      </c>
      <c r="BP233" s="87">
        <f>SUM(BP226:BP232)</f>
        <v>5057.7000000000007</v>
      </c>
      <c r="BQ233" s="87">
        <f>SUM(BQ226:BQ232)</f>
        <v>5057.7000000000007</v>
      </c>
      <c r="BS233" s="87">
        <f>SUM(BS226:BS232)</f>
        <v>5466.0000000000009</v>
      </c>
      <c r="BT233" s="87">
        <f>SUM(BT226:BT232)</f>
        <v>5363.5</v>
      </c>
      <c r="BU233" s="87">
        <f>SUM(BU226:BU232)</f>
        <v>5358.1</v>
      </c>
      <c r="BV233" s="87">
        <f>SUM(BV226:BV232)</f>
        <v>5587.4</v>
      </c>
      <c r="BW233" s="87">
        <f>SUM(BW226:BW232)</f>
        <v>5587.4</v>
      </c>
      <c r="BY233" s="87">
        <f>SUM(BY226:BY232)</f>
        <v>5457.4</v>
      </c>
      <c r="BZ233" s="87">
        <f>SUM(BZ226:BZ232)</f>
        <v>5723</v>
      </c>
      <c r="CA233" s="87">
        <f>SUM(CA226:CA232)</f>
        <v>5586.5</v>
      </c>
      <c r="CB233" s="87">
        <f>SUM(CB226:CB232)</f>
        <v>8648.4999999999982</v>
      </c>
      <c r="CC233" s="87">
        <f>SUM(CC226:CC232)</f>
        <v>8648.4999999999982</v>
      </c>
      <c r="CE233" s="87">
        <f>SUM(CE226:CE232)</f>
        <v>8555.2000000000007</v>
      </c>
      <c r="CF233" s="87">
        <f>SUM(CF226:CF232)</f>
        <v>9230.6000000000022</v>
      </c>
      <c r="CG233" s="87">
        <f>SUM(CG226:CG232)</f>
        <v>9202.4999999999982</v>
      </c>
      <c r="CH233" s="87">
        <f>SUM(CH226:CH232)</f>
        <v>9303.1</v>
      </c>
      <c r="CI233" s="87">
        <f>SUM(CI226:CI232)</f>
        <v>9303.1</v>
      </c>
      <c r="CK233" s="87">
        <f>SUM(CK226:CK232)</f>
        <v>9431.5000000000018</v>
      </c>
      <c r="CL233" s="87">
        <f>SUM(CL226:CL232)</f>
        <v>9524.6</v>
      </c>
      <c r="CM233" s="87">
        <f>SUM(CM226:CM232)</f>
        <v>9544.5</v>
      </c>
      <c r="CN233" s="87">
        <f>SUM(CN226:CN232)</f>
        <v>9605.5000000000018</v>
      </c>
      <c r="CO233" s="87">
        <f>SUM(CO226:CO232)</f>
        <v>9605.5000000000018</v>
      </c>
      <c r="CQ233" s="87">
        <f>SUM(CQ226:CQ232)</f>
        <v>9964.3000000000011</v>
      </c>
      <c r="CR233" s="87">
        <f>SUM(CR226:CR232)</f>
        <v>10138.6</v>
      </c>
      <c r="CS233" s="87">
        <f>SUM(CS226:CS232)</f>
        <v>10605.1</v>
      </c>
      <c r="CT233" s="87">
        <f>SUM(CT226:CT232)</f>
        <v>10498.5</v>
      </c>
      <c r="CU233" s="87">
        <f>SUM(CU226:CU232)</f>
        <v>10498.5</v>
      </c>
      <c r="CW233" s="87">
        <f>SUM(CW226:CW232)</f>
        <v>10577.499999999998</v>
      </c>
      <c r="CX233" s="87">
        <f>SUM(CX226:CX232)</f>
        <v>10813.5</v>
      </c>
      <c r="CY233" s="87">
        <f>SUM(CY226:CY232)</f>
        <v>10912.600000000002</v>
      </c>
      <c r="CZ233" s="87">
        <f>SUM(CZ226:CZ232)</f>
        <v>11337.4</v>
      </c>
      <c r="DA233" s="87">
        <f>SUM(DA226:DA232)</f>
        <v>11337.4</v>
      </c>
      <c r="DC233" s="87">
        <f>SUM(DC226:DC232)</f>
        <v>11359.099999999999</v>
      </c>
      <c r="DD233" s="87">
        <f>SUM(DD226:DD232)</f>
        <v>11076.300000000001</v>
      </c>
      <c r="DE233" s="87">
        <f>SUM(DE226:DE232)</f>
        <v>11619.7</v>
      </c>
      <c r="DF233" s="87">
        <f>SUM(DF226:DF232)</f>
        <v>12040.800000000001</v>
      </c>
      <c r="DG233" s="87">
        <f>SUM(DG226:DG232)</f>
        <v>12040.800000000001</v>
      </c>
      <c r="DI233" s="87">
        <f>SUM(DI226:DI232)</f>
        <v>12023</v>
      </c>
      <c r="DJ233" s="87">
        <f>SUM(DJ226:DJ232)</f>
        <v>12077.3</v>
      </c>
      <c r="DK233" s="87">
        <f>SUM(DK226:DK232)</f>
        <v>13077.1</v>
      </c>
      <c r="DL233" s="87">
        <f>SUM(DL226:DL232)</f>
        <v>13235.499999999998</v>
      </c>
      <c r="DM233" s="87">
        <f>SUM(DM226:DM232)</f>
        <v>13235.499999999998</v>
      </c>
      <c r="DO233" s="87">
        <f>SUM(DO226:DO232)</f>
        <v>14086.800000000001</v>
      </c>
      <c r="DP233" s="87">
        <f>SUM(DP226:DP232)</f>
        <v>14530.300000000001</v>
      </c>
      <c r="DQ233" s="87">
        <f>SUM(DQ226:DQ232)</f>
        <v>15857.8</v>
      </c>
      <c r="DR233" s="87">
        <f>SUM(DR226:DR232)</f>
        <v>15563.6</v>
      </c>
      <c r="DS233" s="87">
        <f>SUM(DS226:DS232)</f>
        <v>15563.6</v>
      </c>
      <c r="DT233" s="87"/>
      <c r="DU233" s="87">
        <f>SUM(DU226:DU232)</f>
        <v>15902.9</v>
      </c>
      <c r="DV233" s="87">
        <f>SUM(DV226:DV232)</f>
        <v>16287.8</v>
      </c>
      <c r="DW233" s="87">
        <f>SUM(DW226:DW232)</f>
        <v>16902.099999999999</v>
      </c>
      <c r="DX233" s="87">
        <f>SUM(DX226:DX232)</f>
        <v>17852.2</v>
      </c>
      <c r="DY233" s="87">
        <f>SUM(DY226:DY232)</f>
        <v>17852.2</v>
      </c>
      <c r="EA233" s="87">
        <f>SUM(EA226:EA232)</f>
        <v>17954.400000000001</v>
      </c>
      <c r="EB233" s="87">
        <f>SUM(EB226:EB232)</f>
        <v>18138.600000000002</v>
      </c>
      <c r="EC233" s="87">
        <f>SUM(EC226:EC232)</f>
        <v>19950.8</v>
      </c>
      <c r="ED233" s="87">
        <f>SUM(ED226:ED232)</f>
        <v>19950.5</v>
      </c>
      <c r="EE233" s="87">
        <f>SUM(EE226:EE232)</f>
        <v>19950.5</v>
      </c>
      <c r="EG233" s="87">
        <f>SUM(EG226:EG232)</f>
        <v>20113.399999999998</v>
      </c>
      <c r="EH233" s="87">
        <f>SUM(EH226:EH232)</f>
        <v>20476.307986524458</v>
      </c>
      <c r="EI233" s="87">
        <f>SUM(EI226:EI232)</f>
        <v>21037.728928557575</v>
      </c>
      <c r="EJ233" s="87">
        <f>SUM(EJ226:EJ232)</f>
        <v>21327.159202575709</v>
      </c>
      <c r="EK233" s="87">
        <f>SUM(EK226:EK232)</f>
        <v>21327.159202575709</v>
      </c>
      <c r="ET233" s="74"/>
      <c r="EU233" s="114"/>
      <c r="EV233" s="87">
        <f>EV230+EV228+EV226+EV232</f>
        <v>886344</v>
      </c>
      <c r="EW233" s="87">
        <f>EW230+EW228+EW226+EW232</f>
        <v>718455</v>
      </c>
      <c r="EX233" s="87">
        <f t="shared" ref="EX233:FF233" si="211">EX226+EX227+EX228+EX230+EX231+EX232</f>
        <v>561754</v>
      </c>
      <c r="EY233" s="87">
        <f t="shared" si="211"/>
        <v>550204</v>
      </c>
      <c r="EZ233" s="87">
        <f t="shared" si="211"/>
        <v>524997</v>
      </c>
      <c r="FA233" s="87">
        <f t="shared" si="211"/>
        <v>748383</v>
      </c>
      <c r="FB233" s="87">
        <f t="shared" si="211"/>
        <v>966145</v>
      </c>
      <c r="FC233" s="87">
        <f t="shared" si="211"/>
        <v>1015267</v>
      </c>
      <c r="FD233" s="87">
        <f t="shared" si="211"/>
        <v>1235893</v>
      </c>
      <c r="FE233" s="87">
        <f t="shared" si="211"/>
        <v>1554000</v>
      </c>
      <c r="FF233" s="87">
        <f t="shared" si="211"/>
        <v>1578600</v>
      </c>
      <c r="FG233" s="87">
        <f>SUM(FG226:FG232)</f>
        <v>4488.1000000000004</v>
      </c>
      <c r="FH233" s="87">
        <f t="shared" ref="FH233:FP233" si="212">SUM(FH226:FH232)</f>
        <v>5057.7000000000007</v>
      </c>
      <c r="FI233" s="87">
        <f t="shared" si="212"/>
        <v>5587.4</v>
      </c>
      <c r="FJ233" s="87">
        <f t="shared" si="212"/>
        <v>8648.4999999999982</v>
      </c>
      <c r="FK233" s="87">
        <f t="shared" si="212"/>
        <v>9303.1</v>
      </c>
      <c r="FL233" s="87">
        <f t="shared" si="212"/>
        <v>9605.5000000000018</v>
      </c>
      <c r="FM233" s="87">
        <f t="shared" si="212"/>
        <v>10498.5</v>
      </c>
      <c r="FN233" s="87">
        <f t="shared" si="212"/>
        <v>11337.4</v>
      </c>
      <c r="FO233" s="87">
        <f t="shared" si="212"/>
        <v>12040.800000000001</v>
      </c>
      <c r="FP233" s="87">
        <f t="shared" si="212"/>
        <v>13235.499999999998</v>
      </c>
      <c r="FQ233" s="87">
        <f t="shared" ref="FQ233:FX233" si="213">SUM(FQ226:FQ232)</f>
        <v>15563.6</v>
      </c>
      <c r="FR233" s="87">
        <f t="shared" si="213"/>
        <v>17852.2</v>
      </c>
      <c r="FS233" s="87">
        <f t="shared" si="213"/>
        <v>19950.5</v>
      </c>
      <c r="FT233" s="87">
        <f>SUM(FT226:FT232)</f>
        <v>21327.159202575709</v>
      </c>
      <c r="FU233" s="87">
        <f t="shared" si="213"/>
        <v>22628.269838875709</v>
      </c>
      <c r="FV233" s="87">
        <f t="shared" si="213"/>
        <v>23754.776788877112</v>
      </c>
      <c r="FW233" s="87">
        <f t="shared" ca="1" si="213"/>
        <v>24383.151788877112</v>
      </c>
      <c r="FX233" s="87">
        <f t="shared" ca="1" si="213"/>
        <v>25110.391788877107</v>
      </c>
    </row>
    <row r="234" spans="1:184" x14ac:dyDescent="0.25">
      <c r="C234" s="74"/>
      <c r="D234" s="74"/>
      <c r="E234" s="196"/>
      <c r="F234" s="196"/>
      <c r="G234" s="196"/>
      <c r="I234" s="196"/>
      <c r="J234" s="74"/>
      <c r="O234" s="196"/>
      <c r="U234" s="196"/>
      <c r="BG234" s="201"/>
    </row>
    <row r="235" spans="1:184" x14ac:dyDescent="0.25">
      <c r="C235" s="74"/>
      <c r="D235" s="74"/>
      <c r="ET235" s="74"/>
      <c r="EU235" s="114"/>
      <c r="EV235" s="77">
        <v>730025</v>
      </c>
      <c r="EW235" s="77">
        <v>595017</v>
      </c>
      <c r="EX235" s="196">
        <f>H241</f>
        <v>717688</v>
      </c>
      <c r="EY235" s="196">
        <f>N241</f>
        <v>777200</v>
      </c>
      <c r="EZ235" s="196">
        <f>T241</f>
        <v>808481</v>
      </c>
      <c r="FA235" s="196">
        <f>Z241</f>
        <v>1102210</v>
      </c>
      <c r="FB235" s="196">
        <f>AF241</f>
        <v>999150</v>
      </c>
      <c r="FC235" s="196">
        <f>AL241</f>
        <v>963382</v>
      </c>
      <c r="FD235" s="196">
        <f>AR241</f>
        <v>1497180</v>
      </c>
      <c r="FE235" s="196">
        <f>AX241</f>
        <v>1624600</v>
      </c>
      <c r="FF235" s="196">
        <f>BD241</f>
        <v>1857</v>
      </c>
      <c r="FG235" s="196"/>
      <c r="FH235" s="196"/>
      <c r="FI235" s="196"/>
      <c r="FJ235" s="196"/>
      <c r="FK235" s="196"/>
      <c r="FL235" s="196"/>
      <c r="FM235" s="196"/>
      <c r="FN235" s="196"/>
      <c r="FP235" s="74"/>
      <c r="FQ235" s="74"/>
    </row>
    <row r="236" spans="1:184" x14ac:dyDescent="0.25">
      <c r="B236" s="180" t="s">
        <v>376</v>
      </c>
      <c r="C236" s="74"/>
      <c r="D236" s="74"/>
      <c r="H236" s="77">
        <v>1228130</v>
      </c>
      <c r="I236" s="196"/>
      <c r="K236" s="77">
        <v>1319651</v>
      </c>
      <c r="L236" s="77">
        <v>1544078</v>
      </c>
      <c r="M236" s="77">
        <v>1699763</v>
      </c>
      <c r="N236" s="77">
        <v>1904609</v>
      </c>
      <c r="O236" s="196"/>
      <c r="Q236" s="77">
        <v>1671065</v>
      </c>
      <c r="R236" s="77">
        <v>1731500</v>
      </c>
      <c r="S236" s="77">
        <v>1580889</v>
      </c>
      <c r="T236" s="77">
        <v>1655857</v>
      </c>
      <c r="U236" s="196"/>
      <c r="W236" s="77">
        <v>1463212</v>
      </c>
      <c r="X236" s="77">
        <v>2299259</v>
      </c>
      <c r="Y236" s="77">
        <v>2445227</v>
      </c>
      <c r="Z236" s="77">
        <v>1271636</v>
      </c>
      <c r="AC236" s="77">
        <v>1397144</v>
      </c>
      <c r="AD236" s="77">
        <v>1360898</v>
      </c>
      <c r="AE236" s="77">
        <v>1312993</v>
      </c>
      <c r="AF236" s="77">
        <v>1109184</v>
      </c>
      <c r="AI236" s="77">
        <v>1151010</v>
      </c>
      <c r="AJ236" s="77">
        <v>1092660</v>
      </c>
      <c r="AK236" s="77">
        <v>1018028</v>
      </c>
      <c r="AL236" s="77">
        <v>1037074</v>
      </c>
      <c r="AO236" s="77">
        <v>1087300</v>
      </c>
      <c r="AP236" s="77">
        <v>1188600</v>
      </c>
      <c r="AQ236" s="77">
        <v>1548000</v>
      </c>
      <c r="AR236" s="77">
        <v>1949834</v>
      </c>
      <c r="AU236" s="77">
        <v>2699500</v>
      </c>
      <c r="AV236" s="77">
        <v>2742100</v>
      </c>
      <c r="AW236" s="77">
        <v>2838100</v>
      </c>
      <c r="AX236" s="77">
        <v>2731800</v>
      </c>
      <c r="BA236" s="77">
        <v>2953400</v>
      </c>
      <c r="BB236" s="77">
        <f>1851800</f>
        <v>1851800</v>
      </c>
      <c r="BC236" s="77">
        <f>5118800</f>
        <v>5118800</v>
      </c>
      <c r="BD236" s="77">
        <v>1767600</v>
      </c>
      <c r="BG236" s="196">
        <v>1780.1</v>
      </c>
      <c r="BH236" s="196">
        <v>1592.3</v>
      </c>
      <c r="BI236" s="196">
        <v>2061.1999999999998</v>
      </c>
      <c r="BJ236" s="196">
        <v>2330.6999999999998</v>
      </c>
      <c r="BK236" s="196">
        <f t="shared" ref="BK236:BK241" si="214">BJ236</f>
        <v>2330.6999999999998</v>
      </c>
      <c r="BM236" s="196">
        <v>2398.1</v>
      </c>
      <c r="BN236" s="196">
        <v>2111</v>
      </c>
      <c r="BO236" s="196">
        <v>2144.8000000000002</v>
      </c>
      <c r="BP236" s="196">
        <v>2419.5</v>
      </c>
      <c r="BQ236" s="196">
        <f t="shared" ref="BQ236:BQ241" si="215">BP236</f>
        <v>2419.5</v>
      </c>
      <c r="BS236" s="196">
        <v>2778.5</v>
      </c>
      <c r="BT236" s="196">
        <v>2495</v>
      </c>
      <c r="BU236" s="196">
        <v>2680.9</v>
      </c>
      <c r="BV236" s="196">
        <v>2458.6999999999998</v>
      </c>
      <c r="BW236" s="196">
        <f t="shared" ref="BW236:BW241" si="216">BV236</f>
        <v>2458.6999999999998</v>
      </c>
      <c r="BY236" s="196">
        <v>2063.4</v>
      </c>
      <c r="BZ236" s="196">
        <v>1926.1</v>
      </c>
      <c r="CA236" s="196">
        <v>2913</v>
      </c>
      <c r="CB236" s="196">
        <v>2906.9</v>
      </c>
      <c r="CC236" s="196">
        <f t="shared" ref="CC236:CC241" si="217">CB236</f>
        <v>2906.9</v>
      </c>
      <c r="CE236" s="196">
        <v>2910.6</v>
      </c>
      <c r="CF236" s="196">
        <v>1914.2</v>
      </c>
      <c r="CG236" s="196">
        <v>2077.6</v>
      </c>
      <c r="CH236" s="196">
        <v>2259</v>
      </c>
      <c r="CI236" s="196">
        <f t="shared" ref="CI236:CI241" si="218">CH236</f>
        <v>2259</v>
      </c>
      <c r="CK236" s="196">
        <v>2464.8000000000002</v>
      </c>
      <c r="CL236" s="196">
        <v>2325.6999999999998</v>
      </c>
      <c r="CM236" s="196">
        <v>2203.1999999999998</v>
      </c>
      <c r="CN236" s="196">
        <v>3121.1</v>
      </c>
      <c r="CO236" s="196">
        <f t="shared" ref="CO236:CO241" si="219">CN236</f>
        <v>3121.1</v>
      </c>
      <c r="CQ236" s="196">
        <v>2253</v>
      </c>
      <c r="CR236" s="196">
        <v>1661.1</v>
      </c>
      <c r="CS236" s="196">
        <v>1586.1</v>
      </c>
      <c r="CT236" s="196">
        <v>3532.3</v>
      </c>
      <c r="CU236" s="196">
        <f t="shared" ref="CU236:CU241" si="220">CT236</f>
        <v>3532.3</v>
      </c>
      <c r="CW236" s="196">
        <v>2723.7</v>
      </c>
      <c r="CX236" s="196">
        <v>3499.1</v>
      </c>
      <c r="CY236" s="196">
        <v>3531.5</v>
      </c>
      <c r="CZ236" s="196">
        <v>6049.4</v>
      </c>
      <c r="DA236" s="196">
        <f t="shared" ref="DA236:DA241" si="221">CZ236</f>
        <v>6049.4</v>
      </c>
      <c r="DC236" s="196">
        <v>3243.8</v>
      </c>
      <c r="DD236" s="196">
        <v>5186.6000000000004</v>
      </c>
      <c r="DE236" s="196">
        <v>4318.7</v>
      </c>
      <c r="DF236" s="196">
        <v>6951.8</v>
      </c>
      <c r="DG236" s="196">
        <f t="shared" ref="DG236:DG241" si="222">DF236</f>
        <v>6951.8</v>
      </c>
      <c r="DI236" s="196">
        <v>4324.1000000000004</v>
      </c>
      <c r="DJ236" s="196">
        <v>4096.5</v>
      </c>
      <c r="DK236" s="196">
        <v>3152.8</v>
      </c>
      <c r="DL236" s="196">
        <v>7268.3</v>
      </c>
      <c r="DM236" s="196">
        <f t="shared" ref="DM236:DM243" si="223">DL236</f>
        <v>7268.3</v>
      </c>
      <c r="DO236" s="196">
        <v>6647.7</v>
      </c>
      <c r="DP236" s="196">
        <v>6341.3</v>
      </c>
      <c r="DQ236" s="196">
        <v>4975.5</v>
      </c>
      <c r="DR236" s="196">
        <v>7004.7</v>
      </c>
      <c r="DS236" s="196">
        <f t="shared" ref="DS236:DS243" si="224">DR236</f>
        <v>7004.7</v>
      </c>
      <c r="DT236" s="196"/>
      <c r="DU236" s="202">
        <v>5100.8</v>
      </c>
      <c r="DV236" s="202">
        <v>4813.6000000000004</v>
      </c>
      <c r="DW236" s="202">
        <v>4979.3</v>
      </c>
      <c r="DX236" s="202">
        <v>12735.9</v>
      </c>
      <c r="DY236" s="202">
        <f t="shared" ref="DY236:DY243" si="225">DX236</f>
        <v>12735.9</v>
      </c>
      <c r="EA236" s="202">
        <v>9098.4</v>
      </c>
      <c r="EB236" s="202">
        <v>7243.5</v>
      </c>
      <c r="EC236" s="202">
        <v>5126.5</v>
      </c>
      <c r="ED236" s="202">
        <v>12916</v>
      </c>
      <c r="EE236" s="202">
        <f t="shared" ref="EE236:EE243" si="226">ED236</f>
        <v>12916</v>
      </c>
      <c r="EG236" s="202">
        <v>7972.8099999999995</v>
      </c>
      <c r="EH236" s="202">
        <v>3774.6392412382993</v>
      </c>
      <c r="EI236" s="202">
        <v>2139.741114274374</v>
      </c>
      <c r="EJ236" s="202">
        <v>6730.3819744215189</v>
      </c>
      <c r="EK236" s="202">
        <f t="shared" ref="EK236:EK243" si="227">EJ236</f>
        <v>6730.3819744215189</v>
      </c>
      <c r="ET236" s="74"/>
      <c r="EU236" s="114"/>
      <c r="EV236" s="77"/>
      <c r="EW236" s="77"/>
      <c r="EX236" s="196"/>
      <c r="EY236" s="196"/>
      <c r="EZ236" s="196"/>
      <c r="FA236" s="196"/>
      <c r="FB236" s="196"/>
      <c r="FC236" s="196"/>
      <c r="FD236" s="196"/>
      <c r="FE236" s="196"/>
      <c r="FF236" s="196"/>
      <c r="FG236" s="196">
        <f t="shared" ref="FG236:FG243" si="228">BK236</f>
        <v>2330.6999999999998</v>
      </c>
      <c r="FH236" s="196">
        <f t="shared" ref="FH236:FH243" si="229">BQ236</f>
        <v>2419.5</v>
      </c>
      <c r="FI236" s="196">
        <f t="shared" ref="FI236:FI243" si="230">BW236</f>
        <v>2458.6999999999998</v>
      </c>
      <c r="FJ236" s="196">
        <f t="shared" ref="FJ236:FJ243" si="231">CC236</f>
        <v>2906.9</v>
      </c>
      <c r="FK236" s="196">
        <f t="shared" ref="FK236:FK243" si="232">CI236</f>
        <v>2259</v>
      </c>
      <c r="FL236" s="196">
        <f t="shared" ref="FL236:FL243" si="233">CO236</f>
        <v>3121.1</v>
      </c>
      <c r="FM236" s="77">
        <f t="shared" ref="FM236:FM243" si="234">CU236</f>
        <v>3532.3</v>
      </c>
      <c r="FN236" s="77">
        <f t="shared" ref="FN236:FN243" si="235">DA236</f>
        <v>6049.4</v>
      </c>
      <c r="FO236" s="77">
        <f t="shared" ref="FO236:FO243" si="236">DG236</f>
        <v>6951.8</v>
      </c>
      <c r="FP236" s="77">
        <f t="shared" ref="FP236:FP243" si="237">DM236</f>
        <v>7268.3</v>
      </c>
      <c r="FQ236" s="77">
        <f t="shared" ref="FQ236:FQ243" si="238">DS236</f>
        <v>7004.7</v>
      </c>
      <c r="FR236" s="77">
        <f t="shared" ref="FR236:FR243" si="239">DY236</f>
        <v>12735.9</v>
      </c>
      <c r="FS236" s="196">
        <f t="shared" ref="FS236:FS243" si="240">EE236</f>
        <v>12916</v>
      </c>
      <c r="FT236" s="196">
        <f t="shared" ref="FT236:FT243" si="241">EK236</f>
        <v>6730.3819744215189</v>
      </c>
      <c r="FU236" s="308">
        <f>FU352</f>
        <v>11452.564135694187</v>
      </c>
      <c r="FV236" s="308">
        <f>FV352</f>
        <v>23981.219645971702</v>
      </c>
      <c r="FW236" s="308">
        <f ca="1">FW352</f>
        <v>25825.490463415386</v>
      </c>
      <c r="FX236" s="308">
        <f ca="1">FX352</f>
        <v>21540.908942611306</v>
      </c>
      <c r="GB236" s="280" t="s">
        <v>521</v>
      </c>
    </row>
    <row r="237" spans="1:184" x14ac:dyDescent="0.25">
      <c r="B237" s="180" t="s">
        <v>323</v>
      </c>
      <c r="C237" s="74"/>
      <c r="D237" s="74"/>
      <c r="BA237" s="160"/>
      <c r="BB237" s="196">
        <v>8500000</v>
      </c>
      <c r="BC237" s="196">
        <v>1040000</v>
      </c>
      <c r="BD237" s="196">
        <v>930000</v>
      </c>
      <c r="BG237" s="196">
        <v>840</v>
      </c>
      <c r="BH237" s="196">
        <v>758.3</v>
      </c>
      <c r="BI237" s="196">
        <v>662.5</v>
      </c>
      <c r="BJ237" s="196">
        <v>679.9</v>
      </c>
      <c r="BK237" s="196">
        <f t="shared" si="214"/>
        <v>679.9</v>
      </c>
      <c r="BM237" s="196">
        <v>599.70000000000005</v>
      </c>
      <c r="BN237" s="196">
        <v>599.70000000000005</v>
      </c>
      <c r="BO237" s="196">
        <v>539.79999999999995</v>
      </c>
      <c r="BP237" s="196">
        <v>334.9</v>
      </c>
      <c r="BQ237" s="196">
        <f t="shared" si="215"/>
        <v>334.9</v>
      </c>
      <c r="BS237" s="196">
        <v>60</v>
      </c>
      <c r="BT237" s="196">
        <v>25</v>
      </c>
      <c r="BU237" s="196">
        <v>0</v>
      </c>
      <c r="BV237" s="196">
        <v>950</v>
      </c>
      <c r="BW237" s="196">
        <f t="shared" si="216"/>
        <v>950</v>
      </c>
      <c r="BY237" s="196">
        <v>1075</v>
      </c>
      <c r="BZ237" s="196">
        <v>1000</v>
      </c>
      <c r="CA237" s="196">
        <v>1400</v>
      </c>
      <c r="CB237" s="196">
        <v>1150</v>
      </c>
      <c r="CC237" s="196">
        <f t="shared" si="217"/>
        <v>1150</v>
      </c>
      <c r="CE237" s="196">
        <v>925</v>
      </c>
      <c r="CF237" s="196">
        <v>600</v>
      </c>
      <c r="CG237" s="196">
        <v>600</v>
      </c>
      <c r="CH237" s="196">
        <v>1029.3</v>
      </c>
      <c r="CI237" s="196">
        <f t="shared" si="218"/>
        <v>1029.3</v>
      </c>
      <c r="CK237" s="196">
        <v>729.3</v>
      </c>
      <c r="CL237" s="196">
        <v>654.29999999999995</v>
      </c>
      <c r="CM237" s="196">
        <v>744.3</v>
      </c>
      <c r="CN237" s="196">
        <v>913.3</v>
      </c>
      <c r="CO237" s="196">
        <f t="shared" si="219"/>
        <v>913.3</v>
      </c>
      <c r="CQ237" s="196">
        <v>1022.1</v>
      </c>
      <c r="CR237" s="196">
        <v>673.5</v>
      </c>
      <c r="CS237" s="196">
        <v>483.8</v>
      </c>
      <c r="CT237" s="196">
        <v>1185.8</v>
      </c>
      <c r="CU237" s="196">
        <f t="shared" si="220"/>
        <v>1185.8</v>
      </c>
      <c r="CW237" s="196">
        <v>1388.1</v>
      </c>
      <c r="CX237" s="196">
        <v>941.2</v>
      </c>
      <c r="CY237" s="196">
        <v>876.3</v>
      </c>
      <c r="CZ237" s="196">
        <v>1302.2</v>
      </c>
      <c r="DA237" s="196">
        <f t="shared" si="221"/>
        <v>1302.2</v>
      </c>
      <c r="DC237" s="196">
        <v>1411.6</v>
      </c>
      <c r="DD237" s="196">
        <v>186.7</v>
      </c>
      <c r="DE237" s="196">
        <v>137</v>
      </c>
      <c r="DF237" s="196">
        <v>638.5</v>
      </c>
      <c r="DG237" s="196">
        <f t="shared" si="222"/>
        <v>638.5</v>
      </c>
      <c r="DI237" s="196">
        <v>398.5</v>
      </c>
      <c r="DJ237" s="196">
        <v>305.39999999999998</v>
      </c>
      <c r="DK237" s="196">
        <v>210</v>
      </c>
      <c r="DL237" s="196">
        <v>107.7</v>
      </c>
      <c r="DM237" s="196">
        <f t="shared" si="223"/>
        <v>107.7</v>
      </c>
      <c r="DO237" s="196">
        <v>4.8</v>
      </c>
      <c r="DP237" s="196">
        <v>5.0999999999999996</v>
      </c>
      <c r="DQ237" s="196">
        <v>5.4</v>
      </c>
      <c r="DR237" s="196">
        <v>5.4</v>
      </c>
      <c r="DS237" s="196">
        <f t="shared" si="224"/>
        <v>5.4</v>
      </c>
      <c r="DT237" s="196"/>
      <c r="DU237" s="196">
        <v>305.3</v>
      </c>
      <c r="DV237" s="196">
        <v>205.3</v>
      </c>
      <c r="DW237" s="196">
        <v>5.2</v>
      </c>
      <c r="DX237" s="196">
        <v>5.4</v>
      </c>
      <c r="DY237" s="196">
        <f t="shared" si="225"/>
        <v>5.4</v>
      </c>
      <c r="EA237" s="196">
        <v>5.2</v>
      </c>
      <c r="EB237" s="196">
        <v>5.4</v>
      </c>
      <c r="EC237" s="196">
        <v>1.7</v>
      </c>
      <c r="ED237" s="196">
        <v>405.9</v>
      </c>
      <c r="EE237" s="196">
        <f t="shared" si="226"/>
        <v>405.9</v>
      </c>
      <c r="EG237" s="196">
        <v>405.9</v>
      </c>
      <c r="EH237" s="196">
        <v>405.9</v>
      </c>
      <c r="EI237" s="196">
        <v>405.9</v>
      </c>
      <c r="EJ237" s="196">
        <v>405.9</v>
      </c>
      <c r="EK237" s="196">
        <f t="shared" si="227"/>
        <v>405.9</v>
      </c>
      <c r="ET237" s="74"/>
      <c r="EU237" s="114"/>
      <c r="EV237" s="77"/>
      <c r="EW237" s="77"/>
      <c r="EX237" s="196"/>
      <c r="EY237" s="196"/>
      <c r="EZ237" s="196"/>
      <c r="FA237" s="196"/>
      <c r="FB237" s="196"/>
      <c r="FC237" s="196"/>
      <c r="FD237" s="196"/>
      <c r="FE237" s="196"/>
      <c r="FF237" s="196"/>
      <c r="FG237" s="196">
        <f t="shared" si="228"/>
        <v>679.9</v>
      </c>
      <c r="FH237" s="196">
        <f t="shared" si="229"/>
        <v>334.9</v>
      </c>
      <c r="FI237" s="196">
        <f t="shared" si="230"/>
        <v>950</v>
      </c>
      <c r="FJ237" s="196">
        <f t="shared" si="231"/>
        <v>1150</v>
      </c>
      <c r="FK237" s="196">
        <f t="shared" si="232"/>
        <v>1029.3</v>
      </c>
      <c r="FL237" s="196">
        <f t="shared" si="233"/>
        <v>913.3</v>
      </c>
      <c r="FM237" s="77">
        <f t="shared" si="234"/>
        <v>1185.8</v>
      </c>
      <c r="FN237" s="77">
        <f t="shared" si="235"/>
        <v>1302.2</v>
      </c>
      <c r="FO237" s="77">
        <f t="shared" si="236"/>
        <v>638.5</v>
      </c>
      <c r="FP237" s="77">
        <f t="shared" si="237"/>
        <v>107.7</v>
      </c>
      <c r="FQ237" s="77">
        <f t="shared" si="238"/>
        <v>5.4</v>
      </c>
      <c r="FR237" s="77">
        <f t="shared" si="239"/>
        <v>5.4</v>
      </c>
      <c r="FS237" s="196">
        <f t="shared" si="240"/>
        <v>405.9</v>
      </c>
      <c r="FT237" s="196">
        <f t="shared" si="241"/>
        <v>405.9</v>
      </c>
      <c r="FU237" s="196">
        <f>FT237</f>
        <v>405.9</v>
      </c>
      <c r="FV237" s="196">
        <f>FU237</f>
        <v>405.9</v>
      </c>
      <c r="FW237" s="196">
        <f>FV237</f>
        <v>405.9</v>
      </c>
      <c r="FX237" s="196">
        <f>FW237</f>
        <v>405.9</v>
      </c>
    </row>
    <row r="238" spans="1:184" x14ac:dyDescent="0.25">
      <c r="B238" s="198" t="s">
        <v>325</v>
      </c>
      <c r="C238" s="74"/>
      <c r="D238" s="74"/>
      <c r="E238" s="196"/>
      <c r="F238" s="196"/>
      <c r="G238" s="196"/>
      <c r="H238" s="196">
        <v>503153</v>
      </c>
      <c r="I238" s="196"/>
      <c r="J238" s="74"/>
      <c r="K238" s="196">
        <v>483898</v>
      </c>
      <c r="L238" s="196">
        <v>485352</v>
      </c>
      <c r="M238" s="196">
        <v>403489</v>
      </c>
      <c r="N238" s="196">
        <v>302572</v>
      </c>
      <c r="O238" s="196"/>
      <c r="Q238" s="196">
        <v>447401</v>
      </c>
      <c r="R238" s="196">
        <v>540300</v>
      </c>
      <c r="S238" s="196">
        <v>674522</v>
      </c>
      <c r="T238" s="196">
        <v>672762</v>
      </c>
      <c r="U238" s="196"/>
      <c r="W238" s="196">
        <v>648608</v>
      </c>
      <c r="X238" s="196">
        <v>567767</v>
      </c>
      <c r="Y238" s="196">
        <v>611697</v>
      </c>
      <c r="Z238" s="196">
        <v>637975</v>
      </c>
      <c r="AC238" s="196">
        <v>741515</v>
      </c>
      <c r="AD238" s="196">
        <v>516886</v>
      </c>
      <c r="AE238" s="196">
        <v>574230</v>
      </c>
      <c r="AF238" s="196">
        <v>469498</v>
      </c>
      <c r="AI238" s="196">
        <f>291644 + 6193</f>
        <v>297837</v>
      </c>
      <c r="AJ238" s="196">
        <f>213532+52</f>
        <v>213584</v>
      </c>
      <c r="AK238" s="196">
        <v>382065</v>
      </c>
      <c r="AL238" s="196">
        <v>377439</v>
      </c>
      <c r="AO238" s="196">
        <v>629800</v>
      </c>
      <c r="AP238" s="196">
        <v>811500</v>
      </c>
      <c r="AQ238" s="196">
        <v>915000</v>
      </c>
      <c r="AR238" s="196">
        <v>1123534</v>
      </c>
      <c r="AU238" s="196">
        <v>1018800</v>
      </c>
      <c r="AV238" s="196">
        <v>895100</v>
      </c>
      <c r="AW238" s="196">
        <v>811800</v>
      </c>
      <c r="AX238" s="196">
        <v>880600</v>
      </c>
      <c r="BA238" s="196">
        <v>761200</v>
      </c>
      <c r="BB238" s="196">
        <v>631700</v>
      </c>
      <c r="BC238" s="196">
        <v>326800</v>
      </c>
      <c r="BD238" s="196">
        <v>605.29999999999995</v>
      </c>
      <c r="BG238" s="196">
        <v>689.8</v>
      </c>
      <c r="BH238" s="196">
        <v>612.79999999999995</v>
      </c>
      <c r="BI238" s="196">
        <v>626.20000000000005</v>
      </c>
      <c r="BJ238" s="196">
        <v>878.3</v>
      </c>
      <c r="BK238" s="196">
        <f>BJ238</f>
        <v>878.3</v>
      </c>
      <c r="BL238" s="196"/>
      <c r="BM238" s="196">
        <v>832.2</v>
      </c>
      <c r="BN238" s="196">
        <v>1085.5999999999999</v>
      </c>
      <c r="BO238" s="196">
        <v>961.2</v>
      </c>
      <c r="BP238" s="196">
        <v>1052.5</v>
      </c>
      <c r="BQ238" s="196">
        <f>BP238</f>
        <v>1052.5</v>
      </c>
      <c r="BS238" s="196">
        <v>1270.5999999999999</v>
      </c>
      <c r="BT238" s="196">
        <v>1282.3</v>
      </c>
      <c r="BU238" s="196">
        <v>1089.4000000000001</v>
      </c>
      <c r="BV238" s="196">
        <v>803.7</v>
      </c>
      <c r="BW238" s="196">
        <f>BV238</f>
        <v>803.7</v>
      </c>
      <c r="BY238" s="196">
        <v>753.2</v>
      </c>
      <c r="BZ238" s="196">
        <v>732.4</v>
      </c>
      <c r="CA238" s="196">
        <v>858.4</v>
      </c>
      <c r="CB238" s="196">
        <v>700.2</v>
      </c>
      <c r="CC238" s="196">
        <f>CB238</f>
        <v>700.2</v>
      </c>
      <c r="CE238" s="196">
        <v>864.8</v>
      </c>
      <c r="CF238" s="196">
        <v>1224.5999999999999</v>
      </c>
      <c r="CG238" s="196">
        <v>1664.2</v>
      </c>
      <c r="CH238" s="196">
        <v>1740.3</v>
      </c>
      <c r="CI238" s="196">
        <f>CH238</f>
        <v>1740.3</v>
      </c>
      <c r="CK238" s="196">
        <v>1603.4</v>
      </c>
      <c r="CL238" s="196">
        <v>1138.9000000000001</v>
      </c>
      <c r="CM238" s="196">
        <v>1679.1</v>
      </c>
      <c r="CN238" s="196">
        <v>1498.2</v>
      </c>
      <c r="CO238" s="196">
        <f>CN238</f>
        <v>1498.2</v>
      </c>
      <c r="CQ238" s="196">
        <v>1589.3</v>
      </c>
      <c r="CR238" s="196">
        <v>1637.7</v>
      </c>
      <c r="CS238" s="196">
        <v>2100.6999999999998</v>
      </c>
      <c r="CT238" s="196">
        <v>1786.8</v>
      </c>
      <c r="CU238" s="196">
        <f>CT238</f>
        <v>1786.8</v>
      </c>
      <c r="CW238" s="196">
        <v>1767.4</v>
      </c>
      <c r="CX238" s="196">
        <v>1770</v>
      </c>
      <c r="CY238" s="196">
        <v>2458.8000000000002</v>
      </c>
      <c r="CZ238" s="196">
        <v>1310.3</v>
      </c>
      <c r="DA238" s="196">
        <f>CZ238</f>
        <v>1310.3</v>
      </c>
      <c r="DC238" s="196">
        <v>2239.1999999999998</v>
      </c>
      <c r="DD238" s="196">
        <v>2782</v>
      </c>
      <c r="DE238" s="196">
        <v>3383.3</v>
      </c>
      <c r="DF238" s="196">
        <v>3028</v>
      </c>
      <c r="DG238" s="196">
        <f>DF238</f>
        <v>3028</v>
      </c>
      <c r="DI238" s="196">
        <v>3494.6</v>
      </c>
      <c r="DJ238" s="196">
        <v>5376.7</v>
      </c>
      <c r="DK238" s="196">
        <v>5840.2</v>
      </c>
      <c r="DL238" s="196">
        <v>5323.8</v>
      </c>
      <c r="DM238" s="196">
        <f t="shared" si="223"/>
        <v>5323.8</v>
      </c>
      <c r="DO238" s="196">
        <v>3454.7</v>
      </c>
      <c r="DP238" s="196">
        <v>3963.6</v>
      </c>
      <c r="DQ238" s="196">
        <v>3910.5</v>
      </c>
      <c r="DR238" s="196">
        <v>4334.1000000000004</v>
      </c>
      <c r="DS238" s="196">
        <f t="shared" si="224"/>
        <v>4334.1000000000004</v>
      </c>
      <c r="DT238" s="196"/>
      <c r="DU238" s="196">
        <v>3585.5</v>
      </c>
      <c r="DV238" s="196">
        <v>4475.8</v>
      </c>
      <c r="DW238" s="196">
        <v>5160.6000000000004</v>
      </c>
      <c r="DX238" s="196">
        <v>4477.5</v>
      </c>
      <c r="DY238" s="196">
        <f t="shared" si="225"/>
        <v>4477.5</v>
      </c>
      <c r="EA238" s="196">
        <v>4597.5</v>
      </c>
      <c r="EB238" s="196">
        <v>4996.8999999999996</v>
      </c>
      <c r="EC238" s="196">
        <v>5364.3</v>
      </c>
      <c r="ED238" s="196">
        <v>3023</v>
      </c>
      <c r="EE238" s="196">
        <f t="shared" si="226"/>
        <v>3023</v>
      </c>
      <c r="EG238" s="196">
        <v>4402.8999999999996</v>
      </c>
      <c r="EH238" s="196">
        <v>5096.3</v>
      </c>
      <c r="EI238" s="196">
        <v>6198.1944444444453</v>
      </c>
      <c r="EJ238" s="196">
        <v>6370.9524999999985</v>
      </c>
      <c r="EK238" s="196">
        <f t="shared" si="227"/>
        <v>6370.9524999999985</v>
      </c>
      <c r="ET238" s="74"/>
      <c r="EU238" s="114"/>
      <c r="EV238" s="77">
        <v>556664</v>
      </c>
      <c r="EW238" s="77">
        <v>314495</v>
      </c>
      <c r="EX238" s="196">
        <f>H238</f>
        <v>503153</v>
      </c>
      <c r="EY238" s="196">
        <f>N238</f>
        <v>302572</v>
      </c>
      <c r="EZ238" s="196">
        <f>T238</f>
        <v>672762</v>
      </c>
      <c r="FA238" s="196">
        <f>Z238</f>
        <v>637975</v>
      </c>
      <c r="FB238" s="196">
        <f>AF238</f>
        <v>469498</v>
      </c>
      <c r="FC238" s="196">
        <f>AL238</f>
        <v>377439</v>
      </c>
      <c r="FD238" s="196">
        <f>AR238</f>
        <v>1123534</v>
      </c>
      <c r="FE238" s="196">
        <f>AX238</f>
        <v>880600</v>
      </c>
      <c r="FF238" s="196">
        <f>BD238</f>
        <v>605.29999999999995</v>
      </c>
      <c r="FG238" s="196">
        <f t="shared" si="228"/>
        <v>878.3</v>
      </c>
      <c r="FH238" s="196">
        <f t="shared" si="229"/>
        <v>1052.5</v>
      </c>
      <c r="FI238" s="196">
        <f t="shared" si="230"/>
        <v>803.7</v>
      </c>
      <c r="FJ238" s="196">
        <f t="shared" si="231"/>
        <v>700.2</v>
      </c>
      <c r="FK238" s="196">
        <f t="shared" si="232"/>
        <v>1740.3</v>
      </c>
      <c r="FL238" s="196">
        <f t="shared" si="233"/>
        <v>1498.2</v>
      </c>
      <c r="FM238" s="77">
        <f t="shared" si="234"/>
        <v>1786.8</v>
      </c>
      <c r="FN238" s="77">
        <f t="shared" si="235"/>
        <v>1310.3</v>
      </c>
      <c r="FO238" s="77">
        <f t="shared" si="236"/>
        <v>3028</v>
      </c>
      <c r="FP238" s="77">
        <f t="shared" si="237"/>
        <v>5323.8</v>
      </c>
      <c r="FQ238" s="77">
        <f t="shared" si="238"/>
        <v>4334.1000000000004</v>
      </c>
      <c r="FR238" s="77">
        <f t="shared" si="239"/>
        <v>4477.5</v>
      </c>
      <c r="FS238" s="196">
        <f t="shared" si="240"/>
        <v>3023</v>
      </c>
      <c r="FT238" s="196">
        <f t="shared" si="241"/>
        <v>6370.9524999999985</v>
      </c>
      <c r="FU238" s="196">
        <f>FU284</f>
        <v>8668.8238631944441</v>
      </c>
      <c r="FV238" s="196">
        <f>FV284</f>
        <v>5735.6140491527776</v>
      </c>
      <c r="FW238" s="196">
        <f ca="1">FW284</f>
        <v>3074.6527777777778</v>
      </c>
      <c r="FX238" s="196">
        <f>FX284</f>
        <v>3602.7777777777778</v>
      </c>
    </row>
    <row r="239" spans="1:184" x14ac:dyDescent="0.25">
      <c r="B239" s="180" t="s">
        <v>97</v>
      </c>
      <c r="C239" s="74"/>
      <c r="D239" s="74"/>
      <c r="E239" s="196"/>
      <c r="F239" s="196"/>
      <c r="G239" s="196"/>
      <c r="H239" s="196"/>
      <c r="I239" s="196"/>
      <c r="J239" s="74"/>
      <c r="K239" s="196"/>
      <c r="L239" s="196"/>
      <c r="M239" s="196"/>
      <c r="N239" s="196"/>
      <c r="O239" s="196"/>
      <c r="Q239" s="196"/>
      <c r="R239" s="196"/>
      <c r="S239" s="196"/>
      <c r="T239" s="196"/>
      <c r="U239" s="196"/>
      <c r="W239" s="196"/>
      <c r="X239" s="196"/>
      <c r="Y239" s="196"/>
      <c r="Z239" s="196"/>
      <c r="AC239" s="196"/>
      <c r="AD239" s="196"/>
      <c r="AE239" s="196"/>
      <c r="AF239" s="196"/>
      <c r="AI239" s="196"/>
      <c r="AJ239" s="196"/>
      <c r="AK239" s="196"/>
      <c r="AL239" s="196"/>
      <c r="AO239" s="196"/>
      <c r="AP239" s="196"/>
      <c r="AQ239" s="196"/>
      <c r="AR239" s="196"/>
      <c r="AU239" s="196"/>
      <c r="AV239" s="196"/>
      <c r="AW239" s="196"/>
      <c r="AX239" s="196"/>
      <c r="BA239" s="196"/>
      <c r="BB239" s="196"/>
      <c r="BC239" s="196"/>
      <c r="BD239" s="196"/>
      <c r="BG239" s="196">
        <v>300.8</v>
      </c>
      <c r="BH239" s="196">
        <v>252.4</v>
      </c>
      <c r="BI239" s="196">
        <v>426.3</v>
      </c>
      <c r="BJ239" s="196">
        <v>250.5</v>
      </c>
      <c r="BK239" s="196">
        <f t="shared" si="214"/>
        <v>250.5</v>
      </c>
      <c r="BL239" s="196"/>
      <c r="BM239" s="196">
        <v>298.60000000000002</v>
      </c>
      <c r="BN239" s="196">
        <v>297.3</v>
      </c>
      <c r="BO239" s="196">
        <v>255.9</v>
      </c>
      <c r="BP239" s="196">
        <v>196.1</v>
      </c>
      <c r="BQ239" s="196">
        <f t="shared" si="215"/>
        <v>196.1</v>
      </c>
      <c r="BS239" s="196">
        <v>184</v>
      </c>
      <c r="BT239" s="196">
        <v>251.2</v>
      </c>
      <c r="BU239" s="196">
        <v>453.7</v>
      </c>
      <c r="BV239" s="196">
        <v>280.5</v>
      </c>
      <c r="BW239" s="196">
        <f t="shared" si="216"/>
        <v>280.5</v>
      </c>
      <c r="BY239" s="196">
        <v>446.5</v>
      </c>
      <c r="BZ239" s="196">
        <v>524</v>
      </c>
      <c r="CA239" s="196">
        <v>663.5</v>
      </c>
      <c r="CB239" s="196">
        <v>447.4</v>
      </c>
      <c r="CC239" s="196">
        <f t="shared" si="217"/>
        <v>447.4</v>
      </c>
      <c r="CE239" s="196">
        <v>346.9</v>
      </c>
      <c r="CF239" s="196">
        <v>413.6</v>
      </c>
      <c r="CG239" s="196">
        <v>138.19999999999999</v>
      </c>
      <c r="CH239" s="196">
        <v>59.1</v>
      </c>
      <c r="CI239" s="196">
        <f t="shared" si="218"/>
        <v>59.1</v>
      </c>
      <c r="CK239" s="196">
        <v>228.7</v>
      </c>
      <c r="CL239" s="196">
        <v>599.70000000000005</v>
      </c>
      <c r="CM239" s="196">
        <v>921.1</v>
      </c>
      <c r="CN239" s="196">
        <v>611.1</v>
      </c>
      <c r="CO239" s="196">
        <f t="shared" si="219"/>
        <v>611.1</v>
      </c>
      <c r="CQ239" s="196">
        <v>534.6</v>
      </c>
      <c r="CR239" s="196">
        <v>620.1</v>
      </c>
      <c r="CS239" s="196">
        <v>584.9</v>
      </c>
      <c r="CT239" s="196">
        <v>564.5</v>
      </c>
      <c r="CU239" s="196">
        <f t="shared" si="220"/>
        <v>564.5</v>
      </c>
      <c r="CW239" s="196">
        <v>748.7</v>
      </c>
      <c r="CX239" s="196">
        <v>1071.5</v>
      </c>
      <c r="CY239" s="196">
        <v>1855.4</v>
      </c>
      <c r="CZ239" s="196">
        <v>1710.5</v>
      </c>
      <c r="DA239" s="196">
        <f t="shared" si="221"/>
        <v>1710.5</v>
      </c>
      <c r="DC239" s="196">
        <v>2218.6</v>
      </c>
      <c r="DD239" s="196">
        <v>1637.4</v>
      </c>
      <c r="DE239" s="196">
        <v>1185.9000000000001</v>
      </c>
      <c r="DF239" s="196">
        <v>1185.5999999999999</v>
      </c>
      <c r="DG239" s="196">
        <f t="shared" si="222"/>
        <v>1185.5999999999999</v>
      </c>
      <c r="DI239" s="196">
        <v>1267.5999999999999</v>
      </c>
      <c r="DJ239" s="196">
        <v>1233.0999999999999</v>
      </c>
      <c r="DK239" s="196">
        <v>1399.4</v>
      </c>
      <c r="DL239" s="196">
        <v>1356.7</v>
      </c>
      <c r="DM239" s="196">
        <f t="shared" si="223"/>
        <v>1356.7</v>
      </c>
      <c r="DO239" s="196">
        <v>1349.2</v>
      </c>
      <c r="DP239" s="196">
        <v>1650.8</v>
      </c>
      <c r="DQ239" s="196">
        <v>1348.2</v>
      </c>
      <c r="DR239" s="196">
        <v>1379.2</v>
      </c>
      <c r="DS239" s="196">
        <f t="shared" si="224"/>
        <v>1379.2</v>
      </c>
      <c r="DT239" s="196"/>
      <c r="DU239" s="196">
        <v>1441.2</v>
      </c>
      <c r="DV239" s="196">
        <v>977</v>
      </c>
      <c r="DW239" s="196">
        <v>640.70000000000005</v>
      </c>
      <c r="DX239" s="196">
        <v>82.6</v>
      </c>
      <c r="DY239" s="196">
        <f t="shared" si="225"/>
        <v>82.6</v>
      </c>
      <c r="EA239" s="196">
        <v>381.7</v>
      </c>
      <c r="EB239" s="196">
        <v>531.1</v>
      </c>
      <c r="EC239" s="196">
        <v>666.2</v>
      </c>
      <c r="ED239" s="196">
        <v>613.5</v>
      </c>
      <c r="EE239" s="196">
        <f t="shared" si="226"/>
        <v>613.5</v>
      </c>
      <c r="EG239" s="196">
        <v>630.4</v>
      </c>
      <c r="EH239" s="196">
        <v>630.4</v>
      </c>
      <c r="EI239" s="196">
        <v>630.4</v>
      </c>
      <c r="EJ239" s="196">
        <v>630.4</v>
      </c>
      <c r="EK239" s="196">
        <f t="shared" si="227"/>
        <v>630.4</v>
      </c>
      <c r="ET239" s="74"/>
      <c r="EU239" s="114"/>
      <c r="EV239" s="77"/>
      <c r="EW239" s="77"/>
      <c r="EX239" s="196"/>
      <c r="EY239" s="196"/>
      <c r="EZ239" s="196"/>
      <c r="FA239" s="196"/>
      <c r="FB239" s="196"/>
      <c r="FC239" s="196"/>
      <c r="FD239" s="196"/>
      <c r="FE239" s="196"/>
      <c r="FF239" s="196"/>
      <c r="FG239" s="196">
        <f t="shared" si="228"/>
        <v>250.5</v>
      </c>
      <c r="FH239" s="196">
        <f t="shared" si="229"/>
        <v>196.1</v>
      </c>
      <c r="FI239" s="196">
        <f t="shared" si="230"/>
        <v>280.5</v>
      </c>
      <c r="FJ239" s="196">
        <f t="shared" si="231"/>
        <v>447.4</v>
      </c>
      <c r="FK239" s="196">
        <f t="shared" si="232"/>
        <v>59.1</v>
      </c>
      <c r="FL239" s="196">
        <f t="shared" si="233"/>
        <v>611.1</v>
      </c>
      <c r="FM239" s="77">
        <f t="shared" si="234"/>
        <v>564.5</v>
      </c>
      <c r="FN239" s="77">
        <f t="shared" si="235"/>
        <v>1710.5</v>
      </c>
      <c r="FO239" s="77">
        <f t="shared" si="236"/>
        <v>1185.5999999999999</v>
      </c>
      <c r="FP239" s="77">
        <f t="shared" si="237"/>
        <v>1356.7</v>
      </c>
      <c r="FQ239" s="77">
        <f t="shared" si="238"/>
        <v>1379.2</v>
      </c>
      <c r="FR239" s="77">
        <f t="shared" si="239"/>
        <v>82.6</v>
      </c>
      <c r="FS239" s="196">
        <f t="shared" si="240"/>
        <v>613.5</v>
      </c>
      <c r="FT239" s="196">
        <f t="shared" si="241"/>
        <v>630.4</v>
      </c>
      <c r="FU239" s="196">
        <f t="shared" ref="FU239:FX240" si="242">FT239</f>
        <v>630.4</v>
      </c>
      <c r="FV239" s="196">
        <f t="shared" si="242"/>
        <v>630.4</v>
      </c>
      <c r="FW239" s="196">
        <f t="shared" si="242"/>
        <v>630.4</v>
      </c>
      <c r="FX239" s="196">
        <f t="shared" si="242"/>
        <v>630.4</v>
      </c>
    </row>
    <row r="240" spans="1:184" x14ac:dyDescent="0.25">
      <c r="B240" s="180" t="s">
        <v>96</v>
      </c>
      <c r="C240" s="74"/>
      <c r="D240" s="74"/>
      <c r="E240" s="196"/>
      <c r="F240" s="196"/>
      <c r="G240" s="196"/>
      <c r="H240" s="196"/>
      <c r="I240" s="196"/>
      <c r="J240" s="74"/>
      <c r="K240" s="196"/>
      <c r="L240" s="196"/>
      <c r="M240" s="196"/>
      <c r="N240" s="196"/>
      <c r="O240" s="196"/>
      <c r="Q240" s="196"/>
      <c r="R240" s="196"/>
      <c r="S240" s="196"/>
      <c r="T240" s="196"/>
      <c r="U240" s="196"/>
      <c r="W240" s="196"/>
      <c r="X240" s="196"/>
      <c r="Y240" s="196"/>
      <c r="Z240" s="196"/>
      <c r="AC240" s="196"/>
      <c r="AD240" s="196"/>
      <c r="AE240" s="196"/>
      <c r="AF240" s="196"/>
      <c r="AI240" s="196"/>
      <c r="AJ240" s="196"/>
      <c r="AK240" s="196"/>
      <c r="AL240" s="196"/>
      <c r="AO240" s="196"/>
      <c r="AP240" s="196"/>
      <c r="AQ240" s="196"/>
      <c r="AR240" s="196"/>
      <c r="AU240" s="196"/>
      <c r="AV240" s="196"/>
      <c r="AW240" s="196"/>
      <c r="AX240" s="196"/>
      <c r="BA240" s="196"/>
      <c r="BB240" s="196"/>
      <c r="BC240" s="196"/>
      <c r="BD240" s="196"/>
      <c r="BG240" s="196">
        <v>64.8</v>
      </c>
      <c r="BH240" s="196">
        <v>55.9</v>
      </c>
      <c r="BI240" s="196">
        <v>33.299999999999997</v>
      </c>
      <c r="BJ240" s="196">
        <v>32.299999999999997</v>
      </c>
      <c r="BK240" s="196">
        <f t="shared" si="214"/>
        <v>32.299999999999997</v>
      </c>
      <c r="BL240" s="196"/>
      <c r="BM240" s="196">
        <v>92.1</v>
      </c>
      <c r="BN240" s="196">
        <v>94</v>
      </c>
      <c r="BO240" s="196">
        <v>76.7</v>
      </c>
      <c r="BP240" s="196">
        <v>43.9</v>
      </c>
      <c r="BQ240" s="196">
        <f t="shared" si="215"/>
        <v>43.9</v>
      </c>
      <c r="BS240" s="196">
        <v>94.3</v>
      </c>
      <c r="BT240" s="196">
        <v>52.3</v>
      </c>
      <c r="BU240" s="196">
        <v>42.8</v>
      </c>
      <c r="BV240" s="196">
        <v>19.100000000000001</v>
      </c>
      <c r="BW240" s="196">
        <f t="shared" si="216"/>
        <v>19.100000000000001</v>
      </c>
      <c r="BY240" s="196">
        <v>96</v>
      </c>
      <c r="BZ240" s="196">
        <v>178</v>
      </c>
      <c r="CA240" s="196">
        <v>143.5</v>
      </c>
      <c r="CB240" s="196">
        <v>11.6</v>
      </c>
      <c r="CC240" s="196">
        <f t="shared" si="217"/>
        <v>11.6</v>
      </c>
      <c r="CE240" s="196">
        <v>137</v>
      </c>
      <c r="CF240" s="196">
        <v>32.6</v>
      </c>
      <c r="CG240" s="196">
        <v>73.599999999999994</v>
      </c>
      <c r="CH240" s="196">
        <v>61.6</v>
      </c>
      <c r="CI240" s="196">
        <f t="shared" si="218"/>
        <v>61.6</v>
      </c>
      <c r="CK240" s="196">
        <v>312.5</v>
      </c>
      <c r="CL240" s="196">
        <v>292.8</v>
      </c>
      <c r="CM240" s="196">
        <v>193.4</v>
      </c>
      <c r="CN240" s="196">
        <v>79.7</v>
      </c>
      <c r="CO240" s="196">
        <f t="shared" si="219"/>
        <v>79.7</v>
      </c>
      <c r="CQ240" s="196">
        <v>373.3</v>
      </c>
      <c r="CR240" s="196">
        <v>320.89999999999998</v>
      </c>
      <c r="CS240" s="196">
        <v>339.6</v>
      </c>
      <c r="CT240" s="196">
        <v>178.7</v>
      </c>
      <c r="CU240" s="196">
        <f t="shared" si="220"/>
        <v>178.7</v>
      </c>
      <c r="CW240" s="196">
        <v>529</v>
      </c>
      <c r="CX240" s="196">
        <v>360.8</v>
      </c>
      <c r="CY240" s="196">
        <v>265.60000000000002</v>
      </c>
      <c r="CZ240" s="196">
        <v>67.3</v>
      </c>
      <c r="DA240" s="196">
        <f t="shared" si="221"/>
        <v>67.3</v>
      </c>
      <c r="DC240" s="196">
        <v>809.7</v>
      </c>
      <c r="DD240" s="196">
        <v>608.20000000000005</v>
      </c>
      <c r="DE240" s="196">
        <v>289.5</v>
      </c>
      <c r="DF240" s="196">
        <v>42</v>
      </c>
      <c r="DG240" s="196">
        <f t="shared" si="222"/>
        <v>42</v>
      </c>
      <c r="DI240" s="196">
        <v>811</v>
      </c>
      <c r="DJ240" s="196">
        <v>658</v>
      </c>
      <c r="DK240" s="196">
        <v>305.60000000000002</v>
      </c>
      <c r="DL240" s="196">
        <v>33.4</v>
      </c>
      <c r="DM240" s="196">
        <f t="shared" si="223"/>
        <v>33.4</v>
      </c>
      <c r="DO240" s="196">
        <v>253.6</v>
      </c>
      <c r="DP240" s="196">
        <v>595.79999999999995</v>
      </c>
      <c r="DQ240" s="196">
        <v>854.3</v>
      </c>
      <c r="DR240" s="196">
        <v>1001.2</v>
      </c>
      <c r="DS240" s="196">
        <f t="shared" si="224"/>
        <v>1001.2</v>
      </c>
      <c r="DT240" s="196"/>
      <c r="DU240" s="196">
        <v>649.29999999999995</v>
      </c>
      <c r="DV240" s="196">
        <v>684.8</v>
      </c>
      <c r="DW240" s="196">
        <v>324.39999999999998</v>
      </c>
      <c r="DX240" s="196">
        <v>283.60000000000002</v>
      </c>
      <c r="DY240" s="196">
        <f t="shared" si="225"/>
        <v>283.60000000000002</v>
      </c>
      <c r="EA240" s="196">
        <v>143.19999999999999</v>
      </c>
      <c r="EB240" s="196">
        <v>98.5</v>
      </c>
      <c r="EC240" s="196">
        <v>93</v>
      </c>
      <c r="ED240" s="196">
        <v>88.9</v>
      </c>
      <c r="EE240" s="196">
        <f t="shared" si="226"/>
        <v>88.9</v>
      </c>
      <c r="EG240" s="196">
        <v>65.2</v>
      </c>
      <c r="EH240" s="196">
        <v>65.2</v>
      </c>
      <c r="EI240" s="196">
        <v>65.2</v>
      </c>
      <c r="EJ240" s="196">
        <v>65.2</v>
      </c>
      <c r="EK240" s="196">
        <f t="shared" si="227"/>
        <v>65.2</v>
      </c>
      <c r="ET240" s="74"/>
      <c r="EU240" s="114"/>
      <c r="EV240" s="77"/>
      <c r="EW240" s="77"/>
      <c r="EX240" s="196"/>
      <c r="EY240" s="196"/>
      <c r="EZ240" s="196"/>
      <c r="FA240" s="196"/>
      <c r="FB240" s="196"/>
      <c r="FC240" s="196"/>
      <c r="FD240" s="196"/>
      <c r="FE240" s="196"/>
      <c r="FF240" s="196"/>
      <c r="FG240" s="196">
        <f t="shared" si="228"/>
        <v>32.299999999999997</v>
      </c>
      <c r="FH240" s="196">
        <f t="shared" si="229"/>
        <v>43.9</v>
      </c>
      <c r="FI240" s="196">
        <f t="shared" si="230"/>
        <v>19.100000000000001</v>
      </c>
      <c r="FJ240" s="196">
        <f t="shared" si="231"/>
        <v>11.6</v>
      </c>
      <c r="FK240" s="196">
        <f t="shared" si="232"/>
        <v>61.6</v>
      </c>
      <c r="FL240" s="196">
        <f t="shared" si="233"/>
        <v>79.7</v>
      </c>
      <c r="FM240" s="77">
        <f t="shared" si="234"/>
        <v>178.7</v>
      </c>
      <c r="FN240" s="77">
        <f t="shared" si="235"/>
        <v>67.3</v>
      </c>
      <c r="FO240" s="77">
        <f t="shared" si="236"/>
        <v>42</v>
      </c>
      <c r="FP240" s="77">
        <f t="shared" si="237"/>
        <v>33.4</v>
      </c>
      <c r="FQ240" s="77">
        <f t="shared" si="238"/>
        <v>1001.2</v>
      </c>
      <c r="FR240" s="77">
        <f t="shared" si="239"/>
        <v>283.60000000000002</v>
      </c>
      <c r="FS240" s="196">
        <f t="shared" si="240"/>
        <v>88.9</v>
      </c>
      <c r="FT240" s="196">
        <f t="shared" si="241"/>
        <v>65.2</v>
      </c>
      <c r="FU240" s="196">
        <f t="shared" si="242"/>
        <v>65.2</v>
      </c>
      <c r="FV240" s="196">
        <f t="shared" si="242"/>
        <v>65.2</v>
      </c>
      <c r="FW240" s="196">
        <f t="shared" si="242"/>
        <v>65.2</v>
      </c>
      <c r="FX240" s="196">
        <f t="shared" si="242"/>
        <v>65.2</v>
      </c>
    </row>
    <row r="241" spans="2:184" x14ac:dyDescent="0.25">
      <c r="B241" s="198" t="s">
        <v>524</v>
      </c>
      <c r="C241" s="74"/>
      <c r="D241" s="74"/>
      <c r="E241" s="196"/>
      <c r="F241" s="196"/>
      <c r="G241" s="196"/>
      <c r="H241" s="196">
        <v>717688</v>
      </c>
      <c r="I241" s="196"/>
      <c r="J241" s="74"/>
      <c r="K241" s="196">
        <v>728378</v>
      </c>
      <c r="L241" s="196">
        <v>695330</v>
      </c>
      <c r="M241" s="196">
        <v>653098</v>
      </c>
      <c r="N241" s="196">
        <v>777200</v>
      </c>
      <c r="O241" s="196"/>
      <c r="Q241" s="196">
        <v>940423</v>
      </c>
      <c r="R241" s="196">
        <v>916200</v>
      </c>
      <c r="S241" s="196">
        <v>837216</v>
      </c>
      <c r="T241" s="196">
        <v>808481</v>
      </c>
      <c r="U241" s="196"/>
      <c r="W241" s="196">
        <v>906710</v>
      </c>
      <c r="X241" s="196">
        <v>972943</v>
      </c>
      <c r="Y241" s="196">
        <v>1021182</v>
      </c>
      <c r="Z241" s="196">
        <v>1102210</v>
      </c>
      <c r="AC241" s="196">
        <v>1152010</v>
      </c>
      <c r="AD241" s="196">
        <v>1130239</v>
      </c>
      <c r="AE241" s="196">
        <v>1134039</v>
      </c>
      <c r="AF241" s="196">
        <v>999150</v>
      </c>
      <c r="AI241" s="196">
        <v>936770</v>
      </c>
      <c r="AJ241" s="196">
        <v>926080</v>
      </c>
      <c r="AK241" s="196">
        <v>882369</v>
      </c>
      <c r="AL241" s="196">
        <v>963382</v>
      </c>
      <c r="AO241" s="196">
        <v>1155500</v>
      </c>
      <c r="AP241" s="196">
        <v>1309300</v>
      </c>
      <c r="AQ241" s="196">
        <v>1449800</v>
      </c>
      <c r="AR241" s="196">
        <v>1497180</v>
      </c>
      <c r="AU241" s="196">
        <v>1565600</v>
      </c>
      <c r="AV241" s="196">
        <v>1610400</v>
      </c>
      <c r="AW241" s="196">
        <v>1455800</v>
      </c>
      <c r="AX241" s="196">
        <v>1624600</v>
      </c>
      <c r="BA241" s="196">
        <v>1607600</v>
      </c>
      <c r="BB241" s="196">
        <v>1721200</v>
      </c>
      <c r="BC241" s="196">
        <v>1920000</v>
      </c>
      <c r="BD241" s="196">
        <v>1857</v>
      </c>
      <c r="BG241" s="196">
        <v>2005.8</v>
      </c>
      <c r="BH241" s="196">
        <v>2371.6999999999998</v>
      </c>
      <c r="BI241" s="196">
        <v>2492.4</v>
      </c>
      <c r="BJ241" s="196">
        <v>2393</v>
      </c>
      <c r="BK241" s="196">
        <f t="shared" si="214"/>
        <v>2393</v>
      </c>
      <c r="BL241" s="196"/>
      <c r="BM241" s="196">
        <v>2547.6999999999998</v>
      </c>
      <c r="BN241" s="196">
        <v>2615.5</v>
      </c>
      <c r="BO241" s="196">
        <v>2676.8</v>
      </c>
      <c r="BP241" s="196">
        <v>2549.8000000000002</v>
      </c>
      <c r="BQ241" s="196">
        <f t="shared" si="215"/>
        <v>2549.8000000000002</v>
      </c>
      <c r="BS241" s="196">
        <v>2607.5</v>
      </c>
      <c r="BT241" s="196">
        <v>2592.1</v>
      </c>
      <c r="BU241" s="196">
        <v>2537</v>
      </c>
      <c r="BV241" s="196">
        <v>2573.6999999999998</v>
      </c>
      <c r="BW241" s="196">
        <f t="shared" si="216"/>
        <v>2573.6999999999998</v>
      </c>
      <c r="BY241" s="196">
        <v>2750</v>
      </c>
      <c r="BZ241" s="196">
        <v>2715.3</v>
      </c>
      <c r="CA241" s="196">
        <v>2696.9</v>
      </c>
      <c r="CB241" s="196">
        <v>2780.9</v>
      </c>
      <c r="CC241" s="196">
        <f t="shared" si="217"/>
        <v>2780.9</v>
      </c>
      <c r="CE241" s="196">
        <v>2995.7</v>
      </c>
      <c r="CF241" s="196">
        <v>3136.9</v>
      </c>
      <c r="CG241" s="196">
        <v>2998.5</v>
      </c>
      <c r="CH241" s="196">
        <v>2955.6</v>
      </c>
      <c r="CI241" s="196">
        <f t="shared" si="218"/>
        <v>2955.6</v>
      </c>
      <c r="CK241" s="196">
        <v>3231.5</v>
      </c>
      <c r="CL241" s="196">
        <v>3217.5</v>
      </c>
      <c r="CM241" s="196">
        <v>3402.7</v>
      </c>
      <c r="CN241" s="196">
        <v>3439.5</v>
      </c>
      <c r="CO241" s="196">
        <f t="shared" si="219"/>
        <v>3439.5</v>
      </c>
      <c r="CQ241" s="196">
        <v>3764.8</v>
      </c>
      <c r="CR241" s="196">
        <v>3914.1</v>
      </c>
      <c r="CS241" s="196">
        <v>3895</v>
      </c>
      <c r="CT241" s="196">
        <v>3809.2</v>
      </c>
      <c r="CU241" s="196">
        <f t="shared" si="220"/>
        <v>3809.2</v>
      </c>
      <c r="CW241" s="196">
        <v>4345.3</v>
      </c>
      <c r="CX241" s="196">
        <v>4685.6000000000004</v>
      </c>
      <c r="CY241" s="196">
        <v>4613.7</v>
      </c>
      <c r="CZ241" s="196">
        <v>4569.3999999999996</v>
      </c>
      <c r="DA241" s="196">
        <f t="shared" si="221"/>
        <v>4569.3999999999996</v>
      </c>
      <c r="DC241" s="196">
        <v>4748.1000000000004</v>
      </c>
      <c r="DD241" s="196">
        <v>5086.3</v>
      </c>
      <c r="DE241" s="196">
        <v>4944.2</v>
      </c>
      <c r="DF241" s="196">
        <v>5179.2</v>
      </c>
      <c r="DG241" s="196">
        <f t="shared" si="222"/>
        <v>5179.2</v>
      </c>
      <c r="DI241" s="196">
        <v>6073.5</v>
      </c>
      <c r="DJ241" s="196">
        <v>6367.1</v>
      </c>
      <c r="DK241" s="196">
        <v>6884</v>
      </c>
      <c r="DL241" s="196">
        <v>7199.7</v>
      </c>
      <c r="DM241" s="196">
        <f t="shared" si="223"/>
        <v>7199.7</v>
      </c>
      <c r="DO241" s="196">
        <v>7392</v>
      </c>
      <c r="DP241" s="196">
        <v>7734.4</v>
      </c>
      <c r="DQ241" s="196">
        <v>8378.5</v>
      </c>
      <c r="DR241" s="196">
        <v>8850.7000000000007</v>
      </c>
      <c r="DS241" s="196">
        <f t="shared" si="224"/>
        <v>8850.7000000000007</v>
      </c>
      <c r="DT241" s="196"/>
      <c r="DU241" s="196">
        <v>9864.5</v>
      </c>
      <c r="DV241" s="196">
        <v>10972.3</v>
      </c>
      <c r="DW241" s="196">
        <v>11414.5</v>
      </c>
      <c r="DX241" s="196">
        <v>10891.5</v>
      </c>
      <c r="DY241" s="196">
        <f t="shared" si="225"/>
        <v>10891.5</v>
      </c>
      <c r="EA241" s="196">
        <v>11024.7</v>
      </c>
      <c r="EB241" s="196">
        <v>11575.8</v>
      </c>
      <c r="EC241" s="196">
        <v>11762.8</v>
      </c>
      <c r="ED241" s="196">
        <v>11429.3</v>
      </c>
      <c r="EE241" s="196">
        <f t="shared" si="226"/>
        <v>11429.3</v>
      </c>
      <c r="EG241" s="196">
        <v>11711.2</v>
      </c>
      <c r="EH241" s="196">
        <v>12688</v>
      </c>
      <c r="EI241" s="196">
        <v>13559.722222222223</v>
      </c>
      <c r="EJ241" s="196">
        <v>9732.6639472222178</v>
      </c>
      <c r="EK241" s="196">
        <f t="shared" si="227"/>
        <v>9732.6639472222178</v>
      </c>
      <c r="ET241" s="74"/>
      <c r="EU241" s="114"/>
      <c r="EV241" s="77"/>
      <c r="EW241" s="77"/>
      <c r="EX241" s="196"/>
      <c r="EY241" s="196"/>
      <c r="EZ241" s="196"/>
      <c r="FA241" s="196"/>
      <c r="FB241" s="196"/>
      <c r="FC241" s="196"/>
      <c r="FD241" s="196"/>
      <c r="FE241" s="196"/>
      <c r="FF241" s="196"/>
      <c r="FG241" s="196">
        <f t="shared" si="228"/>
        <v>2393</v>
      </c>
      <c r="FH241" s="196">
        <f t="shared" si="229"/>
        <v>2549.8000000000002</v>
      </c>
      <c r="FI241" s="196">
        <f t="shared" si="230"/>
        <v>2573.6999999999998</v>
      </c>
      <c r="FJ241" s="196">
        <f t="shared" si="231"/>
        <v>2780.9</v>
      </c>
      <c r="FK241" s="196">
        <f t="shared" si="232"/>
        <v>2955.6</v>
      </c>
      <c r="FL241" s="196">
        <f t="shared" si="233"/>
        <v>3439.5</v>
      </c>
      <c r="FM241" s="77">
        <f t="shared" si="234"/>
        <v>3809.2</v>
      </c>
      <c r="FN241" s="77">
        <f t="shared" si="235"/>
        <v>4569.3999999999996</v>
      </c>
      <c r="FO241" s="77">
        <f t="shared" si="236"/>
        <v>5179.2</v>
      </c>
      <c r="FP241" s="77">
        <f t="shared" si="237"/>
        <v>7199.7</v>
      </c>
      <c r="FQ241" s="77">
        <f t="shared" si="238"/>
        <v>8850.7000000000007</v>
      </c>
      <c r="FR241" s="77">
        <f t="shared" si="239"/>
        <v>10891.5</v>
      </c>
      <c r="FS241" s="196">
        <f t="shared" si="240"/>
        <v>11429.3</v>
      </c>
      <c r="FT241" s="196">
        <f t="shared" si="241"/>
        <v>9732.6639472222178</v>
      </c>
      <c r="FU241" s="196">
        <f>FU283</f>
        <v>13052.152708833333</v>
      </c>
      <c r="FV241" s="196">
        <f>FV283</f>
        <v>9781.6924733325832</v>
      </c>
      <c r="FW241" s="196">
        <f ca="1">FW283</f>
        <v>6020.8361111111108</v>
      </c>
      <c r="FX241" s="196">
        <f>FX283</f>
        <v>7032.3222222222221</v>
      </c>
    </row>
    <row r="242" spans="2:184" x14ac:dyDescent="0.25">
      <c r="B242" s="198" t="s">
        <v>324</v>
      </c>
      <c r="C242" s="74"/>
      <c r="D242" s="74"/>
      <c r="E242" s="196"/>
      <c r="F242" s="196"/>
      <c r="G242" s="196"/>
      <c r="H242" s="196">
        <v>54554</v>
      </c>
      <c r="I242" s="196"/>
      <c r="J242" s="74"/>
      <c r="K242" s="196">
        <f>223768-K243</f>
        <v>73768</v>
      </c>
      <c r="L242" s="196">
        <f>211583-L243</f>
        <v>91583</v>
      </c>
      <c r="M242" s="196">
        <f>210705-M243</f>
        <v>90705</v>
      </c>
      <c r="N242" s="196">
        <v>95636</v>
      </c>
      <c r="O242" s="196"/>
      <c r="Q242" s="196">
        <f>208007-Q243</f>
        <v>133007</v>
      </c>
      <c r="R242" s="196">
        <f>220700-R243</f>
        <v>130700</v>
      </c>
      <c r="S242" s="196">
        <f>263804-S243</f>
        <v>138804</v>
      </c>
      <c r="T242" s="196">
        <v>141255</v>
      </c>
      <c r="U242" s="196"/>
      <c r="W242" s="196">
        <f>310492-W243</f>
        <v>137809</v>
      </c>
      <c r="X242" s="196">
        <f>315389-X243</f>
        <v>117706</v>
      </c>
      <c r="Y242" s="196">
        <f>345501-Y243</f>
        <v>122818</v>
      </c>
      <c r="Z242" s="196">
        <f>307547-Z243</f>
        <v>73018</v>
      </c>
      <c r="AC242" s="196">
        <v>71031</v>
      </c>
      <c r="AD242" s="196">
        <v>69799</v>
      </c>
      <c r="AE242" s="196">
        <v>82767</v>
      </c>
      <c r="AF242" s="196">
        <v>71780</v>
      </c>
      <c r="AI242" s="196">
        <v>74850</v>
      </c>
      <c r="AJ242" s="196">
        <v>70486</v>
      </c>
      <c r="AK242" s="196">
        <v>68962</v>
      </c>
      <c r="AL242" s="196">
        <v>119404</v>
      </c>
      <c r="AO242" s="196">
        <v>107500</v>
      </c>
      <c r="AP242" s="196">
        <v>100700</v>
      </c>
      <c r="AQ242" s="196">
        <v>71200</v>
      </c>
      <c r="AR242" s="196">
        <v>134429</v>
      </c>
      <c r="AU242" s="196">
        <v>125300</v>
      </c>
      <c r="AV242" s="196">
        <v>126400</v>
      </c>
      <c r="AW242" s="196">
        <v>48400</v>
      </c>
      <c r="AX242" s="196">
        <v>120700</v>
      </c>
      <c r="BA242" s="196">
        <v>117300</v>
      </c>
      <c r="BB242" s="196">
        <v>123400</v>
      </c>
      <c r="BC242" s="196">
        <v>111000</v>
      </c>
      <c r="BD242" s="196">
        <v>103700</v>
      </c>
      <c r="BG242" s="196">
        <v>105.1</v>
      </c>
      <c r="BH242" s="196">
        <v>157.69999999999999</v>
      </c>
      <c r="BI242" s="196">
        <v>153.9</v>
      </c>
      <c r="BJ242" s="196">
        <v>124.4</v>
      </c>
      <c r="BK242" s="196">
        <f>BJ242</f>
        <v>124.4</v>
      </c>
      <c r="BL242" s="196"/>
      <c r="BM242" s="196">
        <v>118.5</v>
      </c>
      <c r="BN242" s="196">
        <v>108.6</v>
      </c>
      <c r="BO242" s="196">
        <v>144.19999999999999</v>
      </c>
      <c r="BP242" s="196">
        <v>159.5</v>
      </c>
      <c r="BQ242" s="196">
        <f>BP242</f>
        <v>159.5</v>
      </c>
      <c r="BS242" s="196">
        <v>173.8</v>
      </c>
      <c r="BT242" s="196">
        <v>178.1</v>
      </c>
      <c r="BU242" s="196">
        <v>127.6</v>
      </c>
      <c r="BV242" s="196">
        <v>133.1</v>
      </c>
      <c r="BW242" s="196">
        <f>BV242</f>
        <v>133.1</v>
      </c>
      <c r="BY242" s="196">
        <v>0</v>
      </c>
      <c r="BZ242" s="196">
        <v>0</v>
      </c>
      <c r="CA242" s="196">
        <v>0</v>
      </c>
      <c r="CB242" s="196">
        <v>0</v>
      </c>
      <c r="CC242" s="196">
        <f>CB242</f>
        <v>0</v>
      </c>
      <c r="CE242" s="196">
        <v>0</v>
      </c>
      <c r="CF242" s="196">
        <v>0</v>
      </c>
      <c r="CG242" s="196">
        <v>0</v>
      </c>
      <c r="CH242" s="196">
        <v>270.39999999999998</v>
      </c>
      <c r="CI242" s="196">
        <f>CH242</f>
        <v>270.39999999999998</v>
      </c>
      <c r="CK242" s="196">
        <v>0</v>
      </c>
      <c r="CL242" s="196">
        <v>284.7</v>
      </c>
      <c r="CM242" s="196">
        <v>116.7</v>
      </c>
      <c r="CN242" s="196">
        <v>95.9</v>
      </c>
      <c r="CO242" s="196">
        <f>CN242</f>
        <v>95.9</v>
      </c>
      <c r="CQ242" s="196">
        <v>103.5</v>
      </c>
      <c r="CR242" s="196">
        <v>190.4</v>
      </c>
      <c r="CS242" s="196">
        <v>287.8</v>
      </c>
      <c r="CT242" s="196">
        <v>231</v>
      </c>
      <c r="CU242" s="196">
        <f>CT242</f>
        <v>231</v>
      </c>
      <c r="CW242" s="196">
        <v>292.10000000000002</v>
      </c>
      <c r="CX242" s="196">
        <v>260.89999999999998</v>
      </c>
      <c r="CY242" s="196">
        <v>176.8</v>
      </c>
      <c r="CZ242" s="196">
        <v>119.2</v>
      </c>
      <c r="DA242" s="196">
        <f>CZ242</f>
        <v>119.2</v>
      </c>
      <c r="DC242" s="196">
        <v>107.4</v>
      </c>
      <c r="DD242" s="196">
        <v>178.9</v>
      </c>
      <c r="DE242" s="196">
        <v>272</v>
      </c>
      <c r="DF242" s="196">
        <v>164.6</v>
      </c>
      <c r="DG242" s="196">
        <f>DF242</f>
        <v>164.6</v>
      </c>
      <c r="DI242" s="196">
        <v>371.3</v>
      </c>
      <c r="DJ242" s="196">
        <v>270.39999999999998</v>
      </c>
      <c r="DK242" s="196">
        <v>276.89999999999998</v>
      </c>
      <c r="DL242" s="196">
        <v>131.9</v>
      </c>
      <c r="DM242" s="196">
        <f t="shared" si="223"/>
        <v>131.9</v>
      </c>
      <c r="DO242" s="196">
        <v>236.4</v>
      </c>
      <c r="DP242" s="196">
        <v>192</v>
      </c>
      <c r="DQ242" s="196">
        <v>266.5</v>
      </c>
      <c r="DR242" s="196">
        <v>240.1</v>
      </c>
      <c r="DS242" s="196">
        <f t="shared" si="224"/>
        <v>240.1</v>
      </c>
      <c r="DT242" s="196"/>
      <c r="DU242" s="196">
        <v>302.60000000000002</v>
      </c>
      <c r="DV242" s="196">
        <v>435</v>
      </c>
      <c r="DW242" s="196">
        <v>553.6</v>
      </c>
      <c r="DX242" s="196">
        <v>320.60000000000002</v>
      </c>
      <c r="DY242" s="196">
        <f t="shared" si="225"/>
        <v>320.60000000000002</v>
      </c>
      <c r="EA242" s="196">
        <v>407.3</v>
      </c>
      <c r="EB242" s="196">
        <v>275.3</v>
      </c>
      <c r="EC242" s="196">
        <v>366.7</v>
      </c>
      <c r="ED242" s="196">
        <v>440.6</v>
      </c>
      <c r="EE242" s="196">
        <f t="shared" si="226"/>
        <v>440.6</v>
      </c>
      <c r="EG242" s="196">
        <v>543.70000000000005</v>
      </c>
      <c r="EH242" s="196">
        <v>543.70000000000005</v>
      </c>
      <c r="EI242" s="196">
        <v>543.70000000000005</v>
      </c>
      <c r="EJ242" s="196">
        <v>543.70000000000005</v>
      </c>
      <c r="EK242" s="196">
        <f t="shared" si="227"/>
        <v>543.70000000000005</v>
      </c>
      <c r="ET242" s="74"/>
      <c r="EU242" s="114"/>
      <c r="EV242" s="77">
        <v>0</v>
      </c>
      <c r="EW242" s="77">
        <v>49590</v>
      </c>
      <c r="EX242" s="196">
        <f>H242</f>
        <v>54554</v>
      </c>
      <c r="EY242" s="196">
        <f>N242</f>
        <v>95636</v>
      </c>
      <c r="EZ242" s="196">
        <f>T242</f>
        <v>141255</v>
      </c>
      <c r="FA242" s="196">
        <f>Z242</f>
        <v>73018</v>
      </c>
      <c r="FB242" s="196">
        <f>AF242</f>
        <v>71780</v>
      </c>
      <c r="FC242" s="196">
        <f>AL242</f>
        <v>119404</v>
      </c>
      <c r="FD242" s="196">
        <f>AR242</f>
        <v>134429</v>
      </c>
      <c r="FE242" s="196">
        <f>AX242</f>
        <v>120700</v>
      </c>
      <c r="FF242" s="196">
        <f>BD242</f>
        <v>103700</v>
      </c>
      <c r="FG242" s="196">
        <f t="shared" si="228"/>
        <v>124.4</v>
      </c>
      <c r="FH242" s="196">
        <f t="shared" si="229"/>
        <v>159.5</v>
      </c>
      <c r="FI242" s="196">
        <f t="shared" si="230"/>
        <v>133.1</v>
      </c>
      <c r="FJ242" s="196">
        <f t="shared" si="231"/>
        <v>0</v>
      </c>
      <c r="FK242" s="196">
        <f t="shared" si="232"/>
        <v>270.39999999999998</v>
      </c>
      <c r="FL242" s="196">
        <f t="shared" si="233"/>
        <v>95.9</v>
      </c>
      <c r="FM242" s="77">
        <f t="shared" si="234"/>
        <v>231</v>
      </c>
      <c r="FN242" s="77">
        <f t="shared" si="235"/>
        <v>119.2</v>
      </c>
      <c r="FO242" s="77">
        <f t="shared" si="236"/>
        <v>164.6</v>
      </c>
      <c r="FP242" s="77">
        <f t="shared" si="237"/>
        <v>131.9</v>
      </c>
      <c r="FQ242" s="77">
        <f t="shared" si="238"/>
        <v>240.1</v>
      </c>
      <c r="FR242" s="77">
        <f t="shared" si="239"/>
        <v>320.60000000000002</v>
      </c>
      <c r="FS242" s="196">
        <f t="shared" si="240"/>
        <v>440.6</v>
      </c>
      <c r="FT242" s="196">
        <f t="shared" si="241"/>
        <v>543.70000000000005</v>
      </c>
      <c r="FU242" s="196">
        <f t="shared" ref="FU242:FX243" si="243">FT242</f>
        <v>543.70000000000005</v>
      </c>
      <c r="FV242" s="196">
        <f t="shared" si="243"/>
        <v>543.70000000000005</v>
      </c>
      <c r="FW242" s="196">
        <f t="shared" si="243"/>
        <v>543.70000000000005</v>
      </c>
      <c r="FX242" s="196">
        <f t="shared" si="243"/>
        <v>543.70000000000005</v>
      </c>
    </row>
    <row r="243" spans="2:184" x14ac:dyDescent="0.25">
      <c r="B243" s="198" t="s">
        <v>164</v>
      </c>
      <c r="C243" s="74"/>
      <c r="D243" s="74"/>
      <c r="E243" s="196"/>
      <c r="F243" s="196"/>
      <c r="G243" s="196"/>
      <c r="H243" s="196">
        <v>178487</v>
      </c>
      <c r="I243" s="196"/>
      <c r="J243" s="74"/>
      <c r="K243" s="96">
        <v>150000</v>
      </c>
      <c r="L243" s="96">
        <v>120000</v>
      </c>
      <c r="M243" s="96">
        <v>120000</v>
      </c>
      <c r="N243" s="196">
        <v>125802</v>
      </c>
      <c r="O243" s="196"/>
      <c r="Q243" s="96">
        <v>75000</v>
      </c>
      <c r="R243" s="96">
        <v>90000</v>
      </c>
      <c r="S243" s="96">
        <v>125000</v>
      </c>
      <c r="T243" s="196">
        <v>147683</v>
      </c>
      <c r="U243" s="196"/>
      <c r="W243" s="96">
        <f>T243+25000</f>
        <v>172683</v>
      </c>
      <c r="X243" s="96">
        <f>W243+25000</f>
        <v>197683</v>
      </c>
      <c r="Y243" s="96">
        <f>X243+25000</f>
        <v>222683</v>
      </c>
      <c r="Z243" s="196">
        <v>234529</v>
      </c>
      <c r="AC243" s="196">
        <v>267586</v>
      </c>
      <c r="AD243" s="196">
        <v>262207</v>
      </c>
      <c r="AE243" s="196">
        <v>261341</v>
      </c>
      <c r="AF243" s="196">
        <f>236077+87560</f>
        <v>323637</v>
      </c>
      <c r="AI243" s="196">
        <v>240597</v>
      </c>
      <c r="AJ243" s="196">
        <v>220258</v>
      </c>
      <c r="AK243" s="196">
        <f>21151+224240</f>
        <v>245391</v>
      </c>
      <c r="AL243" s="196">
        <f>21553+11286+218746</f>
        <v>251585</v>
      </c>
      <c r="AO243" s="196">
        <f>23300+37500+247300</f>
        <v>308100</v>
      </c>
      <c r="AP243" s="196">
        <f>248700+74700</f>
        <v>323400</v>
      </c>
      <c r="AQ243" s="196">
        <f>12300+82400+269400</f>
        <v>364100</v>
      </c>
      <c r="AR243" s="196">
        <f>12678+12648+214162</f>
        <v>239488</v>
      </c>
      <c r="AU243" s="196">
        <f>257500+1000</f>
        <v>258500</v>
      </c>
      <c r="AV243" s="196">
        <f>253500+1000+61900</f>
        <v>316400</v>
      </c>
      <c r="AW243" s="196">
        <f>116200+1000+248800</f>
        <v>366000</v>
      </c>
      <c r="AX243" s="196">
        <f>78900+32100+238100</f>
        <v>349100</v>
      </c>
      <c r="BA243" s="196">
        <f>78800+15600+233200</f>
        <v>327600</v>
      </c>
      <c r="BB243" s="196">
        <f>122300+23600+235200</f>
        <v>381100</v>
      </c>
      <c r="BC243" s="196">
        <f>235000+36600+221600</f>
        <v>493200</v>
      </c>
      <c r="BD243" s="196">
        <f>265200+57100+246000</f>
        <v>568300</v>
      </c>
      <c r="BG243" s="196">
        <v>278.60000000000002</v>
      </c>
      <c r="BH243" s="196">
        <v>292.3</v>
      </c>
      <c r="BI243" s="196">
        <v>387.3</v>
      </c>
      <c r="BJ243" s="196">
        <v>336.5</v>
      </c>
      <c r="BK243" s="196">
        <f>BJ243</f>
        <v>336.5</v>
      </c>
      <c r="BL243" s="196"/>
      <c r="BM243" s="196">
        <v>353.9</v>
      </c>
      <c r="BN243" s="196">
        <v>378.6</v>
      </c>
      <c r="BO243" s="196">
        <v>362.2</v>
      </c>
      <c r="BP243" s="196">
        <v>390</v>
      </c>
      <c r="BQ243" s="196">
        <f>BP243</f>
        <v>390</v>
      </c>
      <c r="BS243" s="196">
        <v>456.4</v>
      </c>
      <c r="BT243" s="196">
        <v>435.8</v>
      </c>
      <c r="BU243" s="196">
        <v>416.1</v>
      </c>
      <c r="BV243" s="196">
        <v>488.8</v>
      </c>
      <c r="BW243" s="196">
        <f>BV243</f>
        <v>488.8</v>
      </c>
      <c r="BY243" s="196">
        <v>502.1</v>
      </c>
      <c r="BZ243" s="196">
        <v>504.7</v>
      </c>
      <c r="CA243" s="196">
        <v>540.4</v>
      </c>
      <c r="CB243" s="196">
        <v>560.4</v>
      </c>
      <c r="CC243" s="196">
        <f>CB243</f>
        <v>560.4</v>
      </c>
      <c r="CE243" s="196">
        <v>589.6</v>
      </c>
      <c r="CF243" s="196">
        <v>719.6</v>
      </c>
      <c r="CG243" s="196">
        <v>741.8</v>
      </c>
      <c r="CH243" s="196">
        <v>510.5</v>
      </c>
      <c r="CI243" s="196">
        <f>CH243</f>
        <v>510.5</v>
      </c>
      <c r="CK243" s="196">
        <v>642.5</v>
      </c>
      <c r="CL243" s="196">
        <v>700.6</v>
      </c>
      <c r="CM243" s="196">
        <v>652.6</v>
      </c>
      <c r="CN243" s="196">
        <v>772.6</v>
      </c>
      <c r="CO243" s="196">
        <f>CN243</f>
        <v>772.6</v>
      </c>
      <c r="CQ243" s="196">
        <v>755.7</v>
      </c>
      <c r="CR243" s="196">
        <v>877.5</v>
      </c>
      <c r="CS243" s="196">
        <v>816.2</v>
      </c>
      <c r="CT243" s="196">
        <v>842.8</v>
      </c>
      <c r="CU243" s="196">
        <f>CT243</f>
        <v>842.8</v>
      </c>
      <c r="CW243" s="196">
        <v>905.8</v>
      </c>
      <c r="CX243" s="196">
        <v>903.5</v>
      </c>
      <c r="CY243" s="196">
        <v>772.7</v>
      </c>
      <c r="CZ243" s="196">
        <v>801.7</v>
      </c>
      <c r="DA243" s="196">
        <f>CZ243</f>
        <v>801.7</v>
      </c>
      <c r="DC243" s="196">
        <v>1081.2</v>
      </c>
      <c r="DD243" s="196">
        <v>1073.0999999999999</v>
      </c>
      <c r="DE243" s="196">
        <v>1147.7</v>
      </c>
      <c r="DF243" s="196">
        <v>1000.5</v>
      </c>
      <c r="DG243" s="196">
        <f>DF243</f>
        <v>1000.5</v>
      </c>
      <c r="DI243" s="196">
        <v>1468.2</v>
      </c>
      <c r="DJ243" s="196">
        <v>1528.1</v>
      </c>
      <c r="DK243" s="196">
        <v>1657.5</v>
      </c>
      <c r="DL243" s="196">
        <v>1643.4</v>
      </c>
      <c r="DM243" s="196">
        <f t="shared" si="223"/>
        <v>1643.4</v>
      </c>
      <c r="DO243" s="196">
        <v>1722.4</v>
      </c>
      <c r="DP243" s="196">
        <v>1915.3</v>
      </c>
      <c r="DQ243" s="196">
        <v>1916.8</v>
      </c>
      <c r="DR243" s="196">
        <v>1578.5</v>
      </c>
      <c r="DS243" s="196">
        <f t="shared" si="224"/>
        <v>1578.5</v>
      </c>
      <c r="DT243" s="196"/>
      <c r="DU243" s="196">
        <v>1890.5</v>
      </c>
      <c r="DV243" s="196">
        <v>1889.4</v>
      </c>
      <c r="DW243" s="196">
        <v>1785.7</v>
      </c>
      <c r="DX243" s="196">
        <v>1940.3</v>
      </c>
      <c r="DY243" s="196">
        <f t="shared" si="225"/>
        <v>1940.3</v>
      </c>
      <c r="EA243" s="196">
        <v>1866.3999999999999</v>
      </c>
      <c r="EB243" s="196">
        <v>1984</v>
      </c>
      <c r="EC243" s="196">
        <v>1575.1</v>
      </c>
      <c r="ED243" s="196">
        <v>1432.8</v>
      </c>
      <c r="EE243" s="196">
        <f t="shared" si="226"/>
        <v>1432.8</v>
      </c>
      <c r="EG243" s="196">
        <v>1586.3</v>
      </c>
      <c r="EH243" s="196">
        <v>1586.3</v>
      </c>
      <c r="EI243" s="196">
        <v>1586.3</v>
      </c>
      <c r="EJ243" s="196">
        <v>1586.3</v>
      </c>
      <c r="EK243" s="196">
        <f t="shared" si="227"/>
        <v>1586.3</v>
      </c>
      <c r="ET243" s="74"/>
      <c r="EU243" s="114"/>
      <c r="EV243" s="77">
        <f>178706+175095+106094</f>
        <v>459895</v>
      </c>
      <c r="EW243" s="77">
        <f>157912+5007</f>
        <v>162919</v>
      </c>
      <c r="EX243" s="196">
        <f>H243</f>
        <v>178487</v>
      </c>
      <c r="EY243" s="196">
        <f>N243</f>
        <v>125802</v>
      </c>
      <c r="EZ243" s="196">
        <f>T243</f>
        <v>147683</v>
      </c>
      <c r="FA243" s="196">
        <f>Z243</f>
        <v>234529</v>
      </c>
      <c r="FB243" s="196">
        <f>AF243</f>
        <v>323637</v>
      </c>
      <c r="FC243" s="196">
        <f>AL243</f>
        <v>251585</v>
      </c>
      <c r="FD243" s="196">
        <f>AR243</f>
        <v>239488</v>
      </c>
      <c r="FE243" s="196">
        <f>AX243</f>
        <v>349100</v>
      </c>
      <c r="FF243" s="196">
        <f>BD243</f>
        <v>568300</v>
      </c>
      <c r="FG243" s="196">
        <f t="shared" si="228"/>
        <v>336.5</v>
      </c>
      <c r="FH243" s="196">
        <f t="shared" si="229"/>
        <v>390</v>
      </c>
      <c r="FI243" s="196">
        <f t="shared" si="230"/>
        <v>488.8</v>
      </c>
      <c r="FJ243" s="196">
        <f t="shared" si="231"/>
        <v>560.4</v>
      </c>
      <c r="FK243" s="196">
        <f t="shared" si="232"/>
        <v>510.5</v>
      </c>
      <c r="FL243" s="196">
        <f t="shared" si="233"/>
        <v>772.6</v>
      </c>
      <c r="FM243" s="77">
        <f t="shared" si="234"/>
        <v>842.8</v>
      </c>
      <c r="FN243" s="77">
        <f t="shared" si="235"/>
        <v>801.7</v>
      </c>
      <c r="FO243" s="77">
        <f t="shared" si="236"/>
        <v>1000.5</v>
      </c>
      <c r="FP243" s="77">
        <f t="shared" si="237"/>
        <v>1643.4</v>
      </c>
      <c r="FQ243" s="77">
        <f t="shared" si="238"/>
        <v>1578.5</v>
      </c>
      <c r="FR243" s="77">
        <f t="shared" si="239"/>
        <v>1940.3</v>
      </c>
      <c r="FS243" s="196">
        <f t="shared" si="240"/>
        <v>1432.8</v>
      </c>
      <c r="FT243" s="196">
        <f t="shared" si="241"/>
        <v>1586.3</v>
      </c>
      <c r="FU243" s="196">
        <f t="shared" si="243"/>
        <v>1586.3</v>
      </c>
      <c r="FV243" s="196">
        <f t="shared" si="243"/>
        <v>1586.3</v>
      </c>
      <c r="FW243" s="196">
        <f t="shared" si="243"/>
        <v>1586.3</v>
      </c>
      <c r="FX243" s="196">
        <f t="shared" si="243"/>
        <v>1586.3</v>
      </c>
    </row>
    <row r="244" spans="2:184" x14ac:dyDescent="0.25">
      <c r="B244" s="74" t="s">
        <v>322</v>
      </c>
      <c r="C244" s="74"/>
      <c r="D244" s="74"/>
      <c r="E244" s="196"/>
      <c r="F244" s="196"/>
      <c r="G244" s="196"/>
      <c r="H244" s="87">
        <f>H241+H242+H238+H243+H236</f>
        <v>2682012</v>
      </c>
      <c r="I244" s="196"/>
      <c r="J244" s="74"/>
      <c r="K244" s="87">
        <f>K241+K242+K238+K243+K236</f>
        <v>2755695</v>
      </c>
      <c r="L244" s="87">
        <f>L241+L242+L238+L243+L236</f>
        <v>2936343</v>
      </c>
      <c r="M244" s="87">
        <f>M241+M242+M238+M243+M236</f>
        <v>2967055</v>
      </c>
      <c r="N244" s="87">
        <f>N241+N242+N238+N243+N236</f>
        <v>3205819</v>
      </c>
      <c r="O244" s="196"/>
      <c r="Q244" s="87">
        <f>Q241+Q242+Q238+Q243+Q236</f>
        <v>3266896</v>
      </c>
      <c r="R244" s="87">
        <f>R241+R242+R238+R243+R236</f>
        <v>3408700</v>
      </c>
      <c r="S244" s="87">
        <f>S241+S242+S238+S243+S236</f>
        <v>3356431</v>
      </c>
      <c r="T244" s="87">
        <f>T241+T242+T238+T243+T236</f>
        <v>3426038</v>
      </c>
      <c r="U244" s="196"/>
      <c r="W244" s="87">
        <f>W241+W242+W238+W243+W236</f>
        <v>3329022</v>
      </c>
      <c r="X244" s="87">
        <f>X241+X242+X238+X243+X236</f>
        <v>4155358</v>
      </c>
      <c r="Y244" s="87">
        <f>Y241+Y242+Y238+Y243+Y236</f>
        <v>4423607</v>
      </c>
      <c r="Z244" s="87">
        <f>Z241+Z242+Z238+Z243+Z236</f>
        <v>3319368</v>
      </c>
      <c r="AC244" s="87">
        <f>AC241+AC242+AC238+AC243+AC236</f>
        <v>3629286</v>
      </c>
      <c r="AD244" s="87">
        <f>AD241+AD242+AD238+AD243+AD236</f>
        <v>3340029</v>
      </c>
      <c r="AE244" s="87">
        <f>AE241+AE242+AE238+AE243+AE236</f>
        <v>3365370</v>
      </c>
      <c r="AF244" s="87">
        <f>AF241+AF242+AF238+AF243+AF236</f>
        <v>2973249</v>
      </c>
      <c r="AI244" s="87">
        <f>AI241+AI242+AI238+AI243+AI236</f>
        <v>2701064</v>
      </c>
      <c r="AJ244" s="87">
        <f>AJ241+AJ242+AJ238+AJ243+AJ236</f>
        <v>2523068</v>
      </c>
      <c r="AK244" s="87">
        <f>AK241+AK242+AK238+AK243+AK236</f>
        <v>2596815</v>
      </c>
      <c r="AL244" s="87">
        <f>AL241+AL242+AL238+AL243+AL236</f>
        <v>2748884</v>
      </c>
      <c r="AO244" s="87">
        <f>AO241+AO242+AO238+AO243+AO236</f>
        <v>3288200</v>
      </c>
      <c r="AP244" s="87">
        <f>AP241+AP242+AP238+AP243+AP236</f>
        <v>3733500</v>
      </c>
      <c r="AQ244" s="87">
        <f>AQ241+AQ242+AQ238+AQ243+AQ236</f>
        <v>4348100</v>
      </c>
      <c r="AR244" s="87">
        <f>AR241+AR242+AR238+AR243+AR236</f>
        <v>4944465</v>
      </c>
      <c r="AU244" s="87">
        <f>AU241+AU242+AU238+AU243+AU236</f>
        <v>5667700</v>
      </c>
      <c r="AV244" s="87">
        <f>AV241+AV242+AV238+AV243+AV236</f>
        <v>5690400</v>
      </c>
      <c r="AW244" s="87">
        <f>AW241+AW242+AW238+AW243+AW236</f>
        <v>5520100</v>
      </c>
      <c r="AX244" s="87">
        <f>AX241+AX242+AX238+AX243+AX236</f>
        <v>5706800</v>
      </c>
      <c r="BA244" s="87">
        <f>BA241+BA242+BA238+BA243+BA236+BA237</f>
        <v>5767100</v>
      </c>
      <c r="BB244" s="87">
        <f>BB241+BB242+BB238+BB243+BB236+BB237</f>
        <v>13209200</v>
      </c>
      <c r="BC244" s="87">
        <f>BC241+BC242+BC238+BC243+BC236+BC237</f>
        <v>9009800</v>
      </c>
      <c r="BD244" s="87">
        <f>BD241+BD242+BD238+BD243+BD236+BD237</f>
        <v>3372062.3</v>
      </c>
      <c r="BG244" s="87">
        <f>SUM(BG236:BG243)</f>
        <v>6065.0000000000009</v>
      </c>
      <c r="BH244" s="87">
        <f>SUM(BH236:BH243)</f>
        <v>6093.4</v>
      </c>
      <c r="BI244" s="87">
        <f>SUM(BI236:BI243)</f>
        <v>6843.0999999999995</v>
      </c>
      <c r="BJ244" s="87">
        <f>SUM(BJ236:BJ243)</f>
        <v>7025.5999999999995</v>
      </c>
      <c r="BK244" s="87">
        <f>SUM(BK236:BK243)</f>
        <v>7025.5999999999995</v>
      </c>
      <c r="BM244" s="87">
        <f>SUM(BM236:BM243)</f>
        <v>7240.8</v>
      </c>
      <c r="BN244" s="87">
        <f>SUM(BN236:BN243)</f>
        <v>7290.3000000000011</v>
      </c>
      <c r="BO244" s="87">
        <f>SUM(BO236:BO243)</f>
        <v>7161.6</v>
      </c>
      <c r="BP244" s="87">
        <f>SUM(BP236:BP243)</f>
        <v>7146.2000000000007</v>
      </c>
      <c r="BQ244" s="87">
        <f>SUM(BQ236:BQ243)</f>
        <v>7146.2000000000007</v>
      </c>
      <c r="BS244" s="87">
        <f>SUM(BS236:BS243)</f>
        <v>7625.1</v>
      </c>
      <c r="BT244" s="87">
        <f>SUM(BT236:BT243)</f>
        <v>7311.8</v>
      </c>
      <c r="BU244" s="87">
        <f>SUM(BU236:BU243)</f>
        <v>7347.5000000000009</v>
      </c>
      <c r="BV244" s="87">
        <f>SUM(BV236:BV243)</f>
        <v>7707.6</v>
      </c>
      <c r="BW244" s="87">
        <f>SUM(BW236:BW243)</f>
        <v>7707.6</v>
      </c>
      <c r="BY244" s="87">
        <f>SUM(BY236:BY243)</f>
        <v>7686.2000000000007</v>
      </c>
      <c r="BZ244" s="87">
        <f>SUM(BZ236:BZ243)</f>
        <v>7580.5</v>
      </c>
      <c r="CA244" s="87">
        <f>SUM(CA236:CA243)</f>
        <v>9215.6999999999989</v>
      </c>
      <c r="CB244" s="87">
        <f>SUM(CB236:CB243)</f>
        <v>8557.4</v>
      </c>
      <c r="CC244" s="87">
        <f>SUM(CC236:CC243)</f>
        <v>8557.4</v>
      </c>
      <c r="CE244" s="87">
        <f>SUM(CE236:CE243)</f>
        <v>8769.5999999999985</v>
      </c>
      <c r="CF244" s="87">
        <f>SUM(CF236:CF243)</f>
        <v>8041.5</v>
      </c>
      <c r="CG244" s="87">
        <f>SUM(CG236:CG243)</f>
        <v>8293.9</v>
      </c>
      <c r="CH244" s="87">
        <f>SUM(CH236:CH243)</f>
        <v>8885.8000000000011</v>
      </c>
      <c r="CI244" s="87">
        <f>SUM(CI236:CI243)</f>
        <v>8885.8000000000011</v>
      </c>
      <c r="CK244" s="87">
        <f>SUM(CK236:CK243)</f>
        <v>9212.7000000000007</v>
      </c>
      <c r="CL244" s="87">
        <f>SUM(CL236:CL243)</f>
        <v>9214.2000000000007</v>
      </c>
      <c r="CM244" s="87">
        <f>SUM(CM236:CM243)</f>
        <v>9913.1</v>
      </c>
      <c r="CN244" s="87">
        <f>SUM(CN236:CN243)</f>
        <v>10531.4</v>
      </c>
      <c r="CO244" s="87">
        <f>SUM(CO236:CO243)</f>
        <v>10531.4</v>
      </c>
      <c r="CQ244" s="87">
        <f>SUM(CQ236:CQ243)</f>
        <v>10396.300000000001</v>
      </c>
      <c r="CR244" s="87">
        <f>SUM(CR236:CR243)</f>
        <v>9895.2999999999993</v>
      </c>
      <c r="CS244" s="87">
        <f>SUM(CS236:CS243)</f>
        <v>10094.1</v>
      </c>
      <c r="CT244" s="87">
        <f>SUM(CT236:CT243)</f>
        <v>12131.099999999999</v>
      </c>
      <c r="CU244" s="87">
        <f>SUM(CU236:CU243)</f>
        <v>12131.099999999999</v>
      </c>
      <c r="CW244" s="87">
        <f>SUM(CW236:CW243)</f>
        <v>12700.099999999999</v>
      </c>
      <c r="CX244" s="87">
        <f>SUM(CX236:CX243)</f>
        <v>13492.6</v>
      </c>
      <c r="CY244" s="87">
        <f>SUM(CY236:CY243)</f>
        <v>14550.8</v>
      </c>
      <c r="CZ244" s="87">
        <f>SUM(CZ236:CZ243)</f>
        <v>15930</v>
      </c>
      <c r="DA244" s="87">
        <f>SUM(DA236:DA243)</f>
        <v>15930</v>
      </c>
      <c r="DC244" s="87">
        <f>SUM(DC236:DC243)</f>
        <v>15859.6</v>
      </c>
      <c r="DD244" s="87">
        <f>SUM(DD236:DD243)</f>
        <v>16739.2</v>
      </c>
      <c r="DE244" s="87">
        <f>SUM(DE236:DE243)</f>
        <v>15678.3</v>
      </c>
      <c r="DF244" s="87">
        <f>SUM(DF236:DF243)</f>
        <v>18190.199999999997</v>
      </c>
      <c r="DG244" s="87">
        <f>SUM(DG236:DG243)</f>
        <v>18190.199999999997</v>
      </c>
      <c r="DI244" s="87">
        <f>SUM(DI236:DI243)</f>
        <v>18208.800000000003</v>
      </c>
      <c r="DJ244" s="87">
        <f>SUM(DJ236:DJ243)</f>
        <v>19835.3</v>
      </c>
      <c r="DK244" s="87">
        <f>SUM(DK236:DK243)</f>
        <v>19726.400000000001</v>
      </c>
      <c r="DL244" s="87">
        <f>SUM(DL236:DL243)</f>
        <v>23064.9</v>
      </c>
      <c r="DM244" s="87">
        <f>SUM(DM236:DM243)</f>
        <v>23064.9</v>
      </c>
      <c r="DO244" s="87">
        <f>SUM(DO236:DO243)</f>
        <v>21060.800000000003</v>
      </c>
      <c r="DP244" s="87">
        <f>SUM(DP236:DP243)</f>
        <v>22398.3</v>
      </c>
      <c r="DQ244" s="87">
        <f>SUM(DQ236:DQ243)</f>
        <v>21655.7</v>
      </c>
      <c r="DR244" s="87">
        <f>SUM(DR236:DR243)</f>
        <v>24393.9</v>
      </c>
      <c r="DS244" s="87">
        <f>SUM(DS236:DS243)</f>
        <v>24393.9</v>
      </c>
      <c r="DT244" s="87"/>
      <c r="DU244" s="87">
        <f>SUM(DU236:DU243)</f>
        <v>23139.699999999997</v>
      </c>
      <c r="DV244" s="87">
        <f>SUM(DV236:DV243)</f>
        <v>24453.200000000001</v>
      </c>
      <c r="DW244" s="87">
        <f>SUM(DW236:DW243)</f>
        <v>24864</v>
      </c>
      <c r="DX244" s="87">
        <f>SUM(DX236:DX243)</f>
        <v>30737.399999999994</v>
      </c>
      <c r="DY244" s="87">
        <f>SUM(DY236:DY243)</f>
        <v>30737.399999999994</v>
      </c>
      <c r="EA244" s="87">
        <f>SUM(EA236:EA243)</f>
        <v>27524.400000000005</v>
      </c>
      <c r="EB244" s="87">
        <f>SUM(EB236:EB243)</f>
        <v>26710.499999999996</v>
      </c>
      <c r="EC244" s="87">
        <f>SUM(EC236:EC243)</f>
        <v>24956.3</v>
      </c>
      <c r="ED244" s="87">
        <f>SUM(ED236:ED243)</f>
        <v>30350</v>
      </c>
      <c r="EE244" s="87">
        <f>SUM(EE236:EE243)</f>
        <v>30350</v>
      </c>
      <c r="EG244" s="87">
        <f>SUM(EG236:EG243)</f>
        <v>27318.41</v>
      </c>
      <c r="EH244" s="87">
        <f>SUM(EH236:EH243)</f>
        <v>24790.439241238302</v>
      </c>
      <c r="EI244" s="87">
        <f>SUM(EI236:EI243)</f>
        <v>25129.157780941045</v>
      </c>
      <c r="EJ244" s="87">
        <f>SUM(EJ236:EJ243)</f>
        <v>26065.498421643737</v>
      </c>
      <c r="EK244" s="87">
        <f>SUM(EK236:EK243)</f>
        <v>26065.498421643737</v>
      </c>
      <c r="ET244" s="74"/>
      <c r="EU244" s="114"/>
      <c r="EV244" s="87"/>
      <c r="EW244" s="87"/>
      <c r="EX244" s="87"/>
      <c r="EY244" s="87"/>
      <c r="EZ244" s="87"/>
      <c r="FA244" s="87"/>
      <c r="FB244" s="87"/>
      <c r="FC244" s="87"/>
      <c r="FD244" s="87"/>
      <c r="FE244" s="87"/>
      <c r="FF244" s="87"/>
      <c r="FG244" s="87">
        <f t="shared" ref="FG244:FX244" si="244">SUM(FG236:FG243)</f>
        <v>7025.5999999999995</v>
      </c>
      <c r="FH244" s="87">
        <f t="shared" si="244"/>
        <v>7146.2000000000007</v>
      </c>
      <c r="FI244" s="87">
        <f t="shared" si="244"/>
        <v>7707.6</v>
      </c>
      <c r="FJ244" s="87">
        <f t="shared" si="244"/>
        <v>8557.4</v>
      </c>
      <c r="FK244" s="87">
        <f t="shared" si="244"/>
        <v>8885.8000000000011</v>
      </c>
      <c r="FL244" s="87">
        <f t="shared" si="244"/>
        <v>10531.4</v>
      </c>
      <c r="FM244" s="87">
        <f t="shared" si="244"/>
        <v>12131.099999999999</v>
      </c>
      <c r="FN244" s="87">
        <f t="shared" si="244"/>
        <v>15930</v>
      </c>
      <c r="FO244" s="87">
        <f t="shared" si="244"/>
        <v>18190.199999999997</v>
      </c>
      <c r="FP244" s="87">
        <f t="shared" si="244"/>
        <v>23064.9</v>
      </c>
      <c r="FQ244" s="87">
        <f t="shared" si="244"/>
        <v>24393.9</v>
      </c>
      <c r="FR244" s="87">
        <f t="shared" si="244"/>
        <v>30737.399999999994</v>
      </c>
      <c r="FS244" s="87">
        <f t="shared" si="244"/>
        <v>30350</v>
      </c>
      <c r="FT244" s="87">
        <f t="shared" si="244"/>
        <v>26065.498421643737</v>
      </c>
      <c r="FU244" s="87">
        <f t="shared" si="244"/>
        <v>36405.040707721964</v>
      </c>
      <c r="FV244" s="87">
        <f t="shared" si="244"/>
        <v>42730.026168457065</v>
      </c>
      <c r="FW244" s="87">
        <f t="shared" ca="1" si="244"/>
        <v>38152.479352304275</v>
      </c>
      <c r="FX244" s="87">
        <f t="shared" ca="1" si="244"/>
        <v>35407.508942611312</v>
      </c>
    </row>
    <row r="245" spans="2:184" x14ac:dyDescent="0.25">
      <c r="C245" s="74"/>
      <c r="D245" s="74"/>
      <c r="E245" s="196"/>
      <c r="F245" s="196"/>
      <c r="G245" s="196"/>
      <c r="H245" s="87"/>
      <c r="I245" s="196"/>
      <c r="J245" s="74"/>
      <c r="K245" s="87"/>
      <c r="L245" s="87"/>
      <c r="M245" s="87"/>
      <c r="N245" s="87"/>
      <c r="O245" s="196"/>
      <c r="Q245" s="87"/>
      <c r="R245" s="87"/>
      <c r="S245" s="87"/>
      <c r="T245" s="87"/>
      <c r="U245" s="196"/>
      <c r="W245" s="87"/>
      <c r="X245" s="87"/>
      <c r="Y245" s="87"/>
      <c r="Z245" s="87"/>
      <c r="AC245" s="87"/>
      <c r="AD245" s="87"/>
      <c r="AE245" s="87"/>
      <c r="AF245" s="87"/>
      <c r="AI245" s="87"/>
      <c r="AJ245" s="87"/>
      <c r="AK245" s="87"/>
      <c r="AL245" s="87"/>
      <c r="AO245" s="87"/>
      <c r="AP245" s="87"/>
      <c r="AQ245" s="87"/>
      <c r="AR245" s="87"/>
      <c r="AU245" s="87"/>
      <c r="AV245" s="87"/>
      <c r="AW245" s="87"/>
      <c r="AX245" s="87"/>
      <c r="BA245" s="87"/>
      <c r="BB245" s="87"/>
      <c r="BC245" s="87"/>
      <c r="BD245" s="87"/>
      <c r="BG245" s="87"/>
      <c r="BH245" s="87"/>
      <c r="BI245" s="87"/>
      <c r="BJ245" s="87"/>
      <c r="BM245" s="87"/>
      <c r="BN245" s="87"/>
      <c r="BO245" s="87"/>
      <c r="BP245" s="87"/>
      <c r="BS245" s="87"/>
      <c r="BT245" s="87"/>
      <c r="BU245" s="87"/>
      <c r="BV245" s="87"/>
      <c r="BW245" s="87"/>
      <c r="CC245" s="87"/>
      <c r="CI245" s="87"/>
      <c r="CO245" s="87"/>
      <c r="CU245" s="87"/>
      <c r="DA245" s="87"/>
      <c r="DG245" s="87"/>
      <c r="DM245" s="87"/>
      <c r="DS245" s="87"/>
      <c r="DY245" s="87"/>
      <c r="EE245" s="87"/>
      <c r="EK245" s="87"/>
    </row>
    <row r="246" spans="2:184" x14ac:dyDescent="0.25">
      <c r="B246" s="74" t="s">
        <v>321</v>
      </c>
      <c r="C246" s="74"/>
      <c r="D246" s="74"/>
      <c r="E246" s="196"/>
      <c r="F246" s="196"/>
      <c r="G246" s="196"/>
      <c r="H246" s="87">
        <f>H244+H233</f>
        <v>3243766</v>
      </c>
      <c r="I246" s="196"/>
      <c r="J246" s="74"/>
      <c r="K246" s="87">
        <f>K244+K233</f>
        <v>3347868</v>
      </c>
      <c r="L246" s="87">
        <f>L244+L233</f>
        <v>3518536</v>
      </c>
      <c r="M246" s="87">
        <f>M244+M233</f>
        <v>3527334</v>
      </c>
      <c r="N246" s="87">
        <f>N244+N233</f>
        <v>3756023</v>
      </c>
      <c r="O246" s="196"/>
      <c r="Q246" s="87">
        <f>Q244+Q233</f>
        <v>3808775</v>
      </c>
      <c r="R246" s="87">
        <f>R244+R233</f>
        <v>3935200</v>
      </c>
      <c r="S246" s="87">
        <f>S244+S233</f>
        <v>3854499</v>
      </c>
      <c r="T246" s="87">
        <f>T244+T233</f>
        <v>3951035</v>
      </c>
      <c r="U246" s="196"/>
      <c r="W246" s="87">
        <f>W244+W233</f>
        <v>4028539</v>
      </c>
      <c r="X246" s="87">
        <f>X244+X233</f>
        <v>4904756</v>
      </c>
      <c r="Y246" s="87">
        <f>Y244+Y233</f>
        <v>5127853</v>
      </c>
      <c r="Z246" s="87">
        <f>Z244+Z233</f>
        <v>4067751</v>
      </c>
      <c r="AC246" s="87">
        <f>AC244+AC233</f>
        <v>4404405</v>
      </c>
      <c r="AD246" s="87">
        <f>AD244+AD233</f>
        <v>4145003</v>
      </c>
      <c r="AE246" s="87">
        <f>AE244+AE233</f>
        <v>4216494</v>
      </c>
      <c r="AF246" s="87">
        <f>AF244+AF233</f>
        <v>3939394</v>
      </c>
      <c r="AI246" s="87">
        <f>AI244+AI233</f>
        <v>3744947</v>
      </c>
      <c r="AJ246" s="87">
        <f>AJ244+AJ233</f>
        <v>3545061</v>
      </c>
      <c r="AK246" s="87">
        <f>AK244+AK233</f>
        <v>3567658</v>
      </c>
      <c r="AL246" s="87">
        <f>AL244+AL233</f>
        <v>3764151</v>
      </c>
      <c r="AO246" s="87">
        <f>AO244+AO233</f>
        <v>4394800</v>
      </c>
      <c r="AP246" s="87">
        <f>AP244+AP233</f>
        <v>4866700</v>
      </c>
      <c r="AQ246" s="87">
        <f>AQ244+AQ233</f>
        <v>5461100</v>
      </c>
      <c r="AR246" s="87">
        <f>AR244+AR233</f>
        <v>6180358</v>
      </c>
      <c r="AU246" s="87">
        <f>AU244+AU233</f>
        <v>6956700</v>
      </c>
      <c r="AV246" s="87">
        <f>AV244+AV233</f>
        <v>7076100</v>
      </c>
      <c r="AW246" s="87">
        <f>AW244+AW233</f>
        <v>6777948.4000000004</v>
      </c>
      <c r="AX246" s="87">
        <f>AX244+AX233</f>
        <v>7260800</v>
      </c>
      <c r="BA246" s="87">
        <f>BA244+BA233</f>
        <v>7399300</v>
      </c>
      <c r="BB246" s="87">
        <f>BB244+BB233</f>
        <v>14867800</v>
      </c>
      <c r="BC246" s="87">
        <f>BC244+BC233</f>
        <v>10587700</v>
      </c>
      <c r="BD246" s="87">
        <f>BD244+BD233</f>
        <v>4950662.3</v>
      </c>
      <c r="BG246" s="87">
        <f>BG244+BG233</f>
        <v>7613.5000000000009</v>
      </c>
      <c r="BH246" s="87">
        <f>BH244+BH233</f>
        <v>10550.2</v>
      </c>
      <c r="BI246" s="87">
        <f>BI244+BI233</f>
        <v>11233.099999999999</v>
      </c>
      <c r="BJ246" s="87">
        <f>BJ244+BJ233</f>
        <v>11513.7</v>
      </c>
      <c r="BK246" s="87">
        <f>BK244+BK233</f>
        <v>11513.7</v>
      </c>
      <c r="BL246" s="74"/>
      <c r="BM246" s="87">
        <f>BM244+BM233</f>
        <v>11758.3</v>
      </c>
      <c r="BN246" s="87">
        <f>BN244+BN233</f>
        <v>11888.5</v>
      </c>
      <c r="BO246" s="87">
        <f>BO244+BO233</f>
        <v>12096.6</v>
      </c>
      <c r="BP246" s="87">
        <f>BP244+BP233</f>
        <v>12203.900000000001</v>
      </c>
      <c r="BQ246" s="87">
        <f>BQ244+BQ233</f>
        <v>12203.900000000001</v>
      </c>
      <c r="BS246" s="87">
        <f>BS244+BS233</f>
        <v>13091.100000000002</v>
      </c>
      <c r="BT246" s="87">
        <f>BT244+BT233</f>
        <v>12675.3</v>
      </c>
      <c r="BU246" s="87">
        <f>BU244+BU233</f>
        <v>12705.600000000002</v>
      </c>
      <c r="BV246" s="87">
        <f>BV244+BV233</f>
        <v>13295</v>
      </c>
      <c r="BW246" s="87">
        <f>BW244+BW233</f>
        <v>13295</v>
      </c>
      <c r="BY246" s="87">
        <f>BY244+BY233</f>
        <v>13143.6</v>
      </c>
      <c r="BZ246" s="87">
        <f>BZ244+BZ233</f>
        <v>13303.5</v>
      </c>
      <c r="CA246" s="87">
        <f>CA244+CA233</f>
        <v>14802.199999999999</v>
      </c>
      <c r="CB246" s="87">
        <f>CB244+CB233</f>
        <v>17205.899999999998</v>
      </c>
      <c r="CC246" s="87">
        <f>CC244+CC233</f>
        <v>17205.899999999998</v>
      </c>
      <c r="CE246" s="87">
        <f>CE244+CE233</f>
        <v>17324.8</v>
      </c>
      <c r="CF246" s="87">
        <f>CF244+CF233</f>
        <v>17272.100000000002</v>
      </c>
      <c r="CG246" s="87">
        <f>CG244+CG233</f>
        <v>17496.399999999998</v>
      </c>
      <c r="CH246" s="87">
        <f>CH244+CH233</f>
        <v>18188.900000000001</v>
      </c>
      <c r="CI246" s="87">
        <f>CI244+CI233</f>
        <v>18188.900000000001</v>
      </c>
      <c r="CK246" s="87">
        <f>CK244+CK233</f>
        <v>18644.200000000004</v>
      </c>
      <c r="CL246" s="87">
        <f>CL244+CL233</f>
        <v>18738.800000000003</v>
      </c>
      <c r="CM246" s="87">
        <f>CM244+CM233</f>
        <v>19457.599999999999</v>
      </c>
      <c r="CN246" s="87">
        <f>CN244+CN233</f>
        <v>20136.900000000001</v>
      </c>
      <c r="CO246" s="87">
        <f>CO244+CO233</f>
        <v>20136.900000000001</v>
      </c>
      <c r="CQ246" s="87">
        <f>CQ244+CQ233</f>
        <v>20360.600000000002</v>
      </c>
      <c r="CR246" s="87">
        <f>CR244+CR233</f>
        <v>20033.900000000001</v>
      </c>
      <c r="CS246" s="87">
        <f>CS244+CS233</f>
        <v>20699.2</v>
      </c>
      <c r="CT246" s="87">
        <f>CT244+CT233</f>
        <v>22629.599999999999</v>
      </c>
      <c r="CU246" s="87">
        <f>CU244+CU233</f>
        <v>22629.599999999999</v>
      </c>
      <c r="CW246" s="87">
        <f>CW244+CW233</f>
        <v>23277.599999999999</v>
      </c>
      <c r="CX246" s="87">
        <f>CX244+CX233</f>
        <v>24306.1</v>
      </c>
      <c r="CY246" s="87">
        <f>CY244+CY233</f>
        <v>25463.4</v>
      </c>
      <c r="CZ246" s="87">
        <f>CZ244+CZ233</f>
        <v>27267.4</v>
      </c>
      <c r="DA246" s="87">
        <f>DA244+DA233</f>
        <v>27267.4</v>
      </c>
      <c r="DC246" s="87">
        <f>DC244+DC233</f>
        <v>27218.699999999997</v>
      </c>
      <c r="DD246" s="87">
        <f>DD244+DD233</f>
        <v>27815.5</v>
      </c>
      <c r="DE246" s="87">
        <f>DE244+DE233</f>
        <v>27298</v>
      </c>
      <c r="DF246" s="87">
        <f>DF244+DF233</f>
        <v>30231</v>
      </c>
      <c r="DG246" s="87">
        <f>DG244+DG233</f>
        <v>30231</v>
      </c>
      <c r="DI246" s="87">
        <f>DI244+DI233</f>
        <v>30231.800000000003</v>
      </c>
      <c r="DJ246" s="87">
        <f>DJ244+DJ233</f>
        <v>31912.6</v>
      </c>
      <c r="DK246" s="87">
        <f>DK244+DK233</f>
        <v>32803.5</v>
      </c>
      <c r="DL246" s="87">
        <f>DL244+DL233</f>
        <v>36300.400000000001</v>
      </c>
      <c r="DM246" s="87">
        <f>DM244+DM233</f>
        <v>36300.400000000001</v>
      </c>
      <c r="DO246" s="87">
        <f>DO244+DO233</f>
        <v>35147.600000000006</v>
      </c>
      <c r="DP246" s="87">
        <f>DP244+DP233</f>
        <v>36928.6</v>
      </c>
      <c r="DQ246" s="87">
        <f>DQ244+DQ233</f>
        <v>37513.5</v>
      </c>
      <c r="DR246" s="87">
        <f>DR244+DR233</f>
        <v>39957.5</v>
      </c>
      <c r="DS246" s="87">
        <f>DS244+DS233</f>
        <v>39957.5</v>
      </c>
      <c r="DT246" s="87"/>
      <c r="DU246" s="87">
        <f>DU244+DU233</f>
        <v>39042.6</v>
      </c>
      <c r="DV246" s="87">
        <f>DV244+DV233</f>
        <v>40741</v>
      </c>
      <c r="DW246" s="87">
        <f>DW244+DW233</f>
        <v>41766.1</v>
      </c>
      <c r="DX246" s="87">
        <f>DX244+DX233</f>
        <v>48589.599999999991</v>
      </c>
      <c r="DY246" s="87">
        <f>DY244+DY233</f>
        <v>48589.599999999991</v>
      </c>
      <c r="EA246" s="87">
        <f>EA244+EA233</f>
        <v>45478.8</v>
      </c>
      <c r="EB246" s="87">
        <f>EB244+EB233</f>
        <v>44849.1</v>
      </c>
      <c r="EC246" s="87">
        <f>EC244+EC233</f>
        <v>44907.1</v>
      </c>
      <c r="ED246" s="87">
        <f>ED244+ED233</f>
        <v>50300.5</v>
      </c>
      <c r="EE246" s="87">
        <f>EE244+EE233</f>
        <v>50300.5</v>
      </c>
      <c r="EG246" s="87">
        <f>EG244+EG233</f>
        <v>47431.81</v>
      </c>
      <c r="EH246" s="87">
        <f>EH244+EH233</f>
        <v>45266.74722776276</v>
      </c>
      <c r="EI246" s="87">
        <f>EI244+EI233</f>
        <v>46166.88670949862</v>
      </c>
      <c r="EJ246" s="87">
        <f>EJ244+EJ233</f>
        <v>47392.657624219442</v>
      </c>
      <c r="EK246" s="87">
        <f>EK244+EK233</f>
        <v>47392.657624219442</v>
      </c>
      <c r="ET246" s="74"/>
      <c r="EU246" s="114"/>
      <c r="EV246" s="87"/>
      <c r="EW246" s="87"/>
      <c r="EX246" s="87"/>
      <c r="EY246" s="87"/>
      <c r="EZ246" s="87"/>
      <c r="FA246" s="87"/>
      <c r="FB246" s="87"/>
      <c r="FC246" s="87"/>
      <c r="FD246" s="87"/>
      <c r="FE246" s="87"/>
      <c r="FF246" s="87"/>
      <c r="FG246" s="87">
        <f t="shared" ref="FG246:FX246" si="245">FG244+FG233</f>
        <v>11513.7</v>
      </c>
      <c r="FH246" s="87">
        <f t="shared" si="245"/>
        <v>12203.900000000001</v>
      </c>
      <c r="FI246" s="87">
        <f t="shared" si="245"/>
        <v>13295</v>
      </c>
      <c r="FJ246" s="87">
        <f t="shared" si="245"/>
        <v>17205.899999999998</v>
      </c>
      <c r="FK246" s="87">
        <f t="shared" si="245"/>
        <v>18188.900000000001</v>
      </c>
      <c r="FL246" s="87">
        <f t="shared" si="245"/>
        <v>20136.900000000001</v>
      </c>
      <c r="FM246" s="87">
        <f t="shared" si="245"/>
        <v>22629.599999999999</v>
      </c>
      <c r="FN246" s="87">
        <f t="shared" si="245"/>
        <v>27267.4</v>
      </c>
      <c r="FO246" s="87">
        <f t="shared" si="245"/>
        <v>30231</v>
      </c>
      <c r="FP246" s="87">
        <f t="shared" si="245"/>
        <v>36300.400000000001</v>
      </c>
      <c r="FQ246" s="87">
        <f t="shared" si="245"/>
        <v>39957.5</v>
      </c>
      <c r="FR246" s="87">
        <f t="shared" si="245"/>
        <v>48589.599999999991</v>
      </c>
      <c r="FS246" s="87">
        <f t="shared" si="245"/>
        <v>50300.5</v>
      </c>
      <c r="FT246" s="87">
        <f t="shared" si="245"/>
        <v>47392.657624219442</v>
      </c>
      <c r="FU246" s="87">
        <f t="shared" si="245"/>
        <v>59033.31054659767</v>
      </c>
      <c r="FV246" s="87">
        <f t="shared" si="245"/>
        <v>66484.802957334177</v>
      </c>
      <c r="FW246" s="87">
        <f t="shared" ca="1" si="245"/>
        <v>62535.631141181388</v>
      </c>
      <c r="FX246" s="87">
        <f t="shared" ca="1" si="245"/>
        <v>60517.900731488422</v>
      </c>
    </row>
    <row r="247" spans="2:184" x14ac:dyDescent="0.25">
      <c r="B247" s="85"/>
      <c r="C247" s="74"/>
      <c r="D247" s="74"/>
      <c r="E247" s="196"/>
      <c r="F247" s="196"/>
      <c r="G247" s="196"/>
      <c r="H247" s="87"/>
      <c r="I247" s="196"/>
      <c r="J247" s="74"/>
      <c r="O247" s="196"/>
      <c r="U247" s="196"/>
      <c r="BL247" s="74"/>
    </row>
    <row r="248" spans="2:184" x14ac:dyDescent="0.25">
      <c r="B248" s="198" t="s">
        <v>320</v>
      </c>
      <c r="C248" s="74"/>
      <c r="D248" s="74"/>
      <c r="E248" s="196"/>
      <c r="F248" s="196"/>
      <c r="G248" s="196"/>
      <c r="H248" s="196">
        <v>0</v>
      </c>
      <c r="I248" s="196"/>
      <c r="J248" s="74"/>
      <c r="K248" s="196"/>
      <c r="L248" s="196"/>
      <c r="M248" s="196"/>
      <c r="N248" s="196">
        <v>0</v>
      </c>
      <c r="O248" s="196"/>
      <c r="Q248" s="196"/>
      <c r="R248" s="196"/>
      <c r="S248" s="196"/>
      <c r="T248" s="196">
        <v>0</v>
      </c>
      <c r="U248" s="196"/>
      <c r="W248" s="196">
        <v>0</v>
      </c>
      <c r="X248" s="196">
        <v>0</v>
      </c>
      <c r="Y248" s="196">
        <v>0</v>
      </c>
      <c r="Z248" s="196">
        <v>0</v>
      </c>
      <c r="AC248" s="158">
        <v>0</v>
      </c>
      <c r="AD248" s="158">
        <v>0</v>
      </c>
      <c r="AE248" s="158">
        <v>0</v>
      </c>
      <c r="AF248" s="196">
        <v>0</v>
      </c>
      <c r="AI248" s="158">
        <v>0</v>
      </c>
      <c r="AJ248" s="158">
        <v>0</v>
      </c>
      <c r="AK248" s="158">
        <v>0</v>
      </c>
      <c r="AL248" s="196">
        <v>0</v>
      </c>
      <c r="AO248" s="158">
        <v>0</v>
      </c>
      <c r="AP248" s="158">
        <v>0</v>
      </c>
      <c r="AQ248" s="158">
        <v>0</v>
      </c>
      <c r="AR248" s="196">
        <v>0</v>
      </c>
      <c r="AU248" s="158">
        <v>0</v>
      </c>
      <c r="AV248" s="158">
        <v>0</v>
      </c>
      <c r="AW248" s="158">
        <v>0</v>
      </c>
      <c r="AX248" s="196">
        <v>2587</v>
      </c>
      <c r="BA248" s="158">
        <f>AX248</f>
        <v>2587</v>
      </c>
      <c r="BB248" s="158">
        <f>BA248</f>
        <v>2587</v>
      </c>
      <c r="BC248" s="158">
        <f>BB248</f>
        <v>2587</v>
      </c>
      <c r="BD248" s="196">
        <v>3610</v>
      </c>
      <c r="BG248" s="196">
        <v>3.6</v>
      </c>
      <c r="BH248" s="196">
        <v>3.8</v>
      </c>
      <c r="BI248" s="196">
        <v>3.8</v>
      </c>
      <c r="BJ248" s="196">
        <v>4.4000000000000004</v>
      </c>
      <c r="BK248" s="77">
        <f t="shared" ref="BK248:BK254" si="246">BJ248</f>
        <v>4.4000000000000004</v>
      </c>
      <c r="BL248" s="74"/>
      <c r="BM248" s="196">
        <v>4.4000000000000004</v>
      </c>
      <c r="BN248" s="196">
        <v>4.3</v>
      </c>
      <c r="BO248" s="196">
        <v>4.3</v>
      </c>
      <c r="BP248" s="196">
        <v>4.3</v>
      </c>
      <c r="BQ248" s="77">
        <f t="shared" ref="BQ248:BQ254" si="247">BP248</f>
        <v>4.3</v>
      </c>
      <c r="BS248" s="196">
        <v>4.3</v>
      </c>
      <c r="BT248" s="196">
        <v>4.2</v>
      </c>
      <c r="BU248" s="196">
        <v>4.2</v>
      </c>
      <c r="BV248" s="196">
        <v>4.2</v>
      </c>
      <c r="BW248" s="77">
        <f t="shared" ref="BW248:BW254" si="248">BV248</f>
        <v>4.2</v>
      </c>
      <c r="BY248" s="196">
        <v>4.2</v>
      </c>
      <c r="BZ248" s="196">
        <v>253.6</v>
      </c>
      <c r="CA248" s="196">
        <v>250.4</v>
      </c>
      <c r="CB248" s="196">
        <v>247.7</v>
      </c>
      <c r="CC248" s="77">
        <f t="shared" ref="CC248:CC254" si="249">CB248</f>
        <v>247.7</v>
      </c>
      <c r="CE248" s="196">
        <v>244.7</v>
      </c>
      <c r="CF248" s="196">
        <v>25.9</v>
      </c>
      <c r="CG248" s="196">
        <v>25.6</v>
      </c>
      <c r="CH248" s="196">
        <v>25.2</v>
      </c>
      <c r="CI248" s="77">
        <f t="shared" ref="CI248:CI254" si="250">CH248</f>
        <v>25.2</v>
      </c>
      <c r="CK248" s="196">
        <v>24.9</v>
      </c>
      <c r="CL248" s="196">
        <v>24.9</v>
      </c>
      <c r="CM248" s="196">
        <v>12.45</v>
      </c>
      <c r="CN248" s="196">
        <v>0</v>
      </c>
      <c r="CO248" s="77">
        <f t="shared" ref="CO248:CO254" si="251">CN248</f>
        <v>0</v>
      </c>
      <c r="CQ248" s="196">
        <v>0</v>
      </c>
      <c r="CR248" s="196">
        <v>0</v>
      </c>
      <c r="CS248" s="196">
        <v>0</v>
      </c>
      <c r="CT248" s="196">
        <v>0</v>
      </c>
      <c r="CU248" s="77">
        <f t="shared" ref="CU248:CU254" si="252">CT248</f>
        <v>0</v>
      </c>
      <c r="CW248" s="196">
        <v>0</v>
      </c>
      <c r="CX248" s="196">
        <v>0</v>
      </c>
      <c r="CY248" s="196">
        <v>0</v>
      </c>
      <c r="CZ248" s="196">
        <v>15.4</v>
      </c>
      <c r="DA248" s="77">
        <f t="shared" ref="DA248:DA254" si="253">CZ248</f>
        <v>15.4</v>
      </c>
      <c r="DC248" s="196">
        <v>15.4</v>
      </c>
      <c r="DD248" s="196">
        <v>15.4</v>
      </c>
      <c r="DE248" s="196">
        <v>15.4</v>
      </c>
      <c r="DF248" s="196">
        <v>509.1</v>
      </c>
      <c r="DG248" s="77">
        <f t="shared" ref="DG248:DG254" si="254">DF248</f>
        <v>509.1</v>
      </c>
      <c r="DI248" s="196">
        <v>509.1</v>
      </c>
      <c r="DJ248" s="196">
        <v>509.1</v>
      </c>
      <c r="DK248" s="196">
        <v>509.1</v>
      </c>
      <c r="DL248" s="196">
        <v>746.2</v>
      </c>
      <c r="DM248" s="77">
        <f t="shared" ref="DM248:DM259" si="255">DL248</f>
        <v>746.2</v>
      </c>
      <c r="DO248" s="196">
        <v>746.2</v>
      </c>
      <c r="DP248" s="196">
        <v>746.2</v>
      </c>
      <c r="DQ248" s="196">
        <v>746.2</v>
      </c>
      <c r="DR248" s="196">
        <v>0.1</v>
      </c>
      <c r="DS248" s="77">
        <f t="shared" ref="DS248:DS259" si="256">DR248</f>
        <v>0.1</v>
      </c>
      <c r="DT248" s="196"/>
      <c r="DU248" s="196">
        <v>0.1</v>
      </c>
      <c r="DV248" s="196">
        <v>0.1</v>
      </c>
      <c r="DW248" s="196">
        <v>0.1</v>
      </c>
      <c r="DX248" s="196">
        <v>1010.3</v>
      </c>
      <c r="DY248" s="77">
        <f t="shared" ref="DY248:DY254" si="257">DX248</f>
        <v>1010.3</v>
      </c>
      <c r="EA248" s="196">
        <v>1010.3</v>
      </c>
      <c r="EB248" s="196">
        <v>1010.3</v>
      </c>
      <c r="EC248" s="196">
        <v>1010.3</v>
      </c>
      <c r="ED248" s="196">
        <v>1681.9</v>
      </c>
      <c r="EE248" s="77">
        <f t="shared" ref="EE248:EE254" si="258">ED248</f>
        <v>1681.9</v>
      </c>
      <c r="EG248" s="196">
        <v>1681.9</v>
      </c>
      <c r="EH248" s="196">
        <v>1681.9</v>
      </c>
      <c r="EI248" s="196">
        <v>1681.9</v>
      </c>
      <c r="EJ248" s="196">
        <v>1681.9</v>
      </c>
      <c r="EK248" s="77">
        <f t="shared" ref="EK248:EK254" si="259">EJ248</f>
        <v>1681.9</v>
      </c>
      <c r="ET248" s="74"/>
      <c r="EU248" s="114"/>
      <c r="EV248" s="77">
        <v>0</v>
      </c>
      <c r="EW248" s="77">
        <v>0</v>
      </c>
      <c r="EX248" s="196">
        <f>H248</f>
        <v>0</v>
      </c>
      <c r="EY248" s="196">
        <f>N248</f>
        <v>0</v>
      </c>
      <c r="EZ248" s="196">
        <f>T248</f>
        <v>0</v>
      </c>
      <c r="FA248" s="196">
        <f>Z248</f>
        <v>0</v>
      </c>
      <c r="FB248" s="196">
        <f>AF248</f>
        <v>0</v>
      </c>
      <c r="FC248" s="196">
        <f>AL248</f>
        <v>0</v>
      </c>
      <c r="FD248" s="196">
        <f>AR248</f>
        <v>0</v>
      </c>
      <c r="FE248" s="196">
        <f>AX248</f>
        <v>2587</v>
      </c>
      <c r="FF248" s="196">
        <f>BD248</f>
        <v>3610</v>
      </c>
      <c r="FG248" s="196">
        <f t="shared" ref="FG248:FG253" si="260">BK248</f>
        <v>4.4000000000000004</v>
      </c>
      <c r="FH248" s="196">
        <f t="shared" ref="FH248:FH253" si="261">BQ248</f>
        <v>4.3</v>
      </c>
      <c r="FI248" s="196">
        <f t="shared" ref="FI248:FI253" si="262">BW248</f>
        <v>4.2</v>
      </c>
      <c r="FJ248" s="196">
        <f t="shared" ref="FJ248:FJ253" si="263">CC248</f>
        <v>247.7</v>
      </c>
      <c r="FK248" s="196">
        <f t="shared" ref="FK248:FK253" si="264">CI248</f>
        <v>25.2</v>
      </c>
      <c r="FL248" s="196">
        <f t="shared" ref="FL248:FL253" si="265">CO248</f>
        <v>0</v>
      </c>
      <c r="FM248" s="77">
        <f t="shared" ref="FM248:FM253" si="266">CU248</f>
        <v>0</v>
      </c>
      <c r="FN248" s="77">
        <f t="shared" ref="FN248:FN253" si="267">DA248</f>
        <v>15.4</v>
      </c>
      <c r="FO248" s="77">
        <f t="shared" ref="FO248:FO253" si="268">DG248</f>
        <v>509.1</v>
      </c>
      <c r="FP248" s="77">
        <f t="shared" ref="FP248:FP253" si="269">DM248</f>
        <v>746.2</v>
      </c>
      <c r="FQ248" s="77">
        <f t="shared" ref="FQ248:FQ253" si="270">DS248</f>
        <v>0.1</v>
      </c>
      <c r="FR248" s="77">
        <f t="shared" ref="FR248:FR253" si="271">DY248</f>
        <v>1010.3</v>
      </c>
      <c r="FS248" s="196">
        <f t="shared" ref="FS248:FS253" si="272">EE248</f>
        <v>1681.9</v>
      </c>
      <c r="FT248" s="196">
        <f t="shared" ref="FT248:FT253" si="273">EK248</f>
        <v>1681.9</v>
      </c>
      <c r="FU248" s="196">
        <v>1681.9</v>
      </c>
      <c r="FV248" s="196">
        <v>1681.9</v>
      </c>
      <c r="FW248" s="196">
        <v>1681.9</v>
      </c>
      <c r="FX248" s="196">
        <v>1681.9</v>
      </c>
    </row>
    <row r="249" spans="2:184" x14ac:dyDescent="0.25">
      <c r="B249" s="198" t="s">
        <v>89</v>
      </c>
      <c r="C249" s="74"/>
      <c r="D249" s="74"/>
      <c r="E249" s="196"/>
      <c r="F249" s="196"/>
      <c r="G249" s="196"/>
      <c r="H249" s="196">
        <v>10037</v>
      </c>
      <c r="I249" s="196"/>
      <c r="J249" s="74"/>
      <c r="K249" s="196"/>
      <c r="L249" s="196"/>
      <c r="M249" s="196"/>
      <c r="N249" s="196">
        <v>90010</v>
      </c>
      <c r="O249" s="196"/>
      <c r="Q249" s="196"/>
      <c r="R249" s="196"/>
      <c r="S249" s="196"/>
      <c r="T249" s="196">
        <v>187751</v>
      </c>
      <c r="U249" s="196"/>
      <c r="W249" s="196">
        <f>T249</f>
        <v>187751</v>
      </c>
      <c r="X249" s="196">
        <f>W249</f>
        <v>187751</v>
      </c>
      <c r="Y249" s="196">
        <f>X249</f>
        <v>187751</v>
      </c>
      <c r="Z249" s="196">
        <v>104632</v>
      </c>
      <c r="AC249" s="158">
        <f>Z249</f>
        <v>104632</v>
      </c>
      <c r="AD249" s="196">
        <f>AC249</f>
        <v>104632</v>
      </c>
      <c r="AE249" s="196">
        <f>AD249</f>
        <v>104632</v>
      </c>
      <c r="AF249" s="196">
        <v>20039</v>
      </c>
      <c r="AI249" s="158">
        <f>AF249</f>
        <v>20039</v>
      </c>
      <c r="AJ249" s="158">
        <f>AI249</f>
        <v>20039</v>
      </c>
      <c r="AK249" s="159">
        <f>AJ249</f>
        <v>20039</v>
      </c>
      <c r="AL249" s="196">
        <v>15032</v>
      </c>
      <c r="AO249" s="159">
        <f>AL249</f>
        <v>15032</v>
      </c>
      <c r="AP249" s="159">
        <f>AO249</f>
        <v>15032</v>
      </c>
      <c r="AQ249" s="159">
        <f>AP249</f>
        <v>15032</v>
      </c>
      <c r="AR249" s="196">
        <v>61197</v>
      </c>
      <c r="AU249" s="159">
        <f>AR249</f>
        <v>61197</v>
      </c>
      <c r="AV249" s="159">
        <f>AU249</f>
        <v>61197</v>
      </c>
      <c r="AW249" s="159">
        <f>AV249</f>
        <v>61197</v>
      </c>
      <c r="AX249" s="196">
        <v>14999</v>
      </c>
      <c r="BA249" s="159">
        <f>AX249</f>
        <v>14999</v>
      </c>
      <c r="BB249" s="159">
        <f>BA249</f>
        <v>14999</v>
      </c>
      <c r="BC249" s="159">
        <f>BB249</f>
        <v>14999</v>
      </c>
      <c r="BD249" s="196">
        <v>10791</v>
      </c>
      <c r="BG249" s="196">
        <v>18.2</v>
      </c>
      <c r="BH249" s="196">
        <v>1.8</v>
      </c>
      <c r="BI249" s="196">
        <v>17.7</v>
      </c>
      <c r="BJ249" s="196">
        <v>15.8</v>
      </c>
      <c r="BK249" s="77">
        <f t="shared" si="246"/>
        <v>15.8</v>
      </c>
      <c r="BL249" s="74"/>
      <c r="BM249" s="196">
        <v>96.7</v>
      </c>
      <c r="BN249" s="196">
        <v>88.9</v>
      </c>
      <c r="BO249" s="196">
        <v>71.099999999999994</v>
      </c>
      <c r="BP249" s="196">
        <v>36.299999999999997</v>
      </c>
      <c r="BQ249" s="77">
        <f t="shared" si="247"/>
        <v>36.299999999999997</v>
      </c>
      <c r="BS249" s="196">
        <v>32.4</v>
      </c>
      <c r="BT249" s="196">
        <v>18.100000000000001</v>
      </c>
      <c r="BU249" s="196">
        <v>1.6</v>
      </c>
      <c r="BV249" s="196">
        <v>3.7</v>
      </c>
      <c r="BW249" s="77">
        <f t="shared" si="248"/>
        <v>3.7</v>
      </c>
      <c r="BY249" s="196">
        <v>8.6</v>
      </c>
      <c r="BZ249" s="196">
        <v>170.9</v>
      </c>
      <c r="CA249" s="196">
        <v>131.1</v>
      </c>
      <c r="CB249" s="196">
        <v>201.9</v>
      </c>
      <c r="CC249" s="77">
        <f t="shared" si="249"/>
        <v>201.9</v>
      </c>
      <c r="CE249" s="196">
        <v>137.6</v>
      </c>
      <c r="CF249" s="196">
        <v>31.9</v>
      </c>
      <c r="CG249" s="196">
        <v>82</v>
      </c>
      <c r="CH249" s="196">
        <v>152</v>
      </c>
      <c r="CI249" s="77">
        <f t="shared" si="250"/>
        <v>152</v>
      </c>
      <c r="CK249" s="196">
        <v>53.8</v>
      </c>
      <c r="CL249" s="196">
        <v>53.8</v>
      </c>
      <c r="CM249" s="196">
        <v>107.6</v>
      </c>
      <c r="CN249" s="196">
        <v>187.9</v>
      </c>
      <c r="CO249" s="77">
        <f t="shared" si="251"/>
        <v>187.9</v>
      </c>
      <c r="CQ249" s="196">
        <v>187.9</v>
      </c>
      <c r="CR249" s="196">
        <v>187.9</v>
      </c>
      <c r="CS249" s="196">
        <v>187.9</v>
      </c>
      <c r="CT249" s="196">
        <v>65.599999999999994</v>
      </c>
      <c r="CU249" s="77">
        <f t="shared" si="252"/>
        <v>65.599999999999994</v>
      </c>
      <c r="CW249" s="196">
        <v>65.599999999999994</v>
      </c>
      <c r="CX249" s="196">
        <v>65.599999999999994</v>
      </c>
      <c r="CY249" s="196">
        <v>65.599999999999994</v>
      </c>
      <c r="CZ249" s="196">
        <v>110</v>
      </c>
      <c r="DA249" s="77">
        <f t="shared" si="253"/>
        <v>110</v>
      </c>
      <c r="DC249" s="196">
        <v>110</v>
      </c>
      <c r="DD249" s="196">
        <v>110</v>
      </c>
      <c r="DE249" s="196">
        <v>110</v>
      </c>
      <c r="DF249" s="196">
        <v>301.89999999999998</v>
      </c>
      <c r="DG249" s="77">
        <f t="shared" si="254"/>
        <v>301.89999999999998</v>
      </c>
      <c r="DI249" s="196">
        <v>301.89999999999998</v>
      </c>
      <c r="DJ249" s="196">
        <v>301.89999999999998</v>
      </c>
      <c r="DK249" s="196">
        <v>301.89999999999998</v>
      </c>
      <c r="DL249" s="196">
        <v>315.3</v>
      </c>
      <c r="DM249" s="77">
        <f t="shared" si="255"/>
        <v>315.3</v>
      </c>
      <c r="DO249" s="196">
        <v>315.3</v>
      </c>
      <c r="DP249" s="196">
        <v>315.3</v>
      </c>
      <c r="DQ249" s="196">
        <v>315.3</v>
      </c>
      <c r="DR249" s="196">
        <v>308.89999999999998</v>
      </c>
      <c r="DS249" s="77">
        <f t="shared" si="256"/>
        <v>308.89999999999998</v>
      </c>
      <c r="DT249" s="196"/>
      <c r="DU249" s="196">
        <v>308.89999999999998</v>
      </c>
      <c r="DV249" s="196">
        <v>308.89999999999998</v>
      </c>
      <c r="DW249" s="196">
        <v>308.89999999999998</v>
      </c>
      <c r="DX249" s="196">
        <v>283.3</v>
      </c>
      <c r="DY249" s="77">
        <f t="shared" si="257"/>
        <v>283.3</v>
      </c>
      <c r="EA249" s="196">
        <v>283.3</v>
      </c>
      <c r="EB249" s="196">
        <v>283.3</v>
      </c>
      <c r="EC249" s="196">
        <v>283.3</v>
      </c>
      <c r="ED249" s="196">
        <v>486.6</v>
      </c>
      <c r="EE249" s="77">
        <f t="shared" si="258"/>
        <v>486.6</v>
      </c>
      <c r="EG249" s="196">
        <v>486.6</v>
      </c>
      <c r="EH249" s="196">
        <v>486.6</v>
      </c>
      <c r="EI249" s="196">
        <v>486.6</v>
      </c>
      <c r="EJ249" s="196">
        <v>486.6</v>
      </c>
      <c r="EK249" s="77">
        <f t="shared" si="259"/>
        <v>486.6</v>
      </c>
      <c r="ET249" s="74"/>
      <c r="EU249" s="114"/>
      <c r="EV249" s="77">
        <v>19947</v>
      </c>
      <c r="EW249" s="77">
        <v>8247</v>
      </c>
      <c r="EX249" s="196">
        <f>H249</f>
        <v>10037</v>
      </c>
      <c r="EY249" s="196">
        <f>N249</f>
        <v>90010</v>
      </c>
      <c r="EZ249" s="196">
        <f>T249</f>
        <v>187751</v>
      </c>
      <c r="FA249" s="196">
        <f>Z249</f>
        <v>104632</v>
      </c>
      <c r="FB249" s="196">
        <f>AF249</f>
        <v>20039</v>
      </c>
      <c r="FC249" s="196">
        <f>AL249</f>
        <v>15032</v>
      </c>
      <c r="FD249" s="196">
        <f>AR249</f>
        <v>61197</v>
      </c>
      <c r="FE249" s="196">
        <f>AX249</f>
        <v>14999</v>
      </c>
      <c r="FF249" s="196">
        <f>BD249</f>
        <v>10791</v>
      </c>
      <c r="FG249" s="196">
        <f t="shared" si="260"/>
        <v>15.8</v>
      </c>
      <c r="FH249" s="196">
        <f t="shared" si="261"/>
        <v>36.299999999999997</v>
      </c>
      <c r="FI249" s="196">
        <f t="shared" si="262"/>
        <v>3.7</v>
      </c>
      <c r="FJ249" s="196">
        <f t="shared" si="263"/>
        <v>201.9</v>
      </c>
      <c r="FK249" s="196">
        <f t="shared" si="264"/>
        <v>152</v>
      </c>
      <c r="FL249" s="196">
        <f t="shared" si="265"/>
        <v>187.9</v>
      </c>
      <c r="FM249" s="77">
        <f t="shared" si="266"/>
        <v>65.599999999999994</v>
      </c>
      <c r="FN249" s="77">
        <f t="shared" si="267"/>
        <v>110</v>
      </c>
      <c r="FO249" s="77">
        <f t="shared" si="268"/>
        <v>301.89999999999998</v>
      </c>
      <c r="FP249" s="77">
        <f t="shared" si="269"/>
        <v>315.3</v>
      </c>
      <c r="FQ249" s="77">
        <f t="shared" si="270"/>
        <v>308.89999999999998</v>
      </c>
      <c r="FR249" s="77">
        <f t="shared" si="271"/>
        <v>283.3</v>
      </c>
      <c r="FS249" s="196">
        <f t="shared" si="272"/>
        <v>486.6</v>
      </c>
      <c r="FT249" s="196">
        <f t="shared" si="273"/>
        <v>486.6</v>
      </c>
      <c r="FU249" s="196">
        <v>486.6</v>
      </c>
      <c r="FV249" s="196">
        <v>486.6</v>
      </c>
      <c r="FW249" s="196">
        <v>486.6</v>
      </c>
      <c r="FX249" s="196">
        <v>486.6</v>
      </c>
    </row>
    <row r="250" spans="2:184" x14ac:dyDescent="0.25">
      <c r="B250" s="198" t="s">
        <v>88</v>
      </c>
      <c r="C250" s="74"/>
      <c r="D250" s="74"/>
      <c r="E250" s="196"/>
      <c r="F250" s="196"/>
      <c r="G250" s="196"/>
      <c r="H250" s="196">
        <v>343228</v>
      </c>
      <c r="I250" s="196"/>
      <c r="K250" s="196">
        <f>Financials!K290/90*K11</f>
        <v>310205.4222222222</v>
      </c>
      <c r="L250" s="196">
        <f>Financials!L290/90*L11</f>
        <v>371625.60000000003</v>
      </c>
      <c r="M250" s="196">
        <f>Financials!M290/90*M11</f>
        <v>279958.33333333337</v>
      </c>
      <c r="N250" s="196">
        <v>343962</v>
      </c>
      <c r="O250" s="196"/>
      <c r="Q250" s="196">
        <f>Financials!Q290/90*Q11</f>
        <v>323202.36666666664</v>
      </c>
      <c r="R250" s="196">
        <f>Financials!R290/90*R11</f>
        <v>405044.61111111112</v>
      </c>
      <c r="S250" s="196">
        <f>Financials!S290/90*S11</f>
        <v>346817.16666666669</v>
      </c>
      <c r="T250" s="196">
        <v>326995</v>
      </c>
      <c r="U250" s="196"/>
      <c r="W250" s="196">
        <f>Financials!W290/90*W11</f>
        <v>271207.68888888892</v>
      </c>
      <c r="X250" s="196">
        <f>Financials!X290/90*X11</f>
        <v>261323.42222222223</v>
      </c>
      <c r="Y250" s="196">
        <f>Financials!Y290/90*Y11</f>
        <v>274705.5</v>
      </c>
      <c r="Z250" s="196">
        <v>282953</v>
      </c>
      <c r="AC250" s="158">
        <f>Financials!AC290/90*AC11</f>
        <v>266729.46666666667</v>
      </c>
      <c r="AD250" s="196">
        <f>Financials!AD290/90*AD11</f>
        <v>236454.86666666667</v>
      </c>
      <c r="AE250" s="196">
        <f>Financials!AE290/90*AE11</f>
        <v>205951.84444444446</v>
      </c>
      <c r="AF250" s="196">
        <v>193690</v>
      </c>
      <c r="AI250" s="158">
        <f>Financials!AI290/90*AI11</f>
        <v>76116.888888888891</v>
      </c>
      <c r="AJ250" s="158">
        <f>Financials!AJ290/90*AJ11</f>
        <v>107627.55555555555</v>
      </c>
      <c r="AK250" s="159">
        <f>Financials!AK290/90*AK11</f>
        <v>161783.55555555553</v>
      </c>
      <c r="AL250" s="196">
        <v>206226</v>
      </c>
      <c r="AO250" s="159">
        <f>Financials!AO290/90*AO11</f>
        <v>246222.22222222222</v>
      </c>
      <c r="AP250" s="159">
        <f>Financials!AP290/90*AP11</f>
        <v>372350.00000000006</v>
      </c>
      <c r="AQ250" s="159">
        <f>Financials!AQ290/90*AQ11</f>
        <v>427588.88888888893</v>
      </c>
      <c r="AR250" s="196">
        <v>555397</v>
      </c>
      <c r="AU250" s="159">
        <f>Financials!AU290/90*AU11</f>
        <v>490477.77777777781</v>
      </c>
      <c r="AV250" s="159">
        <f>Financials!AV290/90*AV11</f>
        <v>466333.33333333337</v>
      </c>
      <c r="AW250" s="159">
        <f>Financials!AW290/90*AW11</f>
        <v>422550</v>
      </c>
      <c r="AX250" s="196">
        <v>444269</v>
      </c>
      <c r="BA250" s="159">
        <f>Financials!BA290/90*BA11</f>
        <v>445.07222222222225</v>
      </c>
      <c r="BB250" s="159">
        <f>Financials!BB290/90*BB11</f>
        <v>387.38888888888886</v>
      </c>
      <c r="BC250" s="159">
        <f>Financials!BC290/90*BC11</f>
        <v>348.9</v>
      </c>
      <c r="BD250" s="196">
        <v>188.96100000000001</v>
      </c>
      <c r="BG250" s="196">
        <v>422.3</v>
      </c>
      <c r="BH250" s="196">
        <v>512</v>
      </c>
      <c r="BI250" s="196">
        <v>722.8</v>
      </c>
      <c r="BJ250" s="196">
        <v>625.9</v>
      </c>
      <c r="BK250" s="77">
        <f t="shared" si="246"/>
        <v>625.9</v>
      </c>
      <c r="BL250" s="74"/>
      <c r="BM250" s="196">
        <v>729</v>
      </c>
      <c r="BN250" s="196">
        <v>673.2</v>
      </c>
      <c r="BO250" s="196">
        <v>716.8</v>
      </c>
      <c r="BP250" s="196">
        <v>496.2</v>
      </c>
      <c r="BQ250" s="77">
        <f t="shared" si="247"/>
        <v>496.2</v>
      </c>
      <c r="BS250" s="196">
        <v>735.3</v>
      </c>
      <c r="BT250" s="196">
        <v>721.7</v>
      </c>
      <c r="BU250" s="196">
        <v>503.8</v>
      </c>
      <c r="BV250" s="196">
        <v>418.9</v>
      </c>
      <c r="BW250" s="77">
        <f t="shared" si="248"/>
        <v>418.9</v>
      </c>
      <c r="BY250" s="196">
        <v>644.5</v>
      </c>
      <c r="BZ250" s="196">
        <v>734.2</v>
      </c>
      <c r="CA250" s="196">
        <v>631.29999999999995</v>
      </c>
      <c r="CB250" s="196">
        <v>593.20000000000005</v>
      </c>
      <c r="CC250" s="77">
        <f t="shared" si="249"/>
        <v>593.20000000000005</v>
      </c>
      <c r="CE250" s="196">
        <v>765.3</v>
      </c>
      <c r="CF250" s="196">
        <v>982.3</v>
      </c>
      <c r="CG250" s="196">
        <v>835.7</v>
      </c>
      <c r="CH250" s="196">
        <v>837.3</v>
      </c>
      <c r="CI250" s="77">
        <f t="shared" si="250"/>
        <v>837.3</v>
      </c>
      <c r="CK250" s="196">
        <v>979.5</v>
      </c>
      <c r="CL250" s="196">
        <v>1298.893085787452</v>
      </c>
      <c r="CM250" s="196">
        <v>1204.1620998719591</v>
      </c>
      <c r="CN250" s="196">
        <v>964</v>
      </c>
      <c r="CO250" s="77">
        <f t="shared" si="251"/>
        <v>964</v>
      </c>
      <c r="CQ250" s="196">
        <v>716.88408779149518</v>
      </c>
      <c r="CR250" s="196">
        <v>805.92295381801557</v>
      </c>
      <c r="CS250" s="196">
        <v>925.7066758116141</v>
      </c>
      <c r="CT250" s="196">
        <v>1062.2</v>
      </c>
      <c r="CU250" s="77">
        <f t="shared" si="252"/>
        <v>1062.2</v>
      </c>
      <c r="CW250" s="196">
        <v>678.57570004293279</v>
      </c>
      <c r="CX250" s="196">
        <v>872.79468587511326</v>
      </c>
      <c r="CY250" s="196">
        <v>1052.2179649859274</v>
      </c>
      <c r="CZ250" s="196">
        <v>1377.9</v>
      </c>
      <c r="DA250" s="77">
        <f t="shared" si="253"/>
        <v>1377.9</v>
      </c>
      <c r="DC250" s="196">
        <v>1356.6548458149782</v>
      </c>
      <c r="DD250" s="196">
        <v>1332.4421145374449</v>
      </c>
      <c r="DE250" s="196">
        <v>1706.289383259912</v>
      </c>
      <c r="DF250" s="196">
        <v>2116.3000000000002</v>
      </c>
      <c r="DG250" s="77">
        <f t="shared" si="254"/>
        <v>2116.3000000000002</v>
      </c>
      <c r="DI250" s="196">
        <v>1670.2562013129107</v>
      </c>
      <c r="DJ250" s="196">
        <v>2561.7880962800882</v>
      </c>
      <c r="DK250" s="196">
        <v>2579.014870897156</v>
      </c>
      <c r="DL250" s="196">
        <v>2565.1999999999998</v>
      </c>
      <c r="DM250" s="77">
        <f>DL250</f>
        <v>2565.1999999999998</v>
      </c>
      <c r="DO250" s="196">
        <v>2740.9391850735738</v>
      </c>
      <c r="DP250" s="196">
        <v>822.54028434208897</v>
      </c>
      <c r="DQ250" s="196">
        <v>786.5604231713022</v>
      </c>
      <c r="DR250" s="196">
        <v>2347.3000000000002</v>
      </c>
      <c r="DS250" s="77">
        <f>DR250</f>
        <v>2347.3000000000002</v>
      </c>
      <c r="DT250" s="196"/>
      <c r="DU250" s="196">
        <v>1729.5473534676253</v>
      </c>
      <c r="DV250" s="196">
        <v>529.98922547383484</v>
      </c>
      <c r="DW250" s="196">
        <v>642.4890831743952</v>
      </c>
      <c r="DX250" s="196">
        <v>3500.4</v>
      </c>
      <c r="DY250" s="77">
        <f t="shared" si="257"/>
        <v>3500.4</v>
      </c>
      <c r="EA250" s="196">
        <v>2787.3294701542591</v>
      </c>
      <c r="EB250" s="196">
        <v>905.46913273642247</v>
      </c>
      <c r="EC250" s="196">
        <v>924.15196392392659</v>
      </c>
      <c r="ED250" s="196">
        <v>3521.8</v>
      </c>
      <c r="EE250" s="77">
        <f t="shared" si="258"/>
        <v>3521.8</v>
      </c>
      <c r="EG250" s="196">
        <v>3122.1652693838046</v>
      </c>
      <c r="EH250" s="196">
        <v>301.1322222222222</v>
      </c>
      <c r="EI250" s="196">
        <v>379.67222222222222</v>
      </c>
      <c r="EJ250" s="196">
        <v>389.30655788888873</v>
      </c>
      <c r="EK250" s="77">
        <f t="shared" si="259"/>
        <v>389.30655788888873</v>
      </c>
      <c r="ET250" s="74"/>
      <c r="EU250" s="114"/>
      <c r="EV250" s="77">
        <v>213423</v>
      </c>
      <c r="EW250" s="77">
        <v>220153</v>
      </c>
      <c r="EX250" s="196">
        <f>H250</f>
        <v>343228</v>
      </c>
      <c r="EY250" s="196">
        <f>N250</f>
        <v>343962</v>
      </c>
      <c r="EZ250" s="196">
        <f>T250</f>
        <v>326995</v>
      </c>
      <c r="FA250" s="196">
        <f>Z250</f>
        <v>282953</v>
      </c>
      <c r="FB250" s="196">
        <f>AF250</f>
        <v>193690</v>
      </c>
      <c r="FC250" s="196">
        <f>AL250</f>
        <v>206226</v>
      </c>
      <c r="FD250" s="196">
        <f>AR250</f>
        <v>555397</v>
      </c>
      <c r="FE250" s="196">
        <f>AX250</f>
        <v>444269</v>
      </c>
      <c r="FF250" s="196">
        <f>BD250</f>
        <v>188.96100000000001</v>
      </c>
      <c r="FG250" s="196">
        <f t="shared" si="260"/>
        <v>625.9</v>
      </c>
      <c r="FH250" s="196">
        <f t="shared" si="261"/>
        <v>496.2</v>
      </c>
      <c r="FI250" s="196">
        <f t="shared" si="262"/>
        <v>418.9</v>
      </c>
      <c r="FJ250" s="196">
        <f t="shared" si="263"/>
        <v>593.20000000000005</v>
      </c>
      <c r="FK250" s="196">
        <f t="shared" si="264"/>
        <v>837.3</v>
      </c>
      <c r="FL250" s="196">
        <f t="shared" si="265"/>
        <v>964</v>
      </c>
      <c r="FM250" s="77">
        <f t="shared" si="266"/>
        <v>1062.2</v>
      </c>
      <c r="FN250" s="77">
        <f t="shared" si="267"/>
        <v>1377.9</v>
      </c>
      <c r="FO250" s="77">
        <f t="shared" si="268"/>
        <v>2116.3000000000002</v>
      </c>
      <c r="FP250" s="77">
        <f t="shared" si="269"/>
        <v>2565.1999999999998</v>
      </c>
      <c r="FQ250" s="77">
        <f t="shared" si="270"/>
        <v>2347.3000000000002</v>
      </c>
      <c r="FR250" s="77">
        <f t="shared" si="271"/>
        <v>3500.4</v>
      </c>
      <c r="FS250" s="196">
        <f t="shared" si="272"/>
        <v>3521.8</v>
      </c>
      <c r="FT250" s="196">
        <f t="shared" si="273"/>
        <v>389.30655788888873</v>
      </c>
      <c r="FU250" s="196">
        <v>593.2796685833332</v>
      </c>
      <c r="FV250" s="196">
        <v>1132.6170232279833</v>
      </c>
      <c r="FW250" s="196">
        <v>697.14944444444438</v>
      </c>
      <c r="FX250" s="196">
        <v>814.2688888888888</v>
      </c>
    </row>
    <row r="251" spans="2:184" x14ac:dyDescent="0.25">
      <c r="B251" s="198" t="s">
        <v>87</v>
      </c>
      <c r="C251" s="74"/>
      <c r="D251" s="74"/>
      <c r="E251" s="196"/>
      <c r="F251" s="196"/>
      <c r="G251" s="196"/>
      <c r="H251" s="196">
        <v>1332</v>
      </c>
      <c r="I251" s="196"/>
      <c r="J251" s="74"/>
      <c r="K251" s="196"/>
      <c r="L251" s="196"/>
      <c r="M251" s="196"/>
      <c r="N251" s="196">
        <v>390</v>
      </c>
      <c r="O251" s="196"/>
      <c r="P251" s="211"/>
      <c r="Q251" s="196"/>
      <c r="R251" s="196"/>
      <c r="S251" s="196"/>
      <c r="T251" s="196">
        <v>825</v>
      </c>
      <c r="U251" s="196"/>
      <c r="V251" s="211"/>
      <c r="W251" s="196">
        <f>T251</f>
        <v>825</v>
      </c>
      <c r="X251" s="196">
        <f>W251</f>
        <v>825</v>
      </c>
      <c r="Y251" s="196">
        <f>X251</f>
        <v>825</v>
      </c>
      <c r="Z251" s="196">
        <v>50</v>
      </c>
      <c r="AC251" s="158">
        <f>Z251</f>
        <v>50</v>
      </c>
      <c r="AD251" s="196">
        <f>AC251</f>
        <v>50</v>
      </c>
      <c r="AE251" s="196">
        <f>AD251</f>
        <v>50</v>
      </c>
      <c r="AF251" s="196">
        <v>148</v>
      </c>
      <c r="AI251" s="158">
        <f>AF251</f>
        <v>148</v>
      </c>
      <c r="AJ251" s="158">
        <f>AI251</f>
        <v>148</v>
      </c>
      <c r="AK251" s="158">
        <f>AJ251</f>
        <v>148</v>
      </c>
      <c r="AL251" s="196">
        <v>3047</v>
      </c>
      <c r="AO251" s="158">
        <f>AL251</f>
        <v>3047</v>
      </c>
      <c r="AP251" s="158">
        <f>AO251</f>
        <v>3047</v>
      </c>
      <c r="AQ251" s="158">
        <f>AP251</f>
        <v>3047</v>
      </c>
      <c r="AR251" s="196">
        <v>18223</v>
      </c>
      <c r="AU251" s="158">
        <f>AR251</f>
        <v>18223</v>
      </c>
      <c r="AV251" s="158">
        <f>AU251</f>
        <v>18223</v>
      </c>
      <c r="AW251" s="158">
        <f>AV251</f>
        <v>18223</v>
      </c>
      <c r="AX251" s="196">
        <v>214</v>
      </c>
      <c r="BA251" s="158">
        <f>AX251</f>
        <v>214</v>
      </c>
      <c r="BB251" s="158">
        <f>BA251</f>
        <v>214</v>
      </c>
      <c r="BC251" s="158">
        <f>BB251</f>
        <v>214</v>
      </c>
      <c r="BD251" s="196">
        <v>271</v>
      </c>
      <c r="BG251" s="196">
        <v>0.27100000000000002</v>
      </c>
      <c r="BH251" s="196">
        <v>0.27100000000000002</v>
      </c>
      <c r="BI251" s="196">
        <v>0.27100000000000002</v>
      </c>
      <c r="BJ251" s="196">
        <v>3.5</v>
      </c>
      <c r="BK251" s="77">
        <f t="shared" si="246"/>
        <v>3.5</v>
      </c>
      <c r="BL251" s="74"/>
      <c r="BM251" s="196">
        <v>3.3</v>
      </c>
      <c r="BN251" s="196">
        <v>2.8</v>
      </c>
      <c r="BO251" s="196">
        <v>2.2999999999999998</v>
      </c>
      <c r="BP251" s="196">
        <v>1.9</v>
      </c>
      <c r="BQ251" s="77">
        <f t="shared" si="247"/>
        <v>1.9</v>
      </c>
      <c r="BS251" s="196">
        <v>2.4</v>
      </c>
      <c r="BT251" s="196">
        <v>2</v>
      </c>
      <c r="BU251" s="196">
        <v>2</v>
      </c>
      <c r="BV251" s="196">
        <v>1.9</v>
      </c>
      <c r="BW251" s="77">
        <f t="shared" si="248"/>
        <v>1.9</v>
      </c>
      <c r="BY251" s="196">
        <v>0</v>
      </c>
      <c r="BZ251" s="196">
        <v>0</v>
      </c>
      <c r="CA251" s="196">
        <v>0</v>
      </c>
      <c r="CB251" s="196">
        <v>0</v>
      </c>
      <c r="CC251" s="77">
        <f t="shared" si="249"/>
        <v>0</v>
      </c>
      <c r="CE251" s="196">
        <v>0</v>
      </c>
      <c r="CF251" s="196">
        <v>0</v>
      </c>
      <c r="CG251" s="196">
        <v>0</v>
      </c>
      <c r="CH251" s="196">
        <v>0</v>
      </c>
      <c r="CI251" s="77">
        <f t="shared" si="250"/>
        <v>0</v>
      </c>
      <c r="CK251" s="196">
        <v>0</v>
      </c>
      <c r="CL251" s="196">
        <v>0</v>
      </c>
      <c r="CM251" s="196">
        <v>0</v>
      </c>
      <c r="CN251" s="196">
        <v>0</v>
      </c>
      <c r="CO251" s="77">
        <f t="shared" si="251"/>
        <v>0</v>
      </c>
      <c r="CQ251" s="196">
        <v>0</v>
      </c>
      <c r="CR251" s="196">
        <v>0</v>
      </c>
      <c r="CS251" s="196">
        <v>0</v>
      </c>
      <c r="CT251" s="196">
        <v>0</v>
      </c>
      <c r="CU251" s="77">
        <f t="shared" si="252"/>
        <v>0</v>
      </c>
      <c r="CW251" s="196">
        <v>0</v>
      </c>
      <c r="CX251" s="196">
        <v>0</v>
      </c>
      <c r="CY251" s="196">
        <v>0</v>
      </c>
      <c r="CZ251" s="196">
        <v>0</v>
      </c>
      <c r="DA251" s="77">
        <f t="shared" si="253"/>
        <v>0</v>
      </c>
      <c r="DC251" s="196">
        <v>0</v>
      </c>
      <c r="DD251" s="196">
        <v>0</v>
      </c>
      <c r="DE251" s="196">
        <v>0</v>
      </c>
      <c r="DF251" s="196">
        <v>0</v>
      </c>
      <c r="DG251" s="77">
        <f t="shared" si="254"/>
        <v>0</v>
      </c>
      <c r="DI251" s="196">
        <v>0</v>
      </c>
      <c r="DJ251" s="196">
        <v>0</v>
      </c>
      <c r="DK251" s="196">
        <v>0</v>
      </c>
      <c r="DL251" s="196">
        <v>0</v>
      </c>
      <c r="DM251" s="77">
        <f t="shared" si="255"/>
        <v>0</v>
      </c>
      <c r="DO251" s="196">
        <v>0</v>
      </c>
      <c r="DP251" s="196">
        <v>0</v>
      </c>
      <c r="DQ251" s="196">
        <v>0</v>
      </c>
      <c r="DR251" s="196">
        <v>0</v>
      </c>
      <c r="DS251" s="77">
        <f t="shared" si="256"/>
        <v>0</v>
      </c>
      <c r="DT251" s="196"/>
      <c r="DU251" s="196">
        <v>0</v>
      </c>
      <c r="DV251" s="196">
        <v>0</v>
      </c>
      <c r="DW251" s="196">
        <v>0</v>
      </c>
      <c r="DX251" s="196">
        <v>0</v>
      </c>
      <c r="DY251" s="77">
        <f t="shared" si="257"/>
        <v>0</v>
      </c>
      <c r="EA251" s="196">
        <v>0</v>
      </c>
      <c r="EB251" s="196">
        <v>0</v>
      </c>
      <c r="EC251" s="196">
        <v>0</v>
      </c>
      <c r="ED251" s="196">
        <v>0</v>
      </c>
      <c r="EE251" s="77">
        <f t="shared" si="258"/>
        <v>0</v>
      </c>
      <c r="EG251" s="196">
        <v>0</v>
      </c>
      <c r="EH251" s="196">
        <v>0</v>
      </c>
      <c r="EI251" s="196">
        <v>0</v>
      </c>
      <c r="EJ251" s="196">
        <v>0</v>
      </c>
      <c r="EK251" s="77">
        <f t="shared" si="259"/>
        <v>0</v>
      </c>
      <c r="ET251" s="74"/>
      <c r="EU251" s="114"/>
      <c r="EV251" s="77">
        <v>4465</v>
      </c>
      <c r="EW251" s="77">
        <v>2285</v>
      </c>
      <c r="EX251" s="196">
        <f>H251</f>
        <v>1332</v>
      </c>
      <c r="EY251" s="196">
        <f>N251</f>
        <v>390</v>
      </c>
      <c r="EZ251" s="196">
        <f>T251</f>
        <v>825</v>
      </c>
      <c r="FA251" s="196">
        <f>Z251</f>
        <v>50</v>
      </c>
      <c r="FB251" s="196">
        <f>AF251</f>
        <v>148</v>
      </c>
      <c r="FC251" s="196">
        <f>AL251</f>
        <v>3047</v>
      </c>
      <c r="FD251" s="196">
        <f>AR251</f>
        <v>18223</v>
      </c>
      <c r="FE251" s="196">
        <f>AX251</f>
        <v>214</v>
      </c>
      <c r="FF251" s="196">
        <f>BD251</f>
        <v>271</v>
      </c>
      <c r="FG251" s="196">
        <f t="shared" si="260"/>
        <v>3.5</v>
      </c>
      <c r="FH251" s="196">
        <f t="shared" si="261"/>
        <v>1.9</v>
      </c>
      <c r="FI251" s="196">
        <f t="shared" si="262"/>
        <v>1.9</v>
      </c>
      <c r="FJ251" s="196">
        <f t="shared" si="263"/>
        <v>0</v>
      </c>
      <c r="FK251" s="196">
        <f t="shared" si="264"/>
        <v>0</v>
      </c>
      <c r="FL251" s="196">
        <f t="shared" si="265"/>
        <v>0</v>
      </c>
      <c r="FM251" s="77">
        <f t="shared" si="266"/>
        <v>0</v>
      </c>
      <c r="FN251" s="77">
        <f t="shared" si="267"/>
        <v>0</v>
      </c>
      <c r="FO251" s="77">
        <f t="shared" si="268"/>
        <v>0</v>
      </c>
      <c r="FP251" s="77">
        <f t="shared" si="269"/>
        <v>0</v>
      </c>
      <c r="FQ251" s="77">
        <f t="shared" si="270"/>
        <v>0</v>
      </c>
      <c r="FR251" s="77">
        <f t="shared" si="271"/>
        <v>0</v>
      </c>
      <c r="FS251" s="196">
        <f t="shared" si="272"/>
        <v>0</v>
      </c>
      <c r="FT251" s="196">
        <f t="shared" si="273"/>
        <v>0</v>
      </c>
      <c r="FU251" s="196">
        <v>0</v>
      </c>
      <c r="FV251" s="196">
        <v>0</v>
      </c>
      <c r="FW251" s="196">
        <v>0</v>
      </c>
      <c r="FX251" s="196">
        <v>0</v>
      </c>
    </row>
    <row r="252" spans="2:184" x14ac:dyDescent="0.25">
      <c r="B252" s="198" t="s">
        <v>423</v>
      </c>
      <c r="C252" s="74"/>
      <c r="D252" s="74"/>
      <c r="E252" s="196"/>
      <c r="F252" s="196"/>
      <c r="G252" s="196"/>
      <c r="H252" s="196"/>
      <c r="I252" s="196"/>
      <c r="J252" s="74"/>
      <c r="K252" s="196"/>
      <c r="L252" s="196"/>
      <c r="M252" s="196"/>
      <c r="N252" s="196"/>
      <c r="O252" s="196"/>
      <c r="P252" s="211"/>
      <c r="Q252" s="196"/>
      <c r="R252" s="196"/>
      <c r="S252" s="196"/>
      <c r="T252" s="196"/>
      <c r="U252" s="196"/>
      <c r="V252" s="211"/>
      <c r="W252" s="196"/>
      <c r="X252" s="196"/>
      <c r="Y252" s="196"/>
      <c r="Z252" s="196"/>
      <c r="AC252" s="158"/>
      <c r="AD252" s="196"/>
      <c r="AE252" s="196"/>
      <c r="AF252" s="196"/>
      <c r="AI252" s="158"/>
      <c r="AJ252" s="158"/>
      <c r="AK252" s="158"/>
      <c r="AL252" s="196"/>
      <c r="AO252" s="158"/>
      <c r="AP252" s="158"/>
      <c r="AQ252" s="158"/>
      <c r="AR252" s="196"/>
      <c r="AU252" s="158"/>
      <c r="AV252" s="158"/>
      <c r="AW252" s="158"/>
      <c r="AX252" s="196"/>
      <c r="BA252" s="158"/>
      <c r="BB252" s="158"/>
      <c r="BC252" s="158"/>
      <c r="BD252" s="196"/>
      <c r="BG252" s="196"/>
      <c r="BH252" s="196"/>
      <c r="BI252" s="196"/>
      <c r="BJ252" s="196"/>
      <c r="BK252" s="77"/>
      <c r="BL252" s="74"/>
      <c r="BM252" s="196"/>
      <c r="BN252" s="196"/>
      <c r="BO252" s="196"/>
      <c r="BP252" s="196"/>
      <c r="BQ252" s="77"/>
      <c r="BS252" s="196"/>
      <c r="BT252" s="196"/>
      <c r="BU252" s="196"/>
      <c r="BV252" s="196"/>
      <c r="BW252" s="77"/>
      <c r="BY252" s="196"/>
      <c r="BZ252" s="196"/>
      <c r="CA252" s="196"/>
      <c r="CB252" s="196"/>
      <c r="CC252" s="77"/>
      <c r="CE252" s="196">
        <v>382.5</v>
      </c>
      <c r="CF252" s="196">
        <v>765</v>
      </c>
      <c r="CG252" s="196">
        <v>1147.5</v>
      </c>
      <c r="CH252" s="196">
        <v>1530</v>
      </c>
      <c r="CI252" s="77">
        <f t="shared" si="250"/>
        <v>1530</v>
      </c>
      <c r="CK252" s="196">
        <v>1579.65</v>
      </c>
      <c r="CL252" s="196">
        <v>1629.3000000000002</v>
      </c>
      <c r="CM252" s="196">
        <v>1678.9500000000003</v>
      </c>
      <c r="CN252" s="196">
        <v>1728.6</v>
      </c>
      <c r="CO252" s="77">
        <f t="shared" si="251"/>
        <v>1728.6</v>
      </c>
      <c r="CQ252" s="196">
        <v>1928.05</v>
      </c>
      <c r="CR252" s="196">
        <v>2127.5</v>
      </c>
      <c r="CS252" s="196">
        <v>2326.9499999999998</v>
      </c>
      <c r="CT252" s="196">
        <v>2526.4</v>
      </c>
      <c r="CU252" s="77">
        <f t="shared" si="252"/>
        <v>2526.4</v>
      </c>
      <c r="CW252" s="196">
        <v>2883.35</v>
      </c>
      <c r="CX252" s="196">
        <v>3240.2999999999997</v>
      </c>
      <c r="CY252" s="196">
        <v>3597.2499999999995</v>
      </c>
      <c r="CZ252" s="196">
        <v>3954.2</v>
      </c>
      <c r="DA252" s="77">
        <f t="shared" si="253"/>
        <v>3954.2</v>
      </c>
      <c r="DC252" s="196">
        <v>4949.45</v>
      </c>
      <c r="DD252" s="196">
        <v>5944.7</v>
      </c>
      <c r="DE252" s="196">
        <v>6939.95</v>
      </c>
      <c r="DF252" s="196">
        <v>7935.2</v>
      </c>
      <c r="DG252" s="77">
        <f t="shared" si="254"/>
        <v>7935.2</v>
      </c>
      <c r="DI252" s="196">
        <v>7792.0806590809616</v>
      </c>
      <c r="DJ252" s="196">
        <v>7884.948332603939</v>
      </c>
      <c r="DK252" s="196">
        <v>8595.0095903719921</v>
      </c>
      <c r="DL252" s="196">
        <v>12481</v>
      </c>
      <c r="DM252" s="77">
        <f t="shared" si="255"/>
        <v>12481</v>
      </c>
      <c r="DO252" s="196">
        <v>9201.962570448497</v>
      </c>
      <c r="DP252" s="196">
        <v>10409.181800960538</v>
      </c>
      <c r="DQ252" s="196">
        <v>10123.007703780089</v>
      </c>
      <c r="DR252" s="196">
        <v>11441</v>
      </c>
      <c r="DS252" s="77">
        <f t="shared" si="256"/>
        <v>11441</v>
      </c>
      <c r="DT252" s="196"/>
      <c r="DU252" s="196">
        <v>9107.1068525726623</v>
      </c>
      <c r="DV252" s="196">
        <v>10705.317542168315</v>
      </c>
      <c r="DW252" s="196">
        <v>10552.017641777922</v>
      </c>
      <c r="DX252" s="196">
        <v>12570.8</v>
      </c>
      <c r="DY252" s="77">
        <f t="shared" si="257"/>
        <v>12570.8</v>
      </c>
      <c r="EA252" s="196">
        <v>9830.0793708920191</v>
      </c>
      <c r="EB252" s="196">
        <v>11491.851607084503</v>
      </c>
      <c r="EC252" s="196">
        <v>11905.003625253252</v>
      </c>
      <c r="ED252" s="196">
        <v>16006.3</v>
      </c>
      <c r="EE252" s="77">
        <f t="shared" si="258"/>
        <v>16006.3</v>
      </c>
      <c r="EG252" s="196">
        <v>10498.134311431337</v>
      </c>
      <c r="EH252" s="196">
        <v>10498.134311431337</v>
      </c>
      <c r="EI252" s="196">
        <v>10498.134311431337</v>
      </c>
      <c r="EJ252" s="196">
        <v>10498.134311431337</v>
      </c>
      <c r="EK252" s="77">
        <f t="shared" si="259"/>
        <v>10498.134311431337</v>
      </c>
      <c r="ET252" s="74"/>
      <c r="EU252" s="114"/>
      <c r="EV252" s="77"/>
      <c r="EW252" s="77"/>
      <c r="EX252" s="196"/>
      <c r="EY252" s="196"/>
      <c r="EZ252" s="196"/>
      <c r="FA252" s="196"/>
      <c r="FB252" s="196"/>
      <c r="FC252" s="196"/>
      <c r="FD252" s="196"/>
      <c r="FE252" s="196"/>
      <c r="FF252" s="196"/>
      <c r="FG252" s="196">
        <f t="shared" si="260"/>
        <v>0</v>
      </c>
      <c r="FH252" s="196">
        <f t="shared" si="261"/>
        <v>0</v>
      </c>
      <c r="FI252" s="196">
        <f t="shared" si="262"/>
        <v>0</v>
      </c>
      <c r="FJ252" s="196">
        <f t="shared" si="263"/>
        <v>0</v>
      </c>
      <c r="FK252" s="196">
        <f t="shared" si="264"/>
        <v>1530</v>
      </c>
      <c r="FL252" s="196">
        <f t="shared" si="265"/>
        <v>1728.6</v>
      </c>
      <c r="FM252" s="77">
        <f t="shared" si="266"/>
        <v>2526.4</v>
      </c>
      <c r="FN252" s="77">
        <f t="shared" si="267"/>
        <v>3954.2</v>
      </c>
      <c r="FO252" s="77">
        <f t="shared" si="268"/>
        <v>7935.2</v>
      </c>
      <c r="FP252" s="77">
        <f t="shared" si="269"/>
        <v>12481</v>
      </c>
      <c r="FQ252" s="77">
        <f t="shared" si="270"/>
        <v>11441</v>
      </c>
      <c r="FR252" s="77">
        <f t="shared" si="271"/>
        <v>12570.8</v>
      </c>
      <c r="FS252" s="196">
        <f t="shared" si="272"/>
        <v>16006.3</v>
      </c>
      <c r="FT252" s="196">
        <f t="shared" si="273"/>
        <v>10498.134311431337</v>
      </c>
      <c r="FU252" s="196">
        <v>10498.134311431337</v>
      </c>
      <c r="FV252" s="196">
        <v>10498.134311431337</v>
      </c>
      <c r="FW252" s="196">
        <v>10498.134311431337</v>
      </c>
      <c r="FX252" s="196">
        <v>10498.134311431337</v>
      </c>
    </row>
    <row r="253" spans="2:184" x14ac:dyDescent="0.25">
      <c r="B253" s="84" t="s">
        <v>86</v>
      </c>
      <c r="C253" s="74"/>
      <c r="D253" s="74"/>
      <c r="E253" s="196"/>
      <c r="F253" s="196"/>
      <c r="G253" s="196"/>
      <c r="H253" s="77">
        <v>458544</v>
      </c>
      <c r="I253" s="196"/>
      <c r="J253" s="74"/>
      <c r="K253" s="77"/>
      <c r="L253" s="77"/>
      <c r="M253" s="77"/>
      <c r="N253" s="77">
        <v>985621</v>
      </c>
      <c r="O253" s="196"/>
      <c r="P253" s="244"/>
      <c r="Q253" s="77"/>
      <c r="R253" s="77"/>
      <c r="S253" s="77"/>
      <c r="T253" s="77">
        <v>665842</v>
      </c>
      <c r="U253" s="196"/>
      <c r="V253" s="244"/>
      <c r="W253" s="77">
        <f>W254-W251-W250-W249-W248</f>
        <v>761521.31111111108</v>
      </c>
      <c r="X253" s="77">
        <f>X254-X251-X250-X249-X248</f>
        <v>871547.5777777778</v>
      </c>
      <c r="Y253" s="77">
        <f>Y254-Y251-Y250-Y249-Y248</f>
        <v>1916794.5</v>
      </c>
      <c r="Z253" s="77">
        <v>915927</v>
      </c>
      <c r="AC253" s="77">
        <f>AC254-AC251-AC250-AC249-AC248</f>
        <v>1190849.5333333332</v>
      </c>
      <c r="AD253" s="77">
        <f>AD254-AD251-AD250-AD249-AD248</f>
        <v>906178.1333333333</v>
      </c>
      <c r="AE253" s="77">
        <f>AE254-AE251-AE250-AE249-AE248</f>
        <v>962382.1555555556</v>
      </c>
      <c r="AF253" s="77">
        <f>789788+4678</f>
        <v>794466</v>
      </c>
      <c r="AI253" s="77">
        <f>AI254-AI251-AI250-AI249-AI248</f>
        <v>921220.11111111112</v>
      </c>
      <c r="AJ253" s="77">
        <f>AJ254-AJ251-AJ250-AJ249-AJ248</f>
        <v>813103.4444444445</v>
      </c>
      <c r="AK253" s="77">
        <f>AK254-AK251-AK250-AK249-AK248</f>
        <v>767302.4444444445</v>
      </c>
      <c r="AL253" s="77">
        <f>817361+2504</f>
        <v>819865</v>
      </c>
      <c r="AO253" s="77">
        <f>AO254-AO251-AO250-AO249-AO248</f>
        <v>1348698.7777777778</v>
      </c>
      <c r="AP253" s="77">
        <f>AP254-AP251-AP250-AP249-AP248</f>
        <v>1392271</v>
      </c>
      <c r="AQ253" s="77">
        <f>AQ254-AQ251-AQ250-AQ249-AQ248</f>
        <v>1717532.111111111</v>
      </c>
      <c r="AR253" s="77">
        <f>1518749+2250</f>
        <v>1520999</v>
      </c>
      <c r="AU253" s="77">
        <f>AU254-AU251-AU250-AU249-AU248</f>
        <v>1871802.2222222222</v>
      </c>
      <c r="AV253" s="77">
        <f>AV254-AV251-AV250-AV249-AV248</f>
        <v>1683846.6666666665</v>
      </c>
      <c r="AW253" s="77">
        <f>AW254-AW251-AW250-AW249-AW248</f>
        <v>1528930</v>
      </c>
      <c r="AX253" s="77">
        <f>1768647+2326</f>
        <v>1770973</v>
      </c>
      <c r="BA253" s="77">
        <f>BA254-BA251-BA250-BA249-BA248</f>
        <v>2073354.9277777779</v>
      </c>
      <c r="BB253" s="77">
        <f>BB254-BB251-BB250-BB249-BB248</f>
        <v>2056812.611111111</v>
      </c>
      <c r="BC253" s="77">
        <f>BC254-BC251-BC250-BC249-BC248</f>
        <v>2283651.1</v>
      </c>
      <c r="BD253" s="77">
        <f>1880370+2280</f>
        <v>1882650</v>
      </c>
      <c r="BG253" s="77">
        <v>1902.029</v>
      </c>
      <c r="BH253" s="77">
        <v>1971.529</v>
      </c>
      <c r="BI253" s="77">
        <v>2013.729</v>
      </c>
      <c r="BJ253" s="77">
        <v>2219.0999999999995</v>
      </c>
      <c r="BK253" s="77">
        <f t="shared" si="246"/>
        <v>2219.0999999999995</v>
      </c>
      <c r="BL253" s="74"/>
      <c r="BM253" s="77">
        <v>2124.1</v>
      </c>
      <c r="BN253" s="77">
        <v>2295.9999999999995</v>
      </c>
      <c r="BO253" s="77">
        <v>2131.4999999999995</v>
      </c>
      <c r="BP253" s="77">
        <v>2350.1</v>
      </c>
      <c r="BQ253" s="77">
        <f t="shared" si="247"/>
        <v>2350.1</v>
      </c>
      <c r="BS253" s="77">
        <v>2419.9</v>
      </c>
      <c r="BT253" s="77">
        <v>2107.9</v>
      </c>
      <c r="BU253" s="77">
        <v>2199.7000000000003</v>
      </c>
      <c r="BV253" s="77">
        <v>2678.5</v>
      </c>
      <c r="BW253" s="77">
        <f t="shared" si="248"/>
        <v>2678.5</v>
      </c>
      <c r="BY253" s="77">
        <v>2589.5000000000005</v>
      </c>
      <c r="BZ253" s="77">
        <v>2561.3999999999996</v>
      </c>
      <c r="CA253" s="77">
        <v>2259.3999999999996</v>
      </c>
      <c r="CB253" s="77">
        <v>2237.7999999999997</v>
      </c>
      <c r="CC253" s="77">
        <f t="shared" si="249"/>
        <v>2237.7999999999997</v>
      </c>
      <c r="CE253" s="77">
        <v>1345.3000000000002</v>
      </c>
      <c r="CF253" s="77">
        <v>1319.9</v>
      </c>
      <c r="CG253" s="77">
        <v>883.39999999999964</v>
      </c>
      <c r="CH253" s="77">
        <v>625.5</v>
      </c>
      <c r="CI253" s="77">
        <f t="shared" si="250"/>
        <v>625.5</v>
      </c>
      <c r="CK253" s="77">
        <v>494.34999999999945</v>
      </c>
      <c r="CL253" s="77">
        <v>373.90691421254814</v>
      </c>
      <c r="CM253" s="77">
        <v>542.93790012804084</v>
      </c>
      <c r="CN253" s="77">
        <v>911.4</v>
      </c>
      <c r="CO253" s="77">
        <f t="shared" si="251"/>
        <v>911.4</v>
      </c>
      <c r="CQ253" s="77">
        <v>888.3659122085046</v>
      </c>
      <c r="CR253" s="77">
        <v>571.17704618198422</v>
      </c>
      <c r="CS253" s="77">
        <v>271.94332418838621</v>
      </c>
      <c r="CT253" s="77">
        <v>1039.9000000000001</v>
      </c>
      <c r="CU253" s="77">
        <f t="shared" si="252"/>
        <v>1039.9000000000001</v>
      </c>
      <c r="CW253" s="77">
        <v>1049.8742999570668</v>
      </c>
      <c r="CX253" s="77">
        <v>452.60531412488763</v>
      </c>
      <c r="CY253" s="77">
        <v>275.83203501407297</v>
      </c>
      <c r="CZ253" s="77">
        <v>1146</v>
      </c>
      <c r="DA253" s="77">
        <f t="shared" si="253"/>
        <v>1146</v>
      </c>
      <c r="DC253" s="77">
        <v>444.79515418502251</v>
      </c>
      <c r="DD253" s="77">
        <v>1351.5578854625555</v>
      </c>
      <c r="DE253" s="77">
        <v>390.96061674008888</v>
      </c>
      <c r="DF253" s="77">
        <v>1435.5</v>
      </c>
      <c r="DG253" s="77">
        <f t="shared" si="254"/>
        <v>1435.5</v>
      </c>
      <c r="DI253" s="77">
        <v>3339.4631396061268</v>
      </c>
      <c r="DJ253" s="77">
        <v>3379.2635711159733</v>
      </c>
      <c r="DK253" s="77">
        <v>3683.5755387308532</v>
      </c>
      <c r="DL253" s="77">
        <v>1875.9</v>
      </c>
      <c r="DM253" s="77">
        <f t="shared" si="255"/>
        <v>1875.9</v>
      </c>
      <c r="DO253" s="77">
        <v>3943.6982444779273</v>
      </c>
      <c r="DP253" s="77">
        <v>4461.0779146973728</v>
      </c>
      <c r="DQ253" s="77">
        <v>4338.4318730486093</v>
      </c>
      <c r="DR253" s="77">
        <v>2177.4</v>
      </c>
      <c r="DS253" s="77">
        <f t="shared" si="256"/>
        <v>2177.4</v>
      </c>
      <c r="DT253" s="77"/>
      <c r="DU253" s="77">
        <v>3903.0457939597122</v>
      </c>
      <c r="DV253" s="77">
        <v>4587.9932323578487</v>
      </c>
      <c r="DW253" s="77">
        <v>4522.2932750476812</v>
      </c>
      <c r="DX253" s="77">
        <v>2686.6</v>
      </c>
      <c r="DY253" s="77">
        <f t="shared" si="257"/>
        <v>2686.6</v>
      </c>
      <c r="EA253" s="77">
        <v>4212.8911589537229</v>
      </c>
      <c r="EB253" s="77">
        <v>4925.0792601790736</v>
      </c>
      <c r="EC253" s="77">
        <v>5102.1444108228225</v>
      </c>
      <c r="ED253" s="77">
        <v>2567.3000000000002</v>
      </c>
      <c r="EE253" s="77">
        <f t="shared" si="258"/>
        <v>2567.3000000000002</v>
      </c>
      <c r="EG253" s="77">
        <v>4499.2004191848591</v>
      </c>
      <c r="EH253" s="77">
        <v>4499.2004191848591</v>
      </c>
      <c r="EI253" s="77">
        <v>4499.2004191848591</v>
      </c>
      <c r="EJ253" s="77">
        <v>4499.2004191848591</v>
      </c>
      <c r="EK253" s="77">
        <f t="shared" si="259"/>
        <v>4499.2004191848591</v>
      </c>
      <c r="ET253" s="74"/>
      <c r="EU253" s="114"/>
      <c r="EV253" s="77">
        <f>448848+66091</f>
        <v>514939</v>
      </c>
      <c r="EW253" s="77">
        <f>442383+13451</f>
        <v>455834</v>
      </c>
      <c r="EX253" s="77">
        <f>H253</f>
        <v>458544</v>
      </c>
      <c r="EY253" s="77">
        <f>N253</f>
        <v>985621</v>
      </c>
      <c r="EZ253" s="77">
        <f>T253</f>
        <v>665842</v>
      </c>
      <c r="FA253" s="77">
        <f>Z253</f>
        <v>915927</v>
      </c>
      <c r="FB253" s="77">
        <f>AF253</f>
        <v>794466</v>
      </c>
      <c r="FC253" s="77">
        <f>AL253</f>
        <v>819865</v>
      </c>
      <c r="FD253" s="77">
        <f>AR253</f>
        <v>1520999</v>
      </c>
      <c r="FE253" s="77">
        <f>AX253</f>
        <v>1770973</v>
      </c>
      <c r="FF253" s="77">
        <f>BD253</f>
        <v>1882650</v>
      </c>
      <c r="FG253" s="196">
        <f t="shared" si="260"/>
        <v>2219.0999999999995</v>
      </c>
      <c r="FH253" s="196">
        <f t="shared" si="261"/>
        <v>2350.1</v>
      </c>
      <c r="FI253" s="196">
        <f t="shared" si="262"/>
        <v>2678.5</v>
      </c>
      <c r="FJ253" s="196">
        <f t="shared" si="263"/>
        <v>2237.7999999999997</v>
      </c>
      <c r="FK253" s="196">
        <f t="shared" si="264"/>
        <v>625.5</v>
      </c>
      <c r="FL253" s="196">
        <f t="shared" si="265"/>
        <v>911.4</v>
      </c>
      <c r="FM253" s="77">
        <f t="shared" si="266"/>
        <v>1039.9000000000001</v>
      </c>
      <c r="FN253" s="77">
        <f t="shared" si="267"/>
        <v>1146</v>
      </c>
      <c r="FO253" s="77">
        <f t="shared" si="268"/>
        <v>1435.5</v>
      </c>
      <c r="FP253" s="77">
        <f t="shared" si="269"/>
        <v>1875.9</v>
      </c>
      <c r="FQ253" s="77">
        <f t="shared" si="270"/>
        <v>2177.4</v>
      </c>
      <c r="FR253" s="77">
        <f t="shared" si="271"/>
        <v>2686.6</v>
      </c>
      <c r="FS253" s="196">
        <f t="shared" si="272"/>
        <v>2567.3000000000002</v>
      </c>
      <c r="FT253" s="196">
        <f t="shared" si="273"/>
        <v>4499.2004191848591</v>
      </c>
      <c r="FU253" s="77">
        <v>4499.2004191848591</v>
      </c>
      <c r="FV253" s="77">
        <v>4499.2004191848591</v>
      </c>
      <c r="FW253" s="77">
        <v>4499.2004191848591</v>
      </c>
      <c r="FX253" s="77">
        <v>4499.2004191848591</v>
      </c>
    </row>
    <row r="254" spans="2:184" x14ac:dyDescent="0.25">
      <c r="B254" s="74" t="s">
        <v>179</v>
      </c>
      <c r="C254" s="74"/>
      <c r="D254" s="74"/>
      <c r="E254" s="196"/>
      <c r="F254" s="196"/>
      <c r="G254" s="196"/>
      <c r="H254" s="87">
        <f>H248+H249+H250+H251+H253</f>
        <v>813141</v>
      </c>
      <c r="I254" s="196"/>
      <c r="J254" s="74"/>
      <c r="K254" s="87">
        <v>765668</v>
      </c>
      <c r="L254" s="87">
        <v>776786</v>
      </c>
      <c r="M254" s="87">
        <v>765464</v>
      </c>
      <c r="N254" s="87">
        <f>N248+N249+N250+N251+N253</f>
        <v>1419983</v>
      </c>
      <c r="O254" s="196"/>
      <c r="Q254" s="87">
        <v>1385057</v>
      </c>
      <c r="R254" s="87">
        <v>1655600</v>
      </c>
      <c r="S254" s="87">
        <v>1518615</v>
      </c>
      <c r="T254" s="87">
        <f>T248+T249+T250+T251+T253</f>
        <v>1181413</v>
      </c>
      <c r="U254" s="196"/>
      <c r="W254" s="87">
        <v>1221305</v>
      </c>
      <c r="X254" s="87">
        <v>1321447</v>
      </c>
      <c r="Y254" s="87">
        <v>2380076</v>
      </c>
      <c r="Z254" s="87">
        <f>Z248+Z249+Z250+Z251+Z253</f>
        <v>1303562</v>
      </c>
      <c r="AC254" s="87">
        <v>1562261</v>
      </c>
      <c r="AD254" s="87">
        <v>1247315</v>
      </c>
      <c r="AE254" s="87">
        <v>1273016</v>
      </c>
      <c r="AF254" s="87">
        <f>AF248+AF249+AF250+AF251+AF253</f>
        <v>1008343</v>
      </c>
      <c r="AI254" s="87">
        <v>1017524</v>
      </c>
      <c r="AJ254" s="87">
        <v>940918</v>
      </c>
      <c r="AK254" s="87">
        <v>949273</v>
      </c>
      <c r="AL254" s="87">
        <f>AL253+AL251+AL250+AL249+AL248</f>
        <v>1044170</v>
      </c>
      <c r="AO254" s="87">
        <v>1613000</v>
      </c>
      <c r="AP254" s="87">
        <v>1782700</v>
      </c>
      <c r="AQ254" s="87">
        <v>2163200</v>
      </c>
      <c r="AR254" s="87">
        <f>AR253+AR251+AR250+AR249+AR248</f>
        <v>2155816</v>
      </c>
      <c r="AU254" s="87">
        <v>2441700</v>
      </c>
      <c r="AV254" s="87">
        <v>2229600</v>
      </c>
      <c r="AW254" s="87">
        <v>2030900</v>
      </c>
      <c r="AX254" s="87">
        <f>AX248+AX249+AX250+AX251+AX253</f>
        <v>2233042</v>
      </c>
      <c r="BA254" s="87">
        <v>2091600</v>
      </c>
      <c r="BB254" s="87">
        <v>2075000</v>
      </c>
      <c r="BC254" s="87">
        <v>2301800</v>
      </c>
      <c r="BD254" s="87">
        <f>BD248+BD249+BD250+BD251+BD253</f>
        <v>1897510.9609999999</v>
      </c>
      <c r="BG254" s="87">
        <f>SUM(BG248:BG253)</f>
        <v>2346.4</v>
      </c>
      <c r="BH254" s="87">
        <f>SUM(BH248:BH253)</f>
        <v>2489.4</v>
      </c>
      <c r="BI254" s="87">
        <f>SUM(BI248:BI253)</f>
        <v>2758.3</v>
      </c>
      <c r="BJ254" s="87">
        <f>SUM(BJ248:BJ253)</f>
        <v>2868.6999999999994</v>
      </c>
      <c r="BK254" s="87">
        <f t="shared" si="246"/>
        <v>2868.6999999999994</v>
      </c>
      <c r="BL254" s="74"/>
      <c r="BM254" s="87">
        <f>SUM(BM248:BM253)</f>
        <v>2957.5</v>
      </c>
      <c r="BN254" s="87">
        <f>SUM(BN248:BN253)</f>
        <v>3065.2</v>
      </c>
      <c r="BO254" s="87">
        <f>SUM(BO248:BO253)</f>
        <v>2925.9999999999995</v>
      </c>
      <c r="BP254" s="87">
        <f>SUM(BP248:BP253)</f>
        <v>2888.7999999999997</v>
      </c>
      <c r="BQ254" s="87">
        <f t="shared" si="247"/>
        <v>2888.7999999999997</v>
      </c>
      <c r="BS254" s="87">
        <f>SUM(BS248:BS253)</f>
        <v>3194.3</v>
      </c>
      <c r="BT254" s="87">
        <f>SUM(BT248:BT253)</f>
        <v>2853.9</v>
      </c>
      <c r="BU254" s="87">
        <f>SUM(BU248:BU253)</f>
        <v>2711.3</v>
      </c>
      <c r="BV254" s="87">
        <f>SUM(BV248:BV253)</f>
        <v>3107.2</v>
      </c>
      <c r="BW254" s="87">
        <f t="shared" si="248"/>
        <v>3107.2</v>
      </c>
      <c r="BY254" s="87">
        <f>SUM(BY248:BY253)</f>
        <v>3246.8</v>
      </c>
      <c r="BZ254" s="87">
        <f>SUM(BZ248:BZ253)</f>
        <v>3720.0999999999995</v>
      </c>
      <c r="CA254" s="87">
        <f>SUM(CA248:CA253)</f>
        <v>3272.2</v>
      </c>
      <c r="CB254" s="87">
        <f>SUM(CB248:CB253)</f>
        <v>3280.6</v>
      </c>
      <c r="CC254" s="87">
        <f t="shared" si="249"/>
        <v>3280.6</v>
      </c>
      <c r="CE254" s="87">
        <f>SUM(CE248:CE253)</f>
        <v>2875.4</v>
      </c>
      <c r="CF254" s="87">
        <f>SUM(CF248:CF253)</f>
        <v>3125</v>
      </c>
      <c r="CG254" s="87">
        <f>SUM(CG248:CG253)</f>
        <v>2974.2</v>
      </c>
      <c r="CH254" s="87">
        <f>SUM(CH248:CH253)</f>
        <v>3170</v>
      </c>
      <c r="CI254" s="87">
        <f t="shared" si="250"/>
        <v>3170</v>
      </c>
      <c r="CK254" s="87">
        <f>SUM(CK248:CK253)</f>
        <v>3132.2</v>
      </c>
      <c r="CL254" s="87">
        <f>SUM(CL248:CL253)</f>
        <v>3380.8</v>
      </c>
      <c r="CM254" s="87">
        <f>SUM(CM248:CM253)</f>
        <v>3546.1</v>
      </c>
      <c r="CN254" s="87">
        <f>SUM(CN248:CN253)</f>
        <v>3791.9</v>
      </c>
      <c r="CO254" s="87">
        <f t="shared" si="251"/>
        <v>3791.9</v>
      </c>
      <c r="CQ254" s="87">
        <f>SUM(CQ248:CQ253)</f>
        <v>3721.2</v>
      </c>
      <c r="CR254" s="87">
        <f>SUM(CR248:CR253)</f>
        <v>3692.5</v>
      </c>
      <c r="CS254" s="87">
        <f>SUM(CS248:CS253)</f>
        <v>3712.5</v>
      </c>
      <c r="CT254" s="87">
        <f>SUM(CT248:CT253)</f>
        <v>4694.1000000000004</v>
      </c>
      <c r="CU254" s="87">
        <f t="shared" si="252"/>
        <v>4694.1000000000004</v>
      </c>
      <c r="CW254" s="87">
        <f>SUM(CW248:CW253)</f>
        <v>4677.3999999999996</v>
      </c>
      <c r="CX254" s="87">
        <f>SUM(CX248:CX253)</f>
        <v>4631.3</v>
      </c>
      <c r="CY254" s="87">
        <f>SUM(CY248:CY253)</f>
        <v>4990.8999999999996</v>
      </c>
      <c r="CZ254" s="87">
        <f>SUM(CZ248:CZ253)</f>
        <v>6603.5</v>
      </c>
      <c r="DA254" s="87">
        <f t="shared" si="253"/>
        <v>6603.5</v>
      </c>
      <c r="DC254" s="87">
        <f>SUM(DC248:DC253)</f>
        <v>6876.3</v>
      </c>
      <c r="DD254" s="87">
        <f>SUM(DD248:DD253)</f>
        <v>8754.1</v>
      </c>
      <c r="DE254" s="87">
        <f>SUM(DE248:DE253)</f>
        <v>9162.6</v>
      </c>
      <c r="DF254" s="87">
        <f>SUM(DF248:DF253)</f>
        <v>12298</v>
      </c>
      <c r="DG254" s="87">
        <f t="shared" si="254"/>
        <v>12298</v>
      </c>
      <c r="DI254" s="87">
        <f>SUM(DI248:DI253)</f>
        <v>13612.8</v>
      </c>
      <c r="DJ254" s="87">
        <f>SUM(DJ248:DJ253)</f>
        <v>14637</v>
      </c>
      <c r="DK254" s="87">
        <f>SUM(DK248:DK253)</f>
        <v>15668.6</v>
      </c>
      <c r="DL254" s="87">
        <f>SUM(DL248:DL253)</f>
        <v>17983.600000000002</v>
      </c>
      <c r="DM254" s="87">
        <f>DL254</f>
        <v>17983.600000000002</v>
      </c>
      <c r="DO254" s="87">
        <f>SUM(DO248:DO253)</f>
        <v>16948.099999999999</v>
      </c>
      <c r="DP254" s="87">
        <f>SUM(DP248:DP253)</f>
        <v>16754.3</v>
      </c>
      <c r="DQ254" s="87">
        <f>SUM(DQ248:DQ253)</f>
        <v>16309.5</v>
      </c>
      <c r="DR254" s="87">
        <f>SUM(DR248:DR253)</f>
        <v>16274.699999999999</v>
      </c>
      <c r="DS254" s="87">
        <f>DR254</f>
        <v>16274.699999999999</v>
      </c>
      <c r="DT254" s="87"/>
      <c r="DU254" s="87">
        <f>SUM(DU248:DU253)</f>
        <v>15048.7</v>
      </c>
      <c r="DV254" s="87">
        <f>SUM(DV248:DV253)</f>
        <v>16132.3</v>
      </c>
      <c r="DW254" s="87">
        <f>SUM(DW248:DW253)</f>
        <v>16025.8</v>
      </c>
      <c r="DX254" s="87">
        <f>SUM(DX248:DX253)</f>
        <v>20051.399999999998</v>
      </c>
      <c r="DY254" s="87">
        <f t="shared" si="257"/>
        <v>20051.399999999998</v>
      </c>
      <c r="EA254" s="87">
        <f>SUM(EA248:EA253)</f>
        <v>18123.900000000001</v>
      </c>
      <c r="EB254" s="87">
        <f>SUM(EB248:EB253)</f>
        <v>18616</v>
      </c>
      <c r="EC254" s="87">
        <f>SUM(EC248:EC253)</f>
        <v>19224.900000000001</v>
      </c>
      <c r="ED254" s="87">
        <f>SUM(ED248:ED253)</f>
        <v>24263.899999999998</v>
      </c>
      <c r="EE254" s="87">
        <f t="shared" si="258"/>
        <v>24263.899999999998</v>
      </c>
      <c r="EG254" s="87">
        <f>SUM(EG248:EG253)</f>
        <v>20288</v>
      </c>
      <c r="EH254" s="87">
        <f>SUM(EH248:EH253)</f>
        <v>17466.966952838418</v>
      </c>
      <c r="EI254" s="87">
        <f>SUM(EI248:EI253)</f>
        <v>17545.506952838419</v>
      </c>
      <c r="EJ254" s="87">
        <f>SUM(EJ248:EJ253)</f>
        <v>17555.141288505085</v>
      </c>
      <c r="EK254" s="87">
        <f t="shared" si="259"/>
        <v>17555.141288505085</v>
      </c>
      <c r="ET254" s="74"/>
      <c r="EU254" s="114"/>
      <c r="EV254" s="87">
        <f>EV248+EV249+EV250+EV251+EV253</f>
        <v>752774</v>
      </c>
      <c r="EW254" s="87">
        <f>EW248+EW249+EW250+EW251+EW253</f>
        <v>686519</v>
      </c>
      <c r="EX254" s="87">
        <f>H254</f>
        <v>813141</v>
      </c>
      <c r="EY254" s="87">
        <f>N254</f>
        <v>1419983</v>
      </c>
      <c r="EZ254" s="87">
        <f>T254</f>
        <v>1181413</v>
      </c>
      <c r="FA254" s="87">
        <f>Z254</f>
        <v>1303562</v>
      </c>
      <c r="FB254" s="87">
        <f>AF254</f>
        <v>1008343</v>
      </c>
      <c r="FC254" s="87">
        <f>AL254</f>
        <v>1044170</v>
      </c>
      <c r="FD254" s="87">
        <f>AR254</f>
        <v>2155816</v>
      </c>
      <c r="FE254" s="87">
        <f>AX254</f>
        <v>2233042</v>
      </c>
      <c r="FF254" s="87">
        <f>BD254</f>
        <v>1897510.9609999999</v>
      </c>
      <c r="FG254" s="87">
        <f t="shared" ref="FG254:FX254" si="274">SUM(FG248:FG253)</f>
        <v>2868.6999999999994</v>
      </c>
      <c r="FH254" s="87">
        <f t="shared" si="274"/>
        <v>2888.7999999999997</v>
      </c>
      <c r="FI254" s="87">
        <f t="shared" si="274"/>
        <v>3107.2</v>
      </c>
      <c r="FJ254" s="87">
        <f t="shared" si="274"/>
        <v>3280.6</v>
      </c>
      <c r="FK254" s="87">
        <f t="shared" si="274"/>
        <v>3170</v>
      </c>
      <c r="FL254" s="87">
        <f t="shared" si="274"/>
        <v>3791.9</v>
      </c>
      <c r="FM254" s="87">
        <f t="shared" si="274"/>
        <v>4694.1000000000004</v>
      </c>
      <c r="FN254" s="87">
        <f t="shared" si="274"/>
        <v>6603.5</v>
      </c>
      <c r="FO254" s="87">
        <f t="shared" si="274"/>
        <v>12298</v>
      </c>
      <c r="FP254" s="87">
        <f t="shared" si="274"/>
        <v>17983.600000000002</v>
      </c>
      <c r="FQ254" s="87">
        <f>SUM(FQ248:FQ253)</f>
        <v>16274.699999999999</v>
      </c>
      <c r="FR254" s="87">
        <f>SUM(FR248:FR253)</f>
        <v>20051.399999999998</v>
      </c>
      <c r="FS254" s="87">
        <f>SUM(FS248:FS253)</f>
        <v>24263.899999999998</v>
      </c>
      <c r="FT254" s="87">
        <f>SUM(FT248:FT253)</f>
        <v>17555.141288505085</v>
      </c>
      <c r="FU254" s="87">
        <f t="shared" si="274"/>
        <v>17759.114399199527</v>
      </c>
      <c r="FV254" s="87">
        <f t="shared" si="274"/>
        <v>18298.45175384418</v>
      </c>
      <c r="FW254" s="87">
        <f t="shared" si="274"/>
        <v>17862.984175060643</v>
      </c>
      <c r="FX254" s="87">
        <f t="shared" si="274"/>
        <v>17980.103619505084</v>
      </c>
    </row>
    <row r="255" spans="2:184" x14ac:dyDescent="0.25">
      <c r="C255" s="74"/>
      <c r="D255" s="74"/>
      <c r="E255" s="196"/>
      <c r="F255" s="196"/>
      <c r="G255" s="196"/>
      <c r="H255" s="184"/>
      <c r="I255" s="196"/>
      <c r="J255" s="74"/>
      <c r="K255" s="184"/>
      <c r="L255" s="184"/>
      <c r="M255" s="184"/>
      <c r="N255" s="184"/>
      <c r="O255" s="196"/>
      <c r="Q255" s="184"/>
      <c r="R255" s="184"/>
      <c r="S255" s="184"/>
      <c r="T255" s="184"/>
      <c r="U255" s="196"/>
      <c r="W255" s="184"/>
      <c r="X255" s="184"/>
      <c r="Y255" s="184"/>
      <c r="Z255" s="184"/>
      <c r="AC255" s="184"/>
      <c r="AD255" s="184"/>
      <c r="AE255" s="184"/>
      <c r="AF255" s="184"/>
      <c r="AI255" s="184"/>
      <c r="AJ255" s="184"/>
      <c r="AK255" s="184"/>
      <c r="AL255" s="184"/>
      <c r="AO255" s="184"/>
      <c r="AP255" s="184"/>
      <c r="AQ255" s="184"/>
      <c r="AR255" s="184"/>
      <c r="AU255" s="184"/>
      <c r="AV255" s="184"/>
      <c r="AW255" s="184"/>
      <c r="AX255" s="184"/>
      <c r="BA255" s="184"/>
      <c r="BB255" s="184"/>
      <c r="BC255" s="184"/>
      <c r="BD255" s="184"/>
      <c r="BG255" s="97"/>
      <c r="BH255" s="97"/>
      <c r="BI255" s="97"/>
      <c r="BJ255" s="97"/>
      <c r="BL255" s="74"/>
      <c r="BM255" s="97"/>
      <c r="BN255" s="97"/>
      <c r="BO255" s="97"/>
      <c r="BP255" s="97"/>
      <c r="BS255" s="97"/>
      <c r="BT255" s="97"/>
      <c r="BU255" s="97"/>
      <c r="BV255" s="97"/>
      <c r="BW255" s="97"/>
      <c r="CC255" s="97"/>
      <c r="CI255" s="97"/>
      <c r="CO255" s="97"/>
      <c r="CU255" s="97"/>
      <c r="DA255" s="97"/>
      <c r="DG255" s="97"/>
      <c r="DM255" s="97"/>
      <c r="DS255" s="97"/>
      <c r="DY255" s="97"/>
      <c r="EE255" s="97"/>
      <c r="EK255" s="97"/>
    </row>
    <row r="256" spans="2:184" x14ac:dyDescent="0.25">
      <c r="B256" s="180" t="s">
        <v>84</v>
      </c>
      <c r="E256" s="196"/>
      <c r="F256" s="196"/>
      <c r="G256" s="196"/>
      <c r="H256" s="196">
        <v>817333</v>
      </c>
      <c r="I256" s="196"/>
      <c r="K256" s="196">
        <v>825041</v>
      </c>
      <c r="L256" s="196">
        <v>858298</v>
      </c>
      <c r="M256" s="196">
        <v>855857</v>
      </c>
      <c r="N256" s="196">
        <v>382558</v>
      </c>
      <c r="O256" s="196"/>
      <c r="Q256" s="196">
        <v>380039</v>
      </c>
      <c r="R256" s="196">
        <v>380000</v>
      </c>
      <c r="S256" s="196">
        <v>380000</v>
      </c>
      <c r="T256" s="196">
        <v>381433</v>
      </c>
      <c r="U256" s="196"/>
      <c r="W256" s="196">
        <v>380000</v>
      </c>
      <c r="X256" s="196">
        <v>380000</v>
      </c>
      <c r="Y256" s="196">
        <v>44429</v>
      </c>
      <c r="Z256" s="196">
        <v>602016</v>
      </c>
      <c r="AC256" s="196">
        <v>615313</v>
      </c>
      <c r="AD256" s="196">
        <v>591579</v>
      </c>
      <c r="AE256" s="196">
        <v>596699</v>
      </c>
      <c r="AF256" s="196">
        <v>647050</v>
      </c>
      <c r="AI256" s="196">
        <v>661398</v>
      </c>
      <c r="AJ256" s="196">
        <v>651917</v>
      </c>
      <c r="AK256" s="196">
        <v>660191</v>
      </c>
      <c r="AL256" s="196">
        <v>699756</v>
      </c>
      <c r="AO256" s="196">
        <v>711800</v>
      </c>
      <c r="AP256" s="196">
        <v>728600</v>
      </c>
      <c r="AQ256" s="196">
        <v>735400</v>
      </c>
      <c r="AR256" s="196">
        <v>710060</v>
      </c>
      <c r="AU256" s="196">
        <v>695600</v>
      </c>
      <c r="AV256" s="196">
        <v>705700</v>
      </c>
      <c r="AW256" s="196">
        <v>733100</v>
      </c>
      <c r="AX256" s="196">
        <v>733800</v>
      </c>
      <c r="BA256" s="196">
        <v>736800</v>
      </c>
      <c r="BB256" s="196">
        <v>741800</v>
      </c>
      <c r="BC256" s="196">
        <v>747300</v>
      </c>
      <c r="BD256" s="196">
        <v>755900</v>
      </c>
      <c r="BG256" s="196">
        <v>746.6</v>
      </c>
      <c r="BH256" s="196">
        <v>735.6</v>
      </c>
      <c r="BI256" s="196">
        <v>1079.5999999999999</v>
      </c>
      <c r="BJ256" s="196">
        <v>1070.2</v>
      </c>
      <c r="BK256" s="77">
        <f>BJ256</f>
        <v>1070.2</v>
      </c>
      <c r="BL256" s="74"/>
      <c r="BM256" s="196">
        <v>1097.3</v>
      </c>
      <c r="BN256" s="196">
        <v>1118.4000000000001</v>
      </c>
      <c r="BO256" s="196">
        <v>1137.4000000000001</v>
      </c>
      <c r="BP256" s="196">
        <v>1149.9000000000001</v>
      </c>
      <c r="BQ256" s="77">
        <f>BP256</f>
        <v>1149.9000000000001</v>
      </c>
      <c r="BS256" s="196">
        <v>1155.5</v>
      </c>
      <c r="BT256" s="196">
        <v>1115.8</v>
      </c>
      <c r="BU256" s="196">
        <v>1125.3</v>
      </c>
      <c r="BV256" s="196">
        <v>1125.5</v>
      </c>
      <c r="BW256" s="77">
        <f>BV256</f>
        <v>1125.5</v>
      </c>
      <c r="BY256" s="196">
        <v>1144.3</v>
      </c>
      <c r="BZ256" s="196">
        <v>901.9</v>
      </c>
      <c r="CA256" s="196">
        <v>2390.6</v>
      </c>
      <c r="CB256" s="196">
        <v>3071.8</v>
      </c>
      <c r="CC256" s="77">
        <f>CB256</f>
        <v>3071.8</v>
      </c>
      <c r="CE256" s="196">
        <v>3040.3</v>
      </c>
      <c r="CF256" s="196">
        <v>2995.5</v>
      </c>
      <c r="CG256" s="196">
        <v>2996.7</v>
      </c>
      <c r="CH256" s="196">
        <v>3000.1</v>
      </c>
      <c r="CI256" s="77">
        <f>CH256</f>
        <v>3000.1</v>
      </c>
      <c r="CK256" s="196">
        <v>2978.6</v>
      </c>
      <c r="CL256" s="196">
        <v>2978.6</v>
      </c>
      <c r="CM256" s="196">
        <v>2985.9</v>
      </c>
      <c r="CN256" s="196">
        <v>3026.5</v>
      </c>
      <c r="CO256" s="77">
        <f>CN256</f>
        <v>3026.5</v>
      </c>
      <c r="CQ256" s="196">
        <v>3082.5</v>
      </c>
      <c r="CR256" s="196">
        <v>3132.4</v>
      </c>
      <c r="CS256" s="196">
        <v>3170</v>
      </c>
      <c r="CT256" s="196">
        <v>3108.3</v>
      </c>
      <c r="CU256" s="77">
        <f>CT256</f>
        <v>3108.3</v>
      </c>
      <c r="CW256" s="196">
        <v>3868.2</v>
      </c>
      <c r="CX256" s="196">
        <v>4625</v>
      </c>
      <c r="CY256" s="196">
        <v>4626.7</v>
      </c>
      <c r="CZ256" s="196">
        <v>4662.8</v>
      </c>
      <c r="DA256" s="77">
        <f>CZ256</f>
        <v>4662.8</v>
      </c>
      <c r="DC256" s="196">
        <v>4634.2</v>
      </c>
      <c r="DD256" s="196">
        <v>4619.8999999999996</v>
      </c>
      <c r="DE256" s="196">
        <v>4105.8</v>
      </c>
      <c r="DF256" s="196">
        <v>4075</v>
      </c>
      <c r="DG256" s="77">
        <f>DF256</f>
        <v>4075</v>
      </c>
      <c r="DI256" s="196">
        <v>3951.7</v>
      </c>
      <c r="DJ256" s="196">
        <v>4385.3</v>
      </c>
      <c r="DK256" s="196">
        <v>3503.1</v>
      </c>
      <c r="DL256" s="196">
        <v>3514.2</v>
      </c>
      <c r="DM256" s="77">
        <f t="shared" si="255"/>
        <v>3514.2</v>
      </c>
      <c r="DO256" s="196">
        <v>3536</v>
      </c>
      <c r="DP256" s="196">
        <v>4517.8</v>
      </c>
      <c r="DQ256" s="196">
        <v>4522.3</v>
      </c>
      <c r="DR256" s="196">
        <v>4631.5</v>
      </c>
      <c r="DS256" s="77">
        <f t="shared" si="256"/>
        <v>4631.5</v>
      </c>
      <c r="DT256" s="196"/>
      <c r="DU256" s="202">
        <v>4612</v>
      </c>
      <c r="DV256" s="202">
        <v>4608.2</v>
      </c>
      <c r="DW256" s="202">
        <v>4692.2</v>
      </c>
      <c r="DX256" s="202">
        <v>3677.3</v>
      </c>
      <c r="DY256" s="326">
        <f>DX256</f>
        <v>3677.3</v>
      </c>
      <c r="EA256" s="202">
        <v>3681</v>
      </c>
      <c r="EB256" s="202">
        <v>3698.9</v>
      </c>
      <c r="EC256" s="202">
        <v>2704.7</v>
      </c>
      <c r="ED256" s="202">
        <v>2709</v>
      </c>
      <c r="EE256" s="326">
        <f>ED256</f>
        <v>2709</v>
      </c>
      <c r="EG256" s="202">
        <v>2705.6</v>
      </c>
      <c r="EH256" s="202">
        <v>2705.6</v>
      </c>
      <c r="EI256" s="202">
        <v>2705.6</v>
      </c>
      <c r="EJ256" s="202">
        <v>2705.6</v>
      </c>
      <c r="EK256" s="326">
        <f>EJ256</f>
        <v>2705.6</v>
      </c>
      <c r="ET256" s="74"/>
      <c r="EU256" s="114"/>
      <c r="EV256" s="77">
        <f>1064040+20451</f>
        <v>1084491</v>
      </c>
      <c r="EW256" s="77">
        <f>842543+17522</f>
        <v>860065</v>
      </c>
      <c r="EX256" s="196">
        <f>H256</f>
        <v>817333</v>
      </c>
      <c r="EY256" s="196">
        <f>N256</f>
        <v>382558</v>
      </c>
      <c r="EZ256" s="196">
        <f>T256</f>
        <v>381433</v>
      </c>
      <c r="FA256" s="196">
        <f>Z256</f>
        <v>602016</v>
      </c>
      <c r="FB256" s="196">
        <f>AF256</f>
        <v>647050</v>
      </c>
      <c r="FC256" s="196">
        <f>AL256</f>
        <v>699756</v>
      </c>
      <c r="FD256" s="196">
        <f>AR256</f>
        <v>710060</v>
      </c>
      <c r="FE256" s="196">
        <f>AX256</f>
        <v>733800</v>
      </c>
      <c r="FF256" s="196">
        <f>BD256</f>
        <v>755900</v>
      </c>
      <c r="FG256" s="196">
        <f>BK256</f>
        <v>1070.2</v>
      </c>
      <c r="FH256" s="196">
        <f>BQ256</f>
        <v>1149.9000000000001</v>
      </c>
      <c r="FI256" s="196">
        <f>BW256</f>
        <v>1125.5</v>
      </c>
      <c r="FJ256" s="196">
        <f>CC256</f>
        <v>3071.8</v>
      </c>
      <c r="FK256" s="196">
        <f>CI256</f>
        <v>3000.1</v>
      </c>
      <c r="FL256" s="196">
        <f>CO256</f>
        <v>3026.5</v>
      </c>
      <c r="FM256" s="77">
        <f>CU256</f>
        <v>3108.3</v>
      </c>
      <c r="FN256" s="77">
        <f>DA256</f>
        <v>4662.8</v>
      </c>
      <c r="FO256" s="77">
        <f>DG256</f>
        <v>4075</v>
      </c>
      <c r="FP256" s="77">
        <f>DM256</f>
        <v>3514.2</v>
      </c>
      <c r="FQ256" s="77">
        <f>DS256</f>
        <v>4631.5</v>
      </c>
      <c r="FR256" s="77">
        <f>DY256</f>
        <v>3677.3</v>
      </c>
      <c r="FS256" s="196">
        <f>EE256</f>
        <v>2709</v>
      </c>
      <c r="FT256" s="196">
        <f>EK256</f>
        <v>2705.6</v>
      </c>
      <c r="FU256" s="278">
        <v>2705.6</v>
      </c>
      <c r="FV256" s="278">
        <v>2705.6</v>
      </c>
      <c r="FW256" s="278">
        <v>2705.6</v>
      </c>
      <c r="FX256" s="278">
        <v>2705.6</v>
      </c>
      <c r="GB256" s="280" t="s">
        <v>521</v>
      </c>
    </row>
    <row r="257" spans="2:184" x14ac:dyDescent="0.25">
      <c r="B257" s="180" t="s">
        <v>83</v>
      </c>
      <c r="E257" s="196"/>
      <c r="F257" s="196"/>
      <c r="G257" s="196"/>
      <c r="H257" s="196">
        <v>200717</v>
      </c>
      <c r="I257" s="196"/>
      <c r="K257" s="196">
        <v>274498</v>
      </c>
      <c r="L257" s="196">
        <v>292942</v>
      </c>
      <c r="M257" s="196">
        <v>269246</v>
      </c>
      <c r="N257" s="196">
        <v>224219</v>
      </c>
      <c r="O257" s="196"/>
      <c r="Q257" s="196">
        <v>243285</v>
      </c>
      <c r="R257" s="196">
        <v>243300</v>
      </c>
      <c r="S257" s="196">
        <v>214392</v>
      </c>
      <c r="T257" s="196">
        <v>231734</v>
      </c>
      <c r="U257" s="196"/>
      <c r="W257" s="196">
        <v>270762</v>
      </c>
      <c r="X257" s="196">
        <v>875567</v>
      </c>
      <c r="Y257" s="196">
        <v>860465</v>
      </c>
      <c r="Z257" s="196">
        <f>245415</f>
        <v>245415</v>
      </c>
      <c r="AC257" s="196">
        <v>261507</v>
      </c>
      <c r="AD257" s="196">
        <v>227005</v>
      </c>
      <c r="AE257" s="196">
        <v>215182</v>
      </c>
      <c r="AF257" s="196">
        <v>209699</v>
      </c>
      <c r="AI257" s="196">
        <f>204875</f>
        <v>204875</v>
      </c>
      <c r="AJ257" s="196">
        <v>200578</v>
      </c>
      <c r="AK257" s="196">
        <v>193708</v>
      </c>
      <c r="AL257" s="196">
        <v>188404</v>
      </c>
      <c r="AO257" s="196">
        <v>200100</v>
      </c>
      <c r="AP257" s="196">
        <v>205000</v>
      </c>
      <c r="AQ257" s="196">
        <v>172700</v>
      </c>
      <c r="AR257" s="196">
        <v>155700</v>
      </c>
      <c r="AU257" s="196">
        <v>177300</v>
      </c>
      <c r="AV257" s="196">
        <v>187500</v>
      </c>
      <c r="AW257" s="196">
        <v>184600</v>
      </c>
      <c r="AX257" s="196">
        <v>176700</v>
      </c>
      <c r="BA257" s="196">
        <v>193800</v>
      </c>
      <c r="BB257" s="196">
        <v>205100</v>
      </c>
      <c r="BC257" s="196">
        <v>215200</v>
      </c>
      <c r="BD257" s="196">
        <v>88300</v>
      </c>
      <c r="BG257" s="196">
        <v>92.1</v>
      </c>
      <c r="BH257" s="196">
        <v>372.5</v>
      </c>
      <c r="BI257" s="196">
        <v>351.2</v>
      </c>
      <c r="BJ257" s="196">
        <v>364.7</v>
      </c>
      <c r="BK257" s="77">
        <f>BJ257</f>
        <v>364.7</v>
      </c>
      <c r="BL257" s="74"/>
      <c r="BM257" s="196">
        <v>318.8</v>
      </c>
      <c r="BN257" s="196">
        <v>318</v>
      </c>
      <c r="BO257" s="196">
        <v>304.7</v>
      </c>
      <c r="BP257" s="196">
        <v>237.3</v>
      </c>
      <c r="BQ257" s="77">
        <f>BP257</f>
        <v>237.3</v>
      </c>
      <c r="BS257" s="196">
        <v>269.3</v>
      </c>
      <c r="BT257" s="196">
        <v>269.5</v>
      </c>
      <c r="BU257" s="196">
        <v>259.2</v>
      </c>
      <c r="BV257" s="196">
        <v>256.7</v>
      </c>
      <c r="BW257" s="77">
        <f>BV257</f>
        <v>256.7</v>
      </c>
      <c r="BY257" s="196">
        <v>138</v>
      </c>
      <c r="BZ257" s="196">
        <v>196.4</v>
      </c>
      <c r="CA257" s="196">
        <v>222.1</v>
      </c>
      <c r="CB257" s="196">
        <v>396.9</v>
      </c>
      <c r="CC257" s="77">
        <f>CB257</f>
        <v>396.9</v>
      </c>
      <c r="CE257" s="196">
        <v>410.1</v>
      </c>
      <c r="CF257" s="196">
        <v>337.9</v>
      </c>
      <c r="CG257" s="196">
        <v>320</v>
      </c>
      <c r="CH257" s="196">
        <v>341.1</v>
      </c>
      <c r="CI257" s="77">
        <f>CH257</f>
        <v>341.1</v>
      </c>
      <c r="CK257" s="196">
        <v>354.7</v>
      </c>
      <c r="CL257" s="196">
        <v>354.7</v>
      </c>
      <c r="CM257" s="196">
        <v>363.1</v>
      </c>
      <c r="CN257" s="196">
        <v>251.2</v>
      </c>
      <c r="CO257" s="77">
        <f>CN257</f>
        <v>251.2</v>
      </c>
      <c r="CQ257" s="196">
        <v>218.6</v>
      </c>
      <c r="CR257" s="196">
        <v>199.6</v>
      </c>
      <c r="CS257" s="196">
        <v>203.6</v>
      </c>
      <c r="CT257" s="196">
        <v>234.4</v>
      </c>
      <c r="CU257" s="77">
        <f>CT257</f>
        <v>234.4</v>
      </c>
      <c r="CW257" s="196">
        <v>262.7</v>
      </c>
      <c r="CX257" s="196">
        <v>191.3</v>
      </c>
      <c r="CY257" s="196">
        <v>209.1</v>
      </c>
      <c r="CZ257" s="196">
        <v>238.3</v>
      </c>
      <c r="DA257" s="77">
        <f>CZ257</f>
        <v>238.3</v>
      </c>
      <c r="DC257" s="196">
        <v>245.2</v>
      </c>
      <c r="DD257" s="196">
        <v>247.7</v>
      </c>
      <c r="DE257" s="196">
        <v>282.60000000000002</v>
      </c>
      <c r="DF257" s="196">
        <v>240.6</v>
      </c>
      <c r="DG257" s="77">
        <f>DF257</f>
        <v>240.6</v>
      </c>
      <c r="DI257" s="196">
        <v>262.2</v>
      </c>
      <c r="DJ257" s="196">
        <v>252.4</v>
      </c>
      <c r="DK257" s="196">
        <v>283</v>
      </c>
      <c r="DL257" s="196">
        <v>267</v>
      </c>
      <c r="DM257" s="77">
        <f t="shared" si="255"/>
        <v>267</v>
      </c>
      <c r="DO257" s="196">
        <v>293</v>
      </c>
      <c r="DP257" s="196">
        <v>372.8</v>
      </c>
      <c r="DQ257" s="196">
        <v>380.4</v>
      </c>
      <c r="DR257" s="196">
        <v>372.2</v>
      </c>
      <c r="DS257" s="77">
        <f t="shared" si="256"/>
        <v>372.2</v>
      </c>
      <c r="DT257" s="196"/>
      <c r="DU257" s="196">
        <v>400.4</v>
      </c>
      <c r="DV257" s="196">
        <v>351.9</v>
      </c>
      <c r="DW257" s="196">
        <v>346.9</v>
      </c>
      <c r="DX257" s="196">
        <v>299.2</v>
      </c>
      <c r="DY257" s="77">
        <f>DX257</f>
        <v>299.2</v>
      </c>
      <c r="EA257" s="196">
        <v>335.9</v>
      </c>
      <c r="EB257" s="196">
        <v>294.8</v>
      </c>
      <c r="EC257" s="196">
        <v>187.2</v>
      </c>
      <c r="ED257" s="196">
        <v>183</v>
      </c>
      <c r="EE257" s="77">
        <f>ED257</f>
        <v>183</v>
      </c>
      <c r="EG257" s="196">
        <v>235.4</v>
      </c>
      <c r="EH257" s="196">
        <v>235.4</v>
      </c>
      <c r="EI257" s="196">
        <v>235.4</v>
      </c>
      <c r="EJ257" s="196">
        <v>235.4</v>
      </c>
      <c r="EK257" s="77">
        <f>EJ257</f>
        <v>235.4</v>
      </c>
      <c r="ET257" s="74"/>
      <c r="EU257" s="114"/>
      <c r="EV257" s="77">
        <v>133516</v>
      </c>
      <c r="EW257" s="77">
        <v>169641</v>
      </c>
      <c r="EX257" s="196">
        <f>H257</f>
        <v>200717</v>
      </c>
      <c r="EY257" s="196">
        <f>N257</f>
        <v>224219</v>
      </c>
      <c r="EZ257" s="196">
        <f>T257</f>
        <v>231734</v>
      </c>
      <c r="FA257" s="196">
        <f>Z257</f>
        <v>245415</v>
      </c>
      <c r="FB257" s="196">
        <f>AF257</f>
        <v>209699</v>
      </c>
      <c r="FC257" s="196">
        <f>AL257</f>
        <v>188404</v>
      </c>
      <c r="FD257" s="196">
        <f>AR257</f>
        <v>155700</v>
      </c>
      <c r="FE257" s="196">
        <f>AX257</f>
        <v>176700</v>
      </c>
      <c r="FF257" s="196">
        <f>BD257</f>
        <v>88300</v>
      </c>
      <c r="FG257" s="196">
        <f>BK257</f>
        <v>364.7</v>
      </c>
      <c r="FH257" s="196">
        <f>BQ257</f>
        <v>237.3</v>
      </c>
      <c r="FI257" s="196">
        <f>BW257</f>
        <v>256.7</v>
      </c>
      <c r="FJ257" s="196">
        <f>CC257</f>
        <v>396.9</v>
      </c>
      <c r="FK257" s="196">
        <f>CI257</f>
        <v>341.1</v>
      </c>
      <c r="FL257" s="196">
        <f>CO257</f>
        <v>251.2</v>
      </c>
      <c r="FM257" s="77">
        <f>CU257</f>
        <v>234.4</v>
      </c>
      <c r="FN257" s="77">
        <f>DA257</f>
        <v>238.3</v>
      </c>
      <c r="FO257" s="77">
        <f>DG257</f>
        <v>240.6</v>
      </c>
      <c r="FP257" s="77">
        <f>DM257</f>
        <v>267</v>
      </c>
      <c r="FQ257" s="77">
        <f>DS257</f>
        <v>372.2</v>
      </c>
      <c r="FR257" s="77">
        <f>DY257</f>
        <v>299.2</v>
      </c>
      <c r="FS257" s="196">
        <f>EE257</f>
        <v>183</v>
      </c>
      <c r="FT257" s="196">
        <f>EK257</f>
        <v>235.4</v>
      </c>
      <c r="FU257" s="196">
        <v>235.4</v>
      </c>
      <c r="FV257" s="196">
        <v>235.4</v>
      </c>
      <c r="FW257" s="196">
        <v>235.4</v>
      </c>
      <c r="FX257" s="196">
        <v>235.4</v>
      </c>
    </row>
    <row r="258" spans="2:184" x14ac:dyDescent="0.25">
      <c r="B258" s="180" t="s">
        <v>178</v>
      </c>
      <c r="E258" s="196"/>
      <c r="F258" s="196"/>
      <c r="G258" s="196"/>
      <c r="H258" s="196"/>
      <c r="I258" s="196"/>
      <c r="K258" s="196"/>
      <c r="L258" s="196"/>
      <c r="M258" s="196"/>
      <c r="O258" s="196"/>
      <c r="Q258" s="196"/>
      <c r="R258" s="196"/>
      <c r="S258" s="196"/>
      <c r="T258" s="196"/>
      <c r="U258" s="196"/>
      <c r="W258" s="196"/>
      <c r="X258" s="196"/>
      <c r="Y258" s="196"/>
      <c r="AC258" s="196">
        <v>7170</v>
      </c>
      <c r="AD258" s="196">
        <v>18529</v>
      </c>
      <c r="AE258" s="196">
        <v>8749</v>
      </c>
      <c r="AF258" s="196">
        <v>15495</v>
      </c>
      <c r="AI258" s="196">
        <f>16955</f>
        <v>16955</v>
      </c>
      <c r="AJ258" s="196">
        <v>14790</v>
      </c>
      <c r="AK258" s="196">
        <v>13506</v>
      </c>
      <c r="AL258" s="196">
        <v>12694</v>
      </c>
      <c r="AO258" s="196">
        <v>13000</v>
      </c>
      <c r="AP258" s="196">
        <v>13800</v>
      </c>
      <c r="AQ258" s="196">
        <v>12100</v>
      </c>
      <c r="AR258" s="196">
        <v>11800</v>
      </c>
      <c r="AU258" s="196">
        <v>10600</v>
      </c>
      <c r="AV258" s="196">
        <v>10100</v>
      </c>
      <c r="AW258" s="196">
        <v>10100</v>
      </c>
      <c r="AX258" s="196">
        <v>10000</v>
      </c>
      <c r="BA258" s="196">
        <v>9400</v>
      </c>
      <c r="BB258" s="196">
        <v>9500</v>
      </c>
      <c r="BC258" s="196">
        <v>8700</v>
      </c>
      <c r="BD258" s="196">
        <v>8000</v>
      </c>
      <c r="BG258" s="196">
        <v>6.6</v>
      </c>
      <c r="BH258" s="196">
        <v>6.9</v>
      </c>
      <c r="BI258" s="196">
        <v>6.2</v>
      </c>
      <c r="BJ258" s="196">
        <v>4.5999999999999996</v>
      </c>
      <c r="BK258" s="77">
        <f>BJ258</f>
        <v>4.5999999999999996</v>
      </c>
      <c r="BL258" s="74"/>
      <c r="BM258" s="196">
        <v>4.4000000000000004</v>
      </c>
      <c r="BN258" s="196">
        <v>4.0999999999999996</v>
      </c>
      <c r="BO258" s="196">
        <v>4</v>
      </c>
      <c r="BP258" s="196">
        <v>3.6</v>
      </c>
      <c r="BQ258" s="77">
        <f>BP258</f>
        <v>3.6</v>
      </c>
      <c r="BS258" s="196">
        <v>3.7</v>
      </c>
      <c r="BT258" s="196">
        <v>3.2</v>
      </c>
      <c r="BU258" s="196">
        <v>2.8</v>
      </c>
      <c r="BV258" s="196">
        <v>2.4</v>
      </c>
      <c r="BW258" s="77">
        <f>BV258</f>
        <v>2.4</v>
      </c>
      <c r="BY258" s="196">
        <v>0</v>
      </c>
      <c r="BZ258" s="196">
        <v>12.6</v>
      </c>
      <c r="CA258" s="196">
        <v>16.5</v>
      </c>
      <c r="CB258" s="196">
        <v>20.5</v>
      </c>
      <c r="CC258" s="77">
        <f>CB258</f>
        <v>20.5</v>
      </c>
      <c r="CE258" s="196">
        <v>20.5</v>
      </c>
      <c r="CF258" s="196">
        <v>20.5</v>
      </c>
      <c r="CG258" s="196">
        <v>21.2</v>
      </c>
      <c r="CH258" s="196">
        <v>622</v>
      </c>
      <c r="CI258" s="77">
        <f>CH258</f>
        <v>622</v>
      </c>
      <c r="CK258" s="196">
        <v>22.3</v>
      </c>
      <c r="CL258" s="196">
        <v>22.3</v>
      </c>
      <c r="CM258" s="196">
        <v>1140.7</v>
      </c>
      <c r="CN258" s="196">
        <v>1224.5999999999999</v>
      </c>
      <c r="CO258" s="77">
        <f>CN258</f>
        <v>1224.5999999999999</v>
      </c>
      <c r="CQ258" s="196">
        <v>1190</v>
      </c>
      <c r="CR258" s="196">
        <v>1280.2</v>
      </c>
      <c r="CS258" s="196">
        <v>1276.5</v>
      </c>
      <c r="CT258" s="196">
        <v>1759.6</v>
      </c>
      <c r="CU258" s="77">
        <f>CT258</f>
        <v>1759.6</v>
      </c>
      <c r="CW258" s="196">
        <v>1702.6</v>
      </c>
      <c r="CX258" s="196">
        <v>1918.1</v>
      </c>
      <c r="CY258" s="196">
        <v>1652.8</v>
      </c>
      <c r="CZ258" s="196">
        <v>1639.9</v>
      </c>
      <c r="DA258" s="77">
        <f>CZ258</f>
        <v>1639.9</v>
      </c>
      <c r="DC258" s="196">
        <v>1583.2</v>
      </c>
      <c r="DD258" s="196">
        <v>1860.2</v>
      </c>
      <c r="DE258" s="196">
        <v>2001.7</v>
      </c>
      <c r="DF258" s="196">
        <v>3225.7</v>
      </c>
      <c r="DG258" s="77">
        <f>DF258</f>
        <v>3225.7</v>
      </c>
      <c r="DI258" s="196">
        <v>3292.2</v>
      </c>
      <c r="DJ258" s="196">
        <v>4630.6000000000004</v>
      </c>
      <c r="DK258" s="196">
        <v>4918.6000000000004</v>
      </c>
      <c r="DL258" s="196">
        <v>5269.9</v>
      </c>
      <c r="DM258" s="77">
        <f t="shared" si="255"/>
        <v>5269.9</v>
      </c>
      <c r="DO258" s="196">
        <v>4147.3999999999996</v>
      </c>
      <c r="DP258" s="196">
        <v>4205.3</v>
      </c>
      <c r="DQ258" s="196">
        <v>3826</v>
      </c>
      <c r="DR258" s="196">
        <v>4825.5</v>
      </c>
      <c r="DS258" s="77">
        <f t="shared" si="256"/>
        <v>4825.5</v>
      </c>
      <c r="DT258" s="196"/>
      <c r="DU258" s="196">
        <v>4744.7</v>
      </c>
      <c r="DV258" s="196">
        <v>4463</v>
      </c>
      <c r="DW258" s="196">
        <v>4103.8999999999996</v>
      </c>
      <c r="DX258" s="196">
        <v>5625.4</v>
      </c>
      <c r="DY258" s="77">
        <f>DX258</f>
        <v>5625.4</v>
      </c>
      <c r="EA258" s="196">
        <v>5400.6</v>
      </c>
      <c r="EB258" s="196">
        <v>4187.1000000000004</v>
      </c>
      <c r="EC258" s="196">
        <v>3572.3</v>
      </c>
      <c r="ED258" s="196">
        <v>3366.3</v>
      </c>
      <c r="EE258" s="77">
        <f>ED258</f>
        <v>3366.3</v>
      </c>
      <c r="EG258" s="196">
        <v>3585.7</v>
      </c>
      <c r="EH258" s="196">
        <v>3585.7</v>
      </c>
      <c r="EI258" s="196">
        <v>3585.7</v>
      </c>
      <c r="EJ258" s="196">
        <v>3585.7</v>
      </c>
      <c r="EK258" s="77">
        <f>EJ258</f>
        <v>3585.7</v>
      </c>
      <c r="EX258" s="196">
        <f>H258</f>
        <v>0</v>
      </c>
      <c r="EY258" s="196">
        <f>N258</f>
        <v>0</v>
      </c>
      <c r="EZ258" s="196">
        <f>T258</f>
        <v>0</v>
      </c>
      <c r="FA258" s="196">
        <f>Z258</f>
        <v>0</v>
      </c>
      <c r="FB258" s="196">
        <f>AF258</f>
        <v>15495</v>
      </c>
      <c r="FC258" s="196">
        <f>AL258</f>
        <v>12694</v>
      </c>
      <c r="FD258" s="196">
        <f>AR258</f>
        <v>11800</v>
      </c>
      <c r="FE258" s="196">
        <f>AX258</f>
        <v>10000</v>
      </c>
      <c r="FF258" s="196">
        <f>BD258</f>
        <v>8000</v>
      </c>
      <c r="FG258" s="196">
        <f>BK258</f>
        <v>4.5999999999999996</v>
      </c>
      <c r="FH258" s="196">
        <f>BQ258</f>
        <v>3.6</v>
      </c>
      <c r="FI258" s="196">
        <f>BW258</f>
        <v>2.4</v>
      </c>
      <c r="FJ258" s="196">
        <f>CC258</f>
        <v>20.5</v>
      </c>
      <c r="FK258" s="196">
        <f>CI258</f>
        <v>622</v>
      </c>
      <c r="FL258" s="196">
        <f>CO258</f>
        <v>1224.5999999999999</v>
      </c>
      <c r="FM258" s="77">
        <f>CU258</f>
        <v>1759.6</v>
      </c>
      <c r="FN258" s="77">
        <f>DA258</f>
        <v>1639.9</v>
      </c>
      <c r="FO258" s="77">
        <f>DG258</f>
        <v>3225.7</v>
      </c>
      <c r="FP258" s="77">
        <f>DM258</f>
        <v>5269.9</v>
      </c>
      <c r="FQ258" s="77">
        <f>DS258</f>
        <v>4825.5</v>
      </c>
      <c r="FR258" s="77">
        <f>DY258</f>
        <v>5625.4</v>
      </c>
      <c r="FS258" s="196">
        <f>EE258</f>
        <v>3366.3</v>
      </c>
      <c r="FT258" s="196">
        <f>EK258</f>
        <v>3585.7</v>
      </c>
      <c r="FU258" s="196">
        <v>3585.7</v>
      </c>
      <c r="FV258" s="196">
        <v>3585.7</v>
      </c>
      <c r="FW258" s="196">
        <v>3585.7</v>
      </c>
      <c r="FX258" s="196">
        <v>3585.7</v>
      </c>
    </row>
    <row r="259" spans="2:184" x14ac:dyDescent="0.25">
      <c r="B259" s="28" t="s">
        <v>82</v>
      </c>
      <c r="E259" s="196"/>
      <c r="F259" s="196"/>
      <c r="G259" s="196"/>
      <c r="H259" s="77">
        <v>20973</v>
      </c>
      <c r="I259" s="196"/>
      <c r="N259" s="77">
        <v>17426</v>
      </c>
      <c r="O259" s="196"/>
      <c r="Q259" s="77"/>
      <c r="R259" s="77"/>
      <c r="S259" s="77"/>
      <c r="T259" s="77"/>
      <c r="U259" s="196"/>
      <c r="W259" s="77"/>
      <c r="X259" s="77"/>
      <c r="Y259" s="77"/>
      <c r="Z259" s="77">
        <v>7936</v>
      </c>
      <c r="AC259" s="77"/>
      <c r="AD259" s="77"/>
      <c r="AE259" s="77"/>
      <c r="AF259" s="77">
        <f>70038</f>
        <v>70038</v>
      </c>
      <c r="AI259" s="77">
        <v>48244</v>
      </c>
      <c r="AJ259" s="77">
        <v>45618</v>
      </c>
      <c r="AK259" s="77">
        <v>44709</v>
      </c>
      <c r="AL259" s="77">
        <v>44359</v>
      </c>
      <c r="AO259" s="77">
        <v>45900</v>
      </c>
      <c r="AP259" s="77">
        <v>57300</v>
      </c>
      <c r="AQ259" s="77">
        <v>58400</v>
      </c>
      <c r="AR259" s="77">
        <v>373100</v>
      </c>
      <c r="AU259" s="77">
        <v>579600</v>
      </c>
      <c r="AV259" s="77">
        <v>833800</v>
      </c>
      <c r="AW259" s="77">
        <v>864700</v>
      </c>
      <c r="AX259" s="77">
        <v>663100</v>
      </c>
      <c r="BA259" s="77">
        <v>755700</v>
      </c>
      <c r="BB259" s="77">
        <v>590900</v>
      </c>
      <c r="BC259" s="77">
        <v>409000</v>
      </c>
      <c r="BD259" s="77">
        <v>405100</v>
      </c>
      <c r="BG259" s="196">
        <v>249.7</v>
      </c>
      <c r="BH259" s="196">
        <v>423.5</v>
      </c>
      <c r="BI259" s="196">
        <v>416.9</v>
      </c>
      <c r="BJ259" s="196">
        <v>283.10000000000002</v>
      </c>
      <c r="BK259" s="77">
        <f>BJ259</f>
        <v>283.10000000000002</v>
      </c>
      <c r="BL259" s="74"/>
      <c r="BM259" s="196">
        <v>323.39999999999998</v>
      </c>
      <c r="BN259" s="196">
        <v>302.39999999999998</v>
      </c>
      <c r="BO259" s="196">
        <v>400.4</v>
      </c>
      <c r="BP259" s="196">
        <v>411.7</v>
      </c>
      <c r="BQ259" s="77">
        <f>BP259</f>
        <v>411.7</v>
      </c>
      <c r="BS259" s="196">
        <v>391.5</v>
      </c>
      <c r="BT259" s="196">
        <v>470.3</v>
      </c>
      <c r="BU259" s="196">
        <v>462.1</v>
      </c>
      <c r="BV259" s="196">
        <v>414.4</v>
      </c>
      <c r="BW259" s="77">
        <f>BV259</f>
        <v>414.4</v>
      </c>
      <c r="BY259" s="196">
        <v>311.10000000000002</v>
      </c>
      <c r="BZ259" s="196">
        <v>323.3</v>
      </c>
      <c r="CA259" s="196">
        <v>387.6</v>
      </c>
      <c r="CB259" s="196">
        <v>615.70000000000005</v>
      </c>
      <c r="CC259" s="77">
        <f>CB259</f>
        <v>615.70000000000005</v>
      </c>
      <c r="CE259" s="196">
        <v>735.5</v>
      </c>
      <c r="CF259" s="196">
        <v>760.6</v>
      </c>
      <c r="CG259" s="196">
        <v>837.5</v>
      </c>
      <c r="CH259" s="196">
        <v>279.3</v>
      </c>
      <c r="CI259" s="77">
        <f>CH259</f>
        <v>279.3</v>
      </c>
      <c r="CK259" s="196">
        <v>1094.7</v>
      </c>
      <c r="CL259" s="196">
        <v>1094.7</v>
      </c>
      <c r="CM259" s="196">
        <v>267.8</v>
      </c>
      <c r="CN259" s="196">
        <v>201.7</v>
      </c>
      <c r="CO259" s="77">
        <f>CN259</f>
        <v>201.7</v>
      </c>
      <c r="CQ259" s="196">
        <v>182.6</v>
      </c>
      <c r="CR259" s="196">
        <v>183.9</v>
      </c>
      <c r="CS259" s="196">
        <v>265.5</v>
      </c>
      <c r="CT259" s="196">
        <v>241</v>
      </c>
      <c r="CU259" s="77">
        <f>CT259</f>
        <v>241</v>
      </c>
      <c r="CW259" s="196">
        <v>241.5</v>
      </c>
      <c r="CX259" s="196">
        <v>240.6</v>
      </c>
      <c r="CY259" s="196">
        <v>241.4</v>
      </c>
      <c r="CZ259" s="196">
        <v>257.5</v>
      </c>
      <c r="DA259" s="77">
        <f>CZ259</f>
        <v>257.5</v>
      </c>
      <c r="DC259" s="196">
        <v>250.9</v>
      </c>
      <c r="DD259" s="196">
        <v>240.3</v>
      </c>
      <c r="DE259" s="196">
        <v>242.9</v>
      </c>
      <c r="DF259" s="196">
        <v>251.1</v>
      </c>
      <c r="DG259" s="77">
        <f>DF259</f>
        <v>251.1</v>
      </c>
      <c r="DI259" s="196">
        <v>302.5</v>
      </c>
      <c r="DJ259" s="196">
        <v>358.7</v>
      </c>
      <c r="DK259" s="196">
        <v>475.1</v>
      </c>
      <c r="DL259" s="196">
        <v>454.9</v>
      </c>
      <c r="DM259" s="77">
        <f t="shared" si="255"/>
        <v>454.9</v>
      </c>
      <c r="DO259" s="196">
        <v>436.8</v>
      </c>
      <c r="DP259" s="196">
        <v>473.4</v>
      </c>
      <c r="DQ259" s="196">
        <v>480.4</v>
      </c>
      <c r="DR259" s="196">
        <v>401.2</v>
      </c>
      <c r="DS259" s="77">
        <f t="shared" si="256"/>
        <v>401.2</v>
      </c>
      <c r="DT259" s="196"/>
      <c r="DU259" s="196">
        <v>442.7</v>
      </c>
      <c r="DV259" s="196">
        <v>474.4</v>
      </c>
      <c r="DW259" s="196">
        <v>445.7</v>
      </c>
      <c r="DX259" s="196">
        <v>459.5</v>
      </c>
      <c r="DY259" s="77">
        <f>DX259</f>
        <v>459.5</v>
      </c>
      <c r="EA259" s="196">
        <v>436.7</v>
      </c>
      <c r="EB259" s="196">
        <v>434.1</v>
      </c>
      <c r="EC259" s="196">
        <v>414.5</v>
      </c>
      <c r="ED259" s="196">
        <v>432.2</v>
      </c>
      <c r="EE259" s="77">
        <f>ED259</f>
        <v>432.2</v>
      </c>
      <c r="EG259" s="196">
        <v>416.3</v>
      </c>
      <c r="EH259" s="196">
        <v>416.3</v>
      </c>
      <c r="EI259" s="196">
        <v>416.3</v>
      </c>
      <c r="EJ259" s="196">
        <v>416.3</v>
      </c>
      <c r="EK259" s="77">
        <f>EJ259</f>
        <v>416.3</v>
      </c>
      <c r="ET259" s="74"/>
      <c r="EU259" s="114"/>
      <c r="EV259" s="77">
        <v>15391</v>
      </c>
      <c r="EW259" s="77">
        <v>10850</v>
      </c>
      <c r="EX259" s="77">
        <f>H259</f>
        <v>20973</v>
      </c>
      <c r="EY259" s="77">
        <f>N259</f>
        <v>17426</v>
      </c>
      <c r="EZ259" s="77">
        <f>T259</f>
        <v>0</v>
      </c>
      <c r="FA259" s="77">
        <f>Z259</f>
        <v>7936</v>
      </c>
      <c r="FB259" s="77">
        <f>AF259</f>
        <v>70038</v>
      </c>
      <c r="FC259" s="77">
        <f>AL259</f>
        <v>44359</v>
      </c>
      <c r="FD259" s="77">
        <f>AR259</f>
        <v>373100</v>
      </c>
      <c r="FE259" s="77">
        <f>AX259</f>
        <v>663100</v>
      </c>
      <c r="FF259" s="77">
        <f>BD259</f>
        <v>405100</v>
      </c>
      <c r="FG259" s="196">
        <f>BK259</f>
        <v>283.10000000000002</v>
      </c>
      <c r="FH259" s="196">
        <f>BQ259</f>
        <v>411.7</v>
      </c>
      <c r="FI259" s="196">
        <f>BW259</f>
        <v>414.4</v>
      </c>
      <c r="FJ259" s="196">
        <f>CC259</f>
        <v>615.70000000000005</v>
      </c>
      <c r="FK259" s="196">
        <f>CI259</f>
        <v>279.3</v>
      </c>
      <c r="FL259" s="196">
        <f>CO259</f>
        <v>201.7</v>
      </c>
      <c r="FM259" s="77">
        <f>CU259</f>
        <v>241</v>
      </c>
      <c r="FN259" s="77">
        <f>DA259</f>
        <v>257.5</v>
      </c>
      <c r="FO259" s="77">
        <f>DG259</f>
        <v>251.1</v>
      </c>
      <c r="FP259" s="77">
        <f>DM259</f>
        <v>454.9</v>
      </c>
      <c r="FQ259" s="77">
        <f>DS259</f>
        <v>401.2</v>
      </c>
      <c r="FR259" s="77">
        <f>DY259</f>
        <v>459.5</v>
      </c>
      <c r="FS259" s="196">
        <f>EE259</f>
        <v>432.2</v>
      </c>
      <c r="FT259" s="196">
        <f>EK259</f>
        <v>416.3</v>
      </c>
      <c r="FU259" s="196">
        <v>416.3</v>
      </c>
      <c r="FV259" s="196">
        <v>416.3</v>
      </c>
      <c r="FW259" s="196">
        <v>416.3</v>
      </c>
      <c r="FX259" s="196">
        <v>416.3</v>
      </c>
    </row>
    <row r="260" spans="2:184" x14ac:dyDescent="0.25">
      <c r="B260" s="74" t="s">
        <v>319</v>
      </c>
      <c r="C260" s="74"/>
      <c r="D260" s="74"/>
      <c r="E260" s="196"/>
      <c r="F260" s="196"/>
      <c r="G260" s="196"/>
      <c r="H260" s="87">
        <f>H256+H257+H258+H259</f>
        <v>1039023</v>
      </c>
      <c r="I260" s="196"/>
      <c r="J260" s="74"/>
      <c r="K260" s="87">
        <f>K256+K257+K258+K259</f>
        <v>1099539</v>
      </c>
      <c r="L260" s="87">
        <f>L256+L257+L258+L259</f>
        <v>1151240</v>
      </c>
      <c r="M260" s="87">
        <f>M256+M257+M258+M259</f>
        <v>1125103</v>
      </c>
      <c r="N260" s="87">
        <f>N256+N257+N258+N259</f>
        <v>624203</v>
      </c>
      <c r="O260" s="196"/>
      <c r="Q260" s="87">
        <f>Q256+Q257+Q258+Q259</f>
        <v>623324</v>
      </c>
      <c r="R260" s="87">
        <f>R256+R257+R258+R259</f>
        <v>623300</v>
      </c>
      <c r="S260" s="87">
        <f>S256+S257+S258+S259</f>
        <v>594392</v>
      </c>
      <c r="T260" s="87">
        <f>T256+T257+T258+T259</f>
        <v>613167</v>
      </c>
      <c r="U260" s="196"/>
      <c r="W260" s="87">
        <f>W256+W257+W258+W259</f>
        <v>650762</v>
      </c>
      <c r="X260" s="87">
        <f>X256+X257+X258+X259</f>
        <v>1255567</v>
      </c>
      <c r="Y260" s="87">
        <f>Y256+Y257+Y258+Y259</f>
        <v>904894</v>
      </c>
      <c r="Z260" s="87">
        <f>Z256+Z257+Z258+Z259</f>
        <v>855367</v>
      </c>
      <c r="AC260" s="87">
        <f>AC256+AC257+AC258+AC259</f>
        <v>883990</v>
      </c>
      <c r="AD260" s="87">
        <f>AD256+AD257+AD258+AD259</f>
        <v>837113</v>
      </c>
      <c r="AE260" s="87">
        <f>AE256+AE257+AE258+AE259</f>
        <v>820630</v>
      </c>
      <c r="AF260" s="87">
        <f>AF256+AF257+AF258+AF259</f>
        <v>942282</v>
      </c>
      <c r="AI260" s="87">
        <f>AI256+AI257+AI258+AI259</f>
        <v>931472</v>
      </c>
      <c r="AJ260" s="87">
        <f>AJ256+AJ257+AJ258+AJ259</f>
        <v>912903</v>
      </c>
      <c r="AK260" s="87">
        <f>AK256+AK257+AK258+AK259</f>
        <v>912114</v>
      </c>
      <c r="AL260" s="87">
        <f>AL256+AL257+AL258+AL259</f>
        <v>945213</v>
      </c>
      <c r="AO260" s="87">
        <f>AO256+AO257+AO258+AO259</f>
        <v>970800</v>
      </c>
      <c r="AP260" s="87">
        <f>AP256+AP257+AP258+AP259</f>
        <v>1004700</v>
      </c>
      <c r="AQ260" s="87">
        <f>AQ256+AQ257+AQ258+AQ259</f>
        <v>978600</v>
      </c>
      <c r="AR260" s="87">
        <f>AR256+AR257+AR258+AR259</f>
        <v>1250660</v>
      </c>
      <c r="AU260" s="87">
        <f>AU256+AU257+AU258+AU259</f>
        <v>1463100</v>
      </c>
      <c r="AV260" s="87">
        <f>AV256+AV257+AV258+AV259</f>
        <v>1737100</v>
      </c>
      <c r="AW260" s="87">
        <f>AW256+AW257+AW258+AW259</f>
        <v>1792500</v>
      </c>
      <c r="AX260" s="87">
        <f>AX256+AX257+AX258+AX259</f>
        <v>1583600</v>
      </c>
      <c r="BA260" s="87">
        <f>BA256+BA257+BA258+BA259</f>
        <v>1695700</v>
      </c>
      <c r="BB260" s="87">
        <f>BB256+BB257+BB258+BB259</f>
        <v>1547300</v>
      </c>
      <c r="BC260" s="87">
        <f>BC256+BC257+BC258+BC259</f>
        <v>1380200</v>
      </c>
      <c r="BD260" s="87">
        <f>BD256+BD257+BD258+BD259</f>
        <v>1257300</v>
      </c>
      <c r="BG260" s="87">
        <f>SUM(BG256:BG259)</f>
        <v>1095</v>
      </c>
      <c r="BH260" s="87">
        <f>SUM(BH256:BH259)</f>
        <v>1538.5</v>
      </c>
      <c r="BI260" s="87">
        <f>SUM(BI256:BI259)</f>
        <v>1853.9</v>
      </c>
      <c r="BJ260" s="87">
        <f>SUM(BJ256:BJ259)</f>
        <v>1722.6</v>
      </c>
      <c r="BK260" s="87">
        <f>SUM(BK256:BK259)</f>
        <v>1722.6</v>
      </c>
      <c r="BL260" s="74"/>
      <c r="BM260" s="87">
        <f>SUM(BM256:BM259)</f>
        <v>1743.9</v>
      </c>
      <c r="BN260" s="87">
        <f>SUM(BN256:BN259)</f>
        <v>1742.9</v>
      </c>
      <c r="BO260" s="87">
        <f>SUM(BO256:BO259)</f>
        <v>1846.5</v>
      </c>
      <c r="BP260" s="87">
        <f>SUM(BP256:BP259)</f>
        <v>1802.5</v>
      </c>
      <c r="BQ260" s="87">
        <f>SUM(BQ256:BQ259)</f>
        <v>1802.5</v>
      </c>
      <c r="BS260" s="87">
        <f>SUM(BS256:BS259)</f>
        <v>1820</v>
      </c>
      <c r="BT260" s="87">
        <f>SUM(BT256:BT259)</f>
        <v>1858.8</v>
      </c>
      <c r="BU260" s="87">
        <f>SUM(BU256:BU259)</f>
        <v>1849.4</v>
      </c>
      <c r="BV260" s="87">
        <f>SUM(BV256:BV259)</f>
        <v>1799</v>
      </c>
      <c r="BW260" s="87">
        <f>SUM(BW256:BW259)</f>
        <v>1799</v>
      </c>
      <c r="BY260" s="87">
        <f>SUM(BY256:BY259)</f>
        <v>1593.4</v>
      </c>
      <c r="BZ260" s="87">
        <f>SUM(BZ256:BZ259)</f>
        <v>1434.1999999999998</v>
      </c>
      <c r="CA260" s="87">
        <f>SUM(CA256:CA259)</f>
        <v>3016.7999999999997</v>
      </c>
      <c r="CB260" s="87">
        <f>SUM(CB256:CB259)</f>
        <v>4104.9000000000005</v>
      </c>
      <c r="CC260" s="87">
        <f>SUM(CC256:CC259)</f>
        <v>4104.9000000000005</v>
      </c>
      <c r="CE260" s="87">
        <f>SUM(CE256:CE259)</f>
        <v>4206.3999999999996</v>
      </c>
      <c r="CF260" s="87">
        <f>SUM(CF256:CF259)</f>
        <v>4114.5</v>
      </c>
      <c r="CG260" s="87">
        <f>SUM(CG256:CG259)</f>
        <v>4175.3999999999996</v>
      </c>
      <c r="CH260" s="87">
        <f>SUM(CH256:CH259)</f>
        <v>4242.5</v>
      </c>
      <c r="CI260" s="87">
        <f>SUM(CI256:CI259)</f>
        <v>4242.5</v>
      </c>
      <c r="CK260" s="87">
        <f>SUM(CK256:CK259)</f>
        <v>4450.3</v>
      </c>
      <c r="CL260" s="87">
        <f>SUM(CL256:CL259)</f>
        <v>4450.3</v>
      </c>
      <c r="CM260" s="87">
        <f>SUM(CM256:CM259)</f>
        <v>4757.5</v>
      </c>
      <c r="CN260" s="87">
        <f>SUM(CN256:CN259)</f>
        <v>4703.9999999999991</v>
      </c>
      <c r="CO260" s="87">
        <f>SUM(CO256:CO259)</f>
        <v>4703.9999999999991</v>
      </c>
      <c r="CQ260" s="87">
        <f>SUM(CQ256:CQ259)</f>
        <v>4673.7000000000007</v>
      </c>
      <c r="CR260" s="87">
        <f>SUM(CR256:CR259)</f>
        <v>4796.0999999999995</v>
      </c>
      <c r="CS260" s="87">
        <f>SUM(CS256:CS259)</f>
        <v>4915.6000000000004</v>
      </c>
      <c r="CT260" s="87">
        <f>SUM(CT256:CT259)</f>
        <v>5343.3</v>
      </c>
      <c r="CU260" s="87">
        <f>SUM(CU256:CU259)</f>
        <v>5343.3</v>
      </c>
      <c r="CW260" s="87">
        <f>SUM(CW256:CW259)</f>
        <v>6075</v>
      </c>
      <c r="CX260" s="87">
        <f>SUM(CX256:CX259)</f>
        <v>6975</v>
      </c>
      <c r="CY260" s="87">
        <f>SUM(CY256:CY259)</f>
        <v>6730</v>
      </c>
      <c r="CZ260" s="87">
        <f>SUM(CZ256:CZ259)</f>
        <v>6798.5</v>
      </c>
      <c r="DA260" s="87">
        <f>SUM(DA256:DA259)</f>
        <v>6798.5</v>
      </c>
      <c r="DC260" s="87">
        <f>SUM(DC256:DC259)</f>
        <v>6713.4999999999991</v>
      </c>
      <c r="DD260" s="87">
        <f>SUM(DD256:DD259)</f>
        <v>6968.0999999999995</v>
      </c>
      <c r="DE260" s="87">
        <f>SUM(DE256:DE259)</f>
        <v>6633</v>
      </c>
      <c r="DF260" s="87">
        <f>SUM(DF256:DF259)</f>
        <v>7792.4000000000005</v>
      </c>
      <c r="DG260" s="87">
        <f>SUM(DG256:DG259)</f>
        <v>7792.4000000000005</v>
      </c>
      <c r="DI260" s="87">
        <f>SUM(DI256:DI259)</f>
        <v>7808.5999999999995</v>
      </c>
      <c r="DJ260" s="87">
        <f>SUM(DJ256:DJ259)</f>
        <v>9627</v>
      </c>
      <c r="DK260" s="87">
        <f>SUM(DK256:DK259)</f>
        <v>9179.8000000000011</v>
      </c>
      <c r="DL260" s="87">
        <f>SUM(DL256:DL259)</f>
        <v>9505.9999999999982</v>
      </c>
      <c r="DM260" s="87">
        <f>SUM(DM256:DM259)</f>
        <v>9505.9999999999982</v>
      </c>
      <c r="DO260" s="87">
        <f>SUM(DO256:DO259)</f>
        <v>8413.1999999999989</v>
      </c>
      <c r="DP260" s="87">
        <f>SUM(DP256:DP259)</f>
        <v>9569.3000000000011</v>
      </c>
      <c r="DQ260" s="87">
        <f>SUM(DQ256:DQ259)</f>
        <v>9209.1</v>
      </c>
      <c r="DR260" s="87">
        <f>SUM(DR256:DR259)</f>
        <v>10230.400000000001</v>
      </c>
      <c r="DS260" s="87">
        <f>SUM(DS256:DS259)</f>
        <v>10230.400000000001</v>
      </c>
      <c r="DT260" s="87"/>
      <c r="DU260" s="87">
        <f>SUM(DU256:DU259)</f>
        <v>10199.799999999999</v>
      </c>
      <c r="DV260" s="87">
        <f>SUM(DV256:DV259)</f>
        <v>9897.4999999999982</v>
      </c>
      <c r="DW260" s="87">
        <f>SUM(DW256:DW259)</f>
        <v>9588.7000000000007</v>
      </c>
      <c r="DX260" s="87">
        <f>SUM(DX256:DX259)</f>
        <v>10061.4</v>
      </c>
      <c r="DY260" s="87">
        <f>SUM(DY256:DY259)</f>
        <v>10061.4</v>
      </c>
      <c r="EA260" s="87">
        <f>SUM(EA256:EA259)</f>
        <v>9854.2000000000007</v>
      </c>
      <c r="EB260" s="87">
        <f>SUM(EB256:EB259)</f>
        <v>8614.9000000000015</v>
      </c>
      <c r="EC260" s="87">
        <f>SUM(EC256:EC259)</f>
        <v>6878.7</v>
      </c>
      <c r="ED260" s="87">
        <f>SUM(ED256:ED259)</f>
        <v>6690.5</v>
      </c>
      <c r="EE260" s="87">
        <f>SUM(EE256:EE259)</f>
        <v>6690.5</v>
      </c>
      <c r="EG260" s="87">
        <f>SUM(EG256:EG259)</f>
        <v>6943</v>
      </c>
      <c r="EH260" s="87">
        <f>SUM(EH256:EH259)</f>
        <v>6943</v>
      </c>
      <c r="EI260" s="87">
        <f>SUM(EI256:EI259)</f>
        <v>6943</v>
      </c>
      <c r="EJ260" s="87">
        <f>SUM(EJ256:EJ259)</f>
        <v>6943</v>
      </c>
      <c r="EK260" s="87">
        <f>SUM(EK256:EK259)</f>
        <v>6943</v>
      </c>
      <c r="ET260" s="74"/>
      <c r="EU260" s="114"/>
      <c r="EV260" s="87">
        <f>EV256+EV257+EV259</f>
        <v>1233398</v>
      </c>
      <c r="EW260" s="87">
        <f>EW256+EW257+EW259</f>
        <v>1040556</v>
      </c>
      <c r="EX260" s="87">
        <f t="shared" ref="EX260:FF260" si="275">EX256+EX257+EX258+EX259</f>
        <v>1039023</v>
      </c>
      <c r="EY260" s="87">
        <f t="shared" si="275"/>
        <v>624203</v>
      </c>
      <c r="EZ260" s="87">
        <f t="shared" si="275"/>
        <v>613167</v>
      </c>
      <c r="FA260" s="87">
        <f t="shared" si="275"/>
        <v>855367</v>
      </c>
      <c r="FB260" s="87">
        <f t="shared" si="275"/>
        <v>942282</v>
      </c>
      <c r="FC260" s="87">
        <f t="shared" si="275"/>
        <v>945213</v>
      </c>
      <c r="FD260" s="87">
        <f t="shared" si="275"/>
        <v>1250660</v>
      </c>
      <c r="FE260" s="87">
        <f t="shared" si="275"/>
        <v>1583600</v>
      </c>
      <c r="FF260" s="87">
        <f t="shared" si="275"/>
        <v>1257300</v>
      </c>
      <c r="FG260" s="87">
        <f t="shared" ref="FG260:FX260" si="276">SUM(FG256:FG259)</f>
        <v>1722.6</v>
      </c>
      <c r="FH260" s="87">
        <f t="shared" si="276"/>
        <v>1802.5</v>
      </c>
      <c r="FI260" s="87">
        <f t="shared" si="276"/>
        <v>1799</v>
      </c>
      <c r="FJ260" s="87">
        <f t="shared" si="276"/>
        <v>4104.9000000000005</v>
      </c>
      <c r="FK260" s="87">
        <f t="shared" si="276"/>
        <v>4242.5</v>
      </c>
      <c r="FL260" s="87">
        <f t="shared" si="276"/>
        <v>4703.9999999999991</v>
      </c>
      <c r="FM260" s="87">
        <f t="shared" si="276"/>
        <v>5343.3</v>
      </c>
      <c r="FN260" s="87">
        <f t="shared" si="276"/>
        <v>6798.5</v>
      </c>
      <c r="FO260" s="87">
        <f t="shared" si="276"/>
        <v>7792.4000000000005</v>
      </c>
      <c r="FP260" s="87">
        <f t="shared" si="276"/>
        <v>9505.9999999999982</v>
      </c>
      <c r="FQ260" s="87">
        <f>SUM(FQ256:FQ259)</f>
        <v>10230.400000000001</v>
      </c>
      <c r="FR260" s="87">
        <f>SUM(FR256:FR259)</f>
        <v>10061.4</v>
      </c>
      <c r="FS260" s="87">
        <f>SUM(FS256:FS259)</f>
        <v>6690.5</v>
      </c>
      <c r="FT260" s="87">
        <f>SUM(FT256:FT259)</f>
        <v>6943</v>
      </c>
      <c r="FU260" s="87">
        <f t="shared" si="276"/>
        <v>6943</v>
      </c>
      <c r="FV260" s="87">
        <f t="shared" si="276"/>
        <v>6943</v>
      </c>
      <c r="FW260" s="87">
        <f t="shared" si="276"/>
        <v>6943</v>
      </c>
      <c r="FX260" s="87">
        <f t="shared" si="276"/>
        <v>6943</v>
      </c>
    </row>
    <row r="261" spans="2:184" x14ac:dyDescent="0.25">
      <c r="C261" s="74"/>
      <c r="D261" s="74"/>
      <c r="E261" s="196"/>
      <c r="F261" s="196"/>
      <c r="G261" s="196"/>
      <c r="H261" s="196"/>
      <c r="I261" s="196"/>
      <c r="J261" s="74"/>
      <c r="K261" s="196"/>
      <c r="L261" s="196"/>
      <c r="M261" s="196"/>
      <c r="N261" s="196"/>
      <c r="O261" s="196"/>
      <c r="Q261" s="87"/>
      <c r="R261" s="196"/>
      <c r="S261" s="196"/>
      <c r="T261" s="196"/>
      <c r="U261" s="196"/>
      <c r="W261" s="87"/>
      <c r="X261" s="87"/>
      <c r="Y261" s="196"/>
      <c r="Z261" s="87"/>
      <c r="AC261" s="87"/>
      <c r="AD261" s="87"/>
      <c r="AE261" s="196"/>
      <c r="AF261" s="87"/>
      <c r="AI261" s="87"/>
      <c r="AJ261" s="87"/>
      <c r="AK261" s="87"/>
      <c r="AL261" s="87"/>
      <c r="AO261" s="87"/>
      <c r="AP261" s="87"/>
      <c r="AQ261" s="87"/>
      <c r="AR261" s="87"/>
      <c r="AU261" s="87"/>
      <c r="AV261" s="87"/>
      <c r="AW261" s="87"/>
      <c r="AX261" s="87"/>
      <c r="BA261" s="87"/>
      <c r="BB261" s="87"/>
      <c r="BC261" s="87"/>
      <c r="BD261" s="87"/>
      <c r="BG261" s="87"/>
      <c r="BH261" s="87"/>
      <c r="BI261" s="87"/>
      <c r="BJ261" s="87"/>
      <c r="BL261" s="74"/>
      <c r="BM261" s="87"/>
      <c r="BN261" s="87"/>
      <c r="BO261" s="87"/>
      <c r="BP261" s="87"/>
      <c r="BS261" s="87"/>
      <c r="BT261" s="87"/>
      <c r="BU261" s="87"/>
      <c r="BV261" s="87"/>
      <c r="BW261" s="87"/>
      <c r="CC261" s="87"/>
      <c r="CI261" s="87"/>
      <c r="CO261" s="87"/>
      <c r="CU261" s="87"/>
      <c r="DA261" s="87"/>
      <c r="DG261" s="87"/>
      <c r="DM261" s="87"/>
      <c r="DS261" s="87"/>
      <c r="DY261" s="87"/>
      <c r="EE261" s="87"/>
      <c r="EK261" s="87"/>
    </row>
    <row r="262" spans="2:184" x14ac:dyDescent="0.25">
      <c r="B262" s="198" t="s">
        <v>79</v>
      </c>
      <c r="C262" s="74"/>
      <c r="D262" s="74"/>
      <c r="E262" s="196"/>
      <c r="F262" s="196"/>
      <c r="G262" s="196"/>
      <c r="H262" s="196">
        <v>9675</v>
      </c>
      <c r="I262" s="196"/>
      <c r="J262" s="74"/>
      <c r="K262" s="196">
        <f>H262</f>
        <v>9675</v>
      </c>
      <c r="L262" s="196">
        <f>K262</f>
        <v>9675</v>
      </c>
      <c r="M262" s="196">
        <f>L262</f>
        <v>9675</v>
      </c>
      <c r="N262" s="196">
        <v>9694</v>
      </c>
      <c r="O262" s="196"/>
      <c r="Q262" s="196">
        <f>N262</f>
        <v>9694</v>
      </c>
      <c r="R262" s="196">
        <f>Q262</f>
        <v>9694</v>
      </c>
      <c r="S262" s="196">
        <f>R262</f>
        <v>9694</v>
      </c>
      <c r="T262" s="196">
        <v>10051</v>
      </c>
      <c r="U262" s="196"/>
      <c r="W262" s="196">
        <f>T262/T50*W50</f>
        <v>10031.681134282433</v>
      </c>
      <c r="X262" s="196">
        <f>W262/W50*X50</f>
        <v>9964.3616658060855</v>
      </c>
      <c r="Y262" s="196">
        <f>X262/X50*Y50</f>
        <v>10052.525173609281</v>
      </c>
      <c r="Z262" s="196">
        <v>39206</v>
      </c>
      <c r="AC262" s="196">
        <f>Z262/Z50*AC50</f>
        <v>38517.311189869732</v>
      </c>
      <c r="AD262" s="196">
        <f>AC262/AC50*AD50</f>
        <v>38483.488064427285</v>
      </c>
      <c r="AE262" s="196">
        <f>AD262/AD50*AE50</f>
        <v>38523.73669127305</v>
      </c>
      <c r="AF262" s="196">
        <v>38887</v>
      </c>
      <c r="AI262" s="196">
        <f>AF262/AF50*AI50</f>
        <v>38898.072274988481</v>
      </c>
      <c r="AJ262" s="196">
        <f>AI262/AI50*AJ50</f>
        <v>38928.858600566215</v>
      </c>
      <c r="AK262" s="196">
        <f>AJ262/AJ50*AK50</f>
        <v>38948.752688147149</v>
      </c>
      <c r="AL262" s="196">
        <v>39028</v>
      </c>
      <c r="AO262" s="196">
        <f>AL262/AM50*AO50</f>
        <v>39152.697733738387</v>
      </c>
      <c r="AP262" s="196">
        <f>AO262/AO50*AP50</f>
        <v>39251.932681911458</v>
      </c>
      <c r="AQ262" s="196">
        <f>AP262/AP50*AQ50</f>
        <v>39288.018117610751</v>
      </c>
      <c r="AR262" s="196">
        <v>39293</v>
      </c>
      <c r="AU262" s="196">
        <f>AR262/AS50*AU50</f>
        <v>39428.461962767178</v>
      </c>
      <c r="AV262" s="196">
        <f>AU262/AU50*AV50</f>
        <v>38787.275339002525</v>
      </c>
      <c r="AW262" s="196">
        <f>AV262/AV50*AW50</f>
        <v>38100.934727648812</v>
      </c>
      <c r="AX262" s="196">
        <v>38354</v>
      </c>
      <c r="BA262" s="196">
        <f>AX262/AY50*BA50</f>
        <v>37.110378759398493</v>
      </c>
      <c r="BB262" s="196">
        <f>BA262/BA50*BB50</f>
        <v>36.903108552631579</v>
      </c>
      <c r="BC262" s="196">
        <f>BB262/BB50*BC50</f>
        <v>38.074635808270678</v>
      </c>
      <c r="BD262" s="77">
        <v>37470</v>
      </c>
      <c r="BG262" s="77">
        <v>33.743701657458566</v>
      </c>
      <c r="BH262" s="77">
        <v>35.283904972375694</v>
      </c>
      <c r="BI262" s="77">
        <v>36.683337016574583</v>
      </c>
      <c r="BJ262" s="77">
        <v>40.1</v>
      </c>
      <c r="BK262" s="77">
        <f>BJ262</f>
        <v>40.1</v>
      </c>
      <c r="BL262" s="74"/>
      <c r="BM262" s="77">
        <v>39.918552036199095</v>
      </c>
      <c r="BN262" s="77">
        <v>39.782466063348416</v>
      </c>
      <c r="BO262" s="77">
        <v>39.564728506787333</v>
      </c>
      <c r="BP262" s="77">
        <v>39.4</v>
      </c>
      <c r="BQ262" s="77">
        <f>BP262</f>
        <v>39.4</v>
      </c>
      <c r="BS262" s="77">
        <v>39.263856254319279</v>
      </c>
      <c r="BT262" s="77">
        <v>39.154941257774695</v>
      </c>
      <c r="BU262" s="77">
        <v>39.018797512093975</v>
      </c>
      <c r="BV262" s="77">
        <v>38.786000000000001</v>
      </c>
      <c r="BW262" s="77">
        <f>BV262</f>
        <v>38.786000000000001</v>
      </c>
      <c r="BY262" s="77">
        <v>38.623185634328358</v>
      </c>
      <c r="BZ262" s="77">
        <v>38.397054570895527</v>
      </c>
      <c r="CA262" s="77">
        <v>38.333737873134339</v>
      </c>
      <c r="CB262" s="77">
        <v>39.4</v>
      </c>
      <c r="CC262" s="77">
        <f>CB262</f>
        <v>39.4</v>
      </c>
      <c r="CE262" s="77">
        <v>39.676750175602898</v>
      </c>
      <c r="CF262" s="77">
        <v>39.704425193163182</v>
      </c>
      <c r="CG262" s="77">
        <v>39.676750175602891</v>
      </c>
      <c r="CH262" s="77">
        <v>38.799999999999997</v>
      </c>
      <c r="CI262" s="77">
        <f>CH262</f>
        <v>38.799999999999997</v>
      </c>
      <c r="CK262" s="77">
        <v>38.691316526610642</v>
      </c>
      <c r="CL262" s="77">
        <v>38.582633053221286</v>
      </c>
      <c r="CM262" s="77">
        <v>38.428664799253035</v>
      </c>
      <c r="CN262" s="77">
        <v>38.6</v>
      </c>
      <c r="CO262" s="77">
        <f>CN262</f>
        <v>38.6</v>
      </c>
      <c r="CQ262" s="77">
        <v>38.499431549028905</v>
      </c>
      <c r="CR262" s="77">
        <v>38.499431549028905</v>
      </c>
      <c r="CS262" s="77">
        <v>38.481146376125061</v>
      </c>
      <c r="CT262" s="77">
        <v>38.200000000000003</v>
      </c>
      <c r="CU262" s="77">
        <f>CT262</f>
        <v>38.200000000000003</v>
      </c>
      <c r="CW262" s="77">
        <v>38.099976196143778</v>
      </c>
      <c r="CX262" s="77">
        <v>38.045417757676745</v>
      </c>
      <c r="CY262" s="77">
        <v>38.045417757676745</v>
      </c>
      <c r="CZ262" s="77">
        <v>37.6</v>
      </c>
      <c r="DA262" s="77">
        <f>CZ262</f>
        <v>37.6</v>
      </c>
      <c r="DC262" s="77">
        <v>37.401868263473055</v>
      </c>
      <c r="DD262" s="77">
        <v>37.059640718562875</v>
      </c>
      <c r="DE262" s="77">
        <v>36.735425149700596</v>
      </c>
      <c r="DF262" s="77">
        <v>36.5</v>
      </c>
      <c r="DG262" s="77">
        <f>DF262</f>
        <v>36.5</v>
      </c>
      <c r="DI262" s="77">
        <v>36.211105614642598</v>
      </c>
      <c r="DJ262" s="77">
        <v>35.95832302745486</v>
      </c>
      <c r="DK262" s="77">
        <v>35.768736087064056</v>
      </c>
      <c r="DL262" s="77">
        <v>36.299999999999997</v>
      </c>
      <c r="DM262" s="77">
        <f>DL262</f>
        <v>36.299999999999997</v>
      </c>
      <c r="DO262" s="77">
        <v>36.263231197771589</v>
      </c>
      <c r="DP262" s="77">
        <v>35.950807922037093</v>
      </c>
      <c r="DQ262" s="77">
        <v>35.94167871738447</v>
      </c>
      <c r="DR262" s="77">
        <v>36</v>
      </c>
      <c r="DS262" s="77">
        <f>DR262</f>
        <v>36</v>
      </c>
      <c r="DT262" s="77"/>
      <c r="DU262" s="77">
        <v>36</v>
      </c>
      <c r="DV262" s="77">
        <v>35.940586517709782</v>
      </c>
      <c r="DW262" s="77">
        <v>35.940586517709782</v>
      </c>
      <c r="DX262" s="77">
        <v>35.4</v>
      </c>
      <c r="DY262" s="77">
        <f>DX262</f>
        <v>35.4</v>
      </c>
      <c r="EA262" s="77">
        <v>35.30999237223493</v>
      </c>
      <c r="EB262" s="77">
        <v>34.943182251605108</v>
      </c>
      <c r="EC262" s="77">
        <v>34.862170237111435</v>
      </c>
      <c r="ED262" s="77">
        <v>34.9</v>
      </c>
      <c r="EE262" s="77">
        <f>ED262</f>
        <v>34.9</v>
      </c>
      <c r="EG262" s="77">
        <v>34.890946822308685</v>
      </c>
      <c r="EH262" s="77">
        <v>34.819289566559831</v>
      </c>
      <c r="EI262" s="77">
        <v>34.747632310810978</v>
      </c>
      <c r="EJ262" s="77">
        <v>34.675975055062125</v>
      </c>
      <c r="EK262" s="77">
        <f>EJ262</f>
        <v>34.675975055062125</v>
      </c>
      <c r="ET262" s="74"/>
      <c r="EU262" s="114"/>
      <c r="EV262" s="77">
        <f>9643+1</f>
        <v>9644</v>
      </c>
      <c r="EW262" s="77">
        <f>9650+1</f>
        <v>9651</v>
      </c>
      <c r="EX262" s="196">
        <f>H262</f>
        <v>9675</v>
      </c>
      <c r="EY262" s="196">
        <f>N262</f>
        <v>9694</v>
      </c>
      <c r="EZ262" s="196">
        <f>T262</f>
        <v>10051</v>
      </c>
      <c r="FA262" s="196">
        <f>Z262</f>
        <v>39206</v>
      </c>
      <c r="FB262" s="196">
        <f>AF262</f>
        <v>38887</v>
      </c>
      <c r="FC262" s="196">
        <f>AL262</f>
        <v>39028</v>
      </c>
      <c r="FD262" s="196">
        <f>AR262</f>
        <v>39293</v>
      </c>
      <c r="FE262" s="196">
        <f>AX262</f>
        <v>38354</v>
      </c>
      <c r="FF262" s="196">
        <f>BD262</f>
        <v>37470</v>
      </c>
      <c r="FG262" s="196">
        <f>BK262</f>
        <v>40.1</v>
      </c>
      <c r="FH262" s="196">
        <f>BQ262</f>
        <v>39.4</v>
      </c>
      <c r="FI262" s="196">
        <f>BW262</f>
        <v>38.786000000000001</v>
      </c>
      <c r="FJ262" s="196">
        <f>CC262</f>
        <v>39.4</v>
      </c>
      <c r="FK262" s="196">
        <f>CI262</f>
        <v>38.799999999999997</v>
      </c>
      <c r="FL262" s="196">
        <f>CO262</f>
        <v>38.6</v>
      </c>
      <c r="FM262" s="77">
        <f>CU262</f>
        <v>38.200000000000003</v>
      </c>
      <c r="FN262" s="77">
        <f>DA262</f>
        <v>37.6</v>
      </c>
      <c r="FO262" s="77">
        <f>DG262</f>
        <v>36.5</v>
      </c>
      <c r="FP262" s="77">
        <f>DM262</f>
        <v>36.299999999999997</v>
      </c>
      <c r="FQ262" s="77">
        <f>DS262</f>
        <v>36</v>
      </c>
      <c r="FR262" s="77">
        <f>DY262</f>
        <v>35.4</v>
      </c>
      <c r="FS262" s="196">
        <f>EE262</f>
        <v>34.9</v>
      </c>
      <c r="FT262" s="196">
        <f>EK262</f>
        <v>34.675975055062125</v>
      </c>
      <c r="FU262" s="77">
        <v>34.104488458661272</v>
      </c>
      <c r="FV262" s="77">
        <v>33.818745160460843</v>
      </c>
      <c r="FW262" s="77">
        <v>33.533001862260413</v>
      </c>
      <c r="FX262" s="77">
        <v>33.247258564059983</v>
      </c>
    </row>
    <row r="263" spans="2:184" x14ac:dyDescent="0.25">
      <c r="B263" s="198" t="s">
        <v>78</v>
      </c>
      <c r="C263" s="74"/>
      <c r="D263" s="74"/>
      <c r="E263" s="196"/>
      <c r="F263" s="196"/>
      <c r="G263" s="196"/>
      <c r="H263" s="196">
        <v>895836</v>
      </c>
      <c r="I263" s="196"/>
      <c r="J263" s="74"/>
      <c r="K263" s="196">
        <f>H263</f>
        <v>895836</v>
      </c>
      <c r="L263" s="196">
        <f>K263</f>
        <v>895836</v>
      </c>
      <c r="M263" s="196">
        <f>L263</f>
        <v>895836</v>
      </c>
      <c r="N263" s="196">
        <v>917564</v>
      </c>
      <c r="O263" s="196"/>
      <c r="Q263" s="196">
        <f>N263</f>
        <v>917564</v>
      </c>
      <c r="R263" s="196">
        <f>Q263</f>
        <v>917564</v>
      </c>
      <c r="S263" s="196">
        <f>R263</f>
        <v>917564</v>
      </c>
      <c r="T263" s="196">
        <v>1195034</v>
      </c>
      <c r="U263" s="196"/>
      <c r="W263" s="196">
        <f>T263/T50*W50</f>
        <v>1192737.044336491</v>
      </c>
      <c r="X263" s="196">
        <f>W263/W50*X50</f>
        <v>1184732.9597985181</v>
      </c>
      <c r="Y263" s="196">
        <f>X263/X50*Y50</f>
        <v>1195215.3386050137</v>
      </c>
      <c r="Z263" s="196">
        <v>463847</v>
      </c>
      <c r="AC263" s="196">
        <f>Z263/Z50*AC50</f>
        <v>455699.10838870337</v>
      </c>
      <c r="AD263" s="196">
        <f>AC263/AC50*AD50</f>
        <v>455298.94628935371</v>
      </c>
      <c r="AE263" s="196">
        <f>AD263/AD50*AE50</f>
        <v>455775.12862921308</v>
      </c>
      <c r="AF263" s="196">
        <v>474765</v>
      </c>
      <c r="AI263" s="196">
        <f>AF263/AF50*AI50</f>
        <v>474900.17958790617</v>
      </c>
      <c r="AJ263" s="196">
        <f>AI263/AI50*AJ50</f>
        <v>475276.0447835477</v>
      </c>
      <c r="AK263" s="196">
        <f>AJ263/AJ50*AK50</f>
        <v>475518.92843336286</v>
      </c>
      <c r="AL263" s="196">
        <v>476261</v>
      </c>
      <c r="AO263" s="196">
        <f>AL263/AL50*AO50</f>
        <v>477107.48101470358</v>
      </c>
      <c r="AP263" s="196">
        <f>AO263/AO50*AP50</f>
        <v>478316.7396071371</v>
      </c>
      <c r="AQ263" s="196">
        <f>AP263/AP50*AQ50</f>
        <v>478756.47000438569</v>
      </c>
      <c r="AR263" s="196">
        <v>471253</v>
      </c>
      <c r="AU263" s="196">
        <f>AR263/AR50*AU50</f>
        <v>472009.77242486813</v>
      </c>
      <c r="AV263" s="196">
        <f>AU263/AU50*AV50</f>
        <v>464333.93782977748</v>
      </c>
      <c r="AW263" s="196">
        <f>AV263/AV50*AW50</f>
        <v>456117.55150263826</v>
      </c>
      <c r="AX263" s="196">
        <v>473043</v>
      </c>
      <c r="BA263" s="196">
        <f>AX263/AY50*BA50</f>
        <v>457.70466964285714</v>
      </c>
      <c r="BB263" s="196">
        <f>BA263/BA50*BB50</f>
        <v>455.14828124999997</v>
      </c>
      <c r="BC263" s="196">
        <f>BB263/BB50*BC50</f>
        <v>469.59743303571423</v>
      </c>
      <c r="BD263" s="196">
        <v>483651</v>
      </c>
      <c r="BG263" s="77">
        <v>435.55311049723758</v>
      </c>
      <c r="BH263" s="77">
        <v>455.43357149171277</v>
      </c>
      <c r="BI263" s="77">
        <v>473.49700110497241</v>
      </c>
      <c r="BJ263" s="77">
        <v>2912.8</v>
      </c>
      <c r="BK263" s="77">
        <f>BJ263</f>
        <v>2912.8</v>
      </c>
      <c r="BL263" s="74"/>
      <c r="BM263" s="77">
        <v>2899.6199095022625</v>
      </c>
      <c r="BN263" s="77">
        <v>2889.7348416289597</v>
      </c>
      <c r="BO263" s="77">
        <v>2873.9187330316745</v>
      </c>
      <c r="BP263" s="77">
        <v>3002.1</v>
      </c>
      <c r="BQ263" s="77">
        <f>BP263</f>
        <v>3002.1</v>
      </c>
      <c r="BS263" s="77">
        <v>2991.7264685556324</v>
      </c>
      <c r="BT263" s="77">
        <v>2983.4276434001381</v>
      </c>
      <c r="BU263" s="77">
        <v>2973.0541119557706</v>
      </c>
      <c r="BV263" s="77">
        <v>3070.3319999999999</v>
      </c>
      <c r="BW263" s="77">
        <f>BV263</f>
        <v>3070.3319999999999</v>
      </c>
      <c r="BY263" s="77">
        <v>3057.4434794776116</v>
      </c>
      <c r="BZ263" s="77">
        <v>3039.5427565298505</v>
      </c>
      <c r="CA263" s="77">
        <v>3034.5305541044772</v>
      </c>
      <c r="CB263" s="77">
        <v>3693.5</v>
      </c>
      <c r="CC263" s="77">
        <f>CB263</f>
        <v>3693.5</v>
      </c>
      <c r="CE263" s="77">
        <v>3719.4435729337392</v>
      </c>
      <c r="CF263" s="77">
        <v>3722.0379302271126</v>
      </c>
      <c r="CG263" s="77">
        <v>3719.4435729337392</v>
      </c>
      <c r="CH263" s="77">
        <v>3732.5</v>
      </c>
      <c r="CI263" s="77">
        <f>CH263</f>
        <v>3732.5</v>
      </c>
      <c r="CK263" s="77">
        <v>3722.0448179271707</v>
      </c>
      <c r="CL263" s="77">
        <v>3711.5896358543419</v>
      </c>
      <c r="CM263" s="77">
        <v>3696.7781279178339</v>
      </c>
      <c r="CN263" s="77">
        <v>3741.3</v>
      </c>
      <c r="CO263" s="77">
        <f>CN263</f>
        <v>3741.3</v>
      </c>
      <c r="CQ263" s="77">
        <v>3731.552415916628</v>
      </c>
      <c r="CR263" s="77">
        <v>3731.552415916628</v>
      </c>
      <c r="CS263" s="77">
        <v>3729.7801279014689</v>
      </c>
      <c r="CT263" s="77">
        <v>3772</v>
      </c>
      <c r="CU263" s="77">
        <f>CT263</f>
        <v>3772</v>
      </c>
      <c r="CW263" s="77">
        <v>3762.1233039752442</v>
      </c>
      <c r="CX263" s="77">
        <v>3756.7360152344677</v>
      </c>
      <c r="CY263" s="77">
        <v>3756.7360152344677</v>
      </c>
      <c r="CZ263" s="77">
        <v>3780.1</v>
      </c>
      <c r="DA263" s="77">
        <f>CZ263</f>
        <v>3780.1</v>
      </c>
      <c r="DC263" s="77">
        <v>3760.1809101796407</v>
      </c>
      <c r="DD263" s="77">
        <v>3725.7752095808382</v>
      </c>
      <c r="DE263" s="77">
        <v>3693.1803353293412</v>
      </c>
      <c r="DF263" s="77">
        <v>3876.1</v>
      </c>
      <c r="DG263" s="77">
        <f>DF263</f>
        <v>3876.1</v>
      </c>
      <c r="DI263" s="77">
        <v>3845.4209992579767</v>
      </c>
      <c r="DJ263" s="77">
        <v>3818.5768736087061</v>
      </c>
      <c r="DK263" s="77">
        <v>3798.4437793717534</v>
      </c>
      <c r="DL263" s="77">
        <v>3940.8</v>
      </c>
      <c r="DM263" s="77">
        <f>DL263</f>
        <v>3940.8</v>
      </c>
      <c r="DO263" s="77">
        <v>3936.8083059002279</v>
      </c>
      <c r="DP263" s="77">
        <v>3902.8910154039613</v>
      </c>
      <c r="DQ263" s="77">
        <v>3901.8999308393586</v>
      </c>
      <c r="DR263" s="77">
        <v>3998.1</v>
      </c>
      <c r="DS263" s="77">
        <f>DR263</f>
        <v>3998.1</v>
      </c>
      <c r="DT263" s="77"/>
      <c r="DU263" s="77">
        <v>3998.0999999999995</v>
      </c>
      <c r="DV263" s="77">
        <v>3991.5016376793192</v>
      </c>
      <c r="DW263" s="77">
        <v>3991.5016376793192</v>
      </c>
      <c r="DX263" s="77">
        <v>4049</v>
      </c>
      <c r="DY263" s="77">
        <f>DX263</f>
        <v>4049</v>
      </c>
      <c r="EA263" s="77">
        <v>4038.7050597508264</v>
      </c>
      <c r="EB263" s="77">
        <v>3996.7498569703134</v>
      </c>
      <c r="EC263" s="77">
        <v>3987.4838217532265</v>
      </c>
      <c r="ED263" s="77">
        <v>4107.1000000000004</v>
      </c>
      <c r="EE263" s="77">
        <f>ED263</f>
        <v>4107.1000000000004</v>
      </c>
      <c r="EG263" s="77">
        <v>4106.0346044098578</v>
      </c>
      <c r="EH263" s="77">
        <v>4097.6018389346109</v>
      </c>
      <c r="EI263" s="77">
        <v>4089.1690734593644</v>
      </c>
      <c r="EJ263" s="77">
        <v>4080.736307984117</v>
      </c>
      <c r="EK263" s="77">
        <f>EJ263</f>
        <v>4080.736307984117</v>
      </c>
      <c r="ET263" s="74"/>
      <c r="EU263" s="114"/>
      <c r="EV263" s="77">
        <v>870453</v>
      </c>
      <c r="EW263" s="77">
        <v>875829</v>
      </c>
      <c r="EX263" s="196">
        <f>H263</f>
        <v>895836</v>
      </c>
      <c r="EY263" s="196">
        <f>N263</f>
        <v>917564</v>
      </c>
      <c r="EZ263" s="196">
        <f>T263</f>
        <v>1195034</v>
      </c>
      <c r="FA263" s="196">
        <f>Z263</f>
        <v>463847</v>
      </c>
      <c r="FB263" s="196">
        <f>AF263</f>
        <v>474765</v>
      </c>
      <c r="FC263" s="196">
        <f>AL263</f>
        <v>476261</v>
      </c>
      <c r="FD263" s="196">
        <f>AR263</f>
        <v>471253</v>
      </c>
      <c r="FE263" s="196">
        <f>AX263</f>
        <v>473043</v>
      </c>
      <c r="FF263" s="196">
        <f>BD263</f>
        <v>483651</v>
      </c>
      <c r="FG263" s="196">
        <f>BK263</f>
        <v>2912.8</v>
      </c>
      <c r="FH263" s="196">
        <f>BQ263</f>
        <v>3002.1</v>
      </c>
      <c r="FI263" s="196">
        <f>BW263</f>
        <v>3070.3319999999999</v>
      </c>
      <c r="FJ263" s="196">
        <f>CC263</f>
        <v>3693.5</v>
      </c>
      <c r="FK263" s="196">
        <f>CI263</f>
        <v>3732.5</v>
      </c>
      <c r="FL263" s="196">
        <f>CO263</f>
        <v>3741.3</v>
      </c>
      <c r="FM263" s="77">
        <f>CU263</f>
        <v>3772</v>
      </c>
      <c r="FN263" s="77">
        <f>DA263</f>
        <v>3780.1</v>
      </c>
      <c r="FO263" s="77">
        <f>DG263</f>
        <v>3876.1</v>
      </c>
      <c r="FP263" s="77">
        <f>DM263</f>
        <v>3940.8</v>
      </c>
      <c r="FQ263" s="77">
        <f>DS263</f>
        <v>3998.1</v>
      </c>
      <c r="FR263" s="77">
        <f>DY263</f>
        <v>4049</v>
      </c>
      <c r="FS263" s="196">
        <f>EE263</f>
        <v>4107.1000000000004</v>
      </c>
      <c r="FT263" s="196">
        <f>EK263</f>
        <v>4080.736307984117</v>
      </c>
      <c r="FU263" s="77">
        <v>4013.4826518214254</v>
      </c>
      <c r="FV263" s="77">
        <v>3979.8558237400798</v>
      </c>
      <c r="FW263" s="77">
        <v>3946.2289956587342</v>
      </c>
      <c r="FX263" s="77">
        <v>3912.6021675773886</v>
      </c>
    </row>
    <row r="264" spans="2:184" x14ac:dyDescent="0.25">
      <c r="B264" s="198" t="s">
        <v>77</v>
      </c>
      <c r="C264" s="74"/>
      <c r="D264" s="74"/>
      <c r="E264" s="196"/>
      <c r="F264" s="196"/>
      <c r="G264" s="196"/>
      <c r="H264" s="196">
        <v>134521</v>
      </c>
      <c r="I264" s="196"/>
      <c r="J264" s="74"/>
      <c r="K264" s="196">
        <f>K266-K265-K263-K262</f>
        <v>809313.32000000007</v>
      </c>
      <c r="L264" s="196">
        <f>L266-L265-L263-L262</f>
        <v>1567849.0550000002</v>
      </c>
      <c r="M264" s="196">
        <f>M266-M265-M263-M262</f>
        <v>2098959.9019999998</v>
      </c>
      <c r="N264" s="196">
        <v>121545</v>
      </c>
      <c r="O264" s="196"/>
      <c r="Q264" s="196">
        <f>Q266-Q265-Q263-Q262</f>
        <v>758828.60999999987</v>
      </c>
      <c r="R264" s="196">
        <f>R266-R265-R263-R262</f>
        <v>1532534.8560000001</v>
      </c>
      <c r="S264" s="196">
        <f>S266-S265-S263-S262</f>
        <v>2259083.423</v>
      </c>
      <c r="T264" s="196">
        <v>-288319</v>
      </c>
      <c r="U264" s="196"/>
      <c r="W264" s="196">
        <f>W266-W265-W263-W262</f>
        <v>519997.03152922651</v>
      </c>
      <c r="X264" s="196">
        <f>X266-X265-X263-X262</f>
        <v>1469125.213535676</v>
      </c>
      <c r="Y264" s="196">
        <f>Y266-Y265-Y263-Y262</f>
        <v>1740856.2972213773</v>
      </c>
      <c r="Z264" s="196">
        <v>-121637</v>
      </c>
      <c r="AC264" s="196">
        <f>AC266-AC265-AC263-AC262</f>
        <v>710902.37242142681</v>
      </c>
      <c r="AD264" s="196">
        <f>AD266-AD265-AD263-AD262</f>
        <v>1465093.2006462188</v>
      </c>
      <c r="AE264" s="196">
        <f>AE266-AE265-AE263-AE262</f>
        <v>2149352.276679514</v>
      </c>
      <c r="AF264" s="196">
        <f>-253436+29324</f>
        <v>-224112</v>
      </c>
      <c r="AI264" s="196">
        <f>AI266-AI265-AI263-AI262</f>
        <v>-116143.87686289466</v>
      </c>
      <c r="AJ264" s="196">
        <f>AJ266-AJ265-AJ263-AJ262</f>
        <v>159014.87161588611</v>
      </c>
      <c r="AK264" s="196">
        <f>AK266-AK265-AK263-AK262</f>
        <v>708760.82187849004</v>
      </c>
      <c r="AL264" s="196">
        <f>-218203+27526</f>
        <v>-190677</v>
      </c>
      <c r="AO264" s="196">
        <f>AO266-AO265-AO263-AO262</f>
        <v>478342.02125155798</v>
      </c>
      <c r="AP264" s="196">
        <f>AP266-AP265-AP263-AP262</f>
        <v>1573764.8277109514</v>
      </c>
      <c r="AQ264" s="196">
        <f>AQ266-AQ265-AQ263-AQ262</f>
        <v>2719613.0118780034</v>
      </c>
      <c r="AR264" s="196">
        <f>-151672+48591</f>
        <v>-103081</v>
      </c>
      <c r="AU264" s="196">
        <f>AU266-AU265-AU263-AU262</f>
        <v>1229766.5656123648</v>
      </c>
      <c r="AV264" s="196">
        <f>AV266-AV265-AV263-AV262</f>
        <v>2391354.1868312201</v>
      </c>
      <c r="AW264" s="196">
        <f>AW266-AW265-AW263-AW262</f>
        <v>3347246.8137697135</v>
      </c>
      <c r="AX264" s="196">
        <f>-416417+78471</f>
        <v>-337946</v>
      </c>
      <c r="BA264" s="196">
        <f>BA266-BA265-BA263-BA262</f>
        <v>340520.18495159777</v>
      </c>
      <c r="BB264" s="196">
        <f>BB266-BB265-BB263-BB262</f>
        <v>7973731.0486101964</v>
      </c>
      <c r="BC264" s="196">
        <f>BC266-BC265-BC263-BC262</f>
        <v>3633640.7279311558</v>
      </c>
      <c r="BD264" s="196">
        <f>-464574+78987</f>
        <v>-385587</v>
      </c>
      <c r="BG264" s="77">
        <v>-228.5558121546957</v>
      </c>
      <c r="BH264" s="77">
        <v>2100.2235235359117</v>
      </c>
      <c r="BI264" s="77">
        <v>2179.3606618784529</v>
      </c>
      <c r="BJ264" s="77">
        <v>-407.09999999999997</v>
      </c>
      <c r="BK264" s="77">
        <f>BJ264</f>
        <v>-407.09999999999997</v>
      </c>
      <c r="BL264" s="74"/>
      <c r="BM264" s="77">
        <v>-259.23846153846239</v>
      </c>
      <c r="BN264" s="77">
        <v>-225.71730769230879</v>
      </c>
      <c r="BO264" s="77">
        <v>34.016538461538175</v>
      </c>
      <c r="BP264" s="77">
        <v>-177.39999999999998</v>
      </c>
      <c r="BQ264" s="77">
        <f>BP264</f>
        <v>-177.39999999999998</v>
      </c>
      <c r="BS264" s="77">
        <v>397.30967519004844</v>
      </c>
      <c r="BT264" s="77">
        <v>291.51741534208759</v>
      </c>
      <c r="BU264" s="77">
        <v>484.32709053213506</v>
      </c>
      <c r="BV264" s="77">
        <v>-4.6920000000000073</v>
      </c>
      <c r="BW264" s="77">
        <f>BV264</f>
        <v>-4.6920000000000073</v>
      </c>
      <c r="BY264" s="77">
        <v>-76.981665111939947</v>
      </c>
      <c r="BZ264" s="77">
        <v>-213.05481110074584</v>
      </c>
      <c r="CA264" s="77">
        <v>156.02070802238956</v>
      </c>
      <c r="CB264" s="77">
        <v>-195</v>
      </c>
      <c r="CC264" s="77">
        <f>CB264</f>
        <v>-195</v>
      </c>
      <c r="CE264" s="77">
        <v>-250.7203231093425</v>
      </c>
      <c r="CF264" s="77">
        <v>-930.04235542027595</v>
      </c>
      <c r="CG264" s="77">
        <v>-1170.3203231093437</v>
      </c>
      <c r="CH264" s="77">
        <v>-306.39999999999998</v>
      </c>
      <c r="CI264" s="77">
        <f>CH264</f>
        <v>-306.39999999999998</v>
      </c>
      <c r="CK264" s="77">
        <v>-550.23613445378044</v>
      </c>
      <c r="CL264" s="77">
        <v>-1363.1722689075632</v>
      </c>
      <c r="CM264" s="77">
        <v>-1696.8067927170873</v>
      </c>
      <c r="CN264" s="77">
        <v>-1336.8</v>
      </c>
      <c r="CO264" s="77">
        <f>CN264</f>
        <v>-1336.8</v>
      </c>
      <c r="CQ264" s="77">
        <v>-1357.6518474656555</v>
      </c>
      <c r="CR264" s="77">
        <v>-2254.0518474656569</v>
      </c>
      <c r="CS264" s="77">
        <v>-2353.2612742775923</v>
      </c>
      <c r="CT264" s="77">
        <v>-741.8</v>
      </c>
      <c r="CU264" s="77">
        <f>CT264</f>
        <v>-741.8</v>
      </c>
      <c r="CW264" s="77">
        <v>-1189.423280171387</v>
      </c>
      <c r="CX264" s="77">
        <v>-1760.3814329921447</v>
      </c>
      <c r="CY264" s="77">
        <v>-1779.181432992144</v>
      </c>
      <c r="CZ264" s="77">
        <v>-683.80000000000007</v>
      </c>
      <c r="DA264" s="77">
        <f>CZ264</f>
        <v>-683.80000000000007</v>
      </c>
      <c r="DC264" s="77">
        <v>-2231.582778443114</v>
      </c>
      <c r="DD264" s="77">
        <v>-4770.6348502994024</v>
      </c>
      <c r="DE264" s="77">
        <v>-7068.815760479044</v>
      </c>
      <c r="DF264" s="77">
        <v>-2089.3000000000002</v>
      </c>
      <c r="DG264" s="77">
        <f>DF264</f>
        <v>-2089.3000000000002</v>
      </c>
      <c r="DI264" s="77">
        <v>-4083.8321048726184</v>
      </c>
      <c r="DJ264" s="77">
        <v>-6629.4351966361592</v>
      </c>
      <c r="DK264" s="77">
        <v>-8004.1125154588153</v>
      </c>
      <c r="DL264" s="77">
        <v>-4213</v>
      </c>
      <c r="DM264" s="77">
        <f>DL264</f>
        <v>-4213</v>
      </c>
      <c r="DO264" s="77">
        <v>-5189.2715370980013</v>
      </c>
      <c r="DP264" s="77">
        <v>-4322.2418233259996</v>
      </c>
      <c r="DQ264" s="77">
        <v>-4824.7416095567442</v>
      </c>
      <c r="DR264" s="77">
        <v>-2961.2</v>
      </c>
      <c r="DS264" s="77">
        <f>DR264</f>
        <v>-2961.2</v>
      </c>
      <c r="DT264" s="77"/>
      <c r="DU264" s="77">
        <f>DU266-DU265-DU263-DU262</f>
        <v>-3843.3</v>
      </c>
      <c r="DV264" s="77">
        <f>DV266-DV265-DV263-DV262</f>
        <v>-3273.6422241970276</v>
      </c>
      <c r="DW264" s="196">
        <v>-3909.742224197028</v>
      </c>
      <c r="DX264" s="196">
        <v>-21.899999999999977</v>
      </c>
      <c r="DY264" s="77">
        <f>DX264</f>
        <v>-21.899999999999977</v>
      </c>
      <c r="EA264" s="77">
        <f>EA266-EA265-EA263-EA262</f>
        <v>-3342.6150521230561</v>
      </c>
      <c r="EB264" s="326">
        <f>EB266-EB265-EB263-EB262</f>
        <v>-3118.0930392219202</v>
      </c>
      <c r="EC264" s="326">
        <f>EC266-EC265-EC263-EC262</f>
        <v>-4047.9459919903366</v>
      </c>
      <c r="ED264" s="326">
        <f>ED266-ED265-ED263-ED262</f>
        <v>-2518.9999999999968</v>
      </c>
      <c r="EE264" s="326">
        <f>ED264</f>
        <v>-2518.9999999999968</v>
      </c>
      <c r="EG264" s="326">
        <f>EG266-EG265-EG263-EG262</f>
        <v>-4419.5155512321662</v>
      </c>
      <c r="EH264" s="326">
        <f>EH266-EH265-EH263-EH262</f>
        <v>-5308.9279642968258</v>
      </c>
      <c r="EI264" s="326">
        <f>EI266-EI265-EI263-EI262</f>
        <v>-6368.6330737356129</v>
      </c>
      <c r="EJ264" s="326">
        <f>EJ266-EJ265-EJ263-EJ262</f>
        <v>-7089.8396746274739</v>
      </c>
      <c r="EK264" s="326">
        <f>EJ264</f>
        <v>-7089.8396746274739</v>
      </c>
      <c r="ET264" s="74"/>
      <c r="EU264" s="114"/>
      <c r="EV264" s="77">
        <v>159093</v>
      </c>
      <c r="EW264" s="77">
        <v>139617</v>
      </c>
      <c r="EX264" s="196">
        <f>H264</f>
        <v>134521</v>
      </c>
      <c r="EY264" s="196">
        <f>N264</f>
        <v>121545</v>
      </c>
      <c r="EZ264" s="196">
        <f>T264</f>
        <v>-288319</v>
      </c>
      <c r="FA264" s="196">
        <f>Z264</f>
        <v>-121637</v>
      </c>
      <c r="FB264" s="196">
        <f>AF264</f>
        <v>-224112</v>
      </c>
      <c r="FC264" s="196">
        <f>AL264</f>
        <v>-190677</v>
      </c>
      <c r="FD264" s="196">
        <f>AR264</f>
        <v>-103081</v>
      </c>
      <c r="FE264" s="196">
        <f>AX264</f>
        <v>-337946</v>
      </c>
      <c r="FF264" s="196">
        <f>BD264</f>
        <v>-385587</v>
      </c>
      <c r="FG264" s="196">
        <f>BK264</f>
        <v>-407.09999999999997</v>
      </c>
      <c r="FH264" s="196">
        <f>BQ264</f>
        <v>-177.39999999999998</v>
      </c>
      <c r="FI264" s="196">
        <f>BW264</f>
        <v>-4.6920000000000073</v>
      </c>
      <c r="FJ264" s="196">
        <f>CC264</f>
        <v>-195</v>
      </c>
      <c r="FK264" s="196">
        <f>CI264</f>
        <v>-306.39999999999998</v>
      </c>
      <c r="FL264" s="196">
        <f>CO264</f>
        <v>-1336.8</v>
      </c>
      <c r="FM264" s="77">
        <f>CU264</f>
        <v>-741.8</v>
      </c>
      <c r="FN264" s="77">
        <f>DA264</f>
        <v>-683.80000000000007</v>
      </c>
      <c r="FO264" s="77">
        <f>DG264</f>
        <v>-2089.3000000000002</v>
      </c>
      <c r="FP264" s="77">
        <f>DM264</f>
        <v>-4213</v>
      </c>
      <c r="FQ264" s="77">
        <f>DS264</f>
        <v>-2961.2</v>
      </c>
      <c r="FR264" s="77">
        <f>DY264</f>
        <v>-21.899999999999977</v>
      </c>
      <c r="FS264" s="196">
        <f>EE264</f>
        <v>-2518.9999999999968</v>
      </c>
      <c r="FT264" s="196">
        <f>EK264</f>
        <v>-7089.8396746274739</v>
      </c>
      <c r="FU264" s="189">
        <f>FU266-FU265-FU263-FU262</f>
        <v>-6130.4559453396232</v>
      </c>
      <c r="FV264" s="189">
        <f>FV266-FV265-FV263-FV262</f>
        <v>-7603.3702652536085</v>
      </c>
      <c r="FW264" s="189">
        <f ca="1">FW266-FW265-FW263-FW262</f>
        <v>-13295.319941581982</v>
      </c>
      <c r="FX264" s="189">
        <f ca="1">FX266-FX265-FX263-FX262</f>
        <v>-18394.65250659861</v>
      </c>
      <c r="GB264" s="180" t="s">
        <v>522</v>
      </c>
    </row>
    <row r="265" spans="2:184" x14ac:dyDescent="0.25">
      <c r="B265" s="84" t="s">
        <v>76</v>
      </c>
      <c r="E265" s="196"/>
      <c r="F265" s="196"/>
      <c r="G265" s="196"/>
      <c r="H265" s="77">
        <v>351570</v>
      </c>
      <c r="I265" s="196"/>
      <c r="K265" s="77">
        <f>H265+K43</f>
        <v>-232163.32000000007</v>
      </c>
      <c r="L265" s="77">
        <f>K265+L43</f>
        <v>-882850.05500000005</v>
      </c>
      <c r="M265" s="77">
        <f>L265+M43</f>
        <v>-1367703.902</v>
      </c>
      <c r="N265" s="77">
        <v>663034</v>
      </c>
      <c r="O265" s="196"/>
      <c r="Q265" s="77">
        <f>N265+Q43</f>
        <v>114307.39000000001</v>
      </c>
      <c r="R265" s="77">
        <f>Q265+R43</f>
        <v>-659392.85600000003</v>
      </c>
      <c r="S265" s="77">
        <f>R265+S43</f>
        <v>-1444849.423</v>
      </c>
      <c r="T265" s="77">
        <v>1239689</v>
      </c>
      <c r="U265" s="196"/>
      <c r="W265" s="77">
        <f>T265+W43</f>
        <v>433706.24300000002</v>
      </c>
      <c r="X265" s="77">
        <f>W265+X43</f>
        <v>-336080.53500000003</v>
      </c>
      <c r="Y265" s="77">
        <f>X265+Y43</f>
        <v>-1103241.1610000001</v>
      </c>
      <c r="Z265" s="77">
        <v>1526201</v>
      </c>
      <c r="AC265" s="77">
        <f>Z265+AC43</f>
        <v>753035.20799999998</v>
      </c>
      <c r="AD265" s="77">
        <f>AC265+AD43</f>
        <v>101699.36499999999</v>
      </c>
      <c r="AE265" s="77">
        <f>AD265+AE43</f>
        <v>-520803.14199999999</v>
      </c>
      <c r="AF265" s="77">
        <v>1698929</v>
      </c>
      <c r="AI265" s="77">
        <f>AF265+AI43</f>
        <v>1398296.625</v>
      </c>
      <c r="AJ265" s="77">
        <f>AI265+AJ43</f>
        <v>1018020.225</v>
      </c>
      <c r="AK265" s="77">
        <f>AJ265+AK43</f>
        <v>483042.49699999997</v>
      </c>
      <c r="AL265" s="77">
        <v>1450156</v>
      </c>
      <c r="AO265" s="77">
        <f>AL265+AO43</f>
        <v>816397.8</v>
      </c>
      <c r="AP265" s="77">
        <f>AO265+AP43</f>
        <v>-12033.5</v>
      </c>
      <c r="AQ265" s="77">
        <f>AP265+AQ43</f>
        <v>-918357.5</v>
      </c>
      <c r="AR265" s="77">
        <v>2366443</v>
      </c>
      <c r="AU265" s="77">
        <f>AR265+AU43</f>
        <v>1310695.2</v>
      </c>
      <c r="AV265" s="77">
        <f>AU265+AV43</f>
        <v>214924.59999999986</v>
      </c>
      <c r="AW265" s="77">
        <f>AV265+AW43</f>
        <v>-886916.90000000014</v>
      </c>
      <c r="AX265" s="77">
        <v>3270703</v>
      </c>
      <c r="BA265" s="77">
        <f>AX265+BA43</f>
        <v>3270985</v>
      </c>
      <c r="BB265" s="77">
        <f>BA265+BB43</f>
        <v>3271276.9</v>
      </c>
      <c r="BC265" s="77">
        <f>BB265+BC43</f>
        <v>3271551.6</v>
      </c>
      <c r="BD265" s="77">
        <v>3931359</v>
      </c>
      <c r="BG265" s="77">
        <v>3931.3589999999999</v>
      </c>
      <c r="BH265" s="77">
        <v>3931.3589999999999</v>
      </c>
      <c r="BI265" s="77">
        <v>3931.3589999999999</v>
      </c>
      <c r="BJ265" s="77">
        <v>4376.6000000000004</v>
      </c>
      <c r="BK265" s="77">
        <f>BJ265</f>
        <v>4376.6000000000004</v>
      </c>
      <c r="BM265" s="77">
        <v>4376.6000000000004</v>
      </c>
      <c r="BN265" s="77">
        <v>4376.6000000000004</v>
      </c>
      <c r="BO265" s="77">
        <v>4376.6000000000004</v>
      </c>
      <c r="BP265" s="77">
        <v>4648.5</v>
      </c>
      <c r="BQ265" s="77">
        <f>BP265</f>
        <v>4648.5</v>
      </c>
      <c r="BS265" s="77">
        <v>4648.5</v>
      </c>
      <c r="BT265" s="77">
        <v>4648.5</v>
      </c>
      <c r="BU265" s="77">
        <v>4648.5</v>
      </c>
      <c r="BV265" s="77">
        <v>5284.3149999999996</v>
      </c>
      <c r="BW265" s="77">
        <f>BV265</f>
        <v>5284.3149999999996</v>
      </c>
      <c r="BY265" s="77">
        <v>5284.3149999999996</v>
      </c>
      <c r="BZ265" s="77">
        <v>5284.3149999999996</v>
      </c>
      <c r="CA265" s="77">
        <v>5284.3149999999996</v>
      </c>
      <c r="CB265" s="77">
        <v>6282.5</v>
      </c>
      <c r="CC265" s="77">
        <f>CB265</f>
        <v>6282.5</v>
      </c>
      <c r="CE265" s="77">
        <v>6734.6</v>
      </c>
      <c r="CF265" s="77">
        <v>7200.9000000000005</v>
      </c>
      <c r="CG265" s="77">
        <v>7758.0000000000009</v>
      </c>
      <c r="CH265" s="77">
        <v>7311.5</v>
      </c>
      <c r="CI265" s="77">
        <f>CH265</f>
        <v>7311.5</v>
      </c>
      <c r="CK265" s="77">
        <v>7851.2</v>
      </c>
      <c r="CL265" s="77">
        <v>8435.2000000000007</v>
      </c>
      <c r="CM265" s="77">
        <v>9115.6</v>
      </c>
      <c r="CN265" s="77">
        <v>9197.9</v>
      </c>
      <c r="CO265" s="77">
        <f>CN265</f>
        <v>9197.9</v>
      </c>
      <c r="CQ265" s="77">
        <v>9553.2999999999993</v>
      </c>
      <c r="CR265" s="77">
        <v>10029.299999999999</v>
      </c>
      <c r="CS265" s="77">
        <v>10656.099999999999</v>
      </c>
      <c r="CT265" s="77">
        <v>9523.7999999999993</v>
      </c>
      <c r="CU265" s="77">
        <f>CT265</f>
        <v>9523.7999999999993</v>
      </c>
      <c r="CW265" s="77">
        <v>9914.4</v>
      </c>
      <c r="CX265" s="77">
        <v>10665.4</v>
      </c>
      <c r="CY265" s="77">
        <v>11726.9</v>
      </c>
      <c r="CZ265" s="77">
        <v>10731.5</v>
      </c>
      <c r="DA265" s="77">
        <f>CZ265</f>
        <v>10731.5</v>
      </c>
      <c r="DC265" s="77">
        <v>12062.9</v>
      </c>
      <c r="DD265" s="77">
        <v>13101.1</v>
      </c>
      <c r="DE265" s="77">
        <v>14841.300000000001</v>
      </c>
      <c r="DF265" s="77">
        <v>8317.2999999999993</v>
      </c>
      <c r="DG265" s="77">
        <f>DF265</f>
        <v>8317.2999999999993</v>
      </c>
      <c r="DI265" s="77">
        <v>9012.5999999999985</v>
      </c>
      <c r="DJ265" s="77">
        <v>10423.499999999998</v>
      </c>
      <c r="DK265" s="77">
        <v>12124.999999999998</v>
      </c>
      <c r="DL265" s="77">
        <v>9046.7000000000007</v>
      </c>
      <c r="DM265" s="77">
        <f>DL265</f>
        <v>9046.7000000000007</v>
      </c>
      <c r="DO265" s="77">
        <v>11002.500000000002</v>
      </c>
      <c r="DP265" s="77">
        <v>10988.400000000001</v>
      </c>
      <c r="DQ265" s="77">
        <v>12881.800000000001</v>
      </c>
      <c r="DR265" s="77">
        <v>12379.5</v>
      </c>
      <c r="DS265" s="77">
        <f>DR265</f>
        <v>12379.5</v>
      </c>
      <c r="DT265" s="77"/>
      <c r="DU265" s="77">
        <v>13603.3</v>
      </c>
      <c r="DV265" s="77">
        <v>13957.4</v>
      </c>
      <c r="DW265" s="77">
        <v>16033.9</v>
      </c>
      <c r="DX265" s="77">
        <v>14414.3</v>
      </c>
      <c r="DY265" s="77">
        <f>DX265</f>
        <v>14414.3</v>
      </c>
      <c r="EA265" s="77">
        <v>16769.3</v>
      </c>
      <c r="EB265" s="77">
        <v>16704.599999999999</v>
      </c>
      <c r="EC265" s="77">
        <v>18829.099999999999</v>
      </c>
      <c r="ED265" s="77">
        <v>17723.099999999999</v>
      </c>
      <c r="EE265" s="77">
        <f>ED265</f>
        <v>17723.099999999999</v>
      </c>
      <c r="EG265" s="77">
        <v>20479.399999999998</v>
      </c>
      <c r="EH265" s="77">
        <v>22033.287110719997</v>
      </c>
      <c r="EI265" s="77">
        <v>23923.096124625637</v>
      </c>
      <c r="EJ265" s="77">
        <v>25868.943727302652</v>
      </c>
      <c r="EK265" s="77">
        <f>EJ265</f>
        <v>25868.943727302652</v>
      </c>
      <c r="ET265" s="74"/>
      <c r="EU265" s="114"/>
      <c r="EV265" s="77">
        <v>276326</v>
      </c>
      <c r="EW265" s="77">
        <v>116110</v>
      </c>
      <c r="EX265" s="77">
        <f>H265</f>
        <v>351570</v>
      </c>
      <c r="EY265" s="77">
        <f>N265</f>
        <v>663034</v>
      </c>
      <c r="EZ265" s="77">
        <f>T265</f>
        <v>1239689</v>
      </c>
      <c r="FA265" s="77">
        <f>Z265</f>
        <v>1526201</v>
      </c>
      <c r="FB265" s="77">
        <f>AF265</f>
        <v>1698929</v>
      </c>
      <c r="FC265" s="77">
        <f>AL265</f>
        <v>1450156</v>
      </c>
      <c r="FD265" s="77">
        <f>AR265</f>
        <v>2366443</v>
      </c>
      <c r="FE265" s="77">
        <f>AX265</f>
        <v>3270703</v>
      </c>
      <c r="FF265" s="77">
        <f>BD265</f>
        <v>3931359</v>
      </c>
      <c r="FG265" s="196">
        <f>BK265</f>
        <v>4376.6000000000004</v>
      </c>
      <c r="FH265" s="196">
        <f>BQ265</f>
        <v>4648.5</v>
      </c>
      <c r="FI265" s="196">
        <f>BW265</f>
        <v>5284.3149999999996</v>
      </c>
      <c r="FJ265" s="196">
        <f>CC265</f>
        <v>6282.5</v>
      </c>
      <c r="FK265" s="196">
        <f>CI265</f>
        <v>7311.5</v>
      </c>
      <c r="FL265" s="196">
        <f>CO265</f>
        <v>9197.9</v>
      </c>
      <c r="FM265" s="77">
        <f>CU265</f>
        <v>9523.7999999999993</v>
      </c>
      <c r="FN265" s="77">
        <f>DA265</f>
        <v>10731.5</v>
      </c>
      <c r="FO265" s="77">
        <f>DG265</f>
        <v>8317.2999999999993</v>
      </c>
      <c r="FP265" s="77">
        <f>DM265</f>
        <v>9046.7000000000007</v>
      </c>
      <c r="FQ265" s="77">
        <f>DS265</f>
        <v>12379.5</v>
      </c>
      <c r="FR265" s="77">
        <f>DY265</f>
        <v>14414.3</v>
      </c>
      <c r="FS265" s="196">
        <f>EE265</f>
        <v>17723.099999999999</v>
      </c>
      <c r="FT265" s="196">
        <f>EK265</f>
        <v>25868.943727302652</v>
      </c>
      <c r="FU265" s="77">
        <v>36414.06495245768</v>
      </c>
      <c r="FV265" s="77">
        <v>44833.046899843066</v>
      </c>
      <c r="FW265" s="77">
        <v>47045.204910181732</v>
      </c>
      <c r="FX265" s="77">
        <v>50043.600192440499</v>
      </c>
    </row>
    <row r="266" spans="2:184" x14ac:dyDescent="0.25">
      <c r="B266" s="74" t="s">
        <v>177</v>
      </c>
      <c r="C266" s="74"/>
      <c r="D266" s="74"/>
      <c r="E266" s="196"/>
      <c r="F266" s="196"/>
      <c r="G266" s="196"/>
      <c r="H266" s="87">
        <f>H262+H263+H264+H265</f>
        <v>1391602</v>
      </c>
      <c r="I266" s="196"/>
      <c r="J266" s="74"/>
      <c r="K266" s="87">
        <v>1482661</v>
      </c>
      <c r="L266" s="87">
        <v>1590510</v>
      </c>
      <c r="M266" s="87">
        <v>1636767</v>
      </c>
      <c r="N266" s="87">
        <f>N262+N263+N264+N265</f>
        <v>1711837</v>
      </c>
      <c r="O266" s="196"/>
      <c r="Q266" s="87">
        <v>1800394</v>
      </c>
      <c r="R266" s="87">
        <v>1800400</v>
      </c>
      <c r="S266" s="87">
        <v>1741492</v>
      </c>
      <c r="T266" s="87">
        <f>T262+T263+T264+T265</f>
        <v>2156455</v>
      </c>
      <c r="U266" s="196"/>
      <c r="W266" s="87">
        <v>2156472</v>
      </c>
      <c r="X266" s="87">
        <v>2327742</v>
      </c>
      <c r="Y266" s="87">
        <v>1842883</v>
      </c>
      <c r="Z266" s="87">
        <f>Z262+Z263+Z264+Z265</f>
        <v>1907617</v>
      </c>
      <c r="AC266" s="87">
        <f>AC268-AC260-AC254</f>
        <v>1958154</v>
      </c>
      <c r="AD266" s="87">
        <f>AD268-AD260-AD254</f>
        <v>2060575</v>
      </c>
      <c r="AE266" s="87">
        <f>AE268-AE260-AE254</f>
        <v>2122848</v>
      </c>
      <c r="AF266" s="87">
        <f>AF268-AF260-AF254</f>
        <v>1988769</v>
      </c>
      <c r="AI266" s="87">
        <f>AI268-AI260-AI254</f>
        <v>1795951</v>
      </c>
      <c r="AJ266" s="87">
        <f>AJ268-AJ260-AJ254</f>
        <v>1691240</v>
      </c>
      <c r="AK266" s="87">
        <f>AK268-AK260-AK254</f>
        <v>1706271</v>
      </c>
      <c r="AL266" s="87">
        <f>SUM(AL262:AL265)</f>
        <v>1774768</v>
      </c>
      <c r="AO266" s="87">
        <f>AO268-AO260-AO254</f>
        <v>1811000</v>
      </c>
      <c r="AP266" s="87">
        <f>AP268-AP260-AP254</f>
        <v>2079300</v>
      </c>
      <c r="AQ266" s="87">
        <f>AQ268-AQ260-AQ254</f>
        <v>2319300</v>
      </c>
      <c r="AR266" s="87">
        <f>SUM(AR262:AR265)</f>
        <v>2773908</v>
      </c>
      <c r="AU266" s="87">
        <f>AU268-AU260-AU254</f>
        <v>3051900</v>
      </c>
      <c r="AV266" s="87">
        <f>AV268-AV260-AV254</f>
        <v>3109400</v>
      </c>
      <c r="AW266" s="87">
        <f>AW268-AW260-AW254</f>
        <v>2954548.4000000004</v>
      </c>
      <c r="AX266" s="87">
        <f>AX268-AX260-AX254</f>
        <v>3444158</v>
      </c>
      <c r="BA266" s="87">
        <f>BA268-BA260-BA254</f>
        <v>3612000</v>
      </c>
      <c r="BB266" s="87">
        <f>BB268-BB260-BB254</f>
        <v>11245500</v>
      </c>
      <c r="BC266" s="87">
        <f>BC268-BC260-BC254</f>
        <v>6905700</v>
      </c>
      <c r="BD266" s="87">
        <f>BD268-BD260-BD254</f>
        <v>1795851.3389999999</v>
      </c>
      <c r="BG266" s="87">
        <f>SUM(BG262:BG265)</f>
        <v>4172.1000000000004</v>
      </c>
      <c r="BH266" s="87">
        <f>SUM(BH262:BH265)</f>
        <v>6522.3</v>
      </c>
      <c r="BI266" s="87">
        <f>SUM(BI262:BI265)</f>
        <v>6620.9</v>
      </c>
      <c r="BJ266" s="87">
        <f>SUM(BJ262:BJ265)</f>
        <v>6922.4000000000005</v>
      </c>
      <c r="BK266" s="87">
        <f>SUM(BK262:BK265)</f>
        <v>6922.4000000000005</v>
      </c>
      <c r="BL266" s="74"/>
      <c r="BM266" s="87">
        <f>SUM(BM262:BM265)</f>
        <v>7056.9</v>
      </c>
      <c r="BN266" s="87">
        <f>SUM(BN262:BN265)</f>
        <v>7080.4</v>
      </c>
      <c r="BO266" s="87">
        <f>SUM(BO262:BO265)</f>
        <v>7324.1</v>
      </c>
      <c r="BP266" s="87">
        <f>SUM(BP262:BP265)</f>
        <v>7512.6</v>
      </c>
      <c r="BQ266" s="87">
        <f>SUM(BQ262:BQ265)</f>
        <v>7512.6</v>
      </c>
      <c r="BS266" s="87">
        <f>SUM(BS262:BS265)</f>
        <v>8076.8</v>
      </c>
      <c r="BT266" s="87">
        <f>SUM(BT262:BT265)</f>
        <v>7962.6</v>
      </c>
      <c r="BU266" s="87">
        <f>SUM(BU262:BU265)</f>
        <v>8144.9</v>
      </c>
      <c r="BV266" s="87">
        <f>SUM(BV262:BV265)</f>
        <v>8388.741</v>
      </c>
      <c r="BW266" s="87">
        <f>SUM(BW262:BW265)</f>
        <v>8388.741</v>
      </c>
      <c r="BY266" s="87">
        <f>SUM(BY262:BY265)</f>
        <v>8303.4</v>
      </c>
      <c r="BZ266" s="87">
        <f>SUM(BZ262:BZ265)</f>
        <v>8149.2</v>
      </c>
      <c r="CA266" s="87">
        <f>SUM(CA262:CA265)</f>
        <v>8513.2000000000007</v>
      </c>
      <c r="CB266" s="87">
        <f>SUM(CB262:CB265)</f>
        <v>9820.4</v>
      </c>
      <c r="CC266" s="87">
        <f>SUM(CC262:CC265)</f>
        <v>9820.4</v>
      </c>
      <c r="CE266" s="87">
        <f>SUM(CE262:CE265)</f>
        <v>10243</v>
      </c>
      <c r="CF266" s="87">
        <f>SUM(CF262:CF265)</f>
        <v>10032.6</v>
      </c>
      <c r="CG266" s="87">
        <f>SUM(CG262:CG265)</f>
        <v>10346.799999999999</v>
      </c>
      <c r="CH266" s="87">
        <f>SUM(CH262:CH265)</f>
        <v>10776.4</v>
      </c>
      <c r="CI266" s="87">
        <f>SUM(CI262:CI265)</f>
        <v>10776.4</v>
      </c>
      <c r="CK266" s="87">
        <f>SUM(CK262:CK265)</f>
        <v>11061.7</v>
      </c>
      <c r="CL266" s="87">
        <f>SUM(CL262:CL265)</f>
        <v>10822.2</v>
      </c>
      <c r="CM266" s="87">
        <f>SUM(CM262:CM265)</f>
        <v>11154</v>
      </c>
      <c r="CN266" s="87">
        <f>SUM(CN262:CN265)</f>
        <v>11641</v>
      </c>
      <c r="CO266" s="87">
        <f>SUM(CO262:CO265)</f>
        <v>11641</v>
      </c>
      <c r="CQ266" s="87">
        <f>SUM(CQ262:CQ265)</f>
        <v>11965.7</v>
      </c>
      <c r="CR266" s="87">
        <f>SUM(CR262:CR265)</f>
        <v>11545.3</v>
      </c>
      <c r="CS266" s="87">
        <f>SUM(CS262:CS265)</f>
        <v>12071.1</v>
      </c>
      <c r="CT266" s="87">
        <f>SUM(CT262:CT265)</f>
        <v>12592.199999999999</v>
      </c>
      <c r="CU266" s="87">
        <f>SUM(CU262:CU265)</f>
        <v>12592.199999999999</v>
      </c>
      <c r="CW266" s="87">
        <f>SUM(CW262:CW265)</f>
        <v>12525.2</v>
      </c>
      <c r="CX266" s="87">
        <f>SUM(CX262:CX265)</f>
        <v>12699.8</v>
      </c>
      <c r="CY266" s="87">
        <f>SUM(CY262:CY265)</f>
        <v>13742.5</v>
      </c>
      <c r="CZ266" s="87">
        <f>SUM(CZ262:CZ265)</f>
        <v>13865.4</v>
      </c>
      <c r="DA266" s="87">
        <f>SUM(DA262:DA265)</f>
        <v>13865.4</v>
      </c>
      <c r="DC266" s="87">
        <f>SUM(DC262:DC265)</f>
        <v>13628.9</v>
      </c>
      <c r="DD266" s="87">
        <f>SUM(DD262:DD265)</f>
        <v>12093.3</v>
      </c>
      <c r="DE266" s="87">
        <f>SUM(DE262:DE265)</f>
        <v>11502.399999999998</v>
      </c>
      <c r="DF266" s="87">
        <f>SUM(DF262:DF265)</f>
        <v>10140.599999999999</v>
      </c>
      <c r="DG266" s="87">
        <f>SUM(DG262:DG265)</f>
        <v>10140.599999999999</v>
      </c>
      <c r="DI266" s="87">
        <f>SUM(DI262:DI265)</f>
        <v>8810.4</v>
      </c>
      <c r="DJ266" s="87">
        <f>SUM(DJ262:DJ265)</f>
        <v>7648.6</v>
      </c>
      <c r="DK266" s="87">
        <f>SUM(DK262:DK265)</f>
        <v>7955.1</v>
      </c>
      <c r="DL266" s="87">
        <f>SUM(DL262:DL265)</f>
        <v>8810.8000000000011</v>
      </c>
      <c r="DM266" s="87">
        <f>SUM(DM262:DM265)</f>
        <v>8810.8000000000011</v>
      </c>
      <c r="DO266" s="87">
        <f>SUM(DO262:DO265)</f>
        <v>9786.2999999999993</v>
      </c>
      <c r="DP266" s="87">
        <f>SUM(DP262:DP265)</f>
        <v>10605</v>
      </c>
      <c r="DQ266" s="87">
        <f>SUM(DQ262:DQ265)</f>
        <v>11994.9</v>
      </c>
      <c r="DR266" s="87">
        <f>SUM(DR262:DR265)</f>
        <v>13452.4</v>
      </c>
      <c r="DS266" s="87">
        <f>SUM(DS262:DS265)</f>
        <v>13452.4</v>
      </c>
      <c r="DT266" s="87"/>
      <c r="DU266" s="87">
        <f>DU268-DU260-DU254</f>
        <v>13794.099999999999</v>
      </c>
      <c r="DV266" s="87">
        <f>DV268-DV260-DV254</f>
        <v>14711.2</v>
      </c>
      <c r="DW266" s="87">
        <f>SUM(DW262:DW265)</f>
        <v>16151.6</v>
      </c>
      <c r="DX266" s="87">
        <f>SUM(DX262:DX265)</f>
        <v>18476.8</v>
      </c>
      <c r="DY266" s="87">
        <f>DY268-DY260-DY254</f>
        <v>18476.799999999992</v>
      </c>
      <c r="EA266" s="87">
        <f>EA268-EA260-EA254</f>
        <v>17500.700000000004</v>
      </c>
      <c r="EB266" s="87">
        <f>EB268-EB260-EB254</f>
        <v>17618.199999999997</v>
      </c>
      <c r="EC266" s="87">
        <f>EC268-EC260-EC254</f>
        <v>18803.5</v>
      </c>
      <c r="ED266" s="87">
        <f>ED268-ED260-ED254</f>
        <v>19346.100000000002</v>
      </c>
      <c r="EE266" s="87">
        <f>EE268-EE260-EE254</f>
        <v>19346.100000000002</v>
      </c>
      <c r="EG266" s="87">
        <f>EG268-EG260-EG254</f>
        <v>20200.809999999998</v>
      </c>
      <c r="EH266" s="87">
        <f>EH268-EH260-EH254</f>
        <v>20856.780274924342</v>
      </c>
      <c r="EI266" s="87">
        <f>EI268-EI260-EI254</f>
        <v>21678.379756660201</v>
      </c>
      <c r="EJ266" s="87">
        <f>EJ268-EJ260-EJ254</f>
        <v>22894.516335714357</v>
      </c>
      <c r="EK266" s="87">
        <f>EK268-EK260-EK254</f>
        <v>22894.516335714357</v>
      </c>
      <c r="ET266" s="74"/>
      <c r="EU266" s="114"/>
      <c r="EV266" s="87">
        <f>EV262+EV263+EV264+EV265</f>
        <v>1315516</v>
      </c>
      <c r="EW266" s="87">
        <f>EW262+EW263+EW264+EW265</f>
        <v>1141207</v>
      </c>
      <c r="EX266" s="87">
        <f>H266</f>
        <v>1391602</v>
      </c>
      <c r="EY266" s="87">
        <f>N266</f>
        <v>1711837</v>
      </c>
      <c r="EZ266" s="87">
        <f>T266</f>
        <v>2156455</v>
      </c>
      <c r="FA266" s="87">
        <f>Z266</f>
        <v>1907617</v>
      </c>
      <c r="FB266" s="87">
        <f>AF266</f>
        <v>1988769</v>
      </c>
      <c r="FC266" s="87">
        <f>AL266</f>
        <v>1774768</v>
      </c>
      <c r="FD266" s="87">
        <f>AR266</f>
        <v>2773908</v>
      </c>
      <c r="FE266" s="87">
        <f>AX266</f>
        <v>3444158</v>
      </c>
      <c r="FF266" s="87">
        <f>BD266</f>
        <v>1795851.3389999999</v>
      </c>
      <c r="FG266" s="87">
        <f t="shared" ref="FG266:FP266" si="277">SUM(FG262:FG265)</f>
        <v>6922.4000000000005</v>
      </c>
      <c r="FH266" s="87">
        <f t="shared" si="277"/>
        <v>7512.6</v>
      </c>
      <c r="FI266" s="87">
        <f t="shared" si="277"/>
        <v>8388.741</v>
      </c>
      <c r="FJ266" s="87">
        <f t="shared" si="277"/>
        <v>9820.4</v>
      </c>
      <c r="FK266" s="87">
        <f t="shared" si="277"/>
        <v>10776.4</v>
      </c>
      <c r="FL266" s="87">
        <f t="shared" si="277"/>
        <v>11641</v>
      </c>
      <c r="FM266" s="87">
        <f t="shared" si="277"/>
        <v>12592.199999999999</v>
      </c>
      <c r="FN266" s="87">
        <f t="shared" si="277"/>
        <v>13865.4</v>
      </c>
      <c r="FO266" s="87">
        <f t="shared" si="277"/>
        <v>10140.599999999999</v>
      </c>
      <c r="FP266" s="87">
        <f t="shared" si="277"/>
        <v>8810.8000000000011</v>
      </c>
      <c r="FQ266" s="87">
        <f>SUM(FQ262:FQ265)</f>
        <v>13452.4</v>
      </c>
      <c r="FR266" s="87">
        <f>SUM(FR262:FR265)</f>
        <v>18476.8</v>
      </c>
      <c r="FS266" s="87">
        <f>SUM(FS262:FS265)</f>
        <v>19346.100000000002</v>
      </c>
      <c r="FT266" s="87">
        <f>SUM(FT262:FT265)</f>
        <v>22894.516335714357</v>
      </c>
      <c r="FU266" s="87">
        <f>FU268-FU260-FU254</f>
        <v>34331.196147398143</v>
      </c>
      <c r="FV266" s="87">
        <f>FV268-FV260-FV254</f>
        <v>41243.351203489998</v>
      </c>
      <c r="FW266" s="87">
        <f ca="1">FW268-FW260-FW254</f>
        <v>37729.646966120745</v>
      </c>
      <c r="FX266" s="87">
        <f ca="1">FX268-FX260-FX254</f>
        <v>35594.797111983338</v>
      </c>
    </row>
    <row r="267" spans="2:184" x14ac:dyDescent="0.25">
      <c r="B267" s="198"/>
      <c r="C267" s="74"/>
      <c r="D267" s="74"/>
      <c r="E267" s="196"/>
      <c r="F267" s="196"/>
      <c r="G267" s="196"/>
      <c r="H267" s="87"/>
      <c r="I267" s="196"/>
      <c r="J267" s="74"/>
      <c r="K267" s="87"/>
      <c r="L267" s="87"/>
      <c r="M267" s="87"/>
      <c r="N267" s="87"/>
      <c r="O267" s="196"/>
      <c r="Q267" s="87"/>
      <c r="R267" s="87"/>
      <c r="S267" s="87"/>
      <c r="T267" s="87"/>
      <c r="U267" s="196"/>
      <c r="W267" s="87"/>
      <c r="X267" s="87"/>
      <c r="Y267" s="87"/>
      <c r="Z267" s="87"/>
      <c r="AC267" s="87"/>
      <c r="AD267" s="87"/>
      <c r="AE267" s="87"/>
      <c r="AF267" s="87"/>
      <c r="AI267" s="87"/>
      <c r="AJ267" s="87"/>
      <c r="AK267" s="87"/>
      <c r="AL267" s="87"/>
      <c r="AO267" s="87"/>
      <c r="AP267" s="87"/>
      <c r="AQ267" s="87"/>
      <c r="AR267" s="87"/>
      <c r="AU267" s="87"/>
      <c r="AV267" s="87"/>
      <c r="AW267" s="87"/>
      <c r="AX267" s="87"/>
      <c r="BA267" s="87"/>
      <c r="BB267" s="87"/>
      <c r="BC267" s="87"/>
      <c r="BD267" s="87"/>
      <c r="BG267" s="87"/>
      <c r="BH267" s="87"/>
      <c r="BI267" s="87"/>
      <c r="BJ267" s="87"/>
      <c r="BL267" s="74"/>
      <c r="BM267" s="87"/>
      <c r="BN267" s="87"/>
      <c r="BO267" s="87"/>
      <c r="BP267" s="87"/>
      <c r="BS267" s="87"/>
      <c r="BT267" s="87"/>
      <c r="BU267" s="87"/>
      <c r="BV267" s="87"/>
      <c r="BW267" s="87"/>
      <c r="BY267" s="87"/>
      <c r="BZ267" s="87"/>
      <c r="CA267" s="87"/>
      <c r="CB267" s="87"/>
      <c r="CC267" s="87"/>
      <c r="CE267" s="87"/>
      <c r="CF267" s="87"/>
      <c r="CG267" s="87"/>
      <c r="CH267" s="87"/>
      <c r="CI267" s="87"/>
      <c r="CK267" s="87"/>
      <c r="CL267" s="87"/>
      <c r="CM267" s="87"/>
      <c r="CN267" s="87"/>
      <c r="CO267" s="87"/>
      <c r="CQ267" s="87"/>
      <c r="CR267" s="87"/>
      <c r="CS267" s="87"/>
      <c r="CT267" s="87"/>
      <c r="CU267" s="87"/>
      <c r="CW267" s="87"/>
      <c r="CX267" s="87"/>
      <c r="CY267" s="87"/>
      <c r="CZ267" s="87"/>
      <c r="DA267" s="87"/>
      <c r="DC267" s="87"/>
      <c r="DD267" s="87"/>
      <c r="DE267" s="87"/>
      <c r="DF267" s="87"/>
      <c r="DG267" s="87"/>
      <c r="DI267" s="87"/>
      <c r="DJ267" s="87"/>
      <c r="DK267" s="87"/>
      <c r="DL267" s="87"/>
      <c r="DM267" s="87"/>
      <c r="DO267" s="87"/>
      <c r="DP267" s="87"/>
      <c r="DQ267" s="87"/>
      <c r="DR267" s="87"/>
      <c r="DS267" s="87"/>
      <c r="DT267" s="87"/>
      <c r="DU267" s="87"/>
      <c r="DV267" s="87"/>
      <c r="DW267" s="87"/>
      <c r="DX267" s="87"/>
      <c r="DY267" s="87"/>
      <c r="EA267" s="87"/>
      <c r="EB267" s="87"/>
      <c r="EC267" s="87"/>
      <c r="ED267" s="87"/>
      <c r="EE267" s="87"/>
      <c r="EG267" s="87"/>
      <c r="EH267" s="87"/>
      <c r="EI267" s="87"/>
      <c r="EJ267" s="87"/>
      <c r="EK267" s="87"/>
      <c r="ET267" s="96"/>
      <c r="EU267" s="96"/>
      <c r="EV267" s="77"/>
      <c r="EW267" s="77"/>
      <c r="EX267" s="87"/>
      <c r="EY267" s="87"/>
      <c r="EZ267" s="87"/>
      <c r="FA267" s="87"/>
      <c r="FB267" s="87"/>
      <c r="FC267" s="87"/>
      <c r="FD267" s="87"/>
      <c r="FE267" s="87"/>
      <c r="FF267" s="87"/>
      <c r="FG267" s="87"/>
      <c r="FH267" s="87"/>
      <c r="FI267" s="87"/>
      <c r="FJ267" s="87"/>
      <c r="FK267" s="87"/>
      <c r="FL267" s="87"/>
      <c r="FM267" s="87"/>
      <c r="FN267" s="87"/>
      <c r="FP267" s="74"/>
      <c r="FQ267" s="74"/>
      <c r="FS267" s="87"/>
      <c r="FT267" s="87"/>
      <c r="FU267" s="87"/>
      <c r="FV267" s="87"/>
      <c r="FW267" s="87"/>
      <c r="FX267" s="87"/>
    </row>
    <row r="268" spans="2:184" ht="13.8" thickBot="1" x14ac:dyDescent="0.3">
      <c r="B268" s="151" t="s">
        <v>318</v>
      </c>
      <c r="C268" s="74"/>
      <c r="D268" s="74"/>
      <c r="E268" s="196"/>
      <c r="F268" s="196"/>
      <c r="G268" s="196"/>
      <c r="H268" s="150">
        <f>H266+H260+H254</f>
        <v>3243766</v>
      </c>
      <c r="I268" s="196"/>
      <c r="J268" s="74"/>
      <c r="K268" s="150">
        <f>K266+K260+K254</f>
        <v>3347868</v>
      </c>
      <c r="L268" s="150">
        <f>L266+L260+L254</f>
        <v>3518536</v>
      </c>
      <c r="M268" s="150">
        <f>M266+M260+M254</f>
        <v>3527334</v>
      </c>
      <c r="N268" s="150">
        <f>N266+N260+N254</f>
        <v>3756023</v>
      </c>
      <c r="O268" s="196"/>
      <c r="Q268" s="150">
        <f>Q266+Q260+Q254</f>
        <v>3808775</v>
      </c>
      <c r="R268" s="150">
        <f>R266+R260+R254</f>
        <v>4079300</v>
      </c>
      <c r="S268" s="150">
        <f>S266+S260+S254</f>
        <v>3854499</v>
      </c>
      <c r="T268" s="150">
        <f>T266+T260+T254</f>
        <v>3951035</v>
      </c>
      <c r="U268" s="196"/>
      <c r="W268" s="150">
        <f>W266+W260+W254</f>
        <v>4028539</v>
      </c>
      <c r="X268" s="150">
        <f>X266+X260+X254</f>
        <v>4904756</v>
      </c>
      <c r="Y268" s="150">
        <f>Y266+Y260+Y254</f>
        <v>5127853</v>
      </c>
      <c r="Z268" s="150">
        <f>Z266+Z260+Z254</f>
        <v>4066546</v>
      </c>
      <c r="AC268" s="150">
        <f>AC246</f>
        <v>4404405</v>
      </c>
      <c r="AD268" s="150">
        <f>AD246</f>
        <v>4145003</v>
      </c>
      <c r="AE268" s="150">
        <f>AE246</f>
        <v>4216494</v>
      </c>
      <c r="AF268" s="150">
        <f>AF246</f>
        <v>3939394</v>
      </c>
      <c r="AI268" s="150">
        <f>AI246</f>
        <v>3744947</v>
      </c>
      <c r="AJ268" s="150">
        <f>AJ246</f>
        <v>3545061</v>
      </c>
      <c r="AK268" s="150">
        <f>AK246</f>
        <v>3567658</v>
      </c>
      <c r="AL268" s="150">
        <f>AL266+AL260+AL254</f>
        <v>3764151</v>
      </c>
      <c r="AO268" s="150">
        <f>AO246</f>
        <v>4394800</v>
      </c>
      <c r="AP268" s="150">
        <f>AP246</f>
        <v>4866700</v>
      </c>
      <c r="AQ268" s="150">
        <f>AQ246</f>
        <v>5461100</v>
      </c>
      <c r="AR268" s="150">
        <f>AR266+AR260+AR254</f>
        <v>6180384</v>
      </c>
      <c r="AU268" s="150">
        <f>AU246</f>
        <v>6956700</v>
      </c>
      <c r="AV268" s="150">
        <f>AV246</f>
        <v>7076100</v>
      </c>
      <c r="AW268" s="150">
        <f>AW246</f>
        <v>6777948.4000000004</v>
      </c>
      <c r="AX268" s="150">
        <f>AX246</f>
        <v>7260800</v>
      </c>
      <c r="BA268" s="150">
        <f>BA246</f>
        <v>7399300</v>
      </c>
      <c r="BB268" s="150">
        <f>BB246</f>
        <v>14867800</v>
      </c>
      <c r="BC268" s="150">
        <f>BC246</f>
        <v>10587700</v>
      </c>
      <c r="BD268" s="150">
        <f>BD246</f>
        <v>4950662.3</v>
      </c>
      <c r="BG268" s="150">
        <f>BG254+BG260+BG266</f>
        <v>7613.5</v>
      </c>
      <c r="BH268" s="150">
        <f>BH254+BH260+BH266</f>
        <v>10550.2</v>
      </c>
      <c r="BI268" s="150">
        <f>BI254+BI260+BI266</f>
        <v>11233.1</v>
      </c>
      <c r="BJ268" s="150">
        <f>BJ254+BJ260+BJ266</f>
        <v>11513.7</v>
      </c>
      <c r="BK268" s="150">
        <f>BK254+BK260+BK266</f>
        <v>11513.7</v>
      </c>
      <c r="BL268" s="74"/>
      <c r="BM268" s="150">
        <f>BM254+BM260+BM266</f>
        <v>11758.3</v>
      </c>
      <c r="BN268" s="150">
        <f>BN254+BN260+BN266</f>
        <v>11888.5</v>
      </c>
      <c r="BO268" s="150">
        <f>BO254+BO260+BO266</f>
        <v>12096.6</v>
      </c>
      <c r="BP268" s="150">
        <f>BP254+BP260+BP266</f>
        <v>12203.9</v>
      </c>
      <c r="BQ268" s="150">
        <f>BQ254+BQ260+BQ266</f>
        <v>12203.9</v>
      </c>
      <c r="BS268" s="150">
        <f>BS254+BS260+BS266</f>
        <v>13091.1</v>
      </c>
      <c r="BT268" s="150">
        <f>BT254+BT260+BT266</f>
        <v>12675.3</v>
      </c>
      <c r="BU268" s="150">
        <f>BU254+BU260+BU266</f>
        <v>12705.6</v>
      </c>
      <c r="BV268" s="150">
        <f>BV254+BV260+BV266</f>
        <v>13294.940999999999</v>
      </c>
      <c r="BW268" s="150">
        <f>BW254+BW260+BW266</f>
        <v>13294.940999999999</v>
      </c>
      <c r="BY268" s="150">
        <f>BY254+BY260+BY266</f>
        <v>13143.6</v>
      </c>
      <c r="BZ268" s="150">
        <f>BZ254+BZ260+BZ266</f>
        <v>13303.5</v>
      </c>
      <c r="CA268" s="150">
        <f>CA254+CA260+CA266</f>
        <v>14802.2</v>
      </c>
      <c r="CB268" s="150">
        <f>CB254+CB260+CB266</f>
        <v>17205.900000000001</v>
      </c>
      <c r="CC268" s="150">
        <f>CC254+CC260+CC266</f>
        <v>17205.900000000001</v>
      </c>
      <c r="CE268" s="150">
        <f>CE254+CE260+CE266</f>
        <v>17324.8</v>
      </c>
      <c r="CF268" s="150">
        <f>CF254+CF260+CF266</f>
        <v>17272.099999999999</v>
      </c>
      <c r="CG268" s="150">
        <f>CG254+CG260+CG266</f>
        <v>17496.399999999998</v>
      </c>
      <c r="CH268" s="150">
        <f>CH254+CH260+CH266</f>
        <v>18188.900000000001</v>
      </c>
      <c r="CI268" s="150">
        <f>CI254+CI260+CI266</f>
        <v>18188.900000000001</v>
      </c>
      <c r="CK268" s="150">
        <f>CK254+CK260+CK266</f>
        <v>18644.2</v>
      </c>
      <c r="CL268" s="150">
        <f>CL254+CL260+CL266</f>
        <v>18653.300000000003</v>
      </c>
      <c r="CM268" s="150">
        <f>CM254+CM260+CM266</f>
        <v>19457.599999999999</v>
      </c>
      <c r="CN268" s="150">
        <f>CN254+CN260+CN266</f>
        <v>20136.900000000001</v>
      </c>
      <c r="CO268" s="150">
        <f>CO254+CO260+CO266</f>
        <v>20136.900000000001</v>
      </c>
      <c r="CQ268" s="150">
        <f>CQ254+CQ260+CQ266</f>
        <v>20360.600000000002</v>
      </c>
      <c r="CR268" s="150">
        <f>CR254+CR260+CR266</f>
        <v>20033.899999999998</v>
      </c>
      <c r="CS268" s="150">
        <f>CS254+CS260+CS266</f>
        <v>20699.2</v>
      </c>
      <c r="CT268" s="150">
        <f>CT254+CT260+CT266</f>
        <v>22629.599999999999</v>
      </c>
      <c r="CU268" s="150">
        <f>CU254+CU260+CU266</f>
        <v>22629.599999999999</v>
      </c>
      <c r="CW268" s="150">
        <f>CW254+CW260+CW266</f>
        <v>23277.599999999999</v>
      </c>
      <c r="CX268" s="150">
        <f>CX254+CX260+CX266</f>
        <v>24306.1</v>
      </c>
      <c r="CY268" s="150">
        <f>CY254+CY260+CY266</f>
        <v>25463.4</v>
      </c>
      <c r="CZ268" s="150">
        <f>CZ254+CZ260+CZ266</f>
        <v>27267.4</v>
      </c>
      <c r="DA268" s="150">
        <f>DA254+DA260+DA266</f>
        <v>27267.4</v>
      </c>
      <c r="DC268" s="150">
        <f>DC254+DC260+DC266</f>
        <v>27218.699999999997</v>
      </c>
      <c r="DD268" s="150">
        <f>DD254+DD260+DD266</f>
        <v>27815.5</v>
      </c>
      <c r="DE268" s="150">
        <f>DE254+DE260+DE266</f>
        <v>27298</v>
      </c>
      <c r="DF268" s="150">
        <f>DF254+DF260+DF266</f>
        <v>30231</v>
      </c>
      <c r="DG268" s="150">
        <f>DG254+DG260+DG266</f>
        <v>30231</v>
      </c>
      <c r="DI268" s="150">
        <f>DI254+DI260+DI266</f>
        <v>30231.799999999996</v>
      </c>
      <c r="DJ268" s="150">
        <f>DJ254+DJ260+DJ266</f>
        <v>31912.6</v>
      </c>
      <c r="DK268" s="150">
        <f>DK254+DK260+DK266</f>
        <v>32803.5</v>
      </c>
      <c r="DL268" s="150">
        <f>DL254+DL260+DL266</f>
        <v>36300.400000000001</v>
      </c>
      <c r="DM268" s="150">
        <f>DM254+DM260+DM266</f>
        <v>36300.400000000001</v>
      </c>
      <c r="DO268" s="150">
        <f>DO254+DO260+DO266</f>
        <v>35147.599999999991</v>
      </c>
      <c r="DP268" s="150">
        <f>DP254+DP260+DP266</f>
        <v>36928.6</v>
      </c>
      <c r="DQ268" s="150">
        <f>DQ254+DQ260+DQ266</f>
        <v>37513.5</v>
      </c>
      <c r="DR268" s="150">
        <f>DR254+DR260+DR266</f>
        <v>39957.5</v>
      </c>
      <c r="DS268" s="150">
        <f>DS254+DS260+DS266</f>
        <v>39957.5</v>
      </c>
      <c r="DT268" s="150"/>
      <c r="DU268" s="150">
        <f>DU246</f>
        <v>39042.6</v>
      </c>
      <c r="DV268" s="150">
        <f>DV246</f>
        <v>40741</v>
      </c>
      <c r="DW268" s="150">
        <f>DW246</f>
        <v>41766.1</v>
      </c>
      <c r="DX268" s="150">
        <f>DX246</f>
        <v>48589.599999999991</v>
      </c>
      <c r="DY268" s="150">
        <f>DY246</f>
        <v>48589.599999999991</v>
      </c>
      <c r="EA268" s="150">
        <f>EA246</f>
        <v>45478.8</v>
      </c>
      <c r="EB268" s="150">
        <f>EB246</f>
        <v>44849.1</v>
      </c>
      <c r="EC268" s="150">
        <f>EC246</f>
        <v>44907.1</v>
      </c>
      <c r="ED268" s="150">
        <f>ED246</f>
        <v>50300.5</v>
      </c>
      <c r="EE268" s="150">
        <f>EE246</f>
        <v>50300.5</v>
      </c>
      <c r="EG268" s="150">
        <f>EG246</f>
        <v>47431.81</v>
      </c>
      <c r="EH268" s="150">
        <f>EH246</f>
        <v>45266.74722776276</v>
      </c>
      <c r="EI268" s="150">
        <f>EI246</f>
        <v>46166.88670949862</v>
      </c>
      <c r="EJ268" s="150">
        <f>EJ246</f>
        <v>47392.657624219442</v>
      </c>
      <c r="EK268" s="150">
        <f>EK246</f>
        <v>47392.657624219442</v>
      </c>
      <c r="ET268" s="74"/>
      <c r="EU268" s="114"/>
      <c r="EV268" s="87">
        <f>EV266+EV260+EV254</f>
        <v>3301688</v>
      </c>
      <c r="EW268" s="87">
        <f>EW266+EW260+EW254</f>
        <v>2868282</v>
      </c>
      <c r="EX268" s="150">
        <f t="shared" ref="EX268:FO268" si="278">EX254+EX260+EX266</f>
        <v>3243766</v>
      </c>
      <c r="EY268" s="150">
        <f t="shared" si="278"/>
        <v>3756023</v>
      </c>
      <c r="EZ268" s="150">
        <f t="shared" si="278"/>
        <v>3951035</v>
      </c>
      <c r="FA268" s="150">
        <f t="shared" si="278"/>
        <v>4066546</v>
      </c>
      <c r="FB268" s="150">
        <f t="shared" si="278"/>
        <v>3939394</v>
      </c>
      <c r="FC268" s="150">
        <f t="shared" si="278"/>
        <v>3764151</v>
      </c>
      <c r="FD268" s="150">
        <f t="shared" si="278"/>
        <v>6180384</v>
      </c>
      <c r="FE268" s="150">
        <f t="shared" si="278"/>
        <v>7260800</v>
      </c>
      <c r="FF268" s="150">
        <f t="shared" si="278"/>
        <v>4950662.3</v>
      </c>
      <c r="FG268" s="150">
        <f t="shared" si="278"/>
        <v>11513.7</v>
      </c>
      <c r="FH268" s="150">
        <f t="shared" si="278"/>
        <v>12203.9</v>
      </c>
      <c r="FI268" s="150">
        <f t="shared" si="278"/>
        <v>13294.940999999999</v>
      </c>
      <c r="FJ268" s="150">
        <f t="shared" si="278"/>
        <v>17205.900000000001</v>
      </c>
      <c r="FK268" s="150">
        <f t="shared" si="278"/>
        <v>18188.900000000001</v>
      </c>
      <c r="FL268" s="150">
        <f t="shared" si="278"/>
        <v>20136.900000000001</v>
      </c>
      <c r="FM268" s="150">
        <f t="shared" si="278"/>
        <v>22629.599999999999</v>
      </c>
      <c r="FN268" s="150">
        <f t="shared" si="278"/>
        <v>27267.4</v>
      </c>
      <c r="FO268" s="150">
        <f t="shared" si="278"/>
        <v>30231</v>
      </c>
      <c r="FP268" s="150">
        <f>FP254+FP260+FP266</f>
        <v>36300.400000000001</v>
      </c>
      <c r="FQ268" s="150">
        <f>FQ254+FQ260+FQ266</f>
        <v>39957.5</v>
      </c>
      <c r="FR268" s="150">
        <f>FR254+FR260+FR266</f>
        <v>48589.599999999991</v>
      </c>
      <c r="FS268" s="150">
        <f>FS254+FS260+FS266</f>
        <v>50300.5</v>
      </c>
      <c r="FT268" s="150">
        <f>FT254+FT260+FT266</f>
        <v>47392.657624219442</v>
      </c>
      <c r="FU268" s="150">
        <f>FU246</f>
        <v>59033.31054659767</v>
      </c>
      <c r="FV268" s="150">
        <f>FV246</f>
        <v>66484.802957334177</v>
      </c>
      <c r="FW268" s="150">
        <f ca="1">FW246</f>
        <v>62535.631141181388</v>
      </c>
      <c r="FX268" s="150">
        <f ca="1">FX246</f>
        <v>60517.900731488422</v>
      </c>
    </row>
    <row r="269" spans="2:184" x14ac:dyDescent="0.25">
      <c r="B269" s="74"/>
      <c r="C269" s="74"/>
      <c r="D269" s="74"/>
      <c r="E269" s="196"/>
      <c r="F269" s="196"/>
      <c r="G269" s="196"/>
      <c r="H269" s="87"/>
      <c r="I269" s="196"/>
      <c r="J269" s="74"/>
      <c r="K269" s="87"/>
      <c r="L269" s="87"/>
      <c r="M269" s="87"/>
      <c r="N269" s="87"/>
      <c r="O269" s="196"/>
      <c r="Q269" s="87"/>
      <c r="R269" s="87"/>
      <c r="S269" s="87"/>
      <c r="T269" s="87"/>
      <c r="U269" s="196"/>
      <c r="W269" s="87"/>
      <c r="X269" s="87"/>
      <c r="Y269" s="87"/>
      <c r="Z269" s="87"/>
      <c r="AC269" s="87"/>
      <c r="AD269" s="87"/>
      <c r="AE269" s="87"/>
      <c r="AF269" s="87"/>
      <c r="AI269" s="87"/>
      <c r="AJ269" s="87"/>
      <c r="AK269" s="87"/>
      <c r="AL269" s="87"/>
      <c r="AO269" s="87"/>
      <c r="AP269" s="87"/>
      <c r="AQ269" s="87"/>
      <c r="AR269" s="87"/>
      <c r="AU269" s="87"/>
      <c r="AV269" s="87"/>
      <c r="AW269" s="87"/>
      <c r="AX269" s="87"/>
      <c r="BA269" s="87"/>
      <c r="BB269" s="87"/>
      <c r="BC269" s="87"/>
      <c r="BD269" s="87"/>
      <c r="BG269" s="87"/>
      <c r="BH269" s="87"/>
      <c r="BI269" s="87"/>
      <c r="BJ269" s="87"/>
      <c r="BL269" s="74"/>
      <c r="BM269" s="87"/>
      <c r="BN269" s="87"/>
      <c r="BO269" s="87"/>
      <c r="BP269" s="87"/>
      <c r="BS269" s="87"/>
      <c r="BT269" s="87"/>
      <c r="BU269" s="87"/>
      <c r="BV269" s="87"/>
      <c r="BW269" s="87"/>
      <c r="BY269" s="87"/>
      <c r="BZ269" s="87"/>
      <c r="CA269" s="87"/>
      <c r="CB269" s="87"/>
      <c r="CC269" s="87"/>
      <c r="CE269" s="87"/>
      <c r="CF269" s="87"/>
      <c r="CG269" s="87"/>
      <c r="CH269" s="87"/>
      <c r="CI269" s="87"/>
      <c r="CK269" s="87"/>
      <c r="CL269" s="87"/>
      <c r="CM269" s="87"/>
      <c r="CN269" s="87"/>
      <c r="CO269" s="87"/>
      <c r="CQ269" s="87"/>
      <c r="CR269" s="87"/>
      <c r="CS269" s="87"/>
      <c r="CT269" s="87"/>
      <c r="CU269" s="87"/>
      <c r="CW269" s="87"/>
      <c r="CX269" s="87"/>
      <c r="CY269" s="87"/>
      <c r="CZ269" s="87"/>
      <c r="DA269" s="87"/>
      <c r="DC269" s="87"/>
      <c r="DD269" s="87"/>
      <c r="DE269" s="87"/>
      <c r="DF269" s="87"/>
      <c r="DG269" s="87"/>
      <c r="DI269" s="87"/>
      <c r="DJ269" s="87"/>
      <c r="DK269" s="87"/>
      <c r="DL269" s="87"/>
      <c r="DM269" s="87"/>
      <c r="DO269" s="87"/>
      <c r="DP269" s="87"/>
      <c r="DQ269" s="87"/>
      <c r="DR269" s="87"/>
      <c r="DS269" s="87"/>
      <c r="DT269" s="87"/>
      <c r="DU269" s="87"/>
      <c r="DV269" s="87"/>
      <c r="DW269" s="87"/>
      <c r="DX269" s="87"/>
      <c r="DY269" s="87"/>
      <c r="EA269" s="87"/>
      <c r="EB269" s="87"/>
      <c r="EC269" s="87"/>
      <c r="ED269" s="87"/>
      <c r="EE269" s="87"/>
      <c r="EG269" s="87"/>
      <c r="EH269" s="87"/>
      <c r="EI269" s="87"/>
      <c r="EJ269" s="87"/>
      <c r="EK269" s="87"/>
      <c r="ET269" s="74"/>
      <c r="EU269" s="114"/>
      <c r="EV269" s="87"/>
      <c r="EW269" s="87"/>
      <c r="EX269" s="140">
        <f>H268</f>
        <v>3243766</v>
      </c>
      <c r="EY269" s="140">
        <f>N268</f>
        <v>3756023</v>
      </c>
      <c r="EZ269" s="140">
        <f>T268</f>
        <v>3951035</v>
      </c>
      <c r="FA269" s="140">
        <f>Z268</f>
        <v>4066546</v>
      </c>
      <c r="FB269" s="140">
        <f>AF268</f>
        <v>3939394</v>
      </c>
      <c r="FC269" s="140">
        <f>AL268</f>
        <v>3764151</v>
      </c>
      <c r="FD269" s="140">
        <f>AR268</f>
        <v>6180384</v>
      </c>
      <c r="FE269" s="140">
        <f>AX268</f>
        <v>7260800</v>
      </c>
      <c r="FF269" s="140">
        <f>BD268</f>
        <v>4950662.3</v>
      </c>
      <c r="FG269" s="140"/>
      <c r="FH269" s="140"/>
      <c r="FI269" s="140"/>
      <c r="FJ269" s="140"/>
      <c r="FK269" s="140"/>
      <c r="FL269" s="140"/>
      <c r="FM269" s="87"/>
      <c r="FN269" s="87"/>
      <c r="FP269" s="74"/>
      <c r="FQ269" s="74"/>
      <c r="FS269" s="87"/>
      <c r="FT269" s="87"/>
      <c r="FU269" s="87"/>
      <c r="FV269" s="87"/>
      <c r="FW269" s="87"/>
      <c r="FX269" s="87"/>
    </row>
    <row r="270" spans="2:184" x14ac:dyDescent="0.25">
      <c r="B270" s="110" t="s">
        <v>253</v>
      </c>
      <c r="C270" s="74"/>
      <c r="D270" s="74"/>
      <c r="E270" s="196"/>
      <c r="F270" s="196"/>
      <c r="G270" s="196"/>
      <c r="I270" s="196"/>
      <c r="O270" s="196"/>
      <c r="U270" s="196"/>
      <c r="BY270" s="79">
        <f>BY246-BY268</f>
        <v>0</v>
      </c>
      <c r="BZ270" s="79">
        <f>BZ246-BZ268</f>
        <v>0</v>
      </c>
      <c r="CA270" s="79">
        <f>CA246-CA268</f>
        <v>0</v>
      </c>
      <c r="CB270" s="79">
        <f>CB246-CB268</f>
        <v>0</v>
      </c>
      <c r="CC270" s="79">
        <f>CC246-CC268</f>
        <v>0</v>
      </c>
      <c r="CE270" s="79">
        <f>CE246-CE268</f>
        <v>0</v>
      </c>
      <c r="CF270" s="79">
        <f>CF246-CF268</f>
        <v>0</v>
      </c>
      <c r="CG270" s="79">
        <f>CG246-CG268</f>
        <v>0</v>
      </c>
      <c r="CH270" s="79">
        <f>CH246-CH268</f>
        <v>0</v>
      </c>
      <c r="CI270" s="79">
        <f>CI246-CI268</f>
        <v>0</v>
      </c>
      <c r="CK270" s="79">
        <f>CK246-CK268</f>
        <v>0</v>
      </c>
      <c r="CL270" s="79">
        <f>CL246-CL268</f>
        <v>85.5</v>
      </c>
      <c r="CM270" s="79">
        <f>CM246-CM268</f>
        <v>0</v>
      </c>
      <c r="CN270" s="79">
        <f>CN246-CN268</f>
        <v>0</v>
      </c>
      <c r="CO270" s="79">
        <f>CO246-CO268</f>
        <v>0</v>
      </c>
      <c r="CQ270" s="79">
        <f>CQ246-CQ268</f>
        <v>0</v>
      </c>
      <c r="CR270" s="79">
        <f>CR246-CR268</f>
        <v>0</v>
      </c>
      <c r="CS270" s="79">
        <f>CS246-CS268</f>
        <v>0</v>
      </c>
      <c r="CT270" s="79">
        <f>CT246-CT268</f>
        <v>0</v>
      </c>
      <c r="CU270" s="79">
        <f>CU246-CU268</f>
        <v>0</v>
      </c>
      <c r="CW270" s="79">
        <f>CW246-CW268</f>
        <v>0</v>
      </c>
      <c r="CX270" s="79">
        <f>CX246-CX268</f>
        <v>0</v>
      </c>
      <c r="CY270" s="79">
        <f>CY246-CY268</f>
        <v>0</v>
      </c>
      <c r="CZ270" s="79">
        <f>CZ246-CZ268</f>
        <v>0</v>
      </c>
      <c r="DA270" s="79">
        <f>DA246-DA268</f>
        <v>0</v>
      </c>
      <c r="DC270" s="79">
        <f>DC246-DC268</f>
        <v>0</v>
      </c>
      <c r="DD270" s="79">
        <f>DD246-DD268</f>
        <v>0</v>
      </c>
      <c r="DE270" s="79">
        <f>DE246-DE268</f>
        <v>0</v>
      </c>
      <c r="DF270" s="79">
        <f>DF246-DF268</f>
        <v>0</v>
      </c>
      <c r="DG270" s="79">
        <f>DG246-DG268</f>
        <v>0</v>
      </c>
      <c r="DI270" s="79">
        <f>DI246-DI268</f>
        <v>0</v>
      </c>
      <c r="DJ270" s="79">
        <f>DJ246-DJ268</f>
        <v>0</v>
      </c>
      <c r="DK270" s="79">
        <f>DK246-DK268</f>
        <v>0</v>
      </c>
      <c r="DL270" s="79">
        <f>DL246-DL268</f>
        <v>0</v>
      </c>
      <c r="DM270" s="79">
        <f>DM246-DM268</f>
        <v>0</v>
      </c>
      <c r="DO270" s="79">
        <f>DO246-DO268</f>
        <v>0</v>
      </c>
      <c r="DP270" s="79">
        <f>DP246-DP268</f>
        <v>0</v>
      </c>
      <c r="DQ270" s="79">
        <f>DQ246-DQ268</f>
        <v>0</v>
      </c>
      <c r="DR270" s="79">
        <f>DR246-DR268</f>
        <v>0</v>
      </c>
      <c r="DS270" s="79">
        <f>DS246-DS268</f>
        <v>0</v>
      </c>
      <c r="DT270" s="79"/>
      <c r="DU270" s="79">
        <f>DU246-DU268</f>
        <v>0</v>
      </c>
      <c r="DV270" s="79">
        <f>DV246-DV268</f>
        <v>0</v>
      </c>
      <c r="DW270" s="79">
        <f>DW246-DW268</f>
        <v>0</v>
      </c>
      <c r="DX270" s="79">
        <f>DX246-DX268</f>
        <v>0</v>
      </c>
      <c r="DY270" s="79">
        <f>DY246-DY268</f>
        <v>0</v>
      </c>
      <c r="EA270" s="79">
        <f>EA246-EA268</f>
        <v>0</v>
      </c>
      <c r="EB270" s="79">
        <f>EB246-EB268</f>
        <v>0</v>
      </c>
      <c r="EC270" s="79">
        <f>EC246-EC268</f>
        <v>0</v>
      </c>
      <c r="ED270" s="79">
        <f>ED246-ED268</f>
        <v>0</v>
      </c>
      <c r="EE270" s="79">
        <f>EE246-EE268</f>
        <v>0</v>
      </c>
      <c r="EG270" s="79">
        <f>EG246-EG268</f>
        <v>0</v>
      </c>
      <c r="EH270" s="79">
        <f>EH246-EH268</f>
        <v>0</v>
      </c>
      <c r="EI270" s="79">
        <f>EI246-EI268</f>
        <v>0</v>
      </c>
      <c r="EJ270" s="79">
        <f>EJ246-EJ268</f>
        <v>0</v>
      </c>
      <c r="EK270" s="79">
        <f>EK246-EK268</f>
        <v>0</v>
      </c>
      <c r="ET270" s="74"/>
      <c r="EU270" s="114"/>
      <c r="EV270" s="74"/>
      <c r="EW270" s="74"/>
      <c r="EX270" s="140">
        <f t="shared" ref="EX270:FF270" si="279">EX269-EX268</f>
        <v>0</v>
      </c>
      <c r="EY270" s="140">
        <f t="shared" si="279"/>
        <v>0</v>
      </c>
      <c r="EZ270" s="140">
        <f t="shared" si="279"/>
        <v>0</v>
      </c>
      <c r="FA270" s="140">
        <f t="shared" si="279"/>
        <v>0</v>
      </c>
      <c r="FB270" s="140">
        <f t="shared" si="279"/>
        <v>0</v>
      </c>
      <c r="FC270" s="140">
        <f t="shared" si="279"/>
        <v>0</v>
      </c>
      <c r="FD270" s="140">
        <f t="shared" si="279"/>
        <v>0</v>
      </c>
      <c r="FE270" s="140">
        <f t="shared" si="279"/>
        <v>0</v>
      </c>
      <c r="FF270" s="140">
        <f t="shared" si="279"/>
        <v>0</v>
      </c>
      <c r="FG270" s="79">
        <f t="shared" ref="FG270:FX270" si="280">FG246-FG268</f>
        <v>0</v>
      </c>
      <c r="FH270" s="79">
        <f t="shared" si="280"/>
        <v>0</v>
      </c>
      <c r="FI270" s="79">
        <f t="shared" si="280"/>
        <v>5.9000000001105946E-2</v>
      </c>
      <c r="FJ270" s="79">
        <f t="shared" si="280"/>
        <v>0</v>
      </c>
      <c r="FK270" s="79">
        <f t="shared" si="280"/>
        <v>0</v>
      </c>
      <c r="FL270" s="79">
        <f t="shared" si="280"/>
        <v>0</v>
      </c>
      <c r="FM270" s="79">
        <f t="shared" si="280"/>
        <v>0</v>
      </c>
      <c r="FN270" s="79">
        <f t="shared" si="280"/>
        <v>0</v>
      </c>
      <c r="FO270" s="79">
        <f t="shared" si="280"/>
        <v>0</v>
      </c>
      <c r="FP270" s="79">
        <f t="shared" si="280"/>
        <v>0</v>
      </c>
      <c r="FQ270" s="79">
        <f>FQ246-FQ268</f>
        <v>0</v>
      </c>
      <c r="FR270" s="79">
        <f>FR246-FR268</f>
        <v>0</v>
      </c>
      <c r="FS270" s="79">
        <f t="shared" si="280"/>
        <v>0</v>
      </c>
      <c r="FT270" s="79">
        <f>FT246-FT268</f>
        <v>0</v>
      </c>
      <c r="FU270" s="79">
        <f t="shared" si="280"/>
        <v>0</v>
      </c>
      <c r="FV270" s="79">
        <f t="shared" si="280"/>
        <v>0</v>
      </c>
      <c r="FW270" s="79">
        <f t="shared" ca="1" si="280"/>
        <v>0</v>
      </c>
      <c r="FX270" s="79">
        <f t="shared" ca="1" si="280"/>
        <v>0</v>
      </c>
    </row>
    <row r="271" spans="2:184" x14ac:dyDescent="0.25">
      <c r="C271" s="74"/>
      <c r="D271" s="74"/>
      <c r="E271" s="196"/>
      <c r="F271" s="196"/>
      <c r="G271" s="196"/>
      <c r="I271" s="196"/>
      <c r="O271" s="196"/>
      <c r="U271" s="196"/>
      <c r="BL271" s="74"/>
    </row>
    <row r="272" spans="2:184" x14ac:dyDescent="0.25">
      <c r="B272" s="103" t="s">
        <v>317</v>
      </c>
      <c r="C272" s="74"/>
      <c r="D272" s="74"/>
      <c r="E272" s="74"/>
      <c r="F272" s="74"/>
      <c r="G272" s="74"/>
      <c r="H272" s="74"/>
      <c r="I272" s="74"/>
      <c r="J272" s="74"/>
      <c r="K272" s="87">
        <f>K236-K248-K256</f>
        <v>494610</v>
      </c>
      <c r="L272" s="87">
        <f>L236-L248-L256</f>
        <v>685780</v>
      </c>
      <c r="M272" s="87">
        <f>M236-M248-M256</f>
        <v>843906</v>
      </c>
      <c r="N272" s="87">
        <f>N236-N248-N256</f>
        <v>1522051</v>
      </c>
      <c r="O272" s="74"/>
      <c r="P272" s="74"/>
      <c r="Q272" s="87">
        <f>Q236-Q248-Q256</f>
        <v>1291026</v>
      </c>
      <c r="R272" s="87">
        <f>R236-R248-R256</f>
        <v>1351500</v>
      </c>
      <c r="S272" s="87">
        <f>S236-S248-S256</f>
        <v>1200889</v>
      </c>
      <c r="T272" s="87">
        <f>T236-T248-T256</f>
        <v>1274424</v>
      </c>
      <c r="U272" s="74"/>
      <c r="V272" s="74"/>
      <c r="W272" s="87">
        <f>W236-W248-W256</f>
        <v>1083212</v>
      </c>
      <c r="X272" s="87">
        <f>X236-X248-X256</f>
        <v>1919259</v>
      </c>
      <c r="Y272" s="87">
        <f>Y236-Y248-Y256</f>
        <v>2400798</v>
      </c>
      <c r="Z272" s="87">
        <f>Z236-Z248-Z256</f>
        <v>669620</v>
      </c>
      <c r="AA272" s="74"/>
      <c r="AB272" s="74"/>
      <c r="AC272" s="87">
        <f>AC236-AC248-AC256</f>
        <v>781831</v>
      </c>
      <c r="AD272" s="87">
        <f>AD236-AD248-AD256</f>
        <v>769319</v>
      </c>
      <c r="AE272" s="87">
        <f>AE236-AE248-AE256</f>
        <v>716294</v>
      </c>
      <c r="AF272" s="87">
        <f>AF236-AF248-AF256</f>
        <v>462134</v>
      </c>
      <c r="AG272" s="74"/>
      <c r="AH272" s="74"/>
      <c r="AI272" s="87">
        <f>AI236-AI248-AI256</f>
        <v>489612</v>
      </c>
      <c r="AJ272" s="87">
        <f>AJ236-AJ248-AJ256</f>
        <v>440743</v>
      </c>
      <c r="AK272" s="87">
        <f>AK236-AK248-AK256</f>
        <v>357837</v>
      </c>
      <c r="AL272" s="87">
        <f>AL236-AL248-AL256</f>
        <v>337318</v>
      </c>
      <c r="AM272" s="74"/>
      <c r="AN272" s="74"/>
      <c r="AO272" s="87">
        <f>AO236-AO248-AO256</f>
        <v>375500</v>
      </c>
      <c r="AP272" s="87">
        <f>AP236-AP248-AP256</f>
        <v>460000</v>
      </c>
      <c r="AQ272" s="87">
        <f>AQ236-AQ248-AQ256</f>
        <v>812600</v>
      </c>
      <c r="AR272" s="87">
        <f>AR236-AR248-AR256</f>
        <v>1239774</v>
      </c>
      <c r="AS272" s="74"/>
      <c r="AT272" s="74"/>
      <c r="AU272" s="87">
        <f>AU236-AU248-AU256</f>
        <v>2003900</v>
      </c>
      <c r="AV272" s="87">
        <f>AV236-AV248-AV256</f>
        <v>2036400</v>
      </c>
      <c r="AW272" s="87">
        <f>AW236-AW248-AW256</f>
        <v>2105000</v>
      </c>
      <c r="AX272" s="87">
        <f>AX236-AX248-AX256</f>
        <v>1995413</v>
      </c>
      <c r="AY272" s="74"/>
      <c r="AZ272" s="74"/>
      <c r="BA272" s="87">
        <f>BA236+BA237-BA248-BA256</f>
        <v>2214013</v>
      </c>
      <c r="BB272" s="87">
        <f>BB236+BB237-BB248-BB256</f>
        <v>9607413</v>
      </c>
      <c r="BC272" s="87">
        <f>BC236+BC237-BC248-BC256</f>
        <v>5408913</v>
      </c>
      <c r="BD272" s="87">
        <f>BD236+BD237-BD248-BD256</f>
        <v>1938090</v>
      </c>
      <c r="BG272" s="87">
        <f>BG236+BG237-BG248-BG256</f>
        <v>1869.9</v>
      </c>
      <c r="BH272" s="87">
        <f>BH236+BH237-BH248-BH256</f>
        <v>1611.1999999999998</v>
      </c>
      <c r="BI272" s="87">
        <f>BI236+BI237-BI248-BI256</f>
        <v>1640.2999999999997</v>
      </c>
      <c r="BJ272" s="87">
        <f>BJ236+BJ237-BJ248-BJ256</f>
        <v>1935.9999999999998</v>
      </c>
      <c r="BK272" s="87">
        <f>BK236+BK237-BK248-BK256</f>
        <v>1935.9999999999998</v>
      </c>
      <c r="BL272" s="74"/>
      <c r="BM272" s="87">
        <f>BM236+BM237-BM248-BM256</f>
        <v>1896.1000000000001</v>
      </c>
      <c r="BN272" s="87">
        <f>BN236+BN237-BN248-BN256</f>
        <v>1587.9999999999995</v>
      </c>
      <c r="BO272" s="87">
        <f>BO236+BO237-BO248-BO256</f>
        <v>1542.9</v>
      </c>
      <c r="BP272" s="87">
        <f>BP236+BP237-BP248-BP256</f>
        <v>1600.1999999999998</v>
      </c>
      <c r="BQ272" s="87">
        <f>BQ236+BQ237-BQ248-BQ256</f>
        <v>1600.1999999999998</v>
      </c>
      <c r="BS272" s="87">
        <f>BS236+BS237-BS248-BS256</f>
        <v>1678.6999999999998</v>
      </c>
      <c r="BT272" s="87">
        <f>BT236+BT237-BT248-BT256</f>
        <v>1400.0000000000002</v>
      </c>
      <c r="BU272" s="87">
        <f>BU236+BU237-BU248-BU256</f>
        <v>1551.4000000000003</v>
      </c>
      <c r="BV272" s="87">
        <f>BV236+BV237-BV248-BV256</f>
        <v>2279</v>
      </c>
      <c r="BW272" s="87">
        <f>BW236+BW237-BW248-BW256</f>
        <v>2279</v>
      </c>
      <c r="BY272" s="87">
        <f>BY236+BY237-BY248-BY256</f>
        <v>1989.9000000000003</v>
      </c>
      <c r="BZ272" s="87">
        <f>BZ236+BZ237-BZ248-BZ256</f>
        <v>1770.6</v>
      </c>
      <c r="CA272" s="87">
        <f>CA236+CA237-CA248-CA256</f>
        <v>1672</v>
      </c>
      <c r="CB272" s="87">
        <f>CB236+CB237-CB248-CB256</f>
        <v>737.40000000000009</v>
      </c>
      <c r="CC272" s="87">
        <f>CC236+CC237-CC248-CC256</f>
        <v>737.40000000000009</v>
      </c>
      <c r="CE272" s="87">
        <f>CE236+CE237-CE248-CE256</f>
        <v>550.59999999999991</v>
      </c>
      <c r="CF272" s="87">
        <f>CF236+CF237-CF248-CF256</f>
        <v>-507.20000000000027</v>
      </c>
      <c r="CG272" s="87">
        <f>CG236+CG237-CG248-CG256</f>
        <v>-344.69999999999982</v>
      </c>
      <c r="CH272" s="87">
        <f>CH236+CH237-CH248-CH256</f>
        <v>263.00000000000045</v>
      </c>
      <c r="CI272" s="87">
        <f>CI236+CI237-CI248-CI256</f>
        <v>263.00000000000045</v>
      </c>
      <c r="CK272" s="87">
        <f>CK236+CK237-CK248-CK256</f>
        <v>190.60000000000036</v>
      </c>
      <c r="CL272" s="87">
        <f>CL236+CL237-CL248-CL256</f>
        <v>-23.5</v>
      </c>
      <c r="CM272" s="87">
        <f>CM236+CM237-CM248-CM256</f>
        <v>-50.849999999999909</v>
      </c>
      <c r="CN272" s="87">
        <f>CN236+CN237-CN248-CN256</f>
        <v>1007.8999999999996</v>
      </c>
      <c r="CO272" s="87">
        <f>CO236+CO237-CO248-CO256</f>
        <v>1007.8999999999996</v>
      </c>
      <c r="CQ272" s="87">
        <f>CQ236+CQ237-CQ248-CQ256</f>
        <v>192.59999999999991</v>
      </c>
      <c r="CR272" s="87">
        <f>CR236+CR237-CR248-CR256</f>
        <v>-797.80000000000018</v>
      </c>
      <c r="CS272" s="87">
        <f>CS236+CS237-CS248-CS256</f>
        <v>-1100.0999999999999</v>
      </c>
      <c r="CT272" s="87">
        <f>CT236+CT237-CT248-CT256</f>
        <v>1609.8000000000002</v>
      </c>
      <c r="CU272" s="87">
        <f>CU236+CU237-CU248-CU256</f>
        <v>1609.8000000000002</v>
      </c>
      <c r="CW272" s="87">
        <f>CW236+CW237-CW248-CW256</f>
        <v>243.59999999999945</v>
      </c>
      <c r="CX272" s="87">
        <f>CX236+CX237-CX248-CX256</f>
        <v>-184.69999999999982</v>
      </c>
      <c r="CY272" s="87">
        <f>CY236+CY237-CY248-CY256</f>
        <v>-218.89999999999964</v>
      </c>
      <c r="CZ272" s="87">
        <f>CZ236+CZ237-CZ248-CZ256</f>
        <v>2673.3999999999996</v>
      </c>
      <c r="DA272" s="87">
        <f>DA236+DA237-DA248-DA256</f>
        <v>2673.3999999999996</v>
      </c>
      <c r="DC272" s="87">
        <f>DC236+DC237-DC248-DC256</f>
        <v>5.8000000000001819</v>
      </c>
      <c r="DD272" s="87">
        <f>DD236+DD237-DD248-DD256</f>
        <v>738.00000000000091</v>
      </c>
      <c r="DE272" s="87">
        <f>DE236+DE237-DE248-DE256</f>
        <v>334.5</v>
      </c>
      <c r="DF272" s="87">
        <f>DF236+DF237-DF248-DF256</f>
        <v>3006.2</v>
      </c>
      <c r="DG272" s="87">
        <f>DG236+DG237-DG248-DG256</f>
        <v>3006.2</v>
      </c>
      <c r="DI272" s="87">
        <f>DI236+DI237-DI248-DI256</f>
        <v>261.80000000000018</v>
      </c>
      <c r="DJ272" s="87">
        <f>DJ236+DJ237-DJ248-DJ256</f>
        <v>-492.50000000000045</v>
      </c>
      <c r="DK272" s="87">
        <f>DK236+DK237-DK248-DK256</f>
        <v>-649.39999999999964</v>
      </c>
      <c r="DL272" s="87">
        <f>DL236+DL237-DL248-DL256</f>
        <v>3115.6000000000004</v>
      </c>
      <c r="DM272" s="87">
        <f>DM236+DM237-DM248-DM256</f>
        <v>3115.6000000000004</v>
      </c>
      <c r="DO272" s="87">
        <f>DO236+DO237-DO248-DO256</f>
        <v>2370.3000000000002</v>
      </c>
      <c r="DP272" s="87">
        <f>DP236+DP237-DP248-DP256</f>
        <v>1082.4000000000005</v>
      </c>
      <c r="DQ272" s="87">
        <f>DQ236+DQ237-DQ248-DQ256</f>
        <v>-287.60000000000036</v>
      </c>
      <c r="DR272" s="87">
        <f>DR236+DR237-DR248-DR256</f>
        <v>2378.4999999999991</v>
      </c>
      <c r="DS272" s="87">
        <f>DS236+DS237-DS248-DS256</f>
        <v>2378.4999999999991</v>
      </c>
      <c r="DT272" s="87"/>
      <c r="DU272" s="87">
        <f>DU236+DU237-DU248-DU256</f>
        <v>794</v>
      </c>
      <c r="DV272" s="87">
        <f>DV236+DV237-DV248-DV256</f>
        <v>410.60000000000036</v>
      </c>
      <c r="DW272" s="87">
        <f>DW236+DW237-DW248-DW256</f>
        <v>292.19999999999982</v>
      </c>
      <c r="DX272" s="87">
        <f>DX236+DX237-DX248-DX256</f>
        <v>8053.7</v>
      </c>
      <c r="DY272" s="87">
        <f>DY236+DY237-DY248-DY256</f>
        <v>8053.7</v>
      </c>
      <c r="EA272" s="87">
        <f>EA236+EA237-EA248-EA256</f>
        <v>4412.3</v>
      </c>
      <c r="EB272" s="87">
        <f>EB236+EB237-EB248-EB256</f>
        <v>2539.6999999999994</v>
      </c>
      <c r="EC272" s="87">
        <f>EC236+EC237-EC248-EC256</f>
        <v>1413.1999999999998</v>
      </c>
      <c r="ED272" s="87">
        <f>ED236+ED237-ED248-ED256</f>
        <v>8931</v>
      </c>
      <c r="EE272" s="87">
        <f>EE236+EE237-EE248-EE256</f>
        <v>8931</v>
      </c>
      <c r="EG272" s="87">
        <f>EG236+EG237-EG248-EG256</f>
        <v>3991.2099999999996</v>
      </c>
      <c r="EH272" s="87">
        <f>EH236+EH237-EH248-EH256</f>
        <v>-206.96075876170107</v>
      </c>
      <c r="EI272" s="87">
        <f>EI236+EI237-EI248-EI256</f>
        <v>-1841.8588857256259</v>
      </c>
      <c r="EJ272" s="87">
        <f>EJ236+EJ237-EJ248-EJ256</f>
        <v>2748.781974421518</v>
      </c>
      <c r="EK272" s="87">
        <f>EK236+EK237-EK248-EK256</f>
        <v>2748.781974421518</v>
      </c>
      <c r="ET272" s="74"/>
      <c r="EU272" s="114"/>
      <c r="EV272" s="87">
        <f t="shared" ref="EV272:FX272" si="281">EV236+EV237-EV248-EV256</f>
        <v>-1084491</v>
      </c>
      <c r="EW272" s="87">
        <f t="shared" si="281"/>
        <v>-860065</v>
      </c>
      <c r="EX272" s="87">
        <f t="shared" si="281"/>
        <v>-817333</v>
      </c>
      <c r="EY272" s="87">
        <f t="shared" si="281"/>
        <v>-382558</v>
      </c>
      <c r="EZ272" s="87">
        <f t="shared" si="281"/>
        <v>-381433</v>
      </c>
      <c r="FA272" s="87">
        <f t="shared" si="281"/>
        <v>-602016</v>
      </c>
      <c r="FB272" s="87">
        <f t="shared" si="281"/>
        <v>-647050</v>
      </c>
      <c r="FC272" s="87">
        <f t="shared" si="281"/>
        <v>-699756</v>
      </c>
      <c r="FD272" s="87">
        <f t="shared" si="281"/>
        <v>-710060</v>
      </c>
      <c r="FE272" s="87">
        <f t="shared" si="281"/>
        <v>-736387</v>
      </c>
      <c r="FF272" s="87">
        <f t="shared" si="281"/>
        <v>-759510</v>
      </c>
      <c r="FG272" s="87">
        <f t="shared" si="281"/>
        <v>1935.9999999999998</v>
      </c>
      <c r="FH272" s="87">
        <f t="shared" si="281"/>
        <v>1600.1999999999998</v>
      </c>
      <c r="FI272" s="87">
        <f t="shared" si="281"/>
        <v>2279</v>
      </c>
      <c r="FJ272" s="87">
        <f t="shared" si="281"/>
        <v>737.40000000000009</v>
      </c>
      <c r="FK272" s="87">
        <f t="shared" si="281"/>
        <v>263.00000000000045</v>
      </c>
      <c r="FL272" s="87">
        <f t="shared" si="281"/>
        <v>1007.8999999999996</v>
      </c>
      <c r="FM272" s="87">
        <f t="shared" si="281"/>
        <v>1609.8000000000002</v>
      </c>
      <c r="FN272" s="87">
        <f t="shared" si="281"/>
        <v>2673.3999999999996</v>
      </c>
      <c r="FO272" s="87">
        <f t="shared" si="281"/>
        <v>3006.2</v>
      </c>
      <c r="FP272" s="87">
        <f t="shared" si="281"/>
        <v>3115.6000000000004</v>
      </c>
      <c r="FQ272" s="87">
        <f t="shared" si="281"/>
        <v>2378.4999999999991</v>
      </c>
      <c r="FR272" s="87">
        <f t="shared" si="281"/>
        <v>8053.7</v>
      </c>
      <c r="FS272" s="87">
        <f t="shared" si="281"/>
        <v>8931</v>
      </c>
      <c r="FT272" s="87">
        <f t="shared" si="281"/>
        <v>2748.781974421518</v>
      </c>
      <c r="FU272" s="87">
        <f t="shared" si="281"/>
        <v>7470.9641356941866</v>
      </c>
      <c r="FV272" s="87">
        <f t="shared" si="281"/>
        <v>19999.619645971703</v>
      </c>
      <c r="FW272" s="87">
        <f t="shared" ca="1" si="281"/>
        <v>21843.890463415388</v>
      </c>
      <c r="FX272" s="87">
        <f t="shared" ca="1" si="281"/>
        <v>17559.308942611307</v>
      </c>
    </row>
    <row r="273" spans="1:180" x14ac:dyDescent="0.25">
      <c r="B273" s="103" t="s">
        <v>316</v>
      </c>
      <c r="C273" s="74"/>
      <c r="D273" s="74"/>
      <c r="F273" s="74"/>
      <c r="G273" s="74"/>
      <c r="H273" s="74"/>
      <c r="I273" s="74"/>
      <c r="J273" s="74"/>
      <c r="K273" s="141"/>
      <c r="L273" s="141"/>
      <c r="M273" s="141"/>
      <c r="N273" s="141"/>
      <c r="O273" s="74"/>
      <c r="P273" s="74"/>
      <c r="Q273" s="141"/>
      <c r="R273" s="141"/>
      <c r="S273" s="141"/>
      <c r="T273" s="141"/>
      <c r="U273" s="74"/>
      <c r="V273" s="74"/>
      <c r="W273" s="141"/>
      <c r="X273" s="141"/>
      <c r="Y273" s="141"/>
      <c r="Z273" s="141"/>
      <c r="AA273" s="74"/>
      <c r="AB273" s="74"/>
      <c r="AC273" s="141">
        <f>(AC226+AC244-AC254)/AC50</f>
        <v>5.7191473586654311</v>
      </c>
      <c r="AD273" s="141">
        <f>(AD226+AD244-AD254)/AD50</f>
        <v>5.9153287989221308</v>
      </c>
      <c r="AE273" s="141">
        <f>(AE226+AE244-AE254)/AE50</f>
        <v>6.0124608499045573</v>
      </c>
      <c r="AF273" s="141">
        <f>(AF226+AF244-AF254)/AF50</f>
        <v>5.8000226857628316</v>
      </c>
      <c r="AG273" s="74"/>
      <c r="AH273" s="74"/>
      <c r="AI273" s="141">
        <f>(AI226+AI244-AI254)/AI50</f>
        <v>5.2536934868737735</v>
      </c>
      <c r="AJ273" s="141">
        <f>(AJ226+AJ244-AJ254)/AJ50</f>
        <v>5.0272792019498027</v>
      </c>
      <c r="AK273" s="141">
        <f>(AK226+AK244-AK254)/AK50</f>
        <v>5.1059709943953315</v>
      </c>
      <c r="AL273" s="141">
        <f>(AL226+AL244-AL254)/AL50</f>
        <v>5.4476236641045173</v>
      </c>
      <c r="AM273" s="74"/>
      <c r="AN273" s="74"/>
      <c r="AO273" s="141">
        <f>(AO226+AO244-AO254)/AO50</f>
        <v>5.5205069124423964</v>
      </c>
      <c r="AP273" s="141">
        <f>(AP226+AP244-AP254)/AP50</f>
        <v>6.1907607446564006</v>
      </c>
      <c r="AQ273" s="141">
        <f>(AQ226+AQ244-AQ254)/AQ50</f>
        <v>6.6716417910447765</v>
      </c>
      <c r="AR273" s="141">
        <f>(AR226+AR244-AR254)/AR50</f>
        <v>8.1073181922459288</v>
      </c>
      <c r="AS273" s="74"/>
      <c r="AT273" s="74"/>
      <c r="AU273" s="141">
        <f>(AU226+AU244-AU254)/AU50</f>
        <v>9.3327989005955114</v>
      </c>
      <c r="AV273" s="141">
        <f>(AV226+AV244-AV254)/AV50</f>
        <v>10.293364377182771</v>
      </c>
      <c r="AW273" s="141">
        <f>(AW226+AW244-AW254)/AW50</f>
        <v>10.783360986015644</v>
      </c>
      <c r="AX273" s="141">
        <f>(AX226+AX244-AX254)/AX50</f>
        <v>10.893546679499519</v>
      </c>
      <c r="AY273" s="74"/>
      <c r="AZ273" s="74"/>
      <c r="BA273" s="141">
        <f>(BA226+BA244-BA254)/BA50</f>
        <v>11656.386595434677</v>
      </c>
      <c r="BB273" s="141">
        <f>(BB226+BB244-BB254)/BB50</f>
        <v>30044.932844932846</v>
      </c>
      <c r="BC273" s="141">
        <f>(BC226+BC244-BC254)/BC50</f>
        <v>18331.124260355031</v>
      </c>
      <c r="BD273" s="141">
        <f>(BD226+BD244-BD254)/BD50</f>
        <v>5534.6990917127068</v>
      </c>
      <c r="BG273" s="141">
        <f>(BG226+BG244-BG254)/BG50</f>
        <v>11.609570552147243</v>
      </c>
      <c r="BH273" s="141">
        <f>(BH226+BH244-BH254)/BH50</f>
        <v>11.103496831729638</v>
      </c>
      <c r="BI273" s="141">
        <f>(BI226+BI244-BI254)/BI50</f>
        <v>11.846501128668169</v>
      </c>
      <c r="BJ273" s="141">
        <f>(BJ226+BJ244-BJ254)/BJ50</f>
        <v>12.159954751131224</v>
      </c>
      <c r="BK273" s="141">
        <f>(BK226+BK244-BK254)/BK50</f>
        <v>12.505118659841788</v>
      </c>
      <c r="BL273" s="141"/>
      <c r="BM273" s="141">
        <f>(BM226+BM244-BM254)/BM50</f>
        <v>12.532954545454546</v>
      </c>
      <c r="BN273" s="141">
        <f>(BN226+BN244-BN254)/BN50</f>
        <v>12.543215507411634</v>
      </c>
      <c r="BO273" s="141">
        <f>(BO226+BO244-BO254)/BO50</f>
        <v>12.859435909195138</v>
      </c>
      <c r="BP273" s="141">
        <f>(BP226+BP244-BP254)/BP50</f>
        <v>13.141902787376184</v>
      </c>
      <c r="BQ273" s="141">
        <f>(BQ226+BQ244-BQ254)/BQ50</f>
        <v>13.049465317092702</v>
      </c>
      <c r="BS273" s="141">
        <f>(BS226+BS244-BS254)/BS50</f>
        <v>13.763754045307442</v>
      </c>
      <c r="BT273" s="141">
        <f>(BT226+BT244-BT254)/BT50</f>
        <v>13.854427445526197</v>
      </c>
      <c r="BU273" s="141">
        <f>(BU226+BU244-BU254)/BU50</f>
        <v>14.349383577576182</v>
      </c>
      <c r="BV273" s="141">
        <f>(BV226+BV244-BV254)/BV50</f>
        <v>14.508162313432839</v>
      </c>
      <c r="BW273" s="141">
        <f>(BW226+BW244-BW254)/BW50</f>
        <v>14.444999129273818</v>
      </c>
      <c r="BY273" s="141">
        <f>(BY226+BY244-BY254)/BY50</f>
        <v>14.097658079625292</v>
      </c>
      <c r="BZ273" s="141">
        <f>(BZ226+BZ244-BZ254)/BZ50</f>
        <v>12.884098939929329</v>
      </c>
      <c r="CA273" s="141">
        <f>(CA226+CA244-CA254)/CA50</f>
        <v>17.769938650306745</v>
      </c>
      <c r="CB273" s="141">
        <f>(CB226+CB244-CB254)/CB50</f>
        <v>16.30531491453992</v>
      </c>
      <c r="CC273" s="141">
        <f>(CC226+CC244-CC254)/CC50</f>
        <v>16.362781954887218</v>
      </c>
      <c r="CE273" s="141">
        <f>(CE226+CE244-CE254)/CE50</f>
        <v>17.476400837014644</v>
      </c>
      <c r="CF273" s="141">
        <f>(CF226+CF244-CF254)/CF50</f>
        <v>15.064591078066913</v>
      </c>
      <c r="CG273" s="141">
        <f>(CG226+CG244-CG254)/CG50</f>
        <v>15.976982097186699</v>
      </c>
      <c r="CH273" s="141">
        <f>(CH226+CH244-CH254)/CH50</f>
        <v>17.078898225957051</v>
      </c>
      <c r="CI273" s="141">
        <f>(CI226+CI244-CI254)/CI50</f>
        <v>17.025247236765562</v>
      </c>
      <c r="CK273" s="141">
        <f>(CK226+CK244-CK254)/CK50</f>
        <v>18.174157303370791</v>
      </c>
      <c r="CL273" s="141">
        <f>(CL226+CL244-CL254)/CL50</f>
        <v>17.413145539906104</v>
      </c>
      <c r="CM273" s="141">
        <f>(CM226+CM244-CM254)/CM50</f>
        <v>18.711760546782934</v>
      </c>
      <c r="CN273" s="141">
        <f>(CN226+CN244-CN254)/CN50</f>
        <v>19.727617243012791</v>
      </c>
      <c r="CO273" s="141">
        <f>(CO226+CO244-CO254)/CO50</f>
        <v>19.601106077543097</v>
      </c>
      <c r="CQ273" s="141">
        <f>(CQ226+CQ244-CQ254)/CQ50</f>
        <v>19.702920921396345</v>
      </c>
      <c r="CR273" s="141">
        <f>(CR226+CR244-CR254)/CR50</f>
        <v>18.695321776300162</v>
      </c>
      <c r="CS273" s="141">
        <f>(CS226+CS244-CS254)/CS50</f>
        <v>19.480874316939893</v>
      </c>
      <c r="CT273" s="141">
        <f>(CT226+CT244-CT254)/CT50</f>
        <v>22.462032849321584</v>
      </c>
      <c r="CU273" s="141">
        <f>(CU226+CU244-CU254)/CU50</f>
        <v>22.424667300380225</v>
      </c>
      <c r="CW273" s="141">
        <f>(CW226+CW244-CW254)/CW50</f>
        <v>24.03245823389021</v>
      </c>
      <c r="CX273" s="141">
        <f>(CX226+CX244-CX254)/CX50</f>
        <v>26.221080305927348</v>
      </c>
      <c r="CY273" s="141">
        <f>(CY226+CY244-CY254)/CY50</f>
        <v>28.102772466539196</v>
      </c>
      <c r="CZ273" s="141">
        <f>(CZ226+CZ244-CZ254)/CZ50</f>
        <v>28.255808383233532</v>
      </c>
      <c r="DA273" s="141">
        <f>(DA226+DA244-DA254)/DA50</f>
        <v>28.200083667005316</v>
      </c>
      <c r="DC273" s="141">
        <f>(DC226+DC244-DC254)/DC50</f>
        <v>27.702624608716594</v>
      </c>
      <c r="DD273" s="141">
        <f>(DD226+DD244-DD254)/DD50</f>
        <v>25.746051032806808</v>
      </c>
      <c r="DE273" s="141">
        <f>(DE226+DE244-DE254)/DE50</f>
        <v>22.667320421671974</v>
      </c>
      <c r="DF273" s="141">
        <f>(DF226+DF244-DF254)/DF50</f>
        <v>21.951273806579266</v>
      </c>
      <c r="DG273" s="141">
        <f>(DG226+DG244-DG254)/DG50</f>
        <v>21.659304453935324</v>
      </c>
      <c r="DI273" s="141">
        <f>(DI226+DI244-DI254)/DI50</f>
        <v>19.335327848416867</v>
      </c>
      <c r="DJ273" s="141">
        <f>(DJ226+DJ244-DJ254)/DJ50</f>
        <v>21.481295505900075</v>
      </c>
      <c r="DK273" s="141">
        <f>(DK226+DK244-DK254)/DK50</f>
        <v>19.231448763250889</v>
      </c>
      <c r="DL273" s="141">
        <f>(DL226+DL244-DL254)/DL50</f>
        <v>22.855153203342621</v>
      </c>
      <c r="DM273" s="141">
        <f>(DM226+DM244-DM254)/DM50</f>
        <v>22.698522477208424</v>
      </c>
      <c r="DO273" s="141">
        <f>(DO226+DO244-DO254)/DO50</f>
        <v>21.463878326996205</v>
      </c>
      <c r="DP273" s="141">
        <f>(DP226+DP244-DP254)/DP50</f>
        <v>26.337988826815636</v>
      </c>
      <c r="DQ273" s="141">
        <f>(DQ226+DQ244-DQ254)/DQ50</f>
        <v>26.516129032258068</v>
      </c>
      <c r="DR273" s="141">
        <f>(DR226+DR244-DR254)/DR50</f>
        <v>34.601931875953241</v>
      </c>
      <c r="DS273" s="141">
        <f>(DS226+DS244-DS254)/DS50</f>
        <v>34.562396851593249</v>
      </c>
      <c r="DT273" s="141"/>
      <c r="DU273" s="141">
        <f>(DU226+DU244-DU254)/DU50</f>
        <v>35.415353329944075</v>
      </c>
      <c r="DV273" s="141">
        <f>(DV226+DV244-DV254)/DV50</f>
        <v>36.635045778229916</v>
      </c>
      <c r="DW273" s="141">
        <f>(DW226+DW244-DW254)/DW50</f>
        <v>38.275940996948123</v>
      </c>
      <c r="DX273" s="141">
        <f>(DX226+DX244-DX254)/DX50</f>
        <v>44.578693109585558</v>
      </c>
      <c r="DY273" s="141">
        <f>(DY226+DY244-DY254)/DY50</f>
        <v>44.581526921365459</v>
      </c>
      <c r="EA273" s="141">
        <f>(EA226+EA244-EA254)/EA50</f>
        <v>42.195768544481268</v>
      </c>
      <c r="EB273" s="141">
        <f>(EB226+EB244-EB254)/EB50</f>
        <v>39.645801133436372</v>
      </c>
      <c r="EC273" s="141">
        <f>(EC226+EC244-EC254)/EC50</f>
        <v>34.631035373095784</v>
      </c>
      <c r="ED273" s="141">
        <f>(ED226+ED244-ED254)/ED50</f>
        <v>36.264332036316482</v>
      </c>
      <c r="EE273" s="141">
        <f>(EE226+EE244-EE254)/EE50</f>
        <v>36.000515032511444</v>
      </c>
      <c r="EG273" s="141">
        <f>(EG226+EG244-EG254)/EG50</f>
        <v>39.229605604566679</v>
      </c>
      <c r="EH273" s="141">
        <f>(EH226+EH244-EH254)/EH50</f>
        <v>41.111530883914909</v>
      </c>
      <c r="EI273" s="141">
        <f>(EI226+EI244-EI254)/EI50</f>
        <v>43.447233631803726</v>
      </c>
      <c r="EJ273" s="141">
        <f>(EJ226+EJ244-EJ254)/EJ50</f>
        <v>46.803698828661965</v>
      </c>
      <c r="EK273" s="141">
        <f>(EK226+EK244-EK254)/EK50</f>
        <v>46.65906868578157</v>
      </c>
      <c r="EX273" s="141">
        <f t="shared" ref="EX273:FX273" si="282">(EX226+EX244-EX254)/EX50</f>
        <v>-1.0539327237370184</v>
      </c>
      <c r="EY273" s="141">
        <f t="shared" si="282"/>
        <v>-2.357766838875198</v>
      </c>
      <c r="EZ273" s="141">
        <f t="shared" si="282"/>
        <v>-1.9174556711451796</v>
      </c>
      <c r="FA273" s="141">
        <f t="shared" si="282"/>
        <v>-1.9953633819630368</v>
      </c>
      <c r="FB273" s="141">
        <f t="shared" si="282"/>
        <v>-1.083598999119596</v>
      </c>
      <c r="FC273" s="141">
        <f t="shared" si="282"/>
        <v>-0.89873797364994845</v>
      </c>
      <c r="FD273" s="141">
        <f t="shared" si="282"/>
        <v>-3.2417490232130546</v>
      </c>
      <c r="FE273" s="141">
        <f t="shared" si="282"/>
        <v>-2.7712453007518798</v>
      </c>
      <c r="FF273" s="141">
        <f t="shared" si="282"/>
        <v>-2045.8903755231975</v>
      </c>
      <c r="FG273" s="141">
        <f t="shared" si="282"/>
        <v>12.505118659841788</v>
      </c>
      <c r="FH273" s="141">
        <f t="shared" si="282"/>
        <v>13.049465317092702</v>
      </c>
      <c r="FI273" s="141">
        <f t="shared" si="282"/>
        <v>14.444999129273818</v>
      </c>
      <c r="FJ273" s="141">
        <f t="shared" si="282"/>
        <v>16.362781954887218</v>
      </c>
      <c r="FK273" s="141">
        <f t="shared" si="282"/>
        <v>17.025247236765562</v>
      </c>
      <c r="FL273" s="141">
        <f t="shared" si="282"/>
        <v>19.601106077543097</v>
      </c>
      <c r="FM273" s="141">
        <f t="shared" si="282"/>
        <v>22.424667300380225</v>
      </c>
      <c r="FN273" s="141">
        <f t="shared" si="282"/>
        <v>28.200083667005316</v>
      </c>
      <c r="FO273" s="141">
        <f t="shared" si="282"/>
        <v>21.659304453935324</v>
      </c>
      <c r="FP273" s="141">
        <f t="shared" si="282"/>
        <v>22.698522477208424</v>
      </c>
      <c r="FQ273" s="141">
        <f t="shared" si="282"/>
        <v>34.562396851593249</v>
      </c>
      <c r="FR273" s="141">
        <f t="shared" si="282"/>
        <v>44.581526921365459</v>
      </c>
      <c r="FS273" s="141">
        <f t="shared" si="282"/>
        <v>36.000515032511444</v>
      </c>
      <c r="FT273" s="141">
        <f t="shared" si="282"/>
        <v>46.65906868578157</v>
      </c>
      <c r="FU273" s="141">
        <f t="shared" si="282"/>
        <v>78.176399076375517</v>
      </c>
      <c r="FV273" s="141">
        <f t="shared" si="282"/>
        <v>97.67147625760839</v>
      </c>
      <c r="FW273" s="141">
        <f t="shared" ca="1" si="282"/>
        <v>89.19072448754774</v>
      </c>
      <c r="FX273" s="141">
        <f t="shared" ca="1" si="282"/>
        <v>84.356740708089362</v>
      </c>
    </row>
    <row r="279" spans="1:180" x14ac:dyDescent="0.25">
      <c r="A279" s="253" t="s">
        <v>185</v>
      </c>
      <c r="B279" s="253"/>
      <c r="C279" s="253"/>
      <c r="D279" s="253"/>
      <c r="E279" s="254" t="str">
        <f>E$3</f>
        <v>1Q04</v>
      </c>
      <c r="F279" s="254" t="str">
        <f>F$3</f>
        <v>2Q04</v>
      </c>
      <c r="G279" s="254" t="str">
        <f>G$3</f>
        <v>3Q04</v>
      </c>
      <c r="H279" s="254" t="str">
        <f>H$3</f>
        <v>4Q04</v>
      </c>
      <c r="I279" s="254">
        <f>I$3</f>
        <v>2004</v>
      </c>
      <c r="J279" s="253"/>
      <c r="K279" s="254" t="str">
        <f>K$3</f>
        <v>1Q05</v>
      </c>
      <c r="L279" s="254" t="str">
        <f>L$3</f>
        <v>2Q05</v>
      </c>
      <c r="M279" s="254" t="str">
        <f>M$3</f>
        <v>3Q05</v>
      </c>
      <c r="N279" s="254" t="str">
        <f>N$3</f>
        <v>4Q05</v>
      </c>
      <c r="O279" s="254">
        <f>O$3</f>
        <v>2005</v>
      </c>
      <c r="P279" s="253"/>
      <c r="Q279" s="254" t="str">
        <f>Q$3</f>
        <v>1Q06</v>
      </c>
      <c r="R279" s="254" t="str">
        <f>R$3</f>
        <v>2Q06</v>
      </c>
      <c r="S279" s="254" t="str">
        <f>S$3</f>
        <v>3Q06</v>
      </c>
      <c r="T279" s="254" t="str">
        <f>T$3</f>
        <v>4Q06</v>
      </c>
      <c r="U279" s="254">
        <f>U$3</f>
        <v>2006</v>
      </c>
      <c r="V279" s="253"/>
      <c r="W279" s="254" t="str">
        <f>W$3</f>
        <v>1Q07</v>
      </c>
      <c r="X279" s="254" t="str">
        <f>X$3</f>
        <v>2Q07</v>
      </c>
      <c r="Y279" s="254" t="str">
        <f>Y$3</f>
        <v>3Q07</v>
      </c>
      <c r="Z279" s="254" t="str">
        <f>Z$3</f>
        <v>4Q07</v>
      </c>
      <c r="AA279" s="254">
        <f>AA$3</f>
        <v>2007</v>
      </c>
      <c r="AB279" s="253"/>
      <c r="AC279" s="254" t="str">
        <f>AC$3</f>
        <v>1Q08</v>
      </c>
      <c r="AD279" s="254" t="str">
        <f>AD$3</f>
        <v>2Q08</v>
      </c>
      <c r="AE279" s="254" t="str">
        <f>AE$3</f>
        <v>3Q08</v>
      </c>
      <c r="AF279" s="254" t="str">
        <f>AF$3</f>
        <v>4Q08</v>
      </c>
      <c r="AG279" s="254">
        <f>AG$3</f>
        <v>2008</v>
      </c>
      <c r="AH279" s="253"/>
      <c r="AI279" s="254" t="str">
        <f>AI$3</f>
        <v>1Q09</v>
      </c>
      <c r="AJ279" s="254" t="str">
        <f>AJ$3</f>
        <v>2Q09</v>
      </c>
      <c r="AK279" s="254" t="str">
        <f>AK$3</f>
        <v>3Q09</v>
      </c>
      <c r="AL279" s="254" t="str">
        <f>AL$3</f>
        <v>4Q09</v>
      </c>
      <c r="AM279" s="254">
        <f>AM$3</f>
        <v>2009</v>
      </c>
      <c r="AN279" s="253"/>
      <c r="AO279" s="254" t="str">
        <f>AO$3</f>
        <v>1Q10</v>
      </c>
      <c r="AP279" s="254" t="str">
        <f>AP$3</f>
        <v>2Q10</v>
      </c>
      <c r="AQ279" s="254" t="str">
        <f>AQ$3</f>
        <v>3Q10</v>
      </c>
      <c r="AR279" s="254" t="str">
        <f>AR$3</f>
        <v>4Q10</v>
      </c>
      <c r="AS279" s="254">
        <f>AS$3</f>
        <v>2010</v>
      </c>
      <c r="AT279" s="253"/>
      <c r="AU279" s="254" t="str">
        <f>AU$3</f>
        <v>1Q11</v>
      </c>
      <c r="AV279" s="254" t="str">
        <f>AV$3</f>
        <v>2Q11</v>
      </c>
      <c r="AW279" s="254" t="str">
        <f>AW$3</f>
        <v>3Q11</v>
      </c>
      <c r="AX279" s="254" t="str">
        <f>AX$3</f>
        <v>4Q11</v>
      </c>
      <c r="AY279" s="254">
        <f>AY$3</f>
        <v>2011</v>
      </c>
      <c r="AZ279" s="253"/>
      <c r="BA279" s="254" t="str">
        <f>BA$3</f>
        <v>1Q12</v>
      </c>
      <c r="BB279" s="254" t="str">
        <f>BB$3</f>
        <v>2Q12</v>
      </c>
      <c r="BC279" s="254" t="str">
        <f>BC$3</f>
        <v>3Q12</v>
      </c>
      <c r="BD279" s="254" t="str">
        <f>BD$3</f>
        <v>4Q12</v>
      </c>
      <c r="BE279" s="254">
        <f>BE$3</f>
        <v>2012</v>
      </c>
      <c r="BF279" s="253"/>
      <c r="BG279" s="254" t="str">
        <f>BG$3</f>
        <v>1Q13</v>
      </c>
      <c r="BH279" s="254" t="str">
        <f>BH$3</f>
        <v>2Q13</v>
      </c>
      <c r="BI279" s="254" t="str">
        <f>BI$3</f>
        <v>3Q13</v>
      </c>
      <c r="BJ279" s="254" t="str">
        <f>BJ$3</f>
        <v>4Q13</v>
      </c>
      <c r="BK279" s="254">
        <f>BK$3</f>
        <v>2013</v>
      </c>
      <c r="BL279" s="253"/>
      <c r="BM279" s="254" t="str">
        <f>BM$3</f>
        <v>1Q14</v>
      </c>
      <c r="BN279" s="254" t="str">
        <f>BN$3</f>
        <v>2Q14</v>
      </c>
      <c r="BO279" s="254" t="str">
        <f>BO$3</f>
        <v>3Q14</v>
      </c>
      <c r="BP279" s="254" t="str">
        <f>BP$3</f>
        <v>4Q14</v>
      </c>
      <c r="BQ279" s="254">
        <f>BQ$3</f>
        <v>2014</v>
      </c>
      <c r="BR279" s="253"/>
      <c r="BS279" s="254" t="str">
        <f>BS$3</f>
        <v>1Q15</v>
      </c>
      <c r="BT279" s="254" t="str">
        <f>BT$3</f>
        <v>2Q15</v>
      </c>
      <c r="BU279" s="254" t="str">
        <f>BU$3</f>
        <v>3Q15</v>
      </c>
      <c r="BV279" s="254" t="str">
        <f>BV$3</f>
        <v>4Q15</v>
      </c>
      <c r="BW279" s="254">
        <f>BW$3</f>
        <v>2015</v>
      </c>
      <c r="BX279" s="253"/>
      <c r="BY279" s="254" t="str">
        <f>BY$3</f>
        <v>1Q16</v>
      </c>
      <c r="BZ279" s="254" t="str">
        <f>BZ$3</f>
        <v>2Q16</v>
      </c>
      <c r="CA279" s="254" t="str">
        <f>CA$3</f>
        <v>3Q16</v>
      </c>
      <c r="CB279" s="254" t="str">
        <f>CB$3</f>
        <v>4Q16</v>
      </c>
      <c r="CC279" s="254">
        <f>CC$3</f>
        <v>2016</v>
      </c>
      <c r="CD279" s="253"/>
      <c r="CE279" s="254" t="str">
        <f>CE$3</f>
        <v>1Q17</v>
      </c>
      <c r="CF279" s="254" t="str">
        <f>CF$3</f>
        <v>2Q17</v>
      </c>
      <c r="CG279" s="254" t="str">
        <f>CG$3</f>
        <v>3Q17</v>
      </c>
      <c r="CH279" s="254" t="str">
        <f>CH$3</f>
        <v>4Q17</v>
      </c>
      <c r="CI279" s="254">
        <f>CI$3</f>
        <v>2017</v>
      </c>
      <c r="CJ279" s="253"/>
      <c r="CK279" s="254" t="str">
        <f>CK$3</f>
        <v>1Q18</v>
      </c>
      <c r="CL279" s="254" t="str">
        <f>CL$3</f>
        <v>2Q18</v>
      </c>
      <c r="CM279" s="254" t="str">
        <f>CM$3</f>
        <v>3Q18</v>
      </c>
      <c r="CN279" s="254" t="str">
        <f>CN$3</f>
        <v>4Q18</v>
      </c>
      <c r="CO279" s="254">
        <f>CO$3</f>
        <v>2018</v>
      </c>
      <c r="CP279" s="253"/>
      <c r="CQ279" s="254" t="str">
        <f>CQ$3</f>
        <v>1Q19</v>
      </c>
      <c r="CR279" s="254" t="str">
        <f>CR$3</f>
        <v>2Q19</v>
      </c>
      <c r="CS279" s="254" t="str">
        <f>CS$3</f>
        <v>3Q19</v>
      </c>
      <c r="CT279" s="254" t="str">
        <f>CT$3</f>
        <v>4Q19</v>
      </c>
      <c r="CU279" s="254">
        <f>CU$3</f>
        <v>2019</v>
      </c>
      <c r="CV279" s="253"/>
      <c r="CW279" s="254" t="str">
        <f>CW$3</f>
        <v>1Q20</v>
      </c>
      <c r="CX279" s="254" t="str">
        <f>CX$3</f>
        <v>2Q20</v>
      </c>
      <c r="CY279" s="254" t="str">
        <f>CY$3</f>
        <v>3Q20</v>
      </c>
      <c r="CZ279" s="254" t="str">
        <f>CZ$3</f>
        <v>4Q20</v>
      </c>
      <c r="DA279" s="254">
        <f>DA$3</f>
        <v>2020</v>
      </c>
      <c r="DB279" s="253"/>
      <c r="DC279" s="254" t="str">
        <f>DC$3</f>
        <v>1Q21</v>
      </c>
      <c r="DD279" s="254" t="str">
        <f>DD$3</f>
        <v>2Q21</v>
      </c>
      <c r="DE279" s="254" t="str">
        <f>DE$3</f>
        <v>3Q21</v>
      </c>
      <c r="DF279" s="254" t="str">
        <f>DF$3</f>
        <v>4Q21</v>
      </c>
      <c r="DG279" s="254">
        <f>DG$3</f>
        <v>2021</v>
      </c>
      <c r="DH279" s="253"/>
      <c r="DI279" s="254" t="str">
        <f>DI$3</f>
        <v>1Q22</v>
      </c>
      <c r="DJ279" s="254" t="str">
        <f>DJ$3</f>
        <v>2Q22</v>
      </c>
      <c r="DK279" s="254" t="str">
        <f>DK$3</f>
        <v>3Q22</v>
      </c>
      <c r="DL279" s="254" t="str">
        <f>DL$3</f>
        <v>4Q22</v>
      </c>
      <c r="DM279" s="254">
        <f>DM$3</f>
        <v>2022</v>
      </c>
      <c r="DN279" s="253"/>
      <c r="DO279" s="254" t="str">
        <f>DO$3</f>
        <v>1Q23</v>
      </c>
      <c r="DP279" s="254" t="str">
        <f>DP$3</f>
        <v>2Q23</v>
      </c>
      <c r="DQ279" s="254" t="str">
        <f>DQ$3</f>
        <v>3Q23</v>
      </c>
      <c r="DR279" s="254" t="str">
        <f>DR$3</f>
        <v>4Q23</v>
      </c>
      <c r="DS279" s="254">
        <f>DS$3</f>
        <v>2023</v>
      </c>
      <c r="DT279" s="254"/>
      <c r="DU279" s="254" t="str">
        <f>DU$3</f>
        <v>1Q24</v>
      </c>
      <c r="DV279" s="254" t="str">
        <f>DV$3</f>
        <v>2Q24</v>
      </c>
      <c r="DW279" s="254" t="str">
        <f>DW$3</f>
        <v>3Q24</v>
      </c>
      <c r="DX279" s="254" t="str">
        <f>DX$3</f>
        <v>4Q24</v>
      </c>
      <c r="DY279" s="254">
        <f>DY$3</f>
        <v>2024</v>
      </c>
      <c r="DZ279" s="254"/>
      <c r="EA279" s="254" t="str">
        <f>EA$3</f>
        <v>1Q25</v>
      </c>
      <c r="EB279" s="254" t="str">
        <f>EB$3</f>
        <v>2Q25</v>
      </c>
      <c r="EC279" s="254" t="str">
        <f>EC$3</f>
        <v>3Q25</v>
      </c>
      <c r="ED279" s="254" t="str">
        <f>ED$3</f>
        <v>4Q25</v>
      </c>
      <c r="EE279" s="254">
        <f>EE$3</f>
        <v>2025</v>
      </c>
      <c r="EF279" s="254"/>
      <c r="EG279" s="254" t="str">
        <f>EG$3</f>
        <v>1Q26</v>
      </c>
      <c r="EH279" s="254" t="str">
        <f>EH$3</f>
        <v>2Q26e</v>
      </c>
      <c r="EI279" s="254" t="str">
        <f>EI$3</f>
        <v>3Q26e</v>
      </c>
      <c r="EJ279" s="254" t="str">
        <f>EJ$3</f>
        <v>4Q26e</v>
      </c>
      <c r="EK279" s="254" t="str">
        <f>EK$3</f>
        <v>2026e</v>
      </c>
      <c r="EX279" s="106">
        <f>EX$3</f>
        <v>2004</v>
      </c>
      <c r="EY279" s="106">
        <f t="shared" ref="EY279:FX279" si="283">EY$3</f>
        <v>2005</v>
      </c>
      <c r="EZ279" s="106">
        <f t="shared" si="283"/>
        <v>2006</v>
      </c>
      <c r="FA279" s="106">
        <f t="shared" si="283"/>
        <v>2007</v>
      </c>
      <c r="FB279" s="106">
        <f t="shared" si="283"/>
        <v>2008</v>
      </c>
      <c r="FC279" s="106">
        <f t="shared" si="283"/>
        <v>2009</v>
      </c>
      <c r="FD279" s="106">
        <f t="shared" si="283"/>
        <v>2010</v>
      </c>
      <c r="FE279" s="106">
        <f t="shared" si="283"/>
        <v>2011</v>
      </c>
      <c r="FF279" s="106">
        <f t="shared" si="283"/>
        <v>2012</v>
      </c>
      <c r="FG279" s="254">
        <f t="shared" si="283"/>
        <v>2013</v>
      </c>
      <c r="FH279" s="254">
        <f t="shared" si="283"/>
        <v>2014</v>
      </c>
      <c r="FI279" s="254">
        <f t="shared" si="283"/>
        <v>2015</v>
      </c>
      <c r="FJ279" s="254">
        <f t="shared" si="283"/>
        <v>2016</v>
      </c>
      <c r="FK279" s="254">
        <f t="shared" si="283"/>
        <v>2017</v>
      </c>
      <c r="FL279" s="254">
        <f t="shared" si="283"/>
        <v>2018</v>
      </c>
      <c r="FM279" s="254">
        <f t="shared" si="283"/>
        <v>2019</v>
      </c>
      <c r="FN279" s="254">
        <f t="shared" si="283"/>
        <v>2020</v>
      </c>
      <c r="FO279" s="254">
        <f t="shared" si="283"/>
        <v>2021</v>
      </c>
      <c r="FP279" s="254">
        <f t="shared" si="283"/>
        <v>2022</v>
      </c>
      <c r="FQ279" s="254">
        <f t="shared" si="283"/>
        <v>2023</v>
      </c>
      <c r="FR279" s="254">
        <f t="shared" si="283"/>
        <v>2024</v>
      </c>
      <c r="FS279" s="254">
        <f t="shared" si="283"/>
        <v>2025</v>
      </c>
      <c r="FT279" s="254" t="str">
        <f t="shared" si="283"/>
        <v>2026e</v>
      </c>
      <c r="FU279" s="254" t="str">
        <f t="shared" si="283"/>
        <v>2027e</v>
      </c>
      <c r="FV279" s="254" t="str">
        <f t="shared" si="283"/>
        <v>2028e</v>
      </c>
      <c r="FW279" s="254" t="str">
        <f t="shared" si="283"/>
        <v>2029e</v>
      </c>
      <c r="FX279" s="254" t="str">
        <f t="shared" si="283"/>
        <v>2030e</v>
      </c>
    </row>
    <row r="281" spans="1:180" x14ac:dyDescent="0.25">
      <c r="B281" s="74"/>
    </row>
    <row r="282" spans="1:180" x14ac:dyDescent="0.25">
      <c r="A282" s="104" t="s">
        <v>176</v>
      </c>
      <c r="B282" s="74"/>
      <c r="DO282" s="394">
        <f>DO283/(DP90-DP89)</f>
        <v>1.3185724099069169</v>
      </c>
      <c r="DP282" s="394">
        <f>DP283/(DQ90-DQ89)</f>
        <v>1.4570664255303116</v>
      </c>
      <c r="DQ282" s="394">
        <f>DQ283/(DR90-DR89)</f>
        <v>1.4744390673119221</v>
      </c>
      <c r="DR282" s="394">
        <f>DR283/(DU90-DU89)</f>
        <v>2.2317002445850882</v>
      </c>
      <c r="DU282" s="394">
        <f>DU283/(DV90-DV89)</f>
        <v>2.0719821882417193</v>
      </c>
      <c r="DV282" s="394">
        <f>DV283/(DW90-DW89)</f>
        <v>1.8515524805939925</v>
      </c>
      <c r="DW282" s="394">
        <f>DW283/(DX90-DX89)</f>
        <v>1.6040838123076491</v>
      </c>
      <c r="DX282" s="394">
        <f>DX283/(EA90-EA89)</f>
        <v>1.8973416486655983</v>
      </c>
      <c r="EA282" s="394">
        <f>EA283/(EB90-EB89)</f>
        <v>1.9700684405210778</v>
      </c>
      <c r="EB282" s="394">
        <f>EB283/(EC90-EC89)</f>
        <v>2.0842741177512782</v>
      </c>
      <c r="EC282" s="394">
        <f>EC283/(ED90-ED89)</f>
        <v>1.5510021097046414</v>
      </c>
      <c r="ED282" s="394">
        <f>ED283/(EG90-EG89)</f>
        <v>1.8202420767638159</v>
      </c>
      <c r="EG282" s="394">
        <f>EG283/(EH90-EH89)</f>
        <v>1.9950936967632029</v>
      </c>
      <c r="EH282" s="395">
        <v>1.6</v>
      </c>
      <c r="EI282" s="394">
        <f>EI283/(EJ90-EJ89)</f>
        <v>1.6340962150763203</v>
      </c>
      <c r="EJ282" s="394"/>
    </row>
    <row r="283" spans="1:180" x14ac:dyDescent="0.25">
      <c r="B283" s="84" t="s">
        <v>171</v>
      </c>
      <c r="H283" s="196">
        <f>Financials!H241</f>
        <v>717688</v>
      </c>
      <c r="K283" s="196">
        <f>Financials!K241</f>
        <v>728378</v>
      </c>
      <c r="L283" s="196">
        <f>Financials!L241</f>
        <v>695330</v>
      </c>
      <c r="M283" s="196">
        <f>Financials!M241</f>
        <v>653098</v>
      </c>
      <c r="N283" s="196">
        <f>Financials!N241</f>
        <v>777200</v>
      </c>
      <c r="AX283" s="77">
        <f>Financials!AX241</f>
        <v>1624600</v>
      </c>
      <c r="BA283" s="196"/>
      <c r="BB283" s="196"/>
      <c r="BC283" s="196"/>
      <c r="BD283" s="196"/>
      <c r="BG283" s="196">
        <f>BG241</f>
        <v>2005.8</v>
      </c>
      <c r="BH283" s="196">
        <f>BH241</f>
        <v>2371.6999999999998</v>
      </c>
      <c r="BI283" s="196">
        <f>BI241</f>
        <v>2492.4</v>
      </c>
      <c r="BJ283" s="196">
        <f>BJ241</f>
        <v>2393</v>
      </c>
      <c r="BK283" s="196">
        <f>BJ283</f>
        <v>2393</v>
      </c>
      <c r="BM283" s="196">
        <f>BM241</f>
        <v>2547.6999999999998</v>
      </c>
      <c r="BN283" s="196">
        <f>BN241</f>
        <v>2615.5</v>
      </c>
      <c r="BO283" s="196">
        <f>BO241</f>
        <v>2676.8</v>
      </c>
      <c r="BP283" s="196">
        <f>BP241</f>
        <v>2549.8000000000002</v>
      </c>
      <c r="BQ283" s="196">
        <f>BP283</f>
        <v>2549.8000000000002</v>
      </c>
      <c r="BS283" s="196">
        <f>BS241</f>
        <v>2607.5</v>
      </c>
      <c r="BT283" s="196">
        <f>BT241</f>
        <v>2592.1</v>
      </c>
      <c r="BU283" s="196">
        <f>BU241</f>
        <v>2537</v>
      </c>
      <c r="BV283" s="196">
        <f>BV241</f>
        <v>2573.6999999999998</v>
      </c>
      <c r="BW283" s="196">
        <f>BV283</f>
        <v>2573.6999999999998</v>
      </c>
      <c r="BY283" s="196">
        <f>BY241</f>
        <v>2750</v>
      </c>
      <c r="BZ283" s="196">
        <f>BZ241</f>
        <v>2715.3</v>
      </c>
      <c r="CA283" s="196">
        <f>CA241</f>
        <v>2696.9</v>
      </c>
      <c r="CB283" s="196">
        <f>CB241</f>
        <v>2780.9</v>
      </c>
      <c r="CC283" s="196">
        <f>CB283</f>
        <v>2780.9</v>
      </c>
      <c r="CE283" s="196">
        <f>CE241</f>
        <v>2995.7</v>
      </c>
      <c r="CF283" s="196">
        <f>CF241</f>
        <v>3136.9</v>
      </c>
      <c r="CG283" s="196">
        <f>CG241</f>
        <v>2998.5</v>
      </c>
      <c r="CH283" s="196">
        <f>CH241</f>
        <v>2955.6</v>
      </c>
      <c r="CI283" s="196">
        <f>CH283</f>
        <v>2955.6</v>
      </c>
      <c r="CK283" s="196">
        <f>CK241</f>
        <v>3231.5</v>
      </c>
      <c r="CL283" s="196">
        <f>CL241</f>
        <v>3217.5</v>
      </c>
      <c r="CM283" s="196">
        <f>CM241</f>
        <v>3402.7</v>
      </c>
      <c r="CN283" s="196">
        <f>CN241</f>
        <v>3439.5</v>
      </c>
      <c r="CO283" s="196">
        <f>CN283</f>
        <v>3439.5</v>
      </c>
      <c r="CQ283" s="196">
        <f>CQ241</f>
        <v>3764.8</v>
      </c>
      <c r="CR283" s="196">
        <f>CR241</f>
        <v>3914.1</v>
      </c>
      <c r="CS283" s="196">
        <f>CS241</f>
        <v>3895</v>
      </c>
      <c r="CT283" s="196">
        <f>CT241</f>
        <v>3809.2</v>
      </c>
      <c r="CU283" s="196">
        <f>CT283</f>
        <v>3809.2</v>
      </c>
      <c r="CW283" s="196">
        <f>CW241</f>
        <v>4345.3</v>
      </c>
      <c r="CX283" s="196">
        <f>CX241</f>
        <v>4685.6000000000004</v>
      </c>
      <c r="CY283" s="196">
        <f>CY241</f>
        <v>4613.7</v>
      </c>
      <c r="CZ283" s="196">
        <f>CZ241</f>
        <v>4569.3999999999996</v>
      </c>
      <c r="DA283" s="196">
        <f>CZ283</f>
        <v>4569.3999999999996</v>
      </c>
      <c r="DC283" s="196">
        <f>DC241</f>
        <v>4748.1000000000004</v>
      </c>
      <c r="DD283" s="196">
        <f>DD241</f>
        <v>5086.3</v>
      </c>
      <c r="DE283" s="196">
        <f>DE241</f>
        <v>4944.2</v>
      </c>
      <c r="DF283" s="196">
        <f>DF241</f>
        <v>5179.2</v>
      </c>
      <c r="DG283" s="196">
        <f>DF283</f>
        <v>5179.2</v>
      </c>
      <c r="DI283" s="196">
        <f>DI241</f>
        <v>6073.5</v>
      </c>
      <c r="DJ283" s="196">
        <f>DJ241</f>
        <v>6367.1</v>
      </c>
      <c r="DK283" s="196">
        <f>DK241</f>
        <v>6884</v>
      </c>
      <c r="DL283" s="196">
        <f>DL241</f>
        <v>7199.7</v>
      </c>
      <c r="DM283" s="196">
        <f>DL283</f>
        <v>7199.7</v>
      </c>
      <c r="DO283" s="196">
        <f>DO241</f>
        <v>7392</v>
      </c>
      <c r="DP283" s="196">
        <f>DP241</f>
        <v>7734.4</v>
      </c>
      <c r="DQ283" s="196">
        <f>DQ241</f>
        <v>8378.5</v>
      </c>
      <c r="DR283" s="196">
        <f>DR241</f>
        <v>8850.7000000000007</v>
      </c>
      <c r="DS283" s="196">
        <f>DR283</f>
        <v>8850.7000000000007</v>
      </c>
      <c r="DT283" s="196"/>
      <c r="DU283" s="196">
        <f>DU241</f>
        <v>9864.5</v>
      </c>
      <c r="DV283" s="196">
        <f>DV241</f>
        <v>10972.3</v>
      </c>
      <c r="DW283" s="196">
        <f>DW241</f>
        <v>11414.5</v>
      </c>
      <c r="DX283" s="196">
        <f>DX241</f>
        <v>10891.5</v>
      </c>
      <c r="DY283" s="196">
        <f>DX283</f>
        <v>10891.5</v>
      </c>
      <c r="EA283" s="196">
        <f>EA241</f>
        <v>11024.7</v>
      </c>
      <c r="EB283" s="196">
        <f>EB241</f>
        <v>11575.8</v>
      </c>
      <c r="EC283" s="196">
        <f>EC241</f>
        <v>11762.8</v>
      </c>
      <c r="ED283" s="196">
        <f>ED241</f>
        <v>11429.3</v>
      </c>
      <c r="EE283" s="196">
        <f>ED283</f>
        <v>11429.3</v>
      </c>
      <c r="EG283" s="196">
        <f>EG241</f>
        <v>11711.2</v>
      </c>
      <c r="EH283" s="189">
        <f>EH282*(EI90-EI89)</f>
        <v>12688</v>
      </c>
      <c r="EI283" s="249">
        <f>EI288/90*EI11</f>
        <v>13559.722222222223</v>
      </c>
      <c r="EJ283" s="249">
        <f>EJ288/90*EJ11</f>
        <v>9732.6639472222178</v>
      </c>
      <c r="EK283" s="196">
        <f>EJ283</f>
        <v>9732.6639472222178</v>
      </c>
      <c r="FE283" s="196"/>
      <c r="FF283" s="196"/>
      <c r="FG283" s="196">
        <f>BK283</f>
        <v>2393</v>
      </c>
      <c r="FH283" s="196">
        <f>BQ283</f>
        <v>2549.8000000000002</v>
      </c>
      <c r="FI283" s="196">
        <f>BW283</f>
        <v>2573.6999999999998</v>
      </c>
      <c r="FJ283" s="196">
        <f>CC283</f>
        <v>2780.9</v>
      </c>
      <c r="FK283" s="196">
        <f>CI283</f>
        <v>2955.6</v>
      </c>
      <c r="FL283" s="196">
        <f>CO283</f>
        <v>3439.5</v>
      </c>
      <c r="FM283" s="77">
        <f>CU283</f>
        <v>3809.2</v>
      </c>
      <c r="FN283" s="77">
        <f>DA283</f>
        <v>4569.3999999999996</v>
      </c>
      <c r="FO283" s="77">
        <f>DG283</f>
        <v>5179.2</v>
      </c>
      <c r="FP283" s="77">
        <f>DM283</f>
        <v>7199.7</v>
      </c>
      <c r="FQ283" s="77">
        <f>DS283</f>
        <v>8850.7000000000007</v>
      </c>
      <c r="FR283" s="77">
        <f>DY283</f>
        <v>10891.5</v>
      </c>
      <c r="FS283" s="77">
        <f>EE283</f>
        <v>11429.3</v>
      </c>
      <c r="FT283" s="77">
        <f>EK283</f>
        <v>9732.6639472222178</v>
      </c>
      <c r="FU283" s="249">
        <f>FU288/(4*90)*FU11</f>
        <v>13052.152708833333</v>
      </c>
      <c r="FV283" s="249">
        <f>FV288/(4*90)*FV11</f>
        <v>9781.6924733325832</v>
      </c>
      <c r="FW283" s="249">
        <f ca="1">FW288/(4*90)*FW11</f>
        <v>6020.8361111111108</v>
      </c>
      <c r="FX283" s="249">
        <f>FX288/(4*90)*FX11</f>
        <v>7032.3222222222221</v>
      </c>
    </row>
    <row r="284" spans="1:180" x14ac:dyDescent="0.25">
      <c r="B284" s="84" t="s">
        <v>170</v>
      </c>
      <c r="H284" s="196">
        <f>Financials!H238</f>
        <v>503153</v>
      </c>
      <c r="K284" s="196">
        <f>Financials!K238</f>
        <v>483898</v>
      </c>
      <c r="L284" s="196">
        <f>Financials!L238</f>
        <v>485352</v>
      </c>
      <c r="M284" s="196">
        <f>Financials!M238</f>
        <v>403489</v>
      </c>
      <c r="N284" s="196">
        <f>Financials!N238</f>
        <v>302572</v>
      </c>
      <c r="AX284" s="77">
        <f>Financials!AX238</f>
        <v>880600</v>
      </c>
      <c r="BA284" s="196"/>
      <c r="BB284" s="196"/>
      <c r="BC284" s="196"/>
      <c r="BD284" s="196"/>
      <c r="BG284" s="196">
        <f>BG238</f>
        <v>689.8</v>
      </c>
      <c r="BH284" s="196">
        <f>BH238</f>
        <v>612.79999999999995</v>
      </c>
      <c r="BI284" s="196">
        <f>BI238</f>
        <v>626.20000000000005</v>
      </c>
      <c r="BJ284" s="196">
        <f>BJ238</f>
        <v>878.3</v>
      </c>
      <c r="BK284" s="196">
        <f>BJ284</f>
        <v>878.3</v>
      </c>
      <c r="BM284" s="196">
        <f>BM238</f>
        <v>832.2</v>
      </c>
      <c r="BN284" s="196">
        <f>BN238</f>
        <v>1085.5999999999999</v>
      </c>
      <c r="BO284" s="196">
        <f>BO238</f>
        <v>961.2</v>
      </c>
      <c r="BP284" s="196">
        <f>BP238</f>
        <v>1052.5</v>
      </c>
      <c r="BQ284" s="196">
        <f>BP284</f>
        <v>1052.5</v>
      </c>
      <c r="BS284" s="196">
        <f>BS238</f>
        <v>1270.5999999999999</v>
      </c>
      <c r="BT284" s="196">
        <f>BT238</f>
        <v>1282.3</v>
      </c>
      <c r="BU284" s="196">
        <f>BU238</f>
        <v>1089.4000000000001</v>
      </c>
      <c r="BV284" s="196">
        <f>BV238</f>
        <v>803.7</v>
      </c>
      <c r="BW284" s="196">
        <f>BV284</f>
        <v>803.7</v>
      </c>
      <c r="BY284" s="196">
        <f>BY238</f>
        <v>753.2</v>
      </c>
      <c r="BZ284" s="196">
        <f>BZ238</f>
        <v>732.4</v>
      </c>
      <c r="CA284" s="196">
        <f>CA238</f>
        <v>858.4</v>
      </c>
      <c r="CB284" s="196">
        <f>CB238</f>
        <v>700.2</v>
      </c>
      <c r="CC284" s="196">
        <f>CB284</f>
        <v>700.2</v>
      </c>
      <c r="CE284" s="196">
        <f>CE238</f>
        <v>864.8</v>
      </c>
      <c r="CF284" s="196">
        <f>CF238</f>
        <v>1224.5999999999999</v>
      </c>
      <c r="CG284" s="196">
        <f>CG238</f>
        <v>1664.2</v>
      </c>
      <c r="CH284" s="196">
        <f>CH238</f>
        <v>1740.3</v>
      </c>
      <c r="CI284" s="196">
        <f>CH284</f>
        <v>1740.3</v>
      </c>
      <c r="CK284" s="196">
        <f>CK238</f>
        <v>1603.4</v>
      </c>
      <c r="CL284" s="196">
        <f>CL238</f>
        <v>1138.9000000000001</v>
      </c>
      <c r="CM284" s="196">
        <f>CM238</f>
        <v>1679.1</v>
      </c>
      <c r="CN284" s="196">
        <f>CN238</f>
        <v>1498.2</v>
      </c>
      <c r="CO284" s="196">
        <f>CN284</f>
        <v>1498.2</v>
      </c>
      <c r="CQ284" s="196">
        <f>CQ238</f>
        <v>1589.3</v>
      </c>
      <c r="CR284" s="196">
        <f>CR238</f>
        <v>1637.7</v>
      </c>
      <c r="CS284" s="196">
        <f>CS238</f>
        <v>2100.6999999999998</v>
      </c>
      <c r="CT284" s="196">
        <f>CT238</f>
        <v>1786.8</v>
      </c>
      <c r="CU284" s="196">
        <f>CT284</f>
        <v>1786.8</v>
      </c>
      <c r="CW284" s="196">
        <f>CW238</f>
        <v>1767.4</v>
      </c>
      <c r="CX284" s="196">
        <f>CX238</f>
        <v>1770</v>
      </c>
      <c r="CY284" s="196">
        <f>CY238</f>
        <v>2458.8000000000002</v>
      </c>
      <c r="CZ284" s="196">
        <f>CZ238</f>
        <v>1310.3</v>
      </c>
      <c r="DA284" s="196">
        <f>CZ284</f>
        <v>1310.3</v>
      </c>
      <c r="DC284" s="196">
        <f>DC238</f>
        <v>2239.1999999999998</v>
      </c>
      <c r="DD284" s="196">
        <f>DD238</f>
        <v>2782</v>
      </c>
      <c r="DE284" s="196">
        <f>DE238</f>
        <v>3383.3</v>
      </c>
      <c r="DF284" s="196">
        <f>DF238</f>
        <v>3028</v>
      </c>
      <c r="DG284" s="196">
        <f>DF284</f>
        <v>3028</v>
      </c>
      <c r="DI284" s="196">
        <f>DI238</f>
        <v>3494.6</v>
      </c>
      <c r="DJ284" s="196">
        <f>DJ238</f>
        <v>5376.7</v>
      </c>
      <c r="DK284" s="196">
        <f>DK238</f>
        <v>5840.2</v>
      </c>
      <c r="DL284" s="196">
        <f>DL238</f>
        <v>5323.8</v>
      </c>
      <c r="DM284" s="196">
        <f>DL284</f>
        <v>5323.8</v>
      </c>
      <c r="DO284" s="196">
        <f>DO238</f>
        <v>3454.7</v>
      </c>
      <c r="DP284" s="196">
        <f>DP238</f>
        <v>3963.6</v>
      </c>
      <c r="DQ284" s="196">
        <f>DQ238</f>
        <v>3910.5</v>
      </c>
      <c r="DR284" s="196">
        <f>DR238</f>
        <v>4334.1000000000004</v>
      </c>
      <c r="DS284" s="196">
        <f>DR284</f>
        <v>4334.1000000000004</v>
      </c>
      <c r="DT284" s="196"/>
      <c r="DU284" s="196">
        <f>DU238</f>
        <v>3585.5</v>
      </c>
      <c r="DV284" s="196">
        <f>DV238</f>
        <v>4475.8</v>
      </c>
      <c r="DW284" s="196">
        <f>DW238</f>
        <v>5160.6000000000004</v>
      </c>
      <c r="DX284" s="196">
        <f>DX238</f>
        <v>4477.5</v>
      </c>
      <c r="DY284" s="196">
        <f>DX284</f>
        <v>4477.5</v>
      </c>
      <c r="EA284" s="196">
        <f>EA238</f>
        <v>4597.5</v>
      </c>
      <c r="EB284" s="196">
        <f>EB238</f>
        <v>4996.8999999999996</v>
      </c>
      <c r="EC284" s="196">
        <f>EC238</f>
        <v>5364.3</v>
      </c>
      <c r="ED284" s="196">
        <f>ED238</f>
        <v>3023</v>
      </c>
      <c r="EE284" s="196">
        <f>ED284</f>
        <v>3023</v>
      </c>
      <c r="EG284" s="196">
        <f>EG238</f>
        <v>4402.8999999999996</v>
      </c>
      <c r="EH284" s="249">
        <f>EH289/90*EH9</f>
        <v>5096.3</v>
      </c>
      <c r="EI284" s="249">
        <f>EI289/90*EI9</f>
        <v>6198.1944444444453</v>
      </c>
      <c r="EJ284" s="249">
        <f>EJ289/90*EJ9</f>
        <v>6370.9524999999985</v>
      </c>
      <c r="EK284" s="196">
        <f>EJ284</f>
        <v>6370.9524999999985</v>
      </c>
      <c r="FE284" s="196"/>
      <c r="FF284" s="196"/>
      <c r="FG284" s="196">
        <f>BK284</f>
        <v>878.3</v>
      </c>
      <c r="FH284" s="196">
        <f>BQ284</f>
        <v>1052.5</v>
      </c>
      <c r="FI284" s="196">
        <f>BW284</f>
        <v>803.7</v>
      </c>
      <c r="FJ284" s="196">
        <f>CC284</f>
        <v>700.2</v>
      </c>
      <c r="FK284" s="196">
        <f>CI284</f>
        <v>1740.3</v>
      </c>
      <c r="FL284" s="196">
        <f>CO284</f>
        <v>1498.2</v>
      </c>
      <c r="FM284" s="77">
        <f>CU284</f>
        <v>1786.8</v>
      </c>
      <c r="FN284" s="77">
        <f>DA284</f>
        <v>1310.3</v>
      </c>
      <c r="FO284" s="77">
        <f>DG284</f>
        <v>3028</v>
      </c>
      <c r="FP284" s="77">
        <f>DM284</f>
        <v>5323.8</v>
      </c>
      <c r="FQ284" s="77">
        <f>DS284</f>
        <v>4334.1000000000004</v>
      </c>
      <c r="FR284" s="77">
        <f>DY284</f>
        <v>4477.5</v>
      </c>
      <c r="FS284" s="77">
        <f>EE284</f>
        <v>3023</v>
      </c>
      <c r="FT284" s="77">
        <f>EK284</f>
        <v>6370.9524999999985</v>
      </c>
      <c r="FU284" s="249">
        <f>FU289/(4*90)*FU9</f>
        <v>8668.8238631944441</v>
      </c>
      <c r="FV284" s="249">
        <f>FV289/(4*90)*FV9</f>
        <v>5735.6140491527776</v>
      </c>
      <c r="FW284" s="249">
        <f ca="1">FW289/(4*90)*FW9</f>
        <v>3074.6527777777778</v>
      </c>
      <c r="FX284" s="249">
        <f>FX289/(4*90)*FX9</f>
        <v>3602.7777777777778</v>
      </c>
    </row>
    <row r="285" spans="1:180" x14ac:dyDescent="0.25">
      <c r="B285" s="84" t="s">
        <v>169</v>
      </c>
      <c r="H285" s="196">
        <f>Financials!H250</f>
        <v>343228</v>
      </c>
      <c r="K285" s="196">
        <f>Financials!K250</f>
        <v>310205.4222222222</v>
      </c>
      <c r="L285" s="196">
        <f>Financials!L250</f>
        <v>371625.60000000003</v>
      </c>
      <c r="M285" s="196">
        <f>Financials!M250</f>
        <v>279958.33333333337</v>
      </c>
      <c r="N285" s="196">
        <f>Financials!N250</f>
        <v>343962</v>
      </c>
      <c r="AX285" s="77">
        <f>Financials!AX250</f>
        <v>444269</v>
      </c>
      <c r="BA285" s="196"/>
      <c r="BB285" s="196"/>
      <c r="BC285" s="196"/>
      <c r="BD285" s="196"/>
      <c r="BG285" s="196">
        <f>BG250</f>
        <v>422.3</v>
      </c>
      <c r="BH285" s="196">
        <f>BH250</f>
        <v>512</v>
      </c>
      <c r="BI285" s="196">
        <f>BI250</f>
        <v>722.8</v>
      </c>
      <c r="BJ285" s="196">
        <f>BJ250</f>
        <v>625.9</v>
      </c>
      <c r="BK285" s="196">
        <f>BJ285</f>
        <v>625.9</v>
      </c>
      <c r="BM285" s="196">
        <f>BM250</f>
        <v>729</v>
      </c>
      <c r="BN285" s="196">
        <f>BN250</f>
        <v>673.2</v>
      </c>
      <c r="BO285" s="196">
        <f>BO250</f>
        <v>716.8</v>
      </c>
      <c r="BP285" s="196">
        <f>BP250</f>
        <v>496.2</v>
      </c>
      <c r="BQ285" s="196">
        <f>BP285</f>
        <v>496.2</v>
      </c>
      <c r="BS285" s="196">
        <f>BS250</f>
        <v>735.3</v>
      </c>
      <c r="BT285" s="196">
        <f>BT250</f>
        <v>721.7</v>
      </c>
      <c r="BU285" s="196">
        <f>BU250</f>
        <v>503.8</v>
      </c>
      <c r="BV285" s="196">
        <f>BV250</f>
        <v>418.9</v>
      </c>
      <c r="BW285" s="196">
        <f>BV285</f>
        <v>418.9</v>
      </c>
      <c r="BY285" s="196">
        <f>BY250</f>
        <v>644.5</v>
      </c>
      <c r="BZ285" s="196">
        <f>BZ250</f>
        <v>734.2</v>
      </c>
      <c r="CA285" s="196">
        <f>CA250</f>
        <v>631.29999999999995</v>
      </c>
      <c r="CB285" s="196">
        <f>CB250</f>
        <v>593.20000000000005</v>
      </c>
      <c r="CC285" s="196">
        <f>CB285</f>
        <v>593.20000000000005</v>
      </c>
      <c r="CE285" s="196">
        <f>CE250</f>
        <v>765.3</v>
      </c>
      <c r="CF285" s="196">
        <f>CF250</f>
        <v>982.3</v>
      </c>
      <c r="CG285" s="196">
        <f>CG250</f>
        <v>835.7</v>
      </c>
      <c r="CH285" s="196">
        <f>CH250</f>
        <v>837.3</v>
      </c>
      <c r="CI285" s="196">
        <f>CH285</f>
        <v>837.3</v>
      </c>
      <c r="CK285" s="196">
        <f>CK250</f>
        <v>979.5</v>
      </c>
      <c r="CL285" s="196">
        <f>CL250</f>
        <v>1298.893085787452</v>
      </c>
      <c r="CM285" s="196">
        <f>CM250</f>
        <v>1204.1620998719591</v>
      </c>
      <c r="CN285" s="196">
        <f>CN250</f>
        <v>964</v>
      </c>
      <c r="CO285" s="196">
        <f>CN285</f>
        <v>964</v>
      </c>
      <c r="CQ285" s="196">
        <f>CQ250</f>
        <v>716.88408779149518</v>
      </c>
      <c r="CR285" s="196">
        <f>CR250</f>
        <v>805.92295381801557</v>
      </c>
      <c r="CS285" s="196">
        <f>CS250</f>
        <v>925.7066758116141</v>
      </c>
      <c r="CT285" s="196">
        <f>CT250</f>
        <v>1062.2</v>
      </c>
      <c r="CU285" s="196">
        <f>CT285</f>
        <v>1062.2</v>
      </c>
      <c r="CW285" s="196">
        <f>CW250</f>
        <v>678.57570004293279</v>
      </c>
      <c r="CX285" s="196">
        <f>CX250</f>
        <v>872.79468587511326</v>
      </c>
      <c r="CY285" s="196">
        <f>CY250</f>
        <v>1052.2179649859274</v>
      </c>
      <c r="CZ285" s="196">
        <f>CZ250</f>
        <v>1377.9</v>
      </c>
      <c r="DA285" s="196">
        <f>CZ285</f>
        <v>1377.9</v>
      </c>
      <c r="DC285" s="196">
        <f>DC250</f>
        <v>1356.6548458149782</v>
      </c>
      <c r="DD285" s="196">
        <f>DD250</f>
        <v>1332.4421145374449</v>
      </c>
      <c r="DE285" s="196">
        <f>DE250</f>
        <v>1706.289383259912</v>
      </c>
      <c r="DF285" s="196">
        <f>DF250</f>
        <v>2116.3000000000002</v>
      </c>
      <c r="DG285" s="196">
        <f>DF285</f>
        <v>2116.3000000000002</v>
      </c>
      <c r="DI285" s="196">
        <f>DI250</f>
        <v>1670.2562013129107</v>
      </c>
      <c r="DJ285" s="196">
        <f>DJ250</f>
        <v>2561.7880962800882</v>
      </c>
      <c r="DK285" s="196">
        <f>DK250</f>
        <v>2579.014870897156</v>
      </c>
      <c r="DL285" s="196">
        <f>DL250</f>
        <v>2565.1999999999998</v>
      </c>
      <c r="DM285" s="196">
        <f>DL285</f>
        <v>2565.1999999999998</v>
      </c>
      <c r="DO285" s="196">
        <f>DO250</f>
        <v>2740.9391850735738</v>
      </c>
      <c r="DP285" s="196">
        <f>DP250</f>
        <v>822.54028434208897</v>
      </c>
      <c r="DQ285" s="196">
        <f>DQ250</f>
        <v>786.5604231713022</v>
      </c>
      <c r="DR285" s="196">
        <f>DR250</f>
        <v>2347.3000000000002</v>
      </c>
      <c r="DS285" s="196">
        <f>DR285</f>
        <v>2347.3000000000002</v>
      </c>
      <c r="DT285" s="196"/>
      <c r="DU285" s="196">
        <f>DU250</f>
        <v>1729.5473534676253</v>
      </c>
      <c r="DV285" s="196">
        <f>DV250</f>
        <v>529.98922547383484</v>
      </c>
      <c r="DW285" s="196">
        <f>DW250</f>
        <v>642.4890831743952</v>
      </c>
      <c r="DX285" s="196">
        <f>DX250</f>
        <v>3500.4</v>
      </c>
      <c r="DY285" s="196">
        <f>DX285</f>
        <v>3500.4</v>
      </c>
      <c r="EA285" s="196">
        <f>EA250</f>
        <v>2787.3294701542591</v>
      </c>
      <c r="EB285" s="196">
        <f>EB250</f>
        <v>905.46913273642247</v>
      </c>
      <c r="EC285" s="196">
        <f>EC250</f>
        <v>924.15196392392659</v>
      </c>
      <c r="ED285" s="196">
        <f>ED250</f>
        <v>3521.8</v>
      </c>
      <c r="EE285" s="196">
        <f>ED285</f>
        <v>3521.8</v>
      </c>
      <c r="EG285" s="196">
        <f>EG250</f>
        <v>3122.1652693838046</v>
      </c>
      <c r="EH285" s="249">
        <f>EH290/90*EH11</f>
        <v>301.1322222222222</v>
      </c>
      <c r="EI285" s="249">
        <f>EI290/90*EI11</f>
        <v>379.67222222222222</v>
      </c>
      <c r="EJ285" s="249">
        <f>EJ290/90*EJ11</f>
        <v>389.30655788888873</v>
      </c>
      <c r="EK285" s="196">
        <f>EJ285</f>
        <v>389.30655788888873</v>
      </c>
      <c r="FE285" s="196"/>
      <c r="FF285" s="196"/>
      <c r="FG285" s="196">
        <f>BK285</f>
        <v>625.9</v>
      </c>
      <c r="FH285" s="196">
        <f>BQ285</f>
        <v>496.2</v>
      </c>
      <c r="FI285" s="196">
        <f>BW285</f>
        <v>418.9</v>
      </c>
      <c r="FJ285" s="196">
        <f>CC285</f>
        <v>593.20000000000005</v>
      </c>
      <c r="FK285" s="196">
        <f>CI285</f>
        <v>837.3</v>
      </c>
      <c r="FL285" s="196">
        <f>CO285</f>
        <v>964</v>
      </c>
      <c r="FM285" s="77">
        <f>CU285</f>
        <v>1062.2</v>
      </c>
      <c r="FN285" s="77">
        <f>DA285</f>
        <v>1377.9</v>
      </c>
      <c r="FO285" s="77">
        <f>DG285</f>
        <v>2116.3000000000002</v>
      </c>
      <c r="FP285" s="77">
        <f>DM285</f>
        <v>2565.1999999999998</v>
      </c>
      <c r="FQ285" s="77">
        <f>DS285</f>
        <v>2347.3000000000002</v>
      </c>
      <c r="FR285" s="77">
        <f>DY285</f>
        <v>3500.4</v>
      </c>
      <c r="FS285" s="77">
        <f>EE285</f>
        <v>3521.8</v>
      </c>
      <c r="FT285" s="77">
        <f>EK285</f>
        <v>389.30655788888873</v>
      </c>
      <c r="FU285" s="249">
        <f>FU290/(4*90)*FU11</f>
        <v>593.2796685833332</v>
      </c>
      <c r="FV285" s="249">
        <f>FV290/(4*90)*FV11</f>
        <v>1132.6170232279833</v>
      </c>
      <c r="FW285" s="249">
        <f ca="1">FW290/(4*90)*FW11</f>
        <v>697.14944444444438</v>
      </c>
      <c r="FX285" s="249">
        <f>FX290/(4*90)*FX11</f>
        <v>814.2688888888888</v>
      </c>
    </row>
    <row r="286" spans="1:180" x14ac:dyDescent="0.25">
      <c r="B286" s="74"/>
    </row>
    <row r="287" spans="1:180" x14ac:dyDescent="0.25">
      <c r="B287" s="74"/>
      <c r="DU287" s="378">
        <f>(((DU288-240)/DU288)*DU283-(Sales!DU254))/100</f>
        <v>11.987666666666669</v>
      </c>
      <c r="DV287" s="378">
        <f>(((DV288-240)/DV288)*DV283-(Sales!DV254))/100</f>
        <v>11.406999999999998</v>
      </c>
      <c r="EA287" s="378">
        <f>(((EA288-240)/EA288)*EA283-(Sales!EA254))/100</f>
        <v>2.7656666666666685</v>
      </c>
      <c r="EB287" s="378">
        <f>(((EB288-240)/EB288)*EB283-(Sales!EB254))/100</f>
        <v>10.765999999999995</v>
      </c>
      <c r="EC287" s="378">
        <f>(((EC288-250)/EC288)*EC283-(Sales!EC254))/100</f>
        <v>6.6363333333333392</v>
      </c>
      <c r="ED287" s="378">
        <f>(((ED288-220)/ED288)*ED283-(Sales!ED254))/100</f>
        <v>1.5952993777777629</v>
      </c>
    </row>
    <row r="288" spans="1:180" x14ac:dyDescent="0.25">
      <c r="B288" s="210" t="s">
        <v>175</v>
      </c>
      <c r="H288" s="196">
        <f>Financials!H241/Financials!K11*90</f>
        <v>157.32408431287539</v>
      </c>
      <c r="I288" s="184"/>
      <c r="J288" s="74"/>
      <c r="K288" s="196">
        <f>Financials!K241/Financials!L11*90</f>
        <v>141.11841595412156</v>
      </c>
      <c r="L288" s="196">
        <f>Financials!L241/Financials!M11*90</f>
        <v>186.27682690876617</v>
      </c>
      <c r="M288" s="196">
        <f>Financials!M241/Financials!N11*90</f>
        <v>171.00586517089295</v>
      </c>
      <c r="N288" s="196">
        <f>Financials!N241/Financials!Q11*90</f>
        <v>185.16077285325159</v>
      </c>
      <c r="O288" s="184"/>
      <c r="Q288" s="196">
        <f>Financials!Q241/Financials!R11*90</f>
        <v>150.91546294694837</v>
      </c>
      <c r="R288" s="196">
        <f>Financials!R241/Financials!S11*90</f>
        <v>145.29557600714691</v>
      </c>
      <c r="S288" s="196">
        <f>Financials!S241/Financials!T11*90</f>
        <v>119.79890804908374</v>
      </c>
      <c r="T288" s="196">
        <f>Financials!T241/Financials!W11*90</f>
        <v>128.18472493323279</v>
      </c>
      <c r="W288" s="196">
        <f>Financials!W241/Financials!X11*90</f>
        <v>149.19646187261864</v>
      </c>
      <c r="X288" s="196">
        <f>Financials!X241/Financials!Y11*90</f>
        <v>159.3795355389681</v>
      </c>
      <c r="Y288" s="196">
        <f>Financials!Y241/Financials!Z11*90</f>
        <v>159.35164507448607</v>
      </c>
      <c r="Z288" s="196">
        <f>Financials!Z241/Financials!AC11*90</f>
        <v>181.82183095880919</v>
      </c>
      <c r="AC288" s="196">
        <f>Financials!AC241/Financials!AC11*90</f>
        <v>190.03689631091876</v>
      </c>
      <c r="AD288" s="196">
        <f>Financials!AD241/Financials!AD11*90</f>
        <v>200.75728898791959</v>
      </c>
      <c r="AE288" s="196">
        <f>Financials!AE241/Financials!AE11*90</f>
        <v>236.77222766098612</v>
      </c>
      <c r="AF288" s="196">
        <f>Financials!AF241/Financials!AF11*90</f>
        <v>197.70793483279468</v>
      </c>
      <c r="AI288" s="196">
        <f>Financials!AI241/Financials!AI11*90</f>
        <v>492.27971015338983</v>
      </c>
      <c r="AJ288" s="196">
        <f>Financials!AJ241/Financials!AJ11*90</f>
        <v>344.17951619164029</v>
      </c>
      <c r="AK288" s="196">
        <f>Financials!AK241/Financials!AK11*90</f>
        <v>218.16036789894866</v>
      </c>
      <c r="AL288" s="196">
        <f>Financials!AL241/Financials!AL11*90</f>
        <v>240.68972026438445</v>
      </c>
      <c r="AO288" s="196">
        <f>Financials!AO241/Financials!AO11*90</f>
        <v>234.6457581227437</v>
      </c>
      <c r="AP288" s="196">
        <f>Financials!AP241/Financials!AP11*90</f>
        <v>193.39734121122598</v>
      </c>
      <c r="AQ288" s="196">
        <f>Financials!AQ241/Financials!AQ11*90</f>
        <v>196.65712132629994</v>
      </c>
      <c r="AR288" s="196">
        <f>Financials!AR241/Financials!AR11*90</f>
        <v>161.04481893151669</v>
      </c>
      <c r="AU288" s="196">
        <f>Financials!AU241/Financials!AU11*90</f>
        <v>175.55943184649888</v>
      </c>
      <c r="AV288" s="196">
        <f>Financials!AV241/Financials!AV11*90</f>
        <v>172.66619013581129</v>
      </c>
      <c r="AW288" s="196">
        <f>Financials!AW241/Financials!AW11*90</f>
        <v>155.03727369542065</v>
      </c>
      <c r="AX288" s="196">
        <f>Financials!AX241/Financials!AX11*90</f>
        <v>204.63820853743877</v>
      </c>
      <c r="BA288" s="196">
        <f>BA283/Financials!BA11*90</f>
        <v>0</v>
      </c>
      <c r="BB288" s="196">
        <f>BB283/Financials!BB11*90</f>
        <v>0</v>
      </c>
      <c r="BC288" s="196">
        <f>BC283/Financials!BC11*90</f>
        <v>0</v>
      </c>
      <c r="BD288" s="196">
        <f>BD283/Financials!BD11*90</f>
        <v>0</v>
      </c>
      <c r="BG288" s="196">
        <f>BG283/BG11*90</f>
        <v>327.38846572361263</v>
      </c>
      <c r="BH288" s="196">
        <f>BH283/BH11*90</f>
        <v>310.8387942332896</v>
      </c>
      <c r="BI288" s="196">
        <f>BI283/BI11*90</f>
        <v>284.88188976377955</v>
      </c>
      <c r="BJ288" s="196">
        <f>BJ283/BJ11*90</f>
        <v>206.57011317859198</v>
      </c>
      <c r="BM288" s="196">
        <f>BM283/BM11*90</f>
        <v>291.35069885641678</v>
      </c>
      <c r="BN288" s="196">
        <f>BN283/BN11*90</f>
        <v>263.98452394303018</v>
      </c>
      <c r="BO288" s="196">
        <f>BO283/BO11*90</f>
        <v>323.76293508936971</v>
      </c>
      <c r="BP288" s="196">
        <f>BP283/BP11*90</f>
        <v>274.13929040735871</v>
      </c>
      <c r="BS288" s="196">
        <f>BS283/BS11*90</f>
        <v>269.33891885688053</v>
      </c>
      <c r="BT288" s="196">
        <f>BT283/BT11*90</f>
        <v>259.12362545818064</v>
      </c>
      <c r="BU288" s="196">
        <f>BU283/BU11*90</f>
        <v>269.9893579283434</v>
      </c>
      <c r="BV288" s="196">
        <f>BV283/BV11*90</f>
        <v>299.11286157024796</v>
      </c>
      <c r="BY288" s="196">
        <f>BY283/BY11*90</f>
        <v>323.48712586589988</v>
      </c>
      <c r="BZ288" s="196">
        <f>BZ283/BZ11*90</f>
        <v>244.81767180925667</v>
      </c>
      <c r="CA288" s="196">
        <f>CA283/CA11*90</f>
        <v>247.62395429504184</v>
      </c>
      <c r="CB288" s="196">
        <f>CB283/CB11*90</f>
        <v>248.59058402860549</v>
      </c>
      <c r="CE288" s="196">
        <f>CE283/CE11*90</f>
        <v>264.58586849852793</v>
      </c>
      <c r="CF288" s="196">
        <f>CF283/CF11*90</f>
        <v>244.45493116287125</v>
      </c>
      <c r="CG288" s="196">
        <f>CG283/CG11*90</f>
        <v>193.05028972029473</v>
      </c>
      <c r="CH288" s="196">
        <f>CH283/CH11*90</f>
        <v>189.42106387524035</v>
      </c>
      <c r="CK288" s="196">
        <f>CK283/CK11*90</f>
        <v>248.25864276568501</v>
      </c>
      <c r="CL288" s="196">
        <f>CL283/CL11*90</f>
        <v>186.40167364016739</v>
      </c>
      <c r="CM288" s="196">
        <f>CM283/CM11*90</f>
        <v>212.63921677544784</v>
      </c>
      <c r="CN288" s="196">
        <f>CN283/CN11*90</f>
        <v>176.92901234567901</v>
      </c>
      <c r="CQ288" s="196">
        <f>CQ283/CQ11*90</f>
        <v>260.41964491584048</v>
      </c>
      <c r="CR288" s="196">
        <f>CR283/CR11*90</f>
        <v>240.83475763998084</v>
      </c>
      <c r="CS288" s="196">
        <f>CS283/CS11*90</f>
        <v>208.64829474436047</v>
      </c>
      <c r="CT288" s="196">
        <f>CT283/CT11*90</f>
        <v>163.53956971807469</v>
      </c>
      <c r="CW288" s="196">
        <f>CW283/CW11*90</f>
        <v>292.02284946236557</v>
      </c>
      <c r="CX288" s="196">
        <f>CX283/CX11*90</f>
        <v>244.82089985486212</v>
      </c>
      <c r="CY288" s="196">
        <f>CY283/CY11*90</f>
        <v>199.95810459404797</v>
      </c>
      <c r="CZ288" s="196">
        <f>CZ283/CZ11*90</f>
        <v>201.295154185022</v>
      </c>
      <c r="DC288" s="196">
        <f>DC283/DC11*90</f>
        <v>212.44295302013424</v>
      </c>
      <c r="DD288" s="196">
        <f>DD283/DD11*90</f>
        <v>231.71036647094553</v>
      </c>
      <c r="DE288" s="196">
        <f>DE283/DE11*90</f>
        <v>175.88758448950551</v>
      </c>
      <c r="DF288" s="196">
        <f>DF283/DF11*90</f>
        <v>203.99474835886215</v>
      </c>
      <c r="DI288" s="196">
        <f>DI283/DI11*90</f>
        <v>303.10247310635464</v>
      </c>
      <c r="DJ288" s="196">
        <f>DJ283/DJ11*90</f>
        <v>207.17245119305858</v>
      </c>
      <c r="DK288" s="196">
        <f>DK283/DK11*90</f>
        <v>222.49515190691662</v>
      </c>
      <c r="DL288" s="196">
        <f>DL283/DL11*90</f>
        <v>207.73025999422947</v>
      </c>
      <c r="DO288" s="196">
        <f>DO283/DO11*90</f>
        <v>199.60396039603961</v>
      </c>
      <c r="DP288" s="196">
        <f>DP283/DP11*90</f>
        <v>207.27630050918617</v>
      </c>
      <c r="DQ288" s="196">
        <f>DQ283/DQ11*90</f>
        <v>234.80880612816841</v>
      </c>
      <c r="DR288" s="196">
        <f>DR283/DR11*90</f>
        <v>226.31559507912607</v>
      </c>
      <c r="DT288" s="196"/>
      <c r="DU288" s="196">
        <f>DU283/DU11*90</f>
        <v>342.33245931981185</v>
      </c>
      <c r="DV288" s="196">
        <f>DV283/DV11*90</f>
        <v>325.84537715303901</v>
      </c>
      <c r="DW288" s="196">
        <f>DW283/DW11*90</f>
        <v>279.6224720324451</v>
      </c>
      <c r="DX288" s="196">
        <f>DX283/DX11*90</f>
        <v>219.14486921529175</v>
      </c>
      <c r="EA288" s="196">
        <f>EA283/EA11*90</f>
        <v>278.57347408613623</v>
      </c>
      <c r="EB288" s="196">
        <f>EB283/EB11*90</f>
        <v>292.46589186457805</v>
      </c>
      <c r="EC288" s="196">
        <f>EC283/EC11*90</f>
        <v>291.18244079544519</v>
      </c>
      <c r="ED288" s="196">
        <f>ED283/ED11*90</f>
        <v>223.11422381444669</v>
      </c>
      <c r="EG288" s="196">
        <f>EG283/EG11*90</f>
        <v>255.70926029258354</v>
      </c>
      <c r="EH288" s="196">
        <f>EH283/EH11*90</f>
        <v>294.94020714414859</v>
      </c>
      <c r="EI288" s="113">
        <v>250</v>
      </c>
      <c r="EJ288" s="113">
        <v>175</v>
      </c>
      <c r="FF288" s="196"/>
      <c r="FG288" s="196">
        <f t="shared" ref="FG288:FT288" si="284">FG283/FG11*(4*90)</f>
        <v>280.78615429744792</v>
      </c>
      <c r="FH288" s="196">
        <f t="shared" si="284"/>
        <v>281.58164360869966</v>
      </c>
      <c r="FI288" s="196">
        <f t="shared" si="284"/>
        <v>273.17628327977116</v>
      </c>
      <c r="FJ288" s="196">
        <f t="shared" si="284"/>
        <v>266.94504439644828</v>
      </c>
      <c r="FK288" s="196">
        <f t="shared" si="284"/>
        <v>213.82528486163861</v>
      </c>
      <c r="FL288" s="196">
        <f t="shared" si="284"/>
        <v>209.34266585514305</v>
      </c>
      <c r="FM288" s="196">
        <f t="shared" si="284"/>
        <v>209.67432188618088</v>
      </c>
      <c r="FN288" s="196">
        <f t="shared" si="284"/>
        <v>229.06493253310683</v>
      </c>
      <c r="FO288" s="196">
        <f t="shared" si="284"/>
        <v>211.82822085889569</v>
      </c>
      <c r="FP288" s="196">
        <f t="shared" si="284"/>
        <v>247.47615364784741</v>
      </c>
      <c r="FQ288" s="196">
        <f t="shared" si="284"/>
        <v>237.38318035522707</v>
      </c>
      <c r="FR288" s="196">
        <f t="shared" si="284"/>
        <v>284.72648846480621</v>
      </c>
      <c r="FS288" s="196">
        <f t="shared" si="284"/>
        <v>267.69888155963844</v>
      </c>
      <c r="FT288" s="196">
        <f t="shared" si="284"/>
        <v>195.95452553100466</v>
      </c>
      <c r="FU288" s="95">
        <v>220</v>
      </c>
      <c r="FV288" s="95">
        <v>190</v>
      </c>
      <c r="FW288" s="95">
        <v>190</v>
      </c>
      <c r="FX288" s="95">
        <v>190</v>
      </c>
    </row>
    <row r="289" spans="1:180" x14ac:dyDescent="0.25">
      <c r="B289" s="210" t="s">
        <v>174</v>
      </c>
      <c r="K289" s="191">
        <f>((Financials!K238+Financials!H238)/2)/Financials!K9*90</f>
        <v>64873.072092072216</v>
      </c>
      <c r="L289" s="191">
        <f>((Financials!L238+Financials!K238)/2)/Financials!L9*90</f>
        <v>57144.307678198267</v>
      </c>
      <c r="M289" s="191">
        <f>((Financials!M238+Financials!L238)/2)/Financials!M9*90</f>
        <v>75021.325960840506</v>
      </c>
      <c r="N289" s="191">
        <f>((Financials!N238+Financials!M238)/2)/Financials!N9*90</f>
        <v>57993.325046680868</v>
      </c>
      <c r="O289" s="196"/>
      <c r="Q289" s="191">
        <f>((Financials!Q238+Financials!N238)/2)/Financials!Q9*90</f>
        <v>53621.419151877213</v>
      </c>
      <c r="R289" s="191">
        <f>((Financials!R238+Financials!Q238)/2)/Financials!R9*90</f>
        <v>47195.493727661364</v>
      </c>
      <c r="S289" s="191">
        <f>((Financials!S238+Financials!R238)/2)/Financials!S9*90</f>
        <v>57037.883712267838</v>
      </c>
      <c r="T289" s="191">
        <f>((Financials!T238+Financials!S238)/2)/Financials!T9*90</f>
        <v>56792.736858177821</v>
      </c>
      <c r="W289" s="191">
        <f>((Financials!W238+Financials!T238)/2)/Financials!W9*90</f>
        <v>61923.544352835692</v>
      </c>
      <c r="X289" s="191">
        <f>((Financials!X238+Financials!W238)/2)/Financials!X9*90</f>
        <v>58842.80849087637</v>
      </c>
      <c r="Y289" s="191">
        <f>((Financials!Y238+Financials!X238)/2)/Financials!Y9*90</f>
        <v>56803.678184538527</v>
      </c>
      <c r="Z289" s="191">
        <f>((Financials!Z238+Financials!Y238)/2)/Financials!Z9*90</f>
        <v>57802.437487601346</v>
      </c>
      <c r="AC289" s="191">
        <f>((Financials!AC238+Financials!Z238)/2)/Financials!AC9*90</f>
        <v>67533.191617131277</v>
      </c>
      <c r="AD289" s="191">
        <f>((Financials!AD238+Financials!AC238)/2)/Financials!AD9*90</f>
        <v>67082.361456458922</v>
      </c>
      <c r="AE289" s="191">
        <f>((Financials!AE238+Financials!AD238)/2)/Financials!AE9*90</f>
        <v>70496.358183068616</v>
      </c>
      <c r="AF289" s="191">
        <f>((Financials!AF238+Financials!AE238)/2)/Financials!AF9*90</f>
        <v>95111.093110850125</v>
      </c>
      <c r="AI289" s="191">
        <f>((Financials!AI238+Financials!AF238)/2)/Financials!AI9*90</f>
        <v>188046.69843430904</v>
      </c>
      <c r="AJ289" s="191">
        <f>((Financials!AJ238+Financials!AI238)/2)/Financials!AJ9*90</f>
        <v>83202.982646420831</v>
      </c>
      <c r="AK289" s="191">
        <f>((Financials!AK238+Financials!AJ238)/2)/Financials!AK9*90</f>
        <v>48272.207134521464</v>
      </c>
      <c r="AL289" s="191">
        <f>((Financials!AL238+Financials!AK238)/2)/Financials!AL9*90</f>
        <v>58869.58588687591</v>
      </c>
      <c r="AO289" s="191">
        <f>((Financials!AO238+Financials!AL238)/2)/Financials!AO9*90</f>
        <v>61102.392828255586</v>
      </c>
      <c r="AP289" s="191">
        <f>((Financials!AP238+Financials!AO238)/2)/Financials!AP9*90</f>
        <v>60689.155048189386</v>
      </c>
      <c r="AQ289" s="191">
        <f>((Financials!AQ238+Financials!AP238)/2)/Financials!AQ9*90</f>
        <v>66065.051020408166</v>
      </c>
      <c r="AR289" s="191">
        <f>((Financials!AR238+Financials!AQ238)/2)/Financials!AR9*90</f>
        <v>60295.799921125283</v>
      </c>
      <c r="AU289" s="191">
        <f>((Financials!AU238+Financials!AR238)/2)/Financials!AU9*90</f>
        <v>66385.504751411645</v>
      </c>
      <c r="AV289" s="191">
        <f>((Financials!AV238+Financials!AU238)/2)/Financials!AV9*90</f>
        <v>56313.260102000793</v>
      </c>
      <c r="AW289" s="191">
        <f>((Financials!AW238+Financials!AV238)/2)/Financials!AW9*90</f>
        <v>52664.038395611926</v>
      </c>
      <c r="AX289" s="191">
        <f>((Financials!AX238+Financials!AW238)/2)/Financials!AX9*90</f>
        <v>62893.715418283922</v>
      </c>
      <c r="BA289" s="191">
        <f>((BA284+AX284)/2)/Sales!BA10*90</f>
        <v>31653.486700215668</v>
      </c>
      <c r="BB289" s="191">
        <f>((BA284+BB284)/2)/Sales!BB10*90</f>
        <v>0</v>
      </c>
      <c r="BC289" s="191">
        <f>((BB284+BC284)/2)/Sales!BC10*90</f>
        <v>0</v>
      </c>
      <c r="BD289" s="191">
        <f>((BC284+BD284)/2)/Sales!BD10*90</f>
        <v>0</v>
      </c>
      <c r="BG289" s="191">
        <f>BG284/BG9*90</f>
        <v>69.59085304338079</v>
      </c>
      <c r="BH289" s="191">
        <f>BH284/BH9*90</f>
        <v>45.254779683269049</v>
      </c>
      <c r="BI289" s="191">
        <f>BI284/BI9*90</f>
        <v>40.481252693578512</v>
      </c>
      <c r="BJ289" s="191">
        <f>BJ284/BJ9*90</f>
        <v>41.121052905373766</v>
      </c>
      <c r="BM289" s="191">
        <f>BM284/BM9*90</f>
        <v>53.632653061224495</v>
      </c>
      <c r="BN289" s="191">
        <f>BN284/BN9*90</f>
        <v>59.445120467266968</v>
      </c>
      <c r="BO289" s="191">
        <f>BO284/BO9*90</f>
        <v>65.427318106186661</v>
      </c>
      <c r="BP289" s="191">
        <f>BP284/BP9*90</f>
        <v>63.403614457831324</v>
      </c>
      <c r="BS289" s="191">
        <f>BS284/BS9*90</f>
        <v>69.309655130613962</v>
      </c>
      <c r="BT289" s="191">
        <f>BT284/BT9*90</f>
        <v>69.770267819357969</v>
      </c>
      <c r="BU289" s="191">
        <f>BU284/BU9*90</f>
        <v>63.288148721921004</v>
      </c>
      <c r="BV289" s="191">
        <f>BV284/BV9*90</f>
        <v>50.434388509273468</v>
      </c>
      <c r="BY289" s="191">
        <f>BY284/BY9*90</f>
        <v>50.846084608460856</v>
      </c>
      <c r="BZ289" s="191">
        <f>BZ284/BZ9*90</f>
        <v>37.891469303288105</v>
      </c>
      <c r="CA289" s="191">
        <f>CA284/CA9*90</f>
        <v>42.574672104044964</v>
      </c>
      <c r="CB289" s="191">
        <f>CB284/CB9*90</f>
        <v>33.038691412393838</v>
      </c>
      <c r="CE289" s="191">
        <f>CE284/CE9*90</f>
        <v>40.045276805927145</v>
      </c>
      <c r="CF289" s="191">
        <f>CF284/CF9*90</f>
        <v>52.44789188160275</v>
      </c>
      <c r="CG289" s="191">
        <f>CG284/CG9*90</f>
        <v>61.198823240990436</v>
      </c>
      <c r="CH289" s="191">
        <f>CH284/CH9*90</f>
        <v>61.172863615060145</v>
      </c>
      <c r="CK289" s="191">
        <f>CK284/CK9*90</f>
        <v>63.15361050328228</v>
      </c>
      <c r="CL289" s="191">
        <f>CL284/CL9*90</f>
        <v>37.403663698730114</v>
      </c>
      <c r="CM289" s="191">
        <f>CM284/CM9*90</f>
        <v>54.435719174381326</v>
      </c>
      <c r="CN289" s="191">
        <f>CN284/CN9*90</f>
        <v>42.907875894988067</v>
      </c>
      <c r="CQ289" s="191">
        <f>CQ284/CQ9*90</f>
        <v>64.168049885604049</v>
      </c>
      <c r="CR289" s="191">
        <f>CR284/CR9*90</f>
        <v>57.398263172241904</v>
      </c>
      <c r="CS289" s="191">
        <f>CS284/CS9*90</f>
        <v>63.305876443997981</v>
      </c>
      <c r="CT289" s="191">
        <f>CT284/CT9*90</f>
        <v>39.840451887820834</v>
      </c>
      <c r="CW289" s="191">
        <f>CW284/CW9*90</f>
        <v>65.174956977792348</v>
      </c>
      <c r="CX289" s="191">
        <f>CX284/CX9*90</f>
        <v>47.899690290765854</v>
      </c>
      <c r="CY289" s="191">
        <f>CY284/CY9*90</f>
        <v>55.9100555836281</v>
      </c>
      <c r="CZ289" s="191">
        <f>CZ284/CZ9*90</f>
        <v>27.720787005477067</v>
      </c>
      <c r="DC289" s="191">
        <f>DC284/DC9*90</f>
        <v>46.180709915442606</v>
      </c>
      <c r="DD289" s="191">
        <f>DD284/DD9*90</f>
        <v>62.280483558031939</v>
      </c>
      <c r="DE289" s="191">
        <f>DE284/DE9*90</f>
        <v>58.095701448114021</v>
      </c>
      <c r="DF289" s="191">
        <f>DF284/DF9*90</f>
        <v>54.661424903722718</v>
      </c>
      <c r="DI289" s="191">
        <f>DI284/DI9*90</f>
        <v>88.986532367587145</v>
      </c>
      <c r="DJ289" s="191">
        <f>DJ284/DJ9*90</f>
        <v>89.108369395083329</v>
      </c>
      <c r="DK289" s="191">
        <f>DK284/DK9*90</f>
        <v>90.964124396448781</v>
      </c>
      <c r="DL289" s="191">
        <f>DL284/DL9*90</f>
        <v>74.514323038163667</v>
      </c>
      <c r="DO289" s="191">
        <f>DO284/DO9*90</f>
        <v>46.088612848714831</v>
      </c>
      <c r="DP289" s="191">
        <f>DP284/DP9*90</f>
        <v>51.681903133738025</v>
      </c>
      <c r="DQ289" s="191">
        <f>DQ284/DQ9*90</f>
        <v>52.741645436835</v>
      </c>
      <c r="DR289" s="191">
        <f>DR284/DR9*90</f>
        <v>53.899267652342132</v>
      </c>
      <c r="DT289" s="191"/>
      <c r="DU289" s="191">
        <f>DU284/DU9*90</f>
        <v>61.000945179584122</v>
      </c>
      <c r="DV289" s="191">
        <f>DV284/DV9*90</f>
        <v>64.525853783558659</v>
      </c>
      <c r="DW289" s="191">
        <f>DW284/DW9*90</f>
        <v>62.198384958418707</v>
      </c>
      <c r="DX289" s="191">
        <f>DX284/DX9*90</f>
        <v>43.504663816556558</v>
      </c>
      <c r="EA289" s="191">
        <f>EA284/EA9*90</f>
        <v>53.448944003100181</v>
      </c>
      <c r="EB289" s="191">
        <f>EB284/EB9*90</f>
        <v>58.468348999570956</v>
      </c>
      <c r="EC289" s="191">
        <f>EC284/EC9*90</f>
        <v>64.234566258648215</v>
      </c>
      <c r="ED289" s="191">
        <f>ED284/ED9*90</f>
        <v>27.99650133772381</v>
      </c>
      <c r="EG289" s="95">
        <v>55</v>
      </c>
      <c r="EH289" s="95">
        <v>55</v>
      </c>
      <c r="EI289" s="95">
        <v>55</v>
      </c>
      <c r="EJ289" s="95">
        <v>55</v>
      </c>
      <c r="FF289" s="191"/>
      <c r="FG289" s="191">
        <f t="shared" ref="FG289:FT289" si="285">FG284/FG9*(4*90)</f>
        <v>58.280279431552167</v>
      </c>
      <c r="FH289" s="191">
        <f t="shared" si="285"/>
        <v>64.699554326110345</v>
      </c>
      <c r="FI289" s="191">
        <f t="shared" si="285"/>
        <v>46.017749785284856</v>
      </c>
      <c r="FJ289" s="191">
        <f t="shared" si="285"/>
        <v>37.097780655795617</v>
      </c>
      <c r="FK289" s="191">
        <f t="shared" si="285"/>
        <v>69.20599151643691</v>
      </c>
      <c r="FL289" s="191">
        <f t="shared" si="285"/>
        <v>49.28289473684211</v>
      </c>
      <c r="FM289" s="191">
        <f t="shared" si="285"/>
        <v>54.420764981091217</v>
      </c>
      <c r="FN289" s="191">
        <f t="shared" si="285"/>
        <v>33.745493046414467</v>
      </c>
      <c r="FO289" s="191">
        <f t="shared" si="285"/>
        <v>58.571812369029075</v>
      </c>
      <c r="FP289" s="191">
        <f t="shared" si="285"/>
        <v>90.517725070135185</v>
      </c>
      <c r="FQ289" s="191">
        <f t="shared" si="285"/>
        <v>56.616869568372735</v>
      </c>
      <c r="FR289" s="191">
        <f t="shared" si="285"/>
        <v>57.032363982464645</v>
      </c>
      <c r="FS289" s="191">
        <f t="shared" si="285"/>
        <v>33.314149973061667</v>
      </c>
      <c r="FT289" s="191">
        <f t="shared" si="285"/>
        <v>60.879321445166035</v>
      </c>
      <c r="FU289" s="95">
        <v>65</v>
      </c>
      <c r="FV289" s="95">
        <v>50</v>
      </c>
      <c r="FW289" s="95">
        <v>50</v>
      </c>
      <c r="FX289" s="95">
        <v>50</v>
      </c>
    </row>
    <row r="290" spans="1:180" x14ac:dyDescent="0.25">
      <c r="B290" s="84" t="s">
        <v>173</v>
      </c>
      <c r="K290" s="96">
        <v>68</v>
      </c>
      <c r="L290" s="96">
        <v>72</v>
      </c>
      <c r="M290" s="96">
        <v>75</v>
      </c>
      <c r="N290" s="191">
        <f>Financials!N250/Financials!N11*90</f>
        <v>90.062317440737345</v>
      </c>
      <c r="O290" s="87"/>
      <c r="Q290" s="96">
        <v>77</v>
      </c>
      <c r="R290" s="96">
        <v>65</v>
      </c>
      <c r="S290" s="96">
        <v>55</v>
      </c>
      <c r="T290" s="191">
        <f>Financials!T250/Financials!T11*90</f>
        <v>46.790367046867395</v>
      </c>
      <c r="U290" s="87"/>
      <c r="W290" s="96">
        <v>43</v>
      </c>
      <c r="X290" s="96">
        <v>43</v>
      </c>
      <c r="Y290" s="96">
        <v>45</v>
      </c>
      <c r="Z290" s="191">
        <f>Financials!Z250/Financials!Z11*90</f>
        <v>44.153761061946902</v>
      </c>
      <c r="AC290" s="96">
        <v>44</v>
      </c>
      <c r="AD290" s="96">
        <v>42</v>
      </c>
      <c r="AE290" s="96">
        <v>43</v>
      </c>
      <c r="AF290" s="191">
        <f>Financials!AF250/Financials!AF11*90</f>
        <v>38.326627531165485</v>
      </c>
      <c r="AI290" s="96">
        <v>40</v>
      </c>
      <c r="AJ290" s="96">
        <v>40</v>
      </c>
      <c r="AK290" s="96">
        <v>40</v>
      </c>
      <c r="AL290" s="191">
        <f>Financials!AL250/Financials!AL11*90</f>
        <v>51.523153070373894</v>
      </c>
      <c r="AO290" s="96">
        <v>50</v>
      </c>
      <c r="AP290" s="96">
        <v>55</v>
      </c>
      <c r="AQ290" s="96">
        <v>58</v>
      </c>
      <c r="AR290" s="191">
        <f>Financials!AR250/Financials!AR11*90</f>
        <v>59.741520258157045</v>
      </c>
      <c r="AU290" s="96">
        <v>55</v>
      </c>
      <c r="AV290" s="96">
        <v>50</v>
      </c>
      <c r="AW290" s="96">
        <v>45</v>
      </c>
      <c r="AX290" s="191">
        <f>Financials!AX250/Financials!AX11*90</f>
        <v>55.961105668299503</v>
      </c>
      <c r="BA290" s="96">
        <v>55</v>
      </c>
      <c r="BB290" s="96">
        <v>50</v>
      </c>
      <c r="BC290" s="96">
        <v>45</v>
      </c>
      <c r="BD290" s="191">
        <f>BD285/Financials!BD11*90</f>
        <v>0</v>
      </c>
      <c r="BG290" s="191">
        <f>BG285/BG11*90</f>
        <v>68.928182807399352</v>
      </c>
      <c r="BH290" s="191">
        <f>BH285/BH11*90</f>
        <v>67.10353866317169</v>
      </c>
      <c r="BI290" s="191">
        <f>BI285/BI11*90</f>
        <v>82.616205232410465</v>
      </c>
      <c r="BJ290" s="191">
        <f>BJ285/BJ11*90</f>
        <v>54.029349702666416</v>
      </c>
      <c r="BM290" s="191">
        <f>BM285/BM11*90</f>
        <v>83.367217280813207</v>
      </c>
      <c r="BN290" s="191">
        <f>BN285/BN11*90</f>
        <v>67.94661881798811</v>
      </c>
      <c r="BO290" s="191">
        <f>BO285/BO11*90</f>
        <v>86.69802445907807</v>
      </c>
      <c r="BP290" s="191">
        <f>BP285/BP11*90</f>
        <v>53.348464938478081</v>
      </c>
      <c r="BS290" s="191">
        <f>BS285/BS11*90</f>
        <v>75.952025708711119</v>
      </c>
      <c r="BT290" s="191">
        <f>BT285/BT11*90</f>
        <v>72.14595134955016</v>
      </c>
      <c r="BU290" s="191">
        <f>BU285/BU11*90</f>
        <v>53.614757006030509</v>
      </c>
      <c r="BV290" s="191">
        <f>BV285/BV11*90</f>
        <v>48.684142561983471</v>
      </c>
      <c r="BY290" s="191">
        <f>BY285/BY11*90</f>
        <v>75.813619134753623</v>
      </c>
      <c r="BZ290" s="191">
        <f>BZ285/BZ11*90</f>
        <v>66.197154878781802</v>
      </c>
      <c r="CA290" s="191">
        <f>CA285/CA11*90</f>
        <v>57.964701081411953</v>
      </c>
      <c r="CB290" s="191">
        <f>CB285/CB11*90</f>
        <v>53.027413587604293</v>
      </c>
      <c r="CE290" s="191">
        <f>CE285/CE11*90</f>
        <v>67.592737978410199</v>
      </c>
      <c r="CF290" s="191">
        <f>CF285/CF11*90</f>
        <v>76.54948480387911</v>
      </c>
      <c r="CG290" s="191">
        <f>CG285/CG11*90</f>
        <v>53.804277845339442</v>
      </c>
      <c r="CH290" s="191">
        <f>CH285/CH11*90</f>
        <v>53.661610766930146</v>
      </c>
      <c r="CK290" s="191">
        <f>CK285/CK11*90</f>
        <v>75.249679897567219</v>
      </c>
      <c r="CL290" s="191">
        <f>CL285/CL11*90</f>
        <v>75.249679897567219</v>
      </c>
      <c r="CM290" s="191">
        <f>CM285/CM11*90</f>
        <v>75.249679897567219</v>
      </c>
      <c r="CN290" s="191">
        <f>CN285/CN11*90</f>
        <v>49.588477366255148</v>
      </c>
      <c r="CQ290" s="191">
        <f>CQ285/CQ11*90</f>
        <v>49.588477366255148</v>
      </c>
      <c r="CR290" s="191">
        <f>CR285/CR11*90</f>
        <v>49.588477366255148</v>
      </c>
      <c r="CS290" s="191">
        <f>CS285/CS11*90</f>
        <v>49.588477366255148</v>
      </c>
      <c r="CT290" s="191">
        <f>CT285/CT11*90</f>
        <v>45.603205648046554</v>
      </c>
      <c r="CW290" s="191">
        <f>CW285/CW11*90</f>
        <v>45.603205648046554</v>
      </c>
      <c r="CX290" s="191">
        <f>CX285/CX11*90</f>
        <v>45.603205648046554</v>
      </c>
      <c r="CY290" s="191">
        <f>CY285/CY11*90</f>
        <v>45.603205648046554</v>
      </c>
      <c r="CZ290" s="191">
        <f>CZ285/CZ11*90</f>
        <v>60.700440528634367</v>
      </c>
      <c r="DC290" s="191">
        <f>DC285/DC11*90</f>
        <v>60.700440528634367</v>
      </c>
      <c r="DD290" s="191">
        <f>DD285/DD11*90</f>
        <v>60.700440528634367</v>
      </c>
      <c r="DE290" s="191">
        <f>DE285/DE11*90</f>
        <v>60.700440528634367</v>
      </c>
      <c r="DF290" s="191">
        <f>DF285/DF11*90</f>
        <v>83.355361050328241</v>
      </c>
      <c r="DI290" s="191">
        <f>DI285/DI11*90</f>
        <v>83.355361050328241</v>
      </c>
      <c r="DJ290" s="191">
        <f>DJ285/DJ11*90</f>
        <v>83.355361050328241</v>
      </c>
      <c r="DK290" s="191">
        <f>DK285/DK11*90</f>
        <v>83.355361050328241</v>
      </c>
      <c r="DL290" s="191">
        <f>DL285/DL11*90</f>
        <v>74.012759272913783</v>
      </c>
      <c r="DO290" s="191">
        <f>DO285/DO11*90</f>
        <v>74.012759272913783</v>
      </c>
      <c r="DP290" s="191">
        <f>DP285/DP11*90</f>
        <v>22.043481997078285</v>
      </c>
      <c r="DQ290" s="191">
        <f>DQ285/DQ11*90</f>
        <v>22.043481997078285</v>
      </c>
      <c r="DR290" s="191">
        <f>DR285/DR11*90</f>
        <v>60.021308634258602</v>
      </c>
      <c r="DT290" s="191"/>
      <c r="DU290" s="191">
        <f>DU285/DU11*90</f>
        <v>60.021308634258602</v>
      </c>
      <c r="DV290" s="191">
        <f>DV285/DV11*90</f>
        <v>15.739137561091908</v>
      </c>
      <c r="DW290" s="191">
        <f>DW285/DW11*90</f>
        <v>15.739137561091908</v>
      </c>
      <c r="DX290" s="191">
        <f>DX285/DX11*90</f>
        <v>70.430583501006026</v>
      </c>
      <c r="EA290" s="191">
        <f>EA285/EA11*90</f>
        <v>70.430583501006026</v>
      </c>
      <c r="EB290" s="191">
        <f>EB285/EB11*90</f>
        <v>22.876936147964187</v>
      </c>
      <c r="EC290" s="191">
        <f>EC285/EC11*90</f>
        <v>22.876936147964187</v>
      </c>
      <c r="ED290" s="191">
        <f>ED285/ED11*90</f>
        <v>68.74993861651356</v>
      </c>
      <c r="EG290" s="95">
        <v>7</v>
      </c>
      <c r="EH290" s="95">
        <v>7</v>
      </c>
      <c r="EI290" s="95">
        <v>7</v>
      </c>
      <c r="EJ290" s="95">
        <v>7</v>
      </c>
      <c r="FF290" s="191"/>
      <c r="FG290" s="191">
        <f t="shared" ref="FG290:FT290" si="286">FG285/FG11*(4*90)</f>
        <v>73.440891757113519</v>
      </c>
      <c r="FH290" s="191">
        <f t="shared" si="286"/>
        <v>54.79677290714438</v>
      </c>
      <c r="FI290" s="191">
        <f t="shared" si="286"/>
        <v>44.462658843647723</v>
      </c>
      <c r="FJ290" s="191">
        <f t="shared" si="286"/>
        <v>56.942644588432927</v>
      </c>
      <c r="FK290" s="191">
        <f t="shared" si="286"/>
        <v>60.575149213239278</v>
      </c>
      <c r="FL290" s="191">
        <f t="shared" si="286"/>
        <v>58.67315885575168</v>
      </c>
      <c r="FM290" s="191">
        <f t="shared" si="286"/>
        <v>58.467936760343719</v>
      </c>
      <c r="FN290" s="191">
        <f t="shared" si="286"/>
        <v>69.074401570746261</v>
      </c>
      <c r="FO290" s="191">
        <f t="shared" si="286"/>
        <v>86.556237218813905</v>
      </c>
      <c r="FP290" s="191">
        <f t="shared" si="286"/>
        <v>88.173927988313139</v>
      </c>
      <c r="FQ290" s="191">
        <f t="shared" si="286"/>
        <v>62.956550244367627</v>
      </c>
      <c r="FR290" s="191">
        <f t="shared" si="286"/>
        <v>91.507744591856749</v>
      </c>
      <c r="FS290" s="191">
        <f t="shared" si="286"/>
        <v>82.488159474047819</v>
      </c>
      <c r="FT290" s="191">
        <f t="shared" si="286"/>
        <v>7.8381810212401879</v>
      </c>
      <c r="FU290" s="95">
        <v>10</v>
      </c>
      <c r="FV290" s="95">
        <v>22</v>
      </c>
      <c r="FW290" s="95">
        <v>22</v>
      </c>
      <c r="FX290" s="95">
        <v>22</v>
      </c>
    </row>
    <row r="291" spans="1:180" x14ac:dyDescent="0.25">
      <c r="B291" s="74"/>
    </row>
    <row r="292" spans="1:180" x14ac:dyDescent="0.25">
      <c r="B292" s="109" t="s">
        <v>172</v>
      </c>
      <c r="FD292" s="191"/>
    </row>
    <row r="293" spans="1:180" x14ac:dyDescent="0.25">
      <c r="B293" s="84" t="s">
        <v>171</v>
      </c>
      <c r="H293" s="184">
        <f>Financials!H241/Financials!H$9</f>
        <v>914.06359451934759</v>
      </c>
      <c r="I293" s="184"/>
      <c r="J293" s="74"/>
      <c r="K293" s="184">
        <f>Financials!K241/Financials!K$9</f>
        <v>1063.8225156277385</v>
      </c>
      <c r="L293" s="184">
        <f>Financials!L241/Financials!L$9</f>
        <v>910.99421563939131</v>
      </c>
      <c r="M293" s="184">
        <f>Financials!M241/Financials!M$9</f>
        <v>1224.972943976682</v>
      </c>
      <c r="N293" s="184">
        <f>Financials!N241/Financials!N$9</f>
        <v>1418.5872900273605</v>
      </c>
      <c r="O293" s="184"/>
      <c r="Q293" s="184">
        <f>Financials!Q241/Financials!Q$9</f>
        <v>1494.1816679642193</v>
      </c>
      <c r="R293" s="184">
        <f>Financials!R241/Financials!R$9</f>
        <v>972.86552539198135</v>
      </c>
      <c r="S293" s="184">
        <f>Financials!S241/Financials!S$9</f>
        <v>873.52584896388169</v>
      </c>
      <c r="T293" s="184">
        <f>Financials!T241/Financials!T$9</f>
        <v>757.34009537932059</v>
      </c>
      <c r="W293" s="184">
        <f>Financials!W241/Financials!W$9</f>
        <v>944.25056990782548</v>
      </c>
      <c r="X293" s="184">
        <f>Financials!X241/Financials!X$9</f>
        <v>1045.9255962555176</v>
      </c>
      <c r="Y293" s="184">
        <f>Financials!Y241/Financials!Y$9</f>
        <v>1092.9049823732253</v>
      </c>
      <c r="Z293" s="184">
        <f>Financials!Z241/Financials!Z$9</f>
        <v>1132.9270511374909</v>
      </c>
      <c r="AC293" s="184">
        <f>Financials!AC241/Financials!AC$9</f>
        <v>1253.2636791672833</v>
      </c>
      <c r="AD293" s="184">
        <f>Financials!AD241/Financials!AD$9</f>
        <v>1338.8966744337843</v>
      </c>
      <c r="AE293" s="184">
        <f>Financials!AE241/Financials!AE$9</f>
        <v>1628.2130617249566</v>
      </c>
      <c r="AF293" s="184">
        <f>Financials!AF241/Financials!AF$9</f>
        <v>2023.3080879672755</v>
      </c>
      <c r="AI293" s="184">
        <f>Financials!AI241/Financials!AI$9</f>
        <v>5101.5384615384619</v>
      </c>
      <c r="AJ293" s="184">
        <f>Financials!AJ241/Financials!AJ$9</f>
        <v>3348.083875632683</v>
      </c>
      <c r="AK293" s="184">
        <f>Financials!AK241/Financials!AK$9</f>
        <v>1589.0752640147534</v>
      </c>
      <c r="AL293" s="184">
        <f>Financials!AL241/Financials!AL$9</f>
        <v>1659.3841182570111</v>
      </c>
      <c r="AO293" s="184">
        <f>Financials!AO241/Financials!AO$9</f>
        <v>1557.6974925856025</v>
      </c>
      <c r="AP293" s="184">
        <f>Financials!AP241/Financials!AP$9</f>
        <v>1225.1333395714419</v>
      </c>
      <c r="AQ293" s="184">
        <f>Financials!AQ241/Financials!AQ$9</f>
        <v>1232.8231292517007</v>
      </c>
      <c r="AR293" s="184">
        <f>Financials!AR241/Financials!AR$9</f>
        <v>984.08045221506518</v>
      </c>
      <c r="AU293" s="184">
        <f>Financials!AU241/Financials!AU$9</f>
        <v>1078.088417573337</v>
      </c>
      <c r="AV293" s="184">
        <f>Financials!AV241/Financials!AV$9</f>
        <v>1052.9619458611221</v>
      </c>
      <c r="AW293" s="184">
        <f>Financials!AW241/Financials!AW$9</f>
        <v>998.14878299622899</v>
      </c>
      <c r="AX293" s="184">
        <f>Financials!AX241/Financials!AX$9</f>
        <v>1341.6467090593771</v>
      </c>
      <c r="BA293" s="184">
        <f>BA283/Sales!BA$10</f>
        <v>0</v>
      </c>
      <c r="BB293" s="184">
        <f>BB283/Sales!BB$10</f>
        <v>0</v>
      </c>
      <c r="BC293" s="184">
        <f>BC283/Sales!BC$10</f>
        <v>0</v>
      </c>
      <c r="BD293" s="184">
        <f>BD283/Sales!BD$10</f>
        <v>0</v>
      </c>
      <c r="BG293" s="184">
        <f>BG283/BG$9</f>
        <v>2.2484026454433361</v>
      </c>
      <c r="BH293" s="184">
        <f>BH283/BH$9</f>
        <v>1.9460900960039385</v>
      </c>
      <c r="BI293" s="184">
        <f>BI283/BI$9</f>
        <v>1.7902600201120529</v>
      </c>
      <c r="BJ293" s="184">
        <f>BJ283/BJ$9</f>
        <v>1.244862924621547</v>
      </c>
      <c r="BM293" s="184">
        <f>BM283/BM$9</f>
        <v>1.8243465807375581</v>
      </c>
      <c r="BN293" s="184">
        <f>BN283/BN$9</f>
        <v>1.5913239230956437</v>
      </c>
      <c r="BO293" s="184">
        <f>BO283/BO$9</f>
        <v>2.0245046135229163</v>
      </c>
      <c r="BP293" s="184">
        <f>BP283/BP$9</f>
        <v>1.7066934404283802</v>
      </c>
      <c r="BS293" s="184">
        <f>BS283/BS$9</f>
        <v>1.580398812049215</v>
      </c>
      <c r="BT293" s="184">
        <f>BT283/BT$9</f>
        <v>1.567075751163775</v>
      </c>
      <c r="BU293" s="184">
        <f>BU283/BU$9</f>
        <v>1.6376194164730185</v>
      </c>
      <c r="BV293" s="184">
        <f>BV283/BV$9</f>
        <v>1.7945195928043509</v>
      </c>
      <c r="BY293" s="184">
        <f>BY283/BY$9</f>
        <v>2.0627062706270629</v>
      </c>
      <c r="BZ293" s="184">
        <f>BZ283/BZ$9</f>
        <v>1.5608760634628651</v>
      </c>
      <c r="CA293" s="184">
        <f>CA283/CA$9</f>
        <v>1.4862228590322937</v>
      </c>
      <c r="CB293" s="184">
        <f>CB283/CB$9</f>
        <v>1.4579532347698438</v>
      </c>
      <c r="CE293" s="184">
        <f>CE283/CE$9</f>
        <v>1.5413150854085202</v>
      </c>
      <c r="CF293" s="184">
        <f>CF283/CF$9</f>
        <v>1.4927667269439424</v>
      </c>
      <c r="CG293" s="184">
        <f>CG283/CG$9</f>
        <v>1.2251777396420691</v>
      </c>
      <c r="CH293" s="184">
        <f>CH283/CH$9</f>
        <v>1.1543508826745821</v>
      </c>
      <c r="CK293" s="184">
        <f>CK283/CK$9</f>
        <v>1.4142231947483588</v>
      </c>
      <c r="CL293" s="184">
        <f>CL283/CL$9</f>
        <v>1.1740986717267552</v>
      </c>
      <c r="CM293" s="184">
        <f>CM283/CM$9</f>
        <v>1.2257123302474695</v>
      </c>
      <c r="CN293" s="184">
        <f>CN283/CN$9</f>
        <v>1.0945107398568019</v>
      </c>
      <c r="CQ293" s="184">
        <f>CQ283/CQ$9</f>
        <v>1.6889327531290657</v>
      </c>
      <c r="CR293" s="184">
        <f>CR283/CR$9</f>
        <v>1.5242415981930759</v>
      </c>
      <c r="CS293" s="184">
        <f>CS283/CS$9</f>
        <v>1.3042022434287628</v>
      </c>
      <c r="CT293" s="184">
        <f>CT283/CT$9</f>
        <v>0.9437122188088396</v>
      </c>
      <c r="CW293" s="184">
        <f>CW283/CW$9</f>
        <v>1.7804228468409409</v>
      </c>
      <c r="CX293" s="184">
        <f>CX283/CX$9</f>
        <v>1.4089063956460295</v>
      </c>
      <c r="CY293" s="184">
        <f>CY283/CY$9</f>
        <v>1.1656644770085902</v>
      </c>
      <c r="CZ293" s="184">
        <f>CZ283/CZ$9</f>
        <v>1.0741167344444182</v>
      </c>
      <c r="DC293" s="184">
        <f>DC283/DC$9</f>
        <v>1.0880405142189329</v>
      </c>
      <c r="DD293" s="184">
        <f>DD283/DD$9</f>
        <v>1.2651858116511618</v>
      </c>
      <c r="DE293" s="184">
        <f>DE283/DE$9</f>
        <v>0.94331558964379059</v>
      </c>
      <c r="DF293" s="184">
        <f>DF283/DF$9</f>
        <v>1.0388318356867778</v>
      </c>
      <c r="DI293" s="184">
        <f>DI283/DI$9</f>
        <v>1.7183963331824357</v>
      </c>
      <c r="DJ293" s="184">
        <f>DJ283/DJ$9</f>
        <v>1.1724703066016022</v>
      </c>
      <c r="DK293" s="184">
        <f>DK283/DK$9</f>
        <v>1.19135385840126</v>
      </c>
      <c r="DL293" s="184">
        <f>DL283/DL$9</f>
        <v>1.1196696836801343</v>
      </c>
      <c r="DO293" s="184">
        <f>DO283/DO$9</f>
        <v>1.0957279653730989</v>
      </c>
      <c r="DP293" s="184">
        <f>DP283/DP$9</f>
        <v>1.1205540182258087</v>
      </c>
      <c r="DQ293" s="184">
        <f>DQ283/DQ$9</f>
        <v>1.2555821969129328</v>
      </c>
      <c r="DR293" s="184">
        <f>DR283/DR$9</f>
        <v>1.2229791350006909</v>
      </c>
      <c r="DT293" s="184"/>
      <c r="DU293" s="184">
        <f>DU283/DU$9</f>
        <v>1.8647448015122874</v>
      </c>
      <c r="DV293" s="184">
        <f>DV283/DV$9</f>
        <v>1.7575927468443648</v>
      </c>
      <c r="DW293" s="184">
        <f>DW283/DW$9</f>
        <v>1.528598020703601</v>
      </c>
      <c r="DX293" s="184">
        <f>DX283/DX$9</f>
        <v>1.1758323617048843</v>
      </c>
      <c r="EA293" s="184">
        <f>EA283/EA$9</f>
        <v>1.4241038558418913</v>
      </c>
      <c r="EB293" s="184">
        <f>EB283/EB$9</f>
        <v>1.5049728928585355</v>
      </c>
      <c r="EC293" s="184">
        <f>EC283/EC$9</f>
        <v>1.565034592868547</v>
      </c>
      <c r="ED293" s="184">
        <f>ED283/ED$9</f>
        <v>1.1760959045071002</v>
      </c>
      <c r="EG293" s="184">
        <f>EG283/EG$9</f>
        <v>1.3359037244054071</v>
      </c>
      <c r="EH293" s="184">
        <f>EH283/EH$9</f>
        <v>1.5214523826654196</v>
      </c>
      <c r="EI293" s="184">
        <f>EI283/EI$9</f>
        <v>1.336921096595733</v>
      </c>
      <c r="EJ293" s="184">
        <f>EJ283/EJ$9</f>
        <v>0.93357140535234318</v>
      </c>
      <c r="FF293" s="184"/>
      <c r="FG293" s="184">
        <f t="shared" ref="FG293:FP293" si="287">FG283/FG$9</f>
        <v>0.44108159917423923</v>
      </c>
      <c r="FH293" s="184">
        <f t="shared" si="287"/>
        <v>0.43539436162764888</v>
      </c>
      <c r="FI293" s="184">
        <f t="shared" si="287"/>
        <v>0.40934249451283516</v>
      </c>
      <c r="FJ293" s="184">
        <f t="shared" si="287"/>
        <v>0.40926885265202806</v>
      </c>
      <c r="FK293" s="184">
        <f t="shared" si="287"/>
        <v>0.32648462354188762</v>
      </c>
      <c r="FL293" s="184">
        <f t="shared" si="287"/>
        <v>0.31428179824561403</v>
      </c>
      <c r="FM293" s="184">
        <f t="shared" si="287"/>
        <v>0.322270069966751</v>
      </c>
      <c r="FN293" s="184">
        <f t="shared" si="287"/>
        <v>0.32689005894809131</v>
      </c>
      <c r="FO293" s="184">
        <f t="shared" si="287"/>
        <v>0.27828703454945997</v>
      </c>
      <c r="FP293" s="184">
        <f t="shared" si="287"/>
        <v>0.34003513842840549</v>
      </c>
      <c r="FQ293" s="184">
        <f>FQ283/FQ$9</f>
        <v>0.32116044051744475</v>
      </c>
      <c r="FR293" s="184">
        <f t="shared" ref="FR293:FX293" si="288">FR283/FR$9</f>
        <v>0.38536385155097319</v>
      </c>
      <c r="FS293" s="184">
        <f t="shared" si="288"/>
        <v>0.34987081843561735</v>
      </c>
      <c r="FT293" s="184">
        <f>FT283/FT$9</f>
        <v>0.2583417894475486</v>
      </c>
      <c r="FU293" s="184">
        <f t="shared" si="288"/>
        <v>0.2718521821103117</v>
      </c>
      <c r="FV293" s="184">
        <f t="shared" si="288"/>
        <v>0.2368653796143497</v>
      </c>
      <c r="FW293" s="184">
        <f t="shared" ca="1" si="288"/>
        <v>0.27197452788757137</v>
      </c>
      <c r="FX293" s="184">
        <f t="shared" si="288"/>
        <v>0.27109954596076413</v>
      </c>
    </row>
    <row r="294" spans="1:180" x14ac:dyDescent="0.25">
      <c r="B294" s="84" t="s">
        <v>170</v>
      </c>
      <c r="H294" s="184">
        <f>Financials!H238/Financials!K$9</f>
        <v>734.87322544838469</v>
      </c>
      <c r="I294" s="184"/>
      <c r="J294" s="74"/>
      <c r="K294" s="184">
        <f>Financials!K238/(Financials!L9)</f>
        <v>633.98426496695117</v>
      </c>
      <c r="L294" s="184">
        <f>Financials!L238/(Financials!M9)</f>
        <v>910.34280966251708</v>
      </c>
      <c r="M294" s="184">
        <f>Financials!M238/(Financials!N9)</f>
        <v>736.46984954432537</v>
      </c>
      <c r="N294" s="184">
        <f>Financials!N238/(Financials!Q9)</f>
        <v>480.73849282638747</v>
      </c>
      <c r="O294" s="184"/>
      <c r="Q294" s="184">
        <f>Financials!Q238/(Financials!R9)</f>
        <v>475.07204641551829</v>
      </c>
      <c r="R294" s="184">
        <f>Financials!R238/(Financials!S9)</f>
        <v>563.73267614950657</v>
      </c>
      <c r="S294" s="184">
        <f>Financials!S238/(Financials!T9)</f>
        <v>631.85474465751213</v>
      </c>
      <c r="T294" s="184">
        <f>Financials!T238/(Financials!W9)</f>
        <v>700.61640647211175</v>
      </c>
      <c r="W294" s="184">
        <f>Financials!W238/(Financials!X9)</f>
        <v>697.26151391818303</v>
      </c>
      <c r="X294" s="184">
        <f>Financials!X238/(Financials!Y9)</f>
        <v>607.64426236175234</v>
      </c>
      <c r="Y294" s="184">
        <f>Financials!Y238/(Financials!Z9)</f>
        <v>628.7441398641364</v>
      </c>
      <c r="Z294" s="184">
        <f>Financials!Z238/(Financials!AC9)</f>
        <v>694.04857224915361</v>
      </c>
      <c r="AC294" s="184">
        <f>Financials!AC238/(Financials!AD9)</f>
        <v>878.40887417861836</v>
      </c>
      <c r="AD294" s="184">
        <f>Financials!AD238/(Financials!AE9)</f>
        <v>742.12662582394944</v>
      </c>
      <c r="AE294" s="184">
        <f>Financials!AE238/(Financials!AF9)</f>
        <v>1162.8326110728606</v>
      </c>
      <c r="AF294" s="184">
        <f>Financials!AF238/(Financials!AI9)</f>
        <v>2556.8304969366918</v>
      </c>
      <c r="AI294" s="184">
        <f>Financials!AI238/Financials!AI9</f>
        <v>1621.9850238257318</v>
      </c>
      <c r="AJ294" s="184">
        <f>Financials!AJ238/Financials!AJ9</f>
        <v>772.17642805495313</v>
      </c>
      <c r="AK294" s="184">
        <f>Financials!AK238/Financials!AK9</f>
        <v>688.06819000417818</v>
      </c>
      <c r="AL294" s="184">
        <f>Financials!AL238/Financials!AL9</f>
        <v>650.12246669629292</v>
      </c>
      <c r="AO294" s="184">
        <f>Financials!AO238/Financials!AO9</f>
        <v>849.01590725262861</v>
      </c>
      <c r="AP294" s="184">
        <f>Financials!AP238/Financials!AP9</f>
        <v>759.33377000093571</v>
      </c>
      <c r="AQ294" s="184">
        <f>Financials!AQ238/Financials!AQ9</f>
        <v>778.0612244897959</v>
      </c>
      <c r="AR294" s="184">
        <f>Financials!AR238/Financials!AR9</f>
        <v>738.48691994215858</v>
      </c>
      <c r="AU294" s="184">
        <f>Financials!AU238/Financials!AU9</f>
        <v>701.5562594683928</v>
      </c>
      <c r="AV294" s="184">
        <f>Financials!AV238/Financials!AV9</f>
        <v>585.26219432457174</v>
      </c>
      <c r="AW294" s="184">
        <f>Financials!AW238/Financials!AW9</f>
        <v>556.59924580047993</v>
      </c>
      <c r="AX294" s="184">
        <f>Financials!AX238/Financials!AX9</f>
        <v>727.22768188950363</v>
      </c>
      <c r="BA294" s="184">
        <f>BA284/Sales!BA$10</f>
        <v>0</v>
      </c>
      <c r="BB294" s="184">
        <f>BB284/Sales!BB$10</f>
        <v>0</v>
      </c>
      <c r="BC294" s="184">
        <f>BC284/Sales!BC$10</f>
        <v>0</v>
      </c>
      <c r="BD294" s="184">
        <f>BD284/Sales!BD$10</f>
        <v>0</v>
      </c>
      <c r="BG294" s="184">
        <f>BG284/Sales!BG$10</f>
        <v>0.77323170048200873</v>
      </c>
      <c r="BH294" s="184">
        <f>BH284/Sales!BH$10</f>
        <v>0.50283088536965614</v>
      </c>
      <c r="BI294" s="184">
        <f>BI284/Sales!BI$10</f>
        <v>0.44979169659531676</v>
      </c>
      <c r="BJ294" s="184">
        <f>BJ284/Sales!BJ$10</f>
        <v>0.45690058783748627</v>
      </c>
      <c r="BL294" s="108"/>
      <c r="BM294" s="184">
        <f>BM284/Sales!BM$10</f>
        <v>0.59591836734693882</v>
      </c>
      <c r="BN294" s="184">
        <f>BN284/Sales!BN$10</f>
        <v>0.66050133852518855</v>
      </c>
      <c r="BO294" s="184">
        <f>BO284/Sales!BO$10</f>
        <v>0.72697020117985178</v>
      </c>
      <c r="BP294" s="184">
        <f>BP284/Sales!BP$10</f>
        <v>0.70448460508701471</v>
      </c>
      <c r="BS294" s="184">
        <f>BS284/Sales!BS$10</f>
        <v>0.77010727922904409</v>
      </c>
      <c r="BT294" s="184">
        <f>BT284/Sales!BT$10</f>
        <v>0.77522519799286627</v>
      </c>
      <c r="BU294" s="184">
        <f>BU284/Sales!BU$10</f>
        <v>0.70320165246578892</v>
      </c>
      <c r="BV294" s="184">
        <f>BV284/Sales!BV$10</f>
        <v>0.560382094547483</v>
      </c>
      <c r="BY294" s="184">
        <f>BY284/Sales!BY$10</f>
        <v>0.56495649564956507</v>
      </c>
      <c r="BZ294" s="184">
        <f>BZ284/Sales!BZ$10</f>
        <v>0.42101632559209007</v>
      </c>
      <c r="CA294" s="184">
        <f>CA284/Sales!CA$10</f>
        <v>0.47305191226716631</v>
      </c>
      <c r="CB294" s="184">
        <f>CB284/Sales!CB$10</f>
        <v>0.36709657124882045</v>
      </c>
      <c r="CE294" s="184">
        <f>CE284/Sales!CE$10</f>
        <v>0.44494752006585719</v>
      </c>
      <c r="CF294" s="184">
        <f>CF284/Sales!CF$10</f>
        <v>0.58275435424003053</v>
      </c>
      <c r="CG294" s="184">
        <f>CG284/Sales!CG$10</f>
        <v>0.67998692489989376</v>
      </c>
      <c r="CH294" s="184">
        <f>CH284/Sales!CH$10</f>
        <v>0.6796984846117794</v>
      </c>
      <c r="CK294" s="184">
        <f>CK284/Sales!CK$10</f>
        <v>0.70170678336980308</v>
      </c>
      <c r="CL294" s="184">
        <f>CL284/Sales!CL$10</f>
        <v>0.4155962633192235</v>
      </c>
      <c r="CM294" s="184">
        <f>CM284/Sales!CM$10</f>
        <v>0.60484132415979253</v>
      </c>
      <c r="CN294" s="184">
        <f>CN284/Sales!CN$10</f>
        <v>0.47675417661097852</v>
      </c>
      <c r="CQ294" s="184">
        <f>CQ284/Sales!CQ$10</f>
        <v>0.71297833206226724</v>
      </c>
      <c r="CR294" s="184">
        <f>CR284/Sales!CR$10</f>
        <v>0.63775847969157673</v>
      </c>
      <c r="CS294" s="184">
        <f>CS284/Sales!CS$10</f>
        <v>0.70339862715553314</v>
      </c>
      <c r="CT294" s="184">
        <f>CT284/Sales!CT$10</f>
        <v>0.44267168764245368</v>
      </c>
      <c r="CW294" s="184">
        <f>CW284/Sales!CW$10</f>
        <v>0.72416618864213722</v>
      </c>
      <c r="CX294" s="184">
        <f>CX284/Sales!CX$10</f>
        <v>0.5322187810085095</v>
      </c>
      <c r="CY294" s="184">
        <f>CY284/Sales!CY$10</f>
        <v>0.62122283981809001</v>
      </c>
      <c r="CZ294" s="184">
        <f>CZ284/Sales!CZ$10</f>
        <v>0.30800874450530075</v>
      </c>
      <c r="DC294" s="184">
        <f>DC284/Sales!DC$10</f>
        <v>0.51311899906047342</v>
      </c>
      <c r="DD294" s="184">
        <f>DD284/Sales!DD$10</f>
        <v>0.69200537286702157</v>
      </c>
      <c r="DE294" s="184">
        <f>DE284/Sales!DE$10</f>
        <v>0.64550779386793355</v>
      </c>
      <c r="DF294" s="184">
        <f>DF284/Sales!DF$10</f>
        <v>0.60734916559691909</v>
      </c>
      <c r="DI294" s="184">
        <f>DI284/Sales!DI$10</f>
        <v>0.98873924852874606</v>
      </c>
      <c r="DJ294" s="184">
        <f>DJ284/Sales!DJ$10</f>
        <v>0.99009299327870359</v>
      </c>
      <c r="DK294" s="184">
        <f>DK284/Sales!DK$10</f>
        <v>1.0107124932938754</v>
      </c>
      <c r="DL294" s="184">
        <f>DL284/Sales!DL$10</f>
        <v>0.82793692264626295</v>
      </c>
      <c r="DO294" s="184">
        <f>DO284/Sales!DO$10</f>
        <v>0.51209569831905366</v>
      </c>
      <c r="DP294" s="184">
        <f>DP284/Sales!DP$10</f>
        <v>0.57424336815264476</v>
      </c>
      <c r="DQ294" s="184">
        <f>DQ284/Sales!DQ$10</f>
        <v>0.58601828263150002</v>
      </c>
      <c r="DR294" s="184">
        <f>DR284/Sales!DR$10</f>
        <v>0.59888075169269039</v>
      </c>
      <c r="DT294" s="184"/>
      <c r="DU294" s="184">
        <f>DU284/Sales!DU$10</f>
        <v>0.67778827977315692</v>
      </c>
      <c r="DV294" s="184">
        <f>DV284/Sales!DV$10</f>
        <v>0.71695393092842963</v>
      </c>
      <c r="DW294" s="184">
        <f>DW284/Sales!DW$10</f>
        <v>0.69109316620465233</v>
      </c>
      <c r="DX294" s="184">
        <f>DX284/Sales!DX$10</f>
        <v>0.48338515351729505</v>
      </c>
      <c r="EA294" s="184">
        <f>EA284/Sales!EA$10</f>
        <v>0.59387715559000198</v>
      </c>
      <c r="EB294" s="184">
        <f>EB284/Sales!EB$10</f>
        <v>0.64964832221745505</v>
      </c>
      <c r="EC294" s="184">
        <f>EC284/Sales!EC$10</f>
        <v>0.71371740287386909</v>
      </c>
      <c r="ED294" s="184">
        <f>ED284/Sales!ED$10</f>
        <v>0.3110722370858201</v>
      </c>
      <c r="EG294" s="184">
        <f>EG284/Sales!EG$10</f>
        <v>0.50224148748075059</v>
      </c>
      <c r="EH294" s="184">
        <f>EH284/Sales!EH$10</f>
        <v>0.61111111111111116</v>
      </c>
      <c r="EI294" s="184">
        <f>EI284/Sales!EI$10</f>
        <v>0.61111111111111116</v>
      </c>
      <c r="EJ294" s="184">
        <f>EJ284/Sales!EJ$10</f>
        <v>0.61111111111111116</v>
      </c>
      <c r="FF294" s="184"/>
      <c r="FG294" s="184">
        <f>FG284/Sales!FA$10</f>
        <v>0.16744514136465025</v>
      </c>
      <c r="FH294" s="184">
        <f>FH284/Sales!FB$10</f>
        <v>0.17972098423919539</v>
      </c>
      <c r="FI294" s="184">
        <f>FI284/Sales!FC$10</f>
        <v>0.12782708273690238</v>
      </c>
      <c r="FJ294" s="184">
        <f>FJ284/Sales!FD$10</f>
        <v>0.10304939071054336</v>
      </c>
      <c r="FK294" s="184">
        <f>FK284/Sales!FE$10</f>
        <v>0.19223886532343584</v>
      </c>
      <c r="FL294" s="184">
        <f>FL284/Sales!FF$10</f>
        <v>0.13689692982456142</v>
      </c>
      <c r="FM294" s="184">
        <f>FM284/Sales!FG$10</f>
        <v>0.15116879161414229</v>
      </c>
      <c r="FN294" s="184">
        <f>FN284/Sales!FH$10</f>
        <v>9.3737480684484634E-2</v>
      </c>
      <c r="FO294" s="184">
        <f>FO284/Sales!FI$10</f>
        <v>0.16269947880285854</v>
      </c>
      <c r="FP294" s="184">
        <f>FP284/Sales!FJ$10</f>
        <v>0.25143812519481995</v>
      </c>
      <c r="FQ294" s="184">
        <f>FQ284/Sales!FK$10</f>
        <v>0.15726908213436869</v>
      </c>
      <c r="FR294" s="184">
        <f>FR284/Sales!FL$10</f>
        <v>0.15842323328462402</v>
      </c>
      <c r="FS294" s="184">
        <f>FS284/Sales!FM$10</f>
        <v>9.2539305480726849E-2</v>
      </c>
      <c r="FT294" s="184">
        <f>FT284/Sales!FN$10</f>
        <v>0.16910922623657232</v>
      </c>
      <c r="FU294" s="184">
        <f>FU284/Sales!EL$10</f>
        <v>0.18055555555555555</v>
      </c>
      <c r="FV294" s="184">
        <f>FV284/Sales!FP$10</f>
        <v>0.1388888888888889</v>
      </c>
      <c r="FW294" s="184">
        <f ca="1">FW284/Sales!FQ$10</f>
        <v>0.1388888888888889</v>
      </c>
      <c r="FX294" s="184">
        <f>FX284/Sales!FR$10</f>
        <v>0.1388888888888889</v>
      </c>
    </row>
    <row r="295" spans="1:180" x14ac:dyDescent="0.25">
      <c r="B295" s="84" t="s">
        <v>169</v>
      </c>
      <c r="H295" s="184">
        <f>Financials!H250/Financials!H$9</f>
        <v>437.14290808775769</v>
      </c>
      <c r="I295" s="184"/>
      <c r="J295" s="74"/>
      <c r="K295" s="196"/>
      <c r="L295" s="196"/>
      <c r="M295" s="196"/>
      <c r="N295" s="184">
        <f>Financials!N250/Financials!N$9</f>
        <v>627.81796378331308</v>
      </c>
      <c r="O295" s="184"/>
      <c r="P295" s="211"/>
      <c r="Q295" s="196"/>
      <c r="R295" s="196"/>
      <c r="S295" s="196"/>
      <c r="T295" s="184">
        <f>Financials!T250/Financials!T$9</f>
        <v>306.31075373269249</v>
      </c>
      <c r="U295" s="87"/>
      <c r="V295" s="211"/>
      <c r="W295" s="196"/>
      <c r="X295" s="184">
        <f>Financials!X250/Financials!X$9</f>
        <v>280.92586739748384</v>
      </c>
      <c r="Y295" s="184">
        <f>Financials!Y250/Financials!Y$9</f>
        <v>293.99951197272185</v>
      </c>
      <c r="Z295" s="184">
        <f>Financials!Z250/Financials!Z$9</f>
        <v>290.83850436895551</v>
      </c>
      <c r="AC295" s="107">
        <f>Financials!AC250/Financials!AC$9</f>
        <v>290.17313455351422</v>
      </c>
      <c r="AD295" s="184">
        <f>Financials!AD250/Financials!AD$9</f>
        <v>280.10768928844595</v>
      </c>
      <c r="AE295" s="184">
        <f>Financials!AE250/Financials!AE$9</f>
        <v>295.69836946594506</v>
      </c>
      <c r="AF295" s="184">
        <f>Financials!AF250/Financials!AF$9</f>
        <v>392.2279373050909</v>
      </c>
      <c r="AI295" s="184">
        <f>Financials!AI250/Financials!AI$9</f>
        <v>414.52356100143714</v>
      </c>
      <c r="AJ295" s="184">
        <f>Financials!AJ250/Financials!AJ$9</f>
        <v>389.10902225435848</v>
      </c>
      <c r="AK295" s="184">
        <f>Financials!AK250/Financials!AK$9</f>
        <v>291.35910968958558</v>
      </c>
      <c r="AL295" s="184">
        <f>Financials!AL250/Financials!AL$9</f>
        <v>355.21542770331018</v>
      </c>
      <c r="AO295" s="184">
        <f>Financials!AO250/Financials!AO$9</f>
        <v>331.92534675414151</v>
      </c>
      <c r="AP295" s="184">
        <f>Financials!AP250/Financials!AP$9</f>
        <v>348.41396088705909</v>
      </c>
      <c r="AQ295" s="184">
        <f>Financials!AQ250/Financials!AQ$9</f>
        <v>363.59599395313683</v>
      </c>
      <c r="AR295" s="184">
        <f>Financials!AR250/Financials!AR$9</f>
        <v>365.05652688313398</v>
      </c>
      <c r="AU295" s="184">
        <f>Financials!AU250/Financials!AU$9</f>
        <v>337.74809101899035</v>
      </c>
      <c r="AV295" s="184">
        <f>Financials!AV250/Financials!AV$9</f>
        <v>304.91260189180946</v>
      </c>
      <c r="AW295" s="184">
        <f>Financials!AW250/Financials!AW$9</f>
        <v>289.71546109016111</v>
      </c>
      <c r="AX295" s="184">
        <f>Financials!AX250/Financials!AX$9</f>
        <v>366.89156825501692</v>
      </c>
      <c r="BA295" s="184">
        <f>BA285/Sales!BA$10</f>
        <v>0</v>
      </c>
      <c r="BB295" s="184">
        <f>BB285/Sales!BB$10</f>
        <v>0</v>
      </c>
      <c r="BC295" s="184">
        <f>BC285/Sales!BC$10</f>
        <v>0</v>
      </c>
      <c r="BD295" s="184">
        <f>BD285/Sales!BD$10</f>
        <v>0</v>
      </c>
      <c r="BG295" s="184">
        <f>BG285/Sales!BG$10</f>
        <v>0.47337742405559918</v>
      </c>
      <c r="BH295" s="184">
        <f>BH285/Sales!BH$10</f>
        <v>0.42011979978665792</v>
      </c>
      <c r="BI295" s="184">
        <f>BI285/Sales!BI$10</f>
        <v>0.5191782789829047</v>
      </c>
      <c r="BJ295" s="184">
        <f>BJ285/Sales!BJ$10</f>
        <v>0.32559954221505483</v>
      </c>
      <c r="BM295" s="184">
        <f>BM285/Sales!BM$10</f>
        <v>0.52201933404940926</v>
      </c>
      <c r="BN295" s="184">
        <f>BN285/Sales!BN$10</f>
        <v>0.40958870771477252</v>
      </c>
      <c r="BO295" s="184">
        <f>BO285/Sales!BO$10</f>
        <v>0.5421267584329148</v>
      </c>
      <c r="BP295" s="184">
        <f>BP285/Sales!BP$10</f>
        <v>0.3321285140562249</v>
      </c>
      <c r="BS295" s="184">
        <f>BS285/Sales!BS$10</f>
        <v>0.44566337353779012</v>
      </c>
      <c r="BT295" s="184">
        <f>BT285/Sales!BT$10</f>
        <v>0.43630977570884472</v>
      </c>
      <c r="BU295" s="184">
        <f>BU285/Sales!BU$10</f>
        <v>0.32520010327911186</v>
      </c>
      <c r="BV295" s="184">
        <f>BV285/Sales!BV$10</f>
        <v>0.29207920792079212</v>
      </c>
      <c r="BY295" s="184">
        <f>BY285/Sales!BY$10</f>
        <v>0.48342334233423351</v>
      </c>
      <c r="BZ295" s="184">
        <f>BZ285/Sales!BZ$10</f>
        <v>0.42205104621752126</v>
      </c>
      <c r="CA295" s="184">
        <f>CA285/Sales!CA$10</f>
        <v>0.34790036371652155</v>
      </c>
      <c r="CB295" s="184">
        <f>CB285/Sales!CB$10</f>
        <v>0.31099926601656708</v>
      </c>
      <c r="CE295" s="184">
        <f>CE285/Sales!CE$10</f>
        <v>0.39375385881868696</v>
      </c>
      <c r="CF295" s="184">
        <f>CF285/Sales!CF$10</f>
        <v>0.46745027124773963</v>
      </c>
      <c r="CG295" s="184">
        <f>CG285/Sales!CG$10</f>
        <v>0.34146441121189836</v>
      </c>
      <c r="CH295" s="184">
        <f>CH285/Sales!CH$10</f>
        <v>0.32701921574753939</v>
      </c>
      <c r="CK295" s="184">
        <f>CK285/Sales!CK$10</f>
        <v>0.42866520787746171</v>
      </c>
      <c r="CL295" s="184">
        <f>CL285/Sales!CL$10</f>
        <v>0.4739793773855831</v>
      </c>
      <c r="CM295" s="184">
        <f>CM285/Sales!CM$10</f>
        <v>0.43376034720361628</v>
      </c>
      <c r="CN295" s="184">
        <f>CN285/Sales!CN$10</f>
        <v>0.30676213206046143</v>
      </c>
      <c r="CQ295" s="184">
        <f>CQ285/Sales!CQ$10</f>
        <v>0.32160247983109558</v>
      </c>
      <c r="CR295" s="184">
        <f>CR285/Sales!CR$10</f>
        <v>0.31384514732583652</v>
      </c>
      <c r="CS295" s="184">
        <f>CS285/Sales!CS$10</f>
        <v>0.30996372871642863</v>
      </c>
      <c r="CT295" s="184">
        <f>CT285/Sales!CT$10</f>
        <v>0.26315528688930734</v>
      </c>
      <c r="CW295" s="184">
        <f>CW285/Sales!CW$10</f>
        <v>0.27803642548673801</v>
      </c>
      <c r="CX295" s="184">
        <f>CX285/Sales!CX$10</f>
        <v>0.26243939197014565</v>
      </c>
      <c r="CY295" s="184">
        <f>CY285/Sales!CY$10</f>
        <v>0.26584587291205847</v>
      </c>
      <c r="CZ295" s="184">
        <f>CZ285/Sales!CZ$10</f>
        <v>0.32389929714863308</v>
      </c>
      <c r="DC295" s="184">
        <f>DC285/Sales!DC$10</f>
        <v>0.31088128642154456</v>
      </c>
      <c r="DD295" s="184">
        <f>DD285/Sales!DD$10</f>
        <v>0.33143677293105939</v>
      </c>
      <c r="DE295" s="184">
        <f>DE285/Sales!DE$10</f>
        <v>0.32554697942493505</v>
      </c>
      <c r="DF295" s="184">
        <f>DF285/Sales!DF$10</f>
        <v>0.42448250962772788</v>
      </c>
      <c r="DI295" s="184">
        <f>DI285/Sales!DI$10</f>
        <v>0.47257135618857821</v>
      </c>
      <c r="DJ295" s="184">
        <f>DJ285/Sales!DJ$10</f>
        <v>0.47174074141977501</v>
      </c>
      <c r="DK295" s="184">
        <f>DK285/Sales!DK$10</f>
        <v>0.44632761727448494</v>
      </c>
      <c r="DL295" s="184">
        <f>DL285/Sales!DL$10</f>
        <v>0.39893004883207361</v>
      </c>
      <c r="DO295" s="184">
        <f>DO285/Sales!DO$10</f>
        <v>0.40629379281277955</v>
      </c>
      <c r="DP295" s="184">
        <f>DP285/Sales!DP$10</f>
        <v>0.11916901385655346</v>
      </c>
      <c r="DQ295" s="184">
        <f>DQ285/Sales!DQ$10</f>
        <v>0.11787208499495012</v>
      </c>
      <c r="DR295" s="184">
        <f>DR285/Sales!DR$10</f>
        <v>0.32434710515406939</v>
      </c>
      <c r="DT295" s="184"/>
      <c r="DU295" s="184">
        <f>DU285/Sales!DU$10</f>
        <v>0.32694656965361535</v>
      </c>
      <c r="DV295" s="184">
        <f>DV285/Sales!DV$10</f>
        <v>8.4896076355775438E-2</v>
      </c>
      <c r="DW295" s="184">
        <f>DW285/Sales!DW$10</f>
        <v>8.6040347002851791E-2</v>
      </c>
      <c r="DX295" s="184">
        <f>DX285/Sales!DX$10</f>
        <v>0.37789869154035499</v>
      </c>
      <c r="EA295" s="184">
        <f>EA285/Sales!EA$10</f>
        <v>0.36005030939149507</v>
      </c>
      <c r="EB295" s="184">
        <f>EB285/Sales!EB$10</f>
        <v>0.11772028715842042</v>
      </c>
      <c r="EC295" s="184">
        <f>EC285/Sales!EC$10</f>
        <v>0.1229579515598625</v>
      </c>
      <c r="ED295" s="184">
        <f>ED285/Sales!ED$10</f>
        <v>0.36239967071413876</v>
      </c>
      <c r="EG295" s="184">
        <f>EG285/Sales!EG$10</f>
        <v>0.3561472958859071</v>
      </c>
      <c r="EH295" s="184">
        <f>EH285/Sales!EH$10</f>
        <v>3.6109578893232394E-2</v>
      </c>
      <c r="EI295" s="184">
        <f>EI285/Sales!EI$10</f>
        <v>3.7433790704680524E-2</v>
      </c>
      <c r="EJ295" s="184">
        <f>EJ285/Sales!EJ$10</f>
        <v>3.734285621409373E-2</v>
      </c>
      <c r="FF295" s="184"/>
      <c r="FG295" s="184">
        <f>FG285/Sales!FA$10</f>
        <v>0.11932587268602367</v>
      </c>
      <c r="FH295" s="184">
        <f>FH285/Sales!FB$10</f>
        <v>8.4729265918754154E-2</v>
      </c>
      <c r="FI295" s="184">
        <f>FI285/Sales!FC$10</f>
        <v>6.6625314120304105E-2</v>
      </c>
      <c r="FJ295" s="184">
        <f>FJ285/Sales!FD$10</f>
        <v>8.7302054512274102E-2</v>
      </c>
      <c r="FK295" s="184">
        <f>FK285/Sales!FE$10</f>
        <v>9.2490721102863202E-2</v>
      </c>
      <c r="FL295" s="184">
        <f>FL285/Sales!FF$10</f>
        <v>8.8084795321637446E-2</v>
      </c>
      <c r="FM295" s="184">
        <f>FM285/Sales!FG$10</f>
        <v>8.9865396492356128E-2</v>
      </c>
      <c r="FN295" s="184">
        <f>FN285/Sales!FH$10</f>
        <v>9.8573513420706235E-2</v>
      </c>
      <c r="FO295" s="184">
        <f>FO285/Sales!FI$10</f>
        <v>0.11371232067057117</v>
      </c>
      <c r="FP295" s="184">
        <f>FP285/Sales!FJ$10</f>
        <v>0.12115201148610993</v>
      </c>
      <c r="FQ295" s="184">
        <f>FQ285/Sales!FK$10</f>
        <v>8.5175172814195246E-2</v>
      </c>
      <c r="FR295" s="184">
        <f>FR285/Sales!FL$10</f>
        <v>0.12385140944489066</v>
      </c>
      <c r="FS295" s="184">
        <f>FS285/Sales!FM$10</f>
        <v>0.10780844394377236</v>
      </c>
      <c r="FT295" s="184">
        <f>FT285/Sales!FN$10</f>
        <v>1.0333671577901944E-2</v>
      </c>
      <c r="FU295" s="184">
        <f>FU285/Sales!EL$10</f>
        <v>1.2356917368650529E-2</v>
      </c>
      <c r="FV295" s="184">
        <f>FV285/Sales!FP$10</f>
        <v>2.742651763955628E-2</v>
      </c>
      <c r="FW295" s="184">
        <f ca="1">FW285/Sales!FQ$10</f>
        <v>3.1491787439613526E-2</v>
      </c>
      <c r="FX295" s="184">
        <f>FX285/Sales!FR$10</f>
        <v>3.1390473742825317E-2</v>
      </c>
    </row>
    <row r="297" spans="1:180" x14ac:dyDescent="0.25">
      <c r="EG297" s="196"/>
    </row>
    <row r="303" spans="1:180" x14ac:dyDescent="0.25">
      <c r="A303" s="157" t="s">
        <v>75</v>
      </c>
      <c r="B303" s="156"/>
      <c r="C303" s="156"/>
      <c r="D303" s="156"/>
      <c r="E303" s="155" t="str">
        <f>E$3</f>
        <v>1Q04</v>
      </c>
      <c r="F303" s="155" t="str">
        <f>F$3</f>
        <v>2Q04</v>
      </c>
      <c r="G303" s="155" t="str">
        <f>G$3</f>
        <v>3Q04</v>
      </c>
      <c r="H303" s="155" t="str">
        <f>H$3</f>
        <v>4Q04</v>
      </c>
      <c r="I303" s="155">
        <f>I$3</f>
        <v>2004</v>
      </c>
      <c r="J303" s="156"/>
      <c r="K303" s="155" t="str">
        <f>K$3</f>
        <v>1Q05</v>
      </c>
      <c r="L303" s="155" t="str">
        <f>L$3</f>
        <v>2Q05</v>
      </c>
      <c r="M303" s="155" t="str">
        <f>M$3</f>
        <v>3Q05</v>
      </c>
      <c r="N303" s="155" t="str">
        <f>N$3</f>
        <v>4Q05</v>
      </c>
      <c r="O303" s="155">
        <f>O$3</f>
        <v>2005</v>
      </c>
      <c r="P303" s="156"/>
      <c r="Q303" s="155" t="str">
        <f>Q$3</f>
        <v>1Q06</v>
      </c>
      <c r="R303" s="155" t="str">
        <f>R$3</f>
        <v>2Q06</v>
      </c>
      <c r="S303" s="155" t="str">
        <f>S$3</f>
        <v>3Q06</v>
      </c>
      <c r="T303" s="155" t="str">
        <f>T$3</f>
        <v>4Q06</v>
      </c>
      <c r="U303" s="155">
        <f>U$3</f>
        <v>2006</v>
      </c>
      <c r="V303" s="156"/>
      <c r="W303" s="155" t="str">
        <f>W$3</f>
        <v>1Q07</v>
      </c>
      <c r="X303" s="155" t="str">
        <f>X$3</f>
        <v>2Q07</v>
      </c>
      <c r="Y303" s="155" t="str">
        <f>Y$3</f>
        <v>3Q07</v>
      </c>
      <c r="Z303" s="155" t="str">
        <f>Z$3</f>
        <v>4Q07</v>
      </c>
      <c r="AA303" s="155">
        <f>AA$3</f>
        <v>2007</v>
      </c>
      <c r="AB303" s="156"/>
      <c r="AC303" s="155" t="str">
        <f>AC$3</f>
        <v>1Q08</v>
      </c>
      <c r="AD303" s="155" t="str">
        <f>AD$3</f>
        <v>2Q08</v>
      </c>
      <c r="AE303" s="155" t="str">
        <f>AE$3</f>
        <v>3Q08</v>
      </c>
      <c r="AF303" s="155" t="str">
        <f>AF$3</f>
        <v>4Q08</v>
      </c>
      <c r="AG303" s="155">
        <f>AG$3</f>
        <v>2008</v>
      </c>
      <c r="AH303" s="156"/>
      <c r="AI303" s="155" t="str">
        <f>AI$3</f>
        <v>1Q09</v>
      </c>
      <c r="AJ303" s="155" t="str">
        <f>AJ$3</f>
        <v>2Q09</v>
      </c>
      <c r="AK303" s="155" t="str">
        <f>AK$3</f>
        <v>3Q09</v>
      </c>
      <c r="AL303" s="155" t="str">
        <f>AL$3</f>
        <v>4Q09</v>
      </c>
      <c r="AM303" s="155">
        <f>AM$3</f>
        <v>2009</v>
      </c>
      <c r="AN303" s="156"/>
      <c r="AO303" s="155" t="str">
        <f>AO$3</f>
        <v>1Q10</v>
      </c>
      <c r="AP303" s="155" t="str">
        <f>AP$3</f>
        <v>2Q10</v>
      </c>
      <c r="AQ303" s="155" t="str">
        <f>AQ$3</f>
        <v>3Q10</v>
      </c>
      <c r="AR303" s="155" t="str">
        <f>AR$3</f>
        <v>4Q10</v>
      </c>
      <c r="AS303" s="155">
        <f>AS$3</f>
        <v>2010</v>
      </c>
      <c r="AT303" s="156"/>
      <c r="AU303" s="155" t="str">
        <f>AU$3</f>
        <v>1Q11</v>
      </c>
      <c r="AV303" s="155" t="str">
        <f>AV$3</f>
        <v>2Q11</v>
      </c>
      <c r="AW303" s="155" t="str">
        <f>AW$3</f>
        <v>3Q11</v>
      </c>
      <c r="AX303" s="155" t="str">
        <f>AX$3</f>
        <v>4Q11</v>
      </c>
      <c r="AY303" s="155">
        <f>AY$3</f>
        <v>2011</v>
      </c>
      <c r="AZ303" s="156"/>
      <c r="BA303" s="155" t="str">
        <f>BA$3</f>
        <v>1Q12</v>
      </c>
      <c r="BB303" s="155" t="str">
        <f>BB$3</f>
        <v>2Q12</v>
      </c>
      <c r="BC303" s="155" t="str">
        <f>BC$3</f>
        <v>3Q12</v>
      </c>
      <c r="BD303" s="155" t="str">
        <f>BD$3</f>
        <v>4Q12</v>
      </c>
      <c r="BE303" s="155">
        <f>BE$3</f>
        <v>2012</v>
      </c>
      <c r="BF303" s="156"/>
      <c r="BG303" s="155" t="str">
        <f>BG$3</f>
        <v>1Q13</v>
      </c>
      <c r="BH303" s="155" t="str">
        <f>BH$3</f>
        <v>2Q13</v>
      </c>
      <c r="BI303" s="155" t="str">
        <f>BI$3</f>
        <v>3Q13</v>
      </c>
      <c r="BJ303" s="155" t="str">
        <f>BJ$3</f>
        <v>4Q13</v>
      </c>
      <c r="BK303" s="155">
        <f>BK$3</f>
        <v>2013</v>
      </c>
      <c r="BL303" s="156"/>
      <c r="BM303" s="155" t="str">
        <f>BM$3</f>
        <v>1Q14</v>
      </c>
      <c r="BN303" s="155" t="str">
        <f>BN$3</f>
        <v>2Q14</v>
      </c>
      <c r="BO303" s="155" t="str">
        <f>BO$3</f>
        <v>3Q14</v>
      </c>
      <c r="BP303" s="155" t="str">
        <f>BP$3</f>
        <v>4Q14</v>
      </c>
      <c r="BQ303" s="155">
        <f>BQ$3</f>
        <v>2014</v>
      </c>
      <c r="BR303" s="156"/>
      <c r="BS303" s="155" t="str">
        <f>BS$3</f>
        <v>1Q15</v>
      </c>
      <c r="BT303" s="155" t="str">
        <f>BT$3</f>
        <v>2Q15</v>
      </c>
      <c r="BU303" s="155" t="str">
        <f>BU$3</f>
        <v>3Q15</v>
      </c>
      <c r="BV303" s="155" t="str">
        <f>BV$3</f>
        <v>4Q15</v>
      </c>
      <c r="BW303" s="155">
        <f>BW$3</f>
        <v>2015</v>
      </c>
      <c r="BX303" s="156"/>
      <c r="BY303" s="155" t="str">
        <f>BY$3</f>
        <v>1Q16</v>
      </c>
      <c r="BZ303" s="155" t="str">
        <f>BZ$3</f>
        <v>2Q16</v>
      </c>
      <c r="CA303" s="155" t="str">
        <f>CA$3</f>
        <v>3Q16</v>
      </c>
      <c r="CB303" s="155" t="str">
        <f>CB$3</f>
        <v>4Q16</v>
      </c>
      <c r="CC303" s="155">
        <f>CC$3</f>
        <v>2016</v>
      </c>
      <c r="CD303" s="156"/>
      <c r="CE303" s="155" t="str">
        <f>CE$3</f>
        <v>1Q17</v>
      </c>
      <c r="CF303" s="155" t="str">
        <f>CF$3</f>
        <v>2Q17</v>
      </c>
      <c r="CG303" s="155" t="str">
        <f>CG$3</f>
        <v>3Q17</v>
      </c>
      <c r="CH303" s="155" t="str">
        <f>CH$3</f>
        <v>4Q17</v>
      </c>
      <c r="CI303" s="155">
        <f>CI$3</f>
        <v>2017</v>
      </c>
      <c r="CJ303" s="156"/>
      <c r="CK303" s="155" t="str">
        <f>CK$3</f>
        <v>1Q18</v>
      </c>
      <c r="CL303" s="155" t="str">
        <f>CL$3</f>
        <v>2Q18</v>
      </c>
      <c r="CM303" s="155" t="str">
        <f>CM$3</f>
        <v>3Q18</v>
      </c>
      <c r="CN303" s="155" t="str">
        <f>CN$3</f>
        <v>4Q18</v>
      </c>
      <c r="CO303" s="155">
        <f>CO$3</f>
        <v>2018</v>
      </c>
      <c r="CP303" s="156"/>
      <c r="CQ303" s="155" t="str">
        <f>CQ$3</f>
        <v>1Q19</v>
      </c>
      <c r="CR303" s="155" t="str">
        <f>CR$3</f>
        <v>2Q19</v>
      </c>
      <c r="CS303" s="155" t="str">
        <f>CS$3</f>
        <v>3Q19</v>
      </c>
      <c r="CT303" s="155" t="str">
        <f>CT$3</f>
        <v>4Q19</v>
      </c>
      <c r="CU303" s="155">
        <f>CU$3</f>
        <v>2019</v>
      </c>
      <c r="CV303" s="156"/>
      <c r="CW303" s="155" t="str">
        <f>CW$3</f>
        <v>1Q20</v>
      </c>
      <c r="CX303" s="155" t="str">
        <f>CX$3</f>
        <v>2Q20</v>
      </c>
      <c r="CY303" s="155" t="str">
        <f>CY$3</f>
        <v>3Q20</v>
      </c>
      <c r="CZ303" s="155" t="str">
        <f>CZ$3</f>
        <v>4Q20</v>
      </c>
      <c r="DA303" s="155">
        <f>DA$3</f>
        <v>2020</v>
      </c>
      <c r="DB303" s="156"/>
      <c r="DC303" s="155" t="str">
        <f>DC$3</f>
        <v>1Q21</v>
      </c>
      <c r="DD303" s="155" t="str">
        <f>DD$3</f>
        <v>2Q21</v>
      </c>
      <c r="DE303" s="155" t="str">
        <f>DE$3</f>
        <v>3Q21</v>
      </c>
      <c r="DF303" s="155" t="str">
        <f>DF$3</f>
        <v>4Q21</v>
      </c>
      <c r="DG303" s="155">
        <f>DG$3</f>
        <v>2021</v>
      </c>
      <c r="DH303" s="156"/>
      <c r="DI303" s="155" t="str">
        <f>DI$3</f>
        <v>1Q22</v>
      </c>
      <c r="DJ303" s="155" t="str">
        <f>DJ$3</f>
        <v>2Q22</v>
      </c>
      <c r="DK303" s="155" t="str">
        <f>DK$3</f>
        <v>3Q22</v>
      </c>
      <c r="DL303" s="155" t="str">
        <f>DL$3</f>
        <v>4Q22</v>
      </c>
      <c r="DM303" s="155">
        <f>DM$3</f>
        <v>2022</v>
      </c>
      <c r="DN303" s="156"/>
      <c r="DO303" s="155" t="str">
        <f>DO$3</f>
        <v>1Q23</v>
      </c>
      <c r="DP303" s="155" t="str">
        <f>DP$3</f>
        <v>2Q23</v>
      </c>
      <c r="DQ303" s="155" t="str">
        <f>DQ$3</f>
        <v>3Q23</v>
      </c>
      <c r="DR303" s="155" t="str">
        <f>DR$3</f>
        <v>4Q23</v>
      </c>
      <c r="DS303" s="155">
        <f>DS$3</f>
        <v>2023</v>
      </c>
      <c r="DT303" s="155"/>
      <c r="DU303" s="155" t="str">
        <f>DU$3</f>
        <v>1Q24</v>
      </c>
      <c r="DV303" s="155" t="str">
        <f>DV$3</f>
        <v>2Q24</v>
      </c>
      <c r="DW303" s="155" t="str">
        <f>DW$3</f>
        <v>3Q24</v>
      </c>
      <c r="DX303" s="155" t="str">
        <f>DX$3</f>
        <v>4Q24</v>
      </c>
      <c r="DY303" s="155">
        <f>DY$3</f>
        <v>2024</v>
      </c>
      <c r="DZ303" s="156"/>
      <c r="EA303" s="155" t="str">
        <f>EA$3</f>
        <v>1Q25</v>
      </c>
      <c r="EB303" s="155" t="str">
        <f>EB$3</f>
        <v>2Q25</v>
      </c>
      <c r="EC303" s="155" t="str">
        <f>EC$3</f>
        <v>3Q25</v>
      </c>
      <c r="ED303" s="155" t="str">
        <f>ED$3</f>
        <v>4Q25</v>
      </c>
      <c r="EE303" s="155">
        <f>EE$3</f>
        <v>2025</v>
      </c>
      <c r="EF303" s="156"/>
      <c r="EG303" s="155" t="str">
        <f>EG$3</f>
        <v>1Q26</v>
      </c>
      <c r="EH303" s="155" t="str">
        <f>EH$3</f>
        <v>2Q26e</v>
      </c>
      <c r="EI303" s="155" t="str">
        <f>EI$3</f>
        <v>3Q26e</v>
      </c>
      <c r="EJ303" s="155" t="str">
        <f>EJ$3</f>
        <v>4Q26e</v>
      </c>
      <c r="EK303" s="155" t="str">
        <f>EK$3</f>
        <v>2026e</v>
      </c>
      <c r="EP303" s="195"/>
      <c r="ET303" s="155"/>
      <c r="EU303" s="155"/>
      <c r="EV303" s="155">
        <f t="shared" ref="EV303:FX303" si="289">EV$3</f>
        <v>2002</v>
      </c>
      <c r="EW303" s="155">
        <f t="shared" si="289"/>
        <v>2003</v>
      </c>
      <c r="EX303" s="155">
        <f t="shared" si="289"/>
        <v>2004</v>
      </c>
      <c r="EY303" s="155">
        <f t="shared" si="289"/>
        <v>2005</v>
      </c>
      <c r="EZ303" s="155">
        <f t="shared" si="289"/>
        <v>2006</v>
      </c>
      <c r="FA303" s="155">
        <f t="shared" si="289"/>
        <v>2007</v>
      </c>
      <c r="FB303" s="155">
        <f t="shared" si="289"/>
        <v>2008</v>
      </c>
      <c r="FC303" s="155">
        <f t="shared" si="289"/>
        <v>2009</v>
      </c>
      <c r="FD303" s="155">
        <f t="shared" si="289"/>
        <v>2010</v>
      </c>
      <c r="FE303" s="155">
        <f t="shared" si="289"/>
        <v>2011</v>
      </c>
      <c r="FF303" s="155">
        <f t="shared" si="289"/>
        <v>2012</v>
      </c>
      <c r="FG303" s="155">
        <f t="shared" si="289"/>
        <v>2013</v>
      </c>
      <c r="FH303" s="155">
        <f t="shared" si="289"/>
        <v>2014</v>
      </c>
      <c r="FI303" s="155">
        <f t="shared" si="289"/>
        <v>2015</v>
      </c>
      <c r="FJ303" s="155">
        <f t="shared" si="289"/>
        <v>2016</v>
      </c>
      <c r="FK303" s="155">
        <f t="shared" si="289"/>
        <v>2017</v>
      </c>
      <c r="FL303" s="155">
        <f t="shared" si="289"/>
        <v>2018</v>
      </c>
      <c r="FM303" s="155">
        <f t="shared" si="289"/>
        <v>2019</v>
      </c>
      <c r="FN303" s="155">
        <f t="shared" si="289"/>
        <v>2020</v>
      </c>
      <c r="FO303" s="155">
        <f t="shared" si="289"/>
        <v>2021</v>
      </c>
      <c r="FP303" s="155">
        <f t="shared" si="289"/>
        <v>2022</v>
      </c>
      <c r="FQ303" s="155">
        <f t="shared" si="289"/>
        <v>2023</v>
      </c>
      <c r="FR303" s="155">
        <f t="shared" si="289"/>
        <v>2024</v>
      </c>
      <c r="FS303" s="155">
        <f t="shared" si="289"/>
        <v>2025</v>
      </c>
      <c r="FT303" s="155" t="str">
        <f t="shared" si="289"/>
        <v>2026e</v>
      </c>
      <c r="FU303" s="155" t="str">
        <f t="shared" si="289"/>
        <v>2027e</v>
      </c>
      <c r="FV303" s="155" t="str">
        <f t="shared" si="289"/>
        <v>2028e</v>
      </c>
      <c r="FW303" s="155" t="str">
        <f t="shared" si="289"/>
        <v>2029e</v>
      </c>
      <c r="FX303" s="155" t="str">
        <f t="shared" si="289"/>
        <v>2030e</v>
      </c>
    </row>
    <row r="304" spans="1:180" x14ac:dyDescent="0.25">
      <c r="A304" s="84" t="str">
        <f>$A$3</f>
        <v>EURm unless otherwise stated</v>
      </c>
      <c r="C304" s="74"/>
      <c r="D304" s="74"/>
      <c r="P304" s="74"/>
      <c r="EQ304" s="84"/>
      <c r="EU304" s="114"/>
      <c r="EV304" s="114"/>
    </row>
    <row r="305" spans="2:180" x14ac:dyDescent="0.25">
      <c r="B305" s="83"/>
      <c r="C305" s="74"/>
      <c r="D305" s="74"/>
      <c r="J305" s="74"/>
      <c r="K305" s="74"/>
      <c r="L305" s="74"/>
      <c r="P305" s="74"/>
    </row>
    <row r="306" spans="2:180" x14ac:dyDescent="0.25">
      <c r="B306" s="74" t="s">
        <v>315</v>
      </c>
      <c r="C306" s="74"/>
      <c r="D306" s="74"/>
      <c r="E306" s="87"/>
      <c r="F306" s="87"/>
      <c r="G306" s="87"/>
      <c r="H306" s="87"/>
      <c r="I306" s="87">
        <v>235460</v>
      </c>
      <c r="J306" s="74"/>
      <c r="K306" s="87">
        <f>K43</f>
        <v>-583733.32000000007</v>
      </c>
      <c r="L306" s="87">
        <f>L43</f>
        <v>-650686.73499999999</v>
      </c>
      <c r="M306" s="87">
        <f>M43</f>
        <v>-484853.84700000001</v>
      </c>
      <c r="N306" s="87">
        <f>O306-M306-L306-K306</f>
        <v>2030737.902</v>
      </c>
      <c r="O306" s="87">
        <v>311464</v>
      </c>
      <c r="P306" s="74"/>
      <c r="Q306" s="87">
        <f>Q43</f>
        <v>-548726.61</v>
      </c>
      <c r="R306" s="87">
        <f>R43</f>
        <v>-773700.24600000004</v>
      </c>
      <c r="S306" s="87">
        <f>S43</f>
        <v>-785456.56700000004</v>
      </c>
      <c r="T306" s="87">
        <f>U306-S306-R306-Q306</f>
        <v>2732572.423</v>
      </c>
      <c r="U306" s="87">
        <v>624689</v>
      </c>
      <c r="W306" s="87">
        <f>W43</f>
        <v>-805982.75699999998</v>
      </c>
      <c r="X306" s="87">
        <f>X43</f>
        <v>-769786.77800000005</v>
      </c>
      <c r="Y306" s="87">
        <f>Y43</f>
        <v>-767160.62600000005</v>
      </c>
      <c r="Z306" s="87">
        <f>Z43</f>
        <v>-765863.11300000001</v>
      </c>
      <c r="AA306" s="87">
        <f>AA43</f>
        <v>-3117038.2740000002</v>
      </c>
      <c r="AC306" s="87">
        <f>AC43</f>
        <v>-773165.79200000002</v>
      </c>
      <c r="AD306" s="87">
        <f>AD43</f>
        <v>-651335.84299999999</v>
      </c>
      <c r="AE306" s="87">
        <f>AE43</f>
        <v>-622502.50699999998</v>
      </c>
      <c r="AF306" s="87">
        <f>AF43</f>
        <v>-581350.17999999993</v>
      </c>
      <c r="AG306" s="87">
        <f>AG43</f>
        <v>-2628354.3219999997</v>
      </c>
      <c r="AI306" s="87">
        <f>AI43</f>
        <v>-300632.375</v>
      </c>
      <c r="AJ306" s="87">
        <f>AJ43</f>
        <v>-380276.4</v>
      </c>
      <c r="AK306" s="87">
        <f>AK43</f>
        <v>-534977.728</v>
      </c>
      <c r="AL306" s="87">
        <f>AL43</f>
        <v>-529505.43400000001</v>
      </c>
      <c r="AM306" s="87">
        <f>AI306+AJ306+AK306+AL306</f>
        <v>-1745391.9369999999</v>
      </c>
      <c r="AO306" s="87">
        <f>AO43</f>
        <v>-633758.19999999995</v>
      </c>
      <c r="AP306" s="87">
        <f>AP43</f>
        <v>-828431.3</v>
      </c>
      <c r="AQ306" s="87">
        <f>AQ43</f>
        <v>-906324</v>
      </c>
      <c r="AR306" s="87">
        <f>AR43</f>
        <v>-1113078.6000000001</v>
      </c>
      <c r="AS306" s="87">
        <f>AO306+AP306+AQ306+AR306</f>
        <v>-3481592.1</v>
      </c>
      <c r="AU306" s="87">
        <f>AU43</f>
        <v>-1055747.8</v>
      </c>
      <c r="AV306" s="87">
        <f>AV43</f>
        <v>-1095770.6000000001</v>
      </c>
      <c r="AW306" s="87">
        <f>AW43</f>
        <v>-1101841.5</v>
      </c>
      <c r="AX306" s="87">
        <f>AX43</f>
        <v>-924989.1</v>
      </c>
      <c r="AY306" s="87">
        <f>AU306+AV306+AW306+AX306</f>
        <v>-4178349.0000000005</v>
      </c>
      <c r="BA306" s="87">
        <f>BA43</f>
        <v>282.00000000000011</v>
      </c>
      <c r="BB306" s="87">
        <f>BB43</f>
        <v>291.90000000000009</v>
      </c>
      <c r="BC306" s="87">
        <f>BC43</f>
        <v>274.7</v>
      </c>
      <c r="BD306" s="87">
        <f>BD43</f>
        <v>297.70000000000005</v>
      </c>
      <c r="BE306" s="87">
        <f>BA306+BB306+BC306+BD306</f>
        <v>1146.3000000000002</v>
      </c>
      <c r="BG306" s="87">
        <v>96.199999999999918</v>
      </c>
      <c r="BH306" s="87">
        <v>245.09999999999994</v>
      </c>
      <c r="BI306" s="87">
        <v>193.10000000000011</v>
      </c>
      <c r="BJ306" s="87">
        <v>481.10000000000031</v>
      </c>
      <c r="BK306" s="87">
        <f>SUM(BG306:BJ306)</f>
        <v>1015.5000000000002</v>
      </c>
      <c r="BM306" s="87">
        <v>249.10000000000002</v>
      </c>
      <c r="BN306" s="87">
        <v>398.69999999999987</v>
      </c>
      <c r="BO306" s="87">
        <v>243.99999999999997</v>
      </c>
      <c r="BP306" s="87">
        <v>304.8</v>
      </c>
      <c r="BQ306" s="87">
        <f>SUM(BM306:BP306)</f>
        <v>1196.5999999999999</v>
      </c>
      <c r="BS306" s="87">
        <v>402.7000000000001</v>
      </c>
      <c r="BT306" s="87">
        <v>369.69999999999993</v>
      </c>
      <c r="BU306" s="87">
        <v>322.39999999999975</v>
      </c>
      <c r="BV306" s="87">
        <v>292.39999999999975</v>
      </c>
      <c r="BW306" s="87">
        <f>SUM(BS306:BV306)</f>
        <v>1387.1999999999994</v>
      </c>
      <c r="BY306" s="87">
        <v>197.99999999999977</v>
      </c>
      <c r="BZ306" s="87">
        <v>353.8</v>
      </c>
      <c r="CA306" s="87">
        <v>395.90000000000003</v>
      </c>
      <c r="CB306" s="87">
        <v>374.59999999999997</v>
      </c>
      <c r="CC306" s="87">
        <f>SUM(BY306:CB306)</f>
        <v>1322.2999999999997</v>
      </c>
      <c r="CE306" s="87">
        <v>452.1</v>
      </c>
      <c r="CF306" s="87">
        <v>466.3</v>
      </c>
      <c r="CG306" s="87">
        <v>557.1</v>
      </c>
      <c r="CH306" s="87">
        <v>643</v>
      </c>
      <c r="CI306" s="87">
        <f>SUM(CE306:CH306)</f>
        <v>2118.5</v>
      </c>
      <c r="CK306" s="87">
        <v>539.69999999999993</v>
      </c>
      <c r="CL306" s="87">
        <v>584</v>
      </c>
      <c r="CM306" s="87">
        <v>680.39999999999975</v>
      </c>
      <c r="CN306" s="87">
        <v>787.50000000000011</v>
      </c>
      <c r="CO306" s="87">
        <f>SUM(CK306:CN306)</f>
        <v>2591.5999999999995</v>
      </c>
      <c r="CQ306" s="87">
        <v>355.4</v>
      </c>
      <c r="CR306" s="87">
        <v>476.00000000000006</v>
      </c>
      <c r="CS306" s="87">
        <v>626.80000000000018</v>
      </c>
      <c r="CT306" s="87">
        <v>1133.9999999999995</v>
      </c>
      <c r="CU306" s="87">
        <f>SUM(CQ306:CT306)</f>
        <v>2592.1999999999998</v>
      </c>
      <c r="CW306" s="87">
        <v>390.59999999999985</v>
      </c>
      <c r="CX306" s="87">
        <v>750.99999999999989</v>
      </c>
      <c r="CY306" s="87">
        <v>1061.5</v>
      </c>
      <c r="CZ306" s="87">
        <v>1350.5000000000002</v>
      </c>
      <c r="DA306" s="87">
        <f>SUM(CW306:CZ306)</f>
        <v>3553.5999999999995</v>
      </c>
      <c r="DC306" s="87">
        <v>1331.3999999999999</v>
      </c>
      <c r="DD306" s="87">
        <v>1038.2</v>
      </c>
      <c r="DE306" s="87">
        <v>1740.2</v>
      </c>
      <c r="DF306" s="87">
        <v>1773.4000000000003</v>
      </c>
      <c r="DG306" s="87">
        <f>SUM(DC306:DF306)</f>
        <v>5883.2000000000007</v>
      </c>
      <c r="DI306" s="87">
        <v>695.2999999999995</v>
      </c>
      <c r="DJ306" s="87">
        <v>1410.9</v>
      </c>
      <c r="DK306" s="87">
        <v>1701.4999999999993</v>
      </c>
      <c r="DL306" s="87">
        <v>1816.5</v>
      </c>
      <c r="DM306" s="87">
        <f>SUM(DI306:DL306)</f>
        <v>5624.1999999999989</v>
      </c>
      <c r="DO306" s="87">
        <v>1955.8000000000009</v>
      </c>
      <c r="DP306" s="87">
        <v>1941.6999999999998</v>
      </c>
      <c r="DQ306" s="87">
        <v>1893.3999999999994</v>
      </c>
      <c r="DR306" s="87">
        <v>2048.1</v>
      </c>
      <c r="DS306" s="87">
        <f>SUM(DO306:DR306)</f>
        <v>7839</v>
      </c>
      <c r="DT306" s="87"/>
      <c r="DU306" s="87">
        <v>1223.8</v>
      </c>
      <c r="DV306" s="87">
        <v>1577.8999999999994</v>
      </c>
      <c r="DW306" s="87">
        <v>2076.5</v>
      </c>
      <c r="DX306" s="87">
        <v>2693.3999999999996</v>
      </c>
      <c r="DY306" s="87">
        <f>SUM(DU306:DX306)</f>
        <v>7571.5999999999985</v>
      </c>
      <c r="EA306" s="87">
        <v>2354.9999999999995</v>
      </c>
      <c r="EB306" s="87">
        <v>2290.3000000000011</v>
      </c>
      <c r="EC306" s="87">
        <v>2124.5</v>
      </c>
      <c r="ED306" s="87">
        <v>2839.6</v>
      </c>
      <c r="EE306" s="87">
        <f>SUM(EA306:ED306)</f>
        <v>9609.4000000000015</v>
      </c>
      <c r="EG306" s="87">
        <v>2756.7</v>
      </c>
      <c r="EH306" s="87">
        <v>2589.8118511999996</v>
      </c>
      <c r="EI306" s="87">
        <v>3149.6816898427332</v>
      </c>
      <c r="EJ306" s="87">
        <v>3243.0793377950276</v>
      </c>
      <c r="EK306" s="87">
        <f>SUM(EG306:EJ306)</f>
        <v>11739.272878837761</v>
      </c>
      <c r="EQ306" s="74"/>
      <c r="EU306" s="114"/>
      <c r="EV306" s="87">
        <f>Financials!EV43</f>
        <v>-88045</v>
      </c>
      <c r="EW306" s="87">
        <f>Financials!EW43</f>
        <v>-124506</v>
      </c>
      <c r="EX306" s="87">
        <f>I306</f>
        <v>235460</v>
      </c>
      <c r="EY306" s="87">
        <f>O306</f>
        <v>311464</v>
      </c>
      <c r="EZ306" s="87">
        <f>U306</f>
        <v>624689</v>
      </c>
      <c r="FA306" s="87">
        <f>AA306</f>
        <v>-3117038.2740000002</v>
      </c>
      <c r="FB306" s="87">
        <f>AG306</f>
        <v>-2628354.3219999997</v>
      </c>
      <c r="FC306" s="87">
        <f>AM306</f>
        <v>-1745391.9369999999</v>
      </c>
      <c r="FD306" s="87">
        <f>AS306</f>
        <v>-3481592.1</v>
      </c>
      <c r="FE306" s="87">
        <f>AY306</f>
        <v>-4178349.0000000005</v>
      </c>
      <c r="FF306" s="87">
        <f>BE306</f>
        <v>1146.3000000000002</v>
      </c>
      <c r="FG306" s="250">
        <f>BK306</f>
        <v>1015.5000000000002</v>
      </c>
      <c r="FH306" s="250">
        <f>BQ306</f>
        <v>1196.5999999999999</v>
      </c>
      <c r="FI306" s="250">
        <f>BW306</f>
        <v>1387.1999999999994</v>
      </c>
      <c r="FJ306" s="250">
        <f>CC306</f>
        <v>1322.2999999999997</v>
      </c>
      <c r="FK306" s="250">
        <f>CI306</f>
        <v>2118.5</v>
      </c>
      <c r="FL306" s="250">
        <f>CO306</f>
        <v>2591.5999999999995</v>
      </c>
      <c r="FM306" s="87">
        <f>CU306</f>
        <v>2592.1999999999998</v>
      </c>
      <c r="FN306" s="87">
        <f>DA306</f>
        <v>3553.5999999999995</v>
      </c>
      <c r="FO306" s="87">
        <f>DG306</f>
        <v>5883.2000000000007</v>
      </c>
      <c r="FP306" s="87">
        <f>DM306</f>
        <v>5624.1999999999989</v>
      </c>
      <c r="FQ306" s="87">
        <f>DS306</f>
        <v>7839</v>
      </c>
      <c r="FR306" s="87">
        <f>DY306</f>
        <v>7571.5999999999985</v>
      </c>
      <c r="FS306" s="87">
        <f>EE306</f>
        <v>9609.4000000000015</v>
      </c>
      <c r="FT306" s="87">
        <f>EK306</f>
        <v>11739.272878837761</v>
      </c>
      <c r="FU306" s="87">
        <f>FU43</f>
        <v>17575.202041925051</v>
      </c>
      <c r="FV306" s="87">
        <f>FV43</f>
        <v>14031.636578975642</v>
      </c>
      <c r="FW306" s="87">
        <f>FW43</f>
        <v>3686.9300172311114</v>
      </c>
      <c r="FX306" s="87">
        <f ca="1">FX43</f>
        <v>4997.3254704312812</v>
      </c>
    </row>
    <row r="307" spans="2:180" x14ac:dyDescent="0.25">
      <c r="C307" s="74"/>
      <c r="D307" s="74"/>
      <c r="E307" s="196"/>
      <c r="F307" s="196"/>
      <c r="G307" s="196"/>
      <c r="H307" s="196"/>
      <c r="I307" s="196"/>
      <c r="J307" s="74"/>
      <c r="K307" s="196"/>
      <c r="L307" s="196"/>
      <c r="M307" s="196"/>
      <c r="N307" s="196"/>
      <c r="O307" s="196"/>
      <c r="P307" s="74"/>
      <c r="Q307" s="196"/>
      <c r="R307" s="196"/>
      <c r="S307" s="196"/>
      <c r="T307" s="196"/>
      <c r="U307" s="196"/>
      <c r="W307" s="196"/>
      <c r="X307" s="196"/>
      <c r="Y307" s="196"/>
      <c r="Z307" s="196"/>
      <c r="AA307" s="196"/>
      <c r="AC307" s="196"/>
      <c r="AD307" s="196"/>
      <c r="AE307" s="196"/>
      <c r="AF307" s="196"/>
      <c r="AG307" s="196"/>
      <c r="AI307" s="196"/>
      <c r="AJ307" s="196"/>
      <c r="AK307" s="196"/>
      <c r="AL307" s="196"/>
      <c r="AM307" s="196"/>
      <c r="AO307" s="196"/>
      <c r="AP307" s="196"/>
      <c r="AQ307" s="196"/>
      <c r="AR307" s="196"/>
      <c r="AS307" s="196"/>
      <c r="AU307" s="196"/>
      <c r="AV307" s="196"/>
      <c r="AW307" s="196"/>
      <c r="AX307" s="196"/>
      <c r="AY307" s="196"/>
      <c r="BA307" s="196"/>
      <c r="BB307" s="196"/>
      <c r="BC307" s="196"/>
      <c r="BD307" s="196"/>
      <c r="BE307" s="196"/>
      <c r="BG307" s="196"/>
      <c r="BH307" s="196"/>
      <c r="BI307" s="196"/>
      <c r="BJ307" s="196"/>
      <c r="BK307" s="196"/>
      <c r="BM307" s="196"/>
      <c r="BN307" s="196"/>
      <c r="BO307" s="196"/>
      <c r="BP307" s="196"/>
      <c r="BQ307" s="196"/>
      <c r="BS307" s="196"/>
      <c r="BT307" s="196"/>
      <c r="BU307" s="196"/>
      <c r="BV307" s="196"/>
      <c r="BW307" s="196"/>
      <c r="BY307" s="196"/>
      <c r="BZ307" s="196"/>
      <c r="CA307" s="196"/>
      <c r="CB307" s="196"/>
      <c r="CC307" s="196"/>
      <c r="CE307" s="196"/>
      <c r="CF307" s="196"/>
      <c r="CG307" s="196"/>
      <c r="CH307" s="196"/>
      <c r="CI307" s="196"/>
      <c r="CK307" s="196"/>
      <c r="CL307" s="196"/>
      <c r="CM307" s="196"/>
      <c r="CN307" s="196"/>
      <c r="CO307" s="196"/>
      <c r="CQ307" s="196"/>
      <c r="CR307" s="196"/>
      <c r="CS307" s="196"/>
      <c r="CT307" s="196"/>
      <c r="CU307" s="196"/>
      <c r="CW307" s="196"/>
      <c r="CX307" s="196"/>
      <c r="CY307" s="196"/>
      <c r="CZ307" s="196"/>
      <c r="DA307" s="196"/>
      <c r="DC307" s="196"/>
      <c r="DD307" s="196"/>
      <c r="DE307" s="196"/>
      <c r="DF307" s="196"/>
      <c r="DG307" s="196"/>
      <c r="DI307" s="196"/>
      <c r="DJ307" s="196"/>
      <c r="DK307" s="196"/>
      <c r="DL307" s="196"/>
      <c r="DM307" s="196"/>
      <c r="DO307" s="196"/>
      <c r="DP307" s="196"/>
      <c r="DQ307" s="196"/>
      <c r="DR307" s="196"/>
      <c r="DS307" s="196"/>
      <c r="DT307" s="196"/>
      <c r="DU307" s="196"/>
      <c r="DV307" s="196"/>
      <c r="DW307" s="196"/>
      <c r="DX307" s="196"/>
      <c r="DY307" s="196"/>
      <c r="EA307" s="196"/>
      <c r="EB307" s="196"/>
      <c r="EC307" s="196"/>
      <c r="ED307" s="196"/>
      <c r="EE307" s="196"/>
      <c r="EG307" s="196"/>
      <c r="EH307" s="196"/>
      <c r="EI307" s="196"/>
      <c r="EJ307" s="196"/>
      <c r="EK307" s="196"/>
      <c r="EQ307" s="198"/>
      <c r="ER307" s="198"/>
      <c r="ES307" s="198"/>
      <c r="EU307" s="114"/>
      <c r="EV307" s="77"/>
      <c r="EW307" s="77"/>
      <c r="EX307" s="196"/>
      <c r="EY307" s="196"/>
      <c r="EZ307" s="196"/>
      <c r="FA307" s="196"/>
      <c r="FB307" s="196"/>
      <c r="FC307" s="196"/>
      <c r="FD307" s="196"/>
      <c r="FE307" s="196"/>
      <c r="FF307" s="196"/>
      <c r="FG307" s="196"/>
      <c r="FH307" s="196"/>
      <c r="FI307" s="196"/>
      <c r="FJ307" s="196"/>
      <c r="FK307" s="196"/>
      <c r="FL307" s="196"/>
      <c r="FM307" s="196"/>
      <c r="FN307" s="196"/>
      <c r="FS307" s="196"/>
      <c r="FT307" s="196"/>
    </row>
    <row r="308" spans="2:180" x14ac:dyDescent="0.25">
      <c r="B308" s="198" t="s">
        <v>377</v>
      </c>
      <c r="C308" s="74"/>
      <c r="D308" s="74"/>
      <c r="E308" s="196"/>
      <c r="F308" s="196"/>
      <c r="G308" s="196"/>
      <c r="H308" s="196"/>
      <c r="I308" s="196">
        <v>90215</v>
      </c>
      <c r="J308" s="74"/>
      <c r="K308" s="196">
        <v>22367</v>
      </c>
      <c r="L308" s="196">
        <v>24965</v>
      </c>
      <c r="M308" s="196">
        <v>21892</v>
      </c>
      <c r="N308" s="196">
        <f>O308-M308-L308-K308</f>
        <v>21307</v>
      </c>
      <c r="O308" s="196">
        <v>90531</v>
      </c>
      <c r="P308" s="74"/>
      <c r="Q308" s="196">
        <v>22118</v>
      </c>
      <c r="R308" s="196">
        <v>20713</v>
      </c>
      <c r="S308" s="196">
        <v>29634</v>
      </c>
      <c r="T308" s="196">
        <f>U308-S308-R308-Q308</f>
        <v>14627</v>
      </c>
      <c r="U308" s="196">
        <v>87092</v>
      </c>
      <c r="W308" s="196">
        <v>53362</v>
      </c>
      <c r="X308" s="196">
        <v>24157</v>
      </c>
      <c r="Y308" s="196">
        <v>28008</v>
      </c>
      <c r="Z308" s="196">
        <v>29839</v>
      </c>
      <c r="AA308" s="196">
        <f>Z308+Y308+X308+W308</f>
        <v>135366</v>
      </c>
      <c r="AB308" s="74"/>
      <c r="AC308" s="196">
        <f>55477-AD308</f>
        <v>29025</v>
      </c>
      <c r="AD308" s="196">
        <v>26452</v>
      </c>
      <c r="AE308" s="196">
        <v>29177</v>
      </c>
      <c r="AF308" s="196">
        <f>AG308-AE308-AD308-AC308</f>
        <v>34536</v>
      </c>
      <c r="AG308" s="196">
        <v>119190</v>
      </c>
      <c r="AH308" s="74"/>
      <c r="AI308" s="196">
        <v>37876</v>
      </c>
      <c r="AJ308" s="196">
        <v>31660</v>
      </c>
      <c r="AK308" s="196">
        <v>39302</v>
      </c>
      <c r="AL308" s="196">
        <v>33638</v>
      </c>
      <c r="AM308" s="196">
        <v>140201</v>
      </c>
      <c r="AO308" s="196">
        <v>34700</v>
      </c>
      <c r="AP308" s="196">
        <v>36200</v>
      </c>
      <c r="AQ308" s="196">
        <v>41000</v>
      </c>
      <c r="AR308" s="196">
        <v>39500</v>
      </c>
      <c r="AS308" s="196">
        <f t="shared" ref="AS308:AS314" si="290">AR308+AQ308+AP308+AO308</f>
        <v>151400</v>
      </c>
      <c r="AU308" s="196">
        <v>39200</v>
      </c>
      <c r="AV308" s="196">
        <v>42900</v>
      </c>
      <c r="AW308" s="196">
        <v>43000</v>
      </c>
      <c r="AX308" s="196">
        <v>40100</v>
      </c>
      <c r="AY308" s="196">
        <f>AX308+AW308+AV308+AU308</f>
        <v>165200</v>
      </c>
      <c r="BA308" s="196">
        <v>49600</v>
      </c>
      <c r="BB308" s="196">
        <v>56800</v>
      </c>
      <c r="BC308" s="196">
        <v>36700</v>
      </c>
      <c r="BD308" s="196">
        <v>43500</v>
      </c>
      <c r="BE308" s="196">
        <f>BD308+BC308+BB308+BA308</f>
        <v>186600</v>
      </c>
      <c r="BG308" s="77">
        <v>44.5</v>
      </c>
      <c r="BH308" s="77">
        <v>48.8</v>
      </c>
      <c r="BI308" s="77">
        <v>67.900000000000006</v>
      </c>
      <c r="BJ308" s="77">
        <v>67.5</v>
      </c>
      <c r="BK308" s="77">
        <f t="shared" ref="BK308:BK314" si="291">SUM(BG308:BJ308)</f>
        <v>228.7</v>
      </c>
      <c r="BM308" s="77">
        <v>64.7</v>
      </c>
      <c r="BN308" s="77">
        <v>67</v>
      </c>
      <c r="BO308" s="77">
        <v>60.4</v>
      </c>
      <c r="BP308" s="77">
        <v>62.5</v>
      </c>
      <c r="BQ308" s="77">
        <f t="shared" ref="BQ308:BQ314" si="292">SUM(BM308:BP308)</f>
        <v>254.6</v>
      </c>
      <c r="BS308" s="77">
        <v>66.099999999999994</v>
      </c>
      <c r="BT308" s="77">
        <v>72.8</v>
      </c>
      <c r="BU308" s="77">
        <v>77.5</v>
      </c>
      <c r="BV308" s="77">
        <v>80.5</v>
      </c>
      <c r="BW308" s="77">
        <f t="shared" ref="BW308:BW314" si="293">SUM(BS308:BV308)</f>
        <v>296.89999999999998</v>
      </c>
      <c r="BY308" s="77">
        <v>82</v>
      </c>
      <c r="BZ308" s="77">
        <v>84.1</v>
      </c>
      <c r="CA308" s="77">
        <v>87.7</v>
      </c>
      <c r="CB308" s="77">
        <v>103.1</v>
      </c>
      <c r="CC308" s="77">
        <f t="shared" ref="CC308:CC315" si="294">SUM(BY308:CB308)</f>
        <v>356.9</v>
      </c>
      <c r="CE308" s="77">
        <v>110.1</v>
      </c>
      <c r="CF308" s="77">
        <v>103.9</v>
      </c>
      <c r="CG308" s="77">
        <v>101.2</v>
      </c>
      <c r="CH308" s="77">
        <v>102.3</v>
      </c>
      <c r="CI308" s="77">
        <f t="shared" ref="CI308:CI315" si="295">SUM(CE308:CH308)</f>
        <v>417.5</v>
      </c>
      <c r="CK308" s="77">
        <v>102.6</v>
      </c>
      <c r="CL308" s="77">
        <v>99.7</v>
      </c>
      <c r="CM308" s="77">
        <v>110</v>
      </c>
      <c r="CN308" s="77">
        <v>110.4</v>
      </c>
      <c r="CO308" s="77">
        <f t="shared" ref="CO308:CO315" si="296">SUM(CK308:CN308)</f>
        <v>422.70000000000005</v>
      </c>
      <c r="CQ308" s="77">
        <v>104.8</v>
      </c>
      <c r="CR308" s="77">
        <v>108.4</v>
      </c>
      <c r="CS308" s="77">
        <v>112.4</v>
      </c>
      <c r="CT308" s="77">
        <v>122.9</v>
      </c>
      <c r="CU308" s="77">
        <f t="shared" ref="CU308:CU315" si="297">SUM(CQ308:CT308)</f>
        <v>448.5</v>
      </c>
      <c r="CW308" s="77">
        <v>118.3</v>
      </c>
      <c r="CX308" s="77">
        <v>125.1</v>
      </c>
      <c r="CY308" s="77">
        <v>122</v>
      </c>
      <c r="CZ308" s="77">
        <v>125.4</v>
      </c>
      <c r="DA308" s="77">
        <f t="shared" ref="DA308:DA315" si="298">SUM(CW308:CZ308)</f>
        <v>490.79999999999995</v>
      </c>
      <c r="DC308" s="77">
        <v>117.9</v>
      </c>
      <c r="DD308" s="77">
        <v>112.7</v>
      </c>
      <c r="DE308" s="77">
        <v>116.2</v>
      </c>
      <c r="DF308" s="77">
        <v>124.2</v>
      </c>
      <c r="DG308" s="77">
        <f t="shared" ref="DG308:DG315" si="299">SUM(DC308:DF308)</f>
        <v>471</v>
      </c>
      <c r="DI308" s="77">
        <v>131</v>
      </c>
      <c r="DJ308" s="77">
        <v>131.5</v>
      </c>
      <c r="DK308" s="77">
        <v>137.9</v>
      </c>
      <c r="DL308" s="77">
        <v>183.2</v>
      </c>
      <c r="DM308" s="77">
        <f t="shared" ref="DM308:DM315" si="300">SUM(DI308:DL308)</f>
        <v>583.59999999999991</v>
      </c>
      <c r="DO308" s="77">
        <v>170.3</v>
      </c>
      <c r="DP308" s="77">
        <v>181.2</v>
      </c>
      <c r="DQ308" s="77">
        <v>176.2</v>
      </c>
      <c r="DR308" s="77">
        <v>212.1</v>
      </c>
      <c r="DS308" s="77">
        <f t="shared" ref="DS308:DS315" si="301">SUM(DO308:DR308)</f>
        <v>739.80000000000007</v>
      </c>
      <c r="DT308" s="77"/>
      <c r="DU308" s="77">
        <v>214.4</v>
      </c>
      <c r="DV308" s="77">
        <v>227.5</v>
      </c>
      <c r="DW308" s="77">
        <v>235.7</v>
      </c>
      <c r="DX308" s="77">
        <v>241</v>
      </c>
      <c r="DY308" s="77">
        <f t="shared" ref="DY308:DY315" si="302">SUM(DU308:DX308)</f>
        <v>918.59999999999991</v>
      </c>
      <c r="EA308" s="77">
        <v>241.3</v>
      </c>
      <c r="EB308" s="77">
        <v>254.9</v>
      </c>
      <c r="EC308" s="77">
        <v>274.60000000000002</v>
      </c>
      <c r="ED308" s="77">
        <v>255.2</v>
      </c>
      <c r="EE308" s="77">
        <f t="shared" ref="EE308:EE315" si="303">SUM(EA308:ED308)</f>
        <v>1026</v>
      </c>
      <c r="EG308" s="77">
        <v>259.39999999999998</v>
      </c>
      <c r="EH308" s="77">
        <v>230.08334680887467</v>
      </c>
      <c r="EI308" s="77">
        <v>259.54572463354816</v>
      </c>
      <c r="EJ308" s="77">
        <v>245.92947598186262</v>
      </c>
      <c r="EK308" s="77">
        <f t="shared" ref="EK308:EK315" si="304">SUM(EG308:EJ308)</f>
        <v>994.95854742428548</v>
      </c>
      <c r="EQ308" s="198"/>
      <c r="ER308" s="198"/>
      <c r="ES308" s="198"/>
      <c r="EU308" s="114"/>
      <c r="EV308" s="77">
        <v>166035</v>
      </c>
      <c r="EW308" s="77">
        <v>144800</v>
      </c>
      <c r="EX308" s="77">
        <f t="shared" ref="EX308:EX314" si="305">I308</f>
        <v>90215</v>
      </c>
      <c r="EY308" s="77">
        <f t="shared" ref="EY308:EY314" si="306">O308</f>
        <v>90531</v>
      </c>
      <c r="EZ308" s="77">
        <f t="shared" ref="EZ308:EZ314" si="307">U308</f>
        <v>87092</v>
      </c>
      <c r="FA308" s="77">
        <f t="shared" ref="FA308:FA314" si="308">AA308</f>
        <v>135366</v>
      </c>
      <c r="FB308" s="77">
        <f t="shared" ref="FB308:FB314" si="309">AG308</f>
        <v>119190</v>
      </c>
      <c r="FC308" s="77">
        <f t="shared" ref="FC308:FC314" si="310">AM308</f>
        <v>140201</v>
      </c>
      <c r="FD308" s="77">
        <f t="shared" ref="FD308:FD314" si="311">AS308</f>
        <v>151400</v>
      </c>
      <c r="FE308" s="77">
        <f t="shared" ref="FE308:FE314" si="312">AY308</f>
        <v>165200</v>
      </c>
      <c r="FF308" s="77">
        <f t="shared" ref="FF308:FF314" si="313">BE308</f>
        <v>186600</v>
      </c>
      <c r="FG308" s="196">
        <f t="shared" ref="FG308:FG315" si="314">BK308</f>
        <v>228.7</v>
      </c>
      <c r="FH308" s="196">
        <f t="shared" ref="FH308:FH315" si="315">BQ308</f>
        <v>254.6</v>
      </c>
      <c r="FI308" s="196">
        <f t="shared" ref="FI308:FI315" si="316">BW308</f>
        <v>296.89999999999998</v>
      </c>
      <c r="FJ308" s="196">
        <f t="shared" ref="FJ308:FJ315" si="317">CC308</f>
        <v>356.9</v>
      </c>
      <c r="FK308" s="196">
        <f t="shared" ref="FK308:FK315" si="318">CI308</f>
        <v>417.5</v>
      </c>
      <c r="FL308" s="196">
        <f t="shared" ref="FL308:FL315" si="319">CO308</f>
        <v>422.70000000000005</v>
      </c>
      <c r="FM308" s="77">
        <f t="shared" ref="FM308:FM315" si="320">CU308</f>
        <v>448.5</v>
      </c>
      <c r="FN308" s="77">
        <f t="shared" ref="FN308:FN315" si="321">DA308</f>
        <v>490.79999999999995</v>
      </c>
      <c r="FO308" s="77">
        <f t="shared" ref="FO308:FO315" si="322">DG308</f>
        <v>471</v>
      </c>
      <c r="FP308" s="77">
        <f t="shared" ref="FP308:FP315" si="323">DM308</f>
        <v>583.59999999999991</v>
      </c>
      <c r="FQ308" s="77">
        <f t="shared" ref="FQ308:FQ315" si="324">DS308</f>
        <v>739.80000000000007</v>
      </c>
      <c r="FR308" s="77">
        <f t="shared" ref="FR308:FR315" si="325">DY308</f>
        <v>918.59999999999991</v>
      </c>
      <c r="FS308" s="77">
        <f>EE308</f>
        <v>1026</v>
      </c>
      <c r="FT308" s="77">
        <f t="shared" ref="FT308:FT315" si="326">EK308</f>
        <v>994.95854742428548</v>
      </c>
      <c r="FU308" s="77">
        <f>FU362</f>
        <v>1152.2867412000001</v>
      </c>
      <c r="FV308" s="77">
        <f>FV362</f>
        <v>991.11410769359986</v>
      </c>
      <c r="FW308" s="77">
        <f ca="1">FW362</f>
        <v>531.29999999999995</v>
      </c>
      <c r="FX308" s="77">
        <f>FX362</f>
        <v>622.56000000000006</v>
      </c>
    </row>
    <row r="309" spans="2:180" x14ac:dyDescent="0.25">
      <c r="B309" s="198" t="s">
        <v>314</v>
      </c>
      <c r="C309" s="153"/>
      <c r="D309" s="153"/>
      <c r="E309" s="154"/>
      <c r="F309" s="154"/>
      <c r="G309" s="154"/>
      <c r="H309" s="154"/>
      <c r="I309" s="154">
        <v>2929</v>
      </c>
      <c r="J309" s="153"/>
      <c r="K309" s="154"/>
      <c r="L309" s="154"/>
      <c r="M309" s="154"/>
      <c r="N309" s="154"/>
      <c r="O309" s="154">
        <v>8350</v>
      </c>
      <c r="P309" s="153"/>
      <c r="Q309" s="154"/>
      <c r="R309" s="154"/>
      <c r="S309" s="154"/>
      <c r="T309" s="154"/>
      <c r="U309" s="154">
        <v>17354</v>
      </c>
      <c r="V309" s="153"/>
      <c r="W309" s="154"/>
      <c r="X309" s="154"/>
      <c r="Y309" s="154"/>
      <c r="Z309" s="154"/>
      <c r="AA309" s="154"/>
      <c r="AB309" s="153"/>
      <c r="AC309" s="196">
        <f>1644-AD309</f>
        <v>1551</v>
      </c>
      <c r="AD309" s="196">
        <v>93</v>
      </c>
      <c r="AE309" s="196">
        <f>AG309-AF309-AD309-AC309</f>
        <v>2919</v>
      </c>
      <c r="AF309" s="196">
        <v>20546</v>
      </c>
      <c r="AG309" s="196">
        <v>25109</v>
      </c>
      <c r="AH309" s="153"/>
      <c r="AI309" s="196">
        <v>2592</v>
      </c>
      <c r="AJ309" s="196">
        <v>4387</v>
      </c>
      <c r="AK309" s="196">
        <v>9050</v>
      </c>
      <c r="AL309" s="196">
        <v>326</v>
      </c>
      <c r="AM309" s="196">
        <v>15896</v>
      </c>
      <c r="AN309" s="153"/>
      <c r="AO309" s="196">
        <v>800</v>
      </c>
      <c r="AP309" s="196">
        <v>700</v>
      </c>
      <c r="AQ309" s="196">
        <v>100</v>
      </c>
      <c r="AR309" s="196">
        <v>7000</v>
      </c>
      <c r="AS309" s="196">
        <f t="shared" si="290"/>
        <v>8600</v>
      </c>
      <c r="AT309" s="153"/>
      <c r="AU309" s="196">
        <v>300</v>
      </c>
      <c r="AV309" s="196">
        <v>300</v>
      </c>
      <c r="AW309" s="196">
        <v>9200</v>
      </c>
      <c r="AX309" s="196">
        <v>2500</v>
      </c>
      <c r="AY309" s="196">
        <f t="shared" ref="AY309:AY314" si="327">AX309+AW309+AV309+AU309</f>
        <v>12300</v>
      </c>
      <c r="BA309" s="196"/>
      <c r="BB309" s="196">
        <v>1100</v>
      </c>
      <c r="BC309" s="196">
        <v>1700</v>
      </c>
      <c r="BD309" s="196">
        <v>500</v>
      </c>
      <c r="BE309" s="196">
        <f t="shared" ref="BE309:BE314" si="328">BD309+BC309+BB309+BA309</f>
        <v>3300</v>
      </c>
      <c r="BF309" s="153"/>
      <c r="BG309" s="77">
        <v>0.1</v>
      </c>
      <c r="BH309" s="77">
        <v>2.6</v>
      </c>
      <c r="BI309" s="77">
        <v>0.5</v>
      </c>
      <c r="BJ309" s="77">
        <v>9.9</v>
      </c>
      <c r="BK309" s="77">
        <f t="shared" si="291"/>
        <v>13.100000000000001</v>
      </c>
      <c r="BL309" s="153"/>
      <c r="BM309" s="77">
        <v>3.9</v>
      </c>
      <c r="BN309" s="77">
        <v>2.5</v>
      </c>
      <c r="BO309" s="77">
        <v>3.6</v>
      </c>
      <c r="BP309" s="77">
        <v>0.5</v>
      </c>
      <c r="BQ309" s="77">
        <f t="shared" si="292"/>
        <v>10.5</v>
      </c>
      <c r="BR309" s="153"/>
      <c r="BS309" s="77">
        <v>0</v>
      </c>
      <c r="BT309" s="77">
        <v>0.6</v>
      </c>
      <c r="BU309" s="77">
        <v>0.2</v>
      </c>
      <c r="BV309" s="77">
        <v>1.5</v>
      </c>
      <c r="BW309" s="77">
        <f t="shared" si="293"/>
        <v>2.2999999999999998</v>
      </c>
      <c r="BY309" s="77">
        <v>0.5</v>
      </c>
      <c r="BZ309" s="77">
        <v>0.4</v>
      </c>
      <c r="CA309" s="77">
        <v>1.4</v>
      </c>
      <c r="CB309" s="77">
        <v>1.2</v>
      </c>
      <c r="CC309" s="77">
        <f t="shared" si="294"/>
        <v>3.5</v>
      </c>
      <c r="CE309" s="77">
        <v>0.2</v>
      </c>
      <c r="CF309" s="77">
        <v>7.6</v>
      </c>
      <c r="CG309" s="77">
        <v>0</v>
      </c>
      <c r="CH309" s="77">
        <v>1.2</v>
      </c>
      <c r="CI309" s="77">
        <f t="shared" si="295"/>
        <v>9</v>
      </c>
      <c r="CK309" s="77">
        <v>2</v>
      </c>
      <c r="CL309" s="77">
        <v>2.6</v>
      </c>
      <c r="CM309" s="77">
        <v>1.2</v>
      </c>
      <c r="CN309" s="77">
        <v>9.6</v>
      </c>
      <c r="CO309" s="77">
        <f t="shared" si="296"/>
        <v>15.399999999999999</v>
      </c>
      <c r="CQ309" s="77">
        <v>2.7</v>
      </c>
      <c r="CR309" s="77">
        <v>0</v>
      </c>
      <c r="CS309" s="77">
        <v>2</v>
      </c>
      <c r="CT309" s="77">
        <v>0</v>
      </c>
      <c r="CU309" s="77">
        <f t="shared" si="297"/>
        <v>4.7</v>
      </c>
      <c r="CW309" s="77">
        <v>2.7</v>
      </c>
      <c r="CX309" s="77">
        <v>0.2</v>
      </c>
      <c r="CY309" s="77">
        <v>0.8</v>
      </c>
      <c r="CZ309" s="77">
        <v>0.8</v>
      </c>
      <c r="DA309" s="77">
        <f t="shared" si="298"/>
        <v>4.5</v>
      </c>
      <c r="DC309" s="77">
        <v>6.2</v>
      </c>
      <c r="DD309" s="77">
        <v>0.2</v>
      </c>
      <c r="DE309" s="77">
        <v>-39.799999999999997</v>
      </c>
      <c r="DF309" s="77">
        <v>17.5</v>
      </c>
      <c r="DG309" s="77">
        <f t="shared" si="299"/>
        <v>-15.899999999999999</v>
      </c>
      <c r="DI309" s="77">
        <v>12.1</v>
      </c>
      <c r="DJ309" s="77">
        <v>0.3</v>
      </c>
      <c r="DK309" s="77">
        <v>13.2</v>
      </c>
      <c r="DL309" s="77">
        <v>13.7</v>
      </c>
      <c r="DM309" s="77">
        <f t="shared" si="300"/>
        <v>39.299999999999997</v>
      </c>
      <c r="DO309" s="77">
        <v>3.2</v>
      </c>
      <c r="DP309" s="77">
        <v>3.9</v>
      </c>
      <c r="DQ309" s="77">
        <v>20.399999999999999</v>
      </c>
      <c r="DR309" s="77">
        <v>10</v>
      </c>
      <c r="DS309" s="77">
        <f t="shared" si="301"/>
        <v>37.5</v>
      </c>
      <c r="DT309" s="77"/>
      <c r="DU309" s="77">
        <v>4.2</v>
      </c>
      <c r="DV309" s="77">
        <v>13.7</v>
      </c>
      <c r="DW309" s="77">
        <v>6.8</v>
      </c>
      <c r="DX309" s="77">
        <v>11.1</v>
      </c>
      <c r="DY309" s="77">
        <f t="shared" si="302"/>
        <v>35.799999999999997</v>
      </c>
      <c r="EA309" s="77">
        <v>2.1</v>
      </c>
      <c r="EB309" s="77">
        <v>16.5</v>
      </c>
      <c r="EC309" s="77">
        <v>3.1</v>
      </c>
      <c r="ED309" s="77">
        <v>28</v>
      </c>
      <c r="EE309" s="77">
        <f t="shared" si="303"/>
        <v>49.7</v>
      </c>
      <c r="EG309" s="77">
        <v>0.5</v>
      </c>
      <c r="EH309" s="77">
        <v>0</v>
      </c>
      <c r="EI309" s="77">
        <v>0</v>
      </c>
      <c r="EJ309" s="77">
        <v>0</v>
      </c>
      <c r="EK309" s="77">
        <f t="shared" si="304"/>
        <v>0.5</v>
      </c>
      <c r="EQ309" s="198"/>
      <c r="ER309" s="198"/>
      <c r="ES309" s="198"/>
      <c r="EU309" s="114"/>
      <c r="EV309" s="77">
        <v>20651</v>
      </c>
      <c r="EW309" s="77">
        <v>12100</v>
      </c>
      <c r="EX309" s="77">
        <f t="shared" si="305"/>
        <v>2929</v>
      </c>
      <c r="EY309" s="77">
        <f t="shared" si="306"/>
        <v>8350</v>
      </c>
      <c r="EZ309" s="77">
        <f t="shared" si="307"/>
        <v>17354</v>
      </c>
      <c r="FA309" s="77">
        <f t="shared" si="308"/>
        <v>0</v>
      </c>
      <c r="FB309" s="77">
        <f t="shared" si="309"/>
        <v>25109</v>
      </c>
      <c r="FC309" s="77">
        <f t="shared" si="310"/>
        <v>15896</v>
      </c>
      <c r="FD309" s="77">
        <f t="shared" si="311"/>
        <v>8600</v>
      </c>
      <c r="FE309" s="77">
        <f t="shared" si="312"/>
        <v>12300</v>
      </c>
      <c r="FF309" s="77">
        <f t="shared" si="313"/>
        <v>3300</v>
      </c>
      <c r="FG309" s="196">
        <f t="shared" si="314"/>
        <v>13.100000000000001</v>
      </c>
      <c r="FH309" s="196">
        <f t="shared" si="315"/>
        <v>10.5</v>
      </c>
      <c r="FI309" s="196">
        <f t="shared" si="316"/>
        <v>2.2999999999999998</v>
      </c>
      <c r="FJ309" s="196">
        <f t="shared" si="317"/>
        <v>3.5</v>
      </c>
      <c r="FK309" s="196">
        <f t="shared" si="318"/>
        <v>9</v>
      </c>
      <c r="FL309" s="196">
        <f t="shared" si="319"/>
        <v>15.399999999999999</v>
      </c>
      <c r="FM309" s="77">
        <f t="shared" si="320"/>
        <v>4.7</v>
      </c>
      <c r="FN309" s="77">
        <f t="shared" si="321"/>
        <v>4.5</v>
      </c>
      <c r="FO309" s="77">
        <f t="shared" si="322"/>
        <v>-15.899999999999999</v>
      </c>
      <c r="FP309" s="77">
        <f t="shared" si="323"/>
        <v>39.299999999999997</v>
      </c>
      <c r="FQ309" s="77">
        <f t="shared" si="324"/>
        <v>37.5</v>
      </c>
      <c r="FR309" s="77">
        <f t="shared" si="325"/>
        <v>35.799999999999997</v>
      </c>
      <c r="FS309" s="77">
        <f t="shared" ref="FS309:FS315" si="329">EE309</f>
        <v>49.7</v>
      </c>
      <c r="FT309" s="77">
        <f t="shared" si="326"/>
        <v>0.5</v>
      </c>
      <c r="FU309" s="77">
        <v>2</v>
      </c>
      <c r="FV309" s="77">
        <v>3</v>
      </c>
      <c r="FW309" s="77">
        <v>4</v>
      </c>
      <c r="FX309" s="77">
        <v>5</v>
      </c>
    </row>
    <row r="310" spans="2:180" x14ac:dyDescent="0.25">
      <c r="B310" s="198" t="s">
        <v>378</v>
      </c>
      <c r="C310" s="74"/>
      <c r="D310" s="74"/>
      <c r="E310" s="196"/>
      <c r="F310" s="196"/>
      <c r="G310" s="196"/>
      <c r="H310" s="196"/>
      <c r="I310" s="184"/>
      <c r="J310" s="74"/>
      <c r="K310" s="184"/>
      <c r="L310" s="184"/>
      <c r="M310" s="184"/>
      <c r="N310" s="184"/>
      <c r="O310" s="196"/>
      <c r="P310" s="74"/>
      <c r="Q310" s="184"/>
      <c r="R310" s="184"/>
      <c r="S310" s="184"/>
      <c r="T310" s="184"/>
      <c r="U310" s="196"/>
      <c r="W310" s="196">
        <v>951</v>
      </c>
      <c r="X310" s="196">
        <v>9923</v>
      </c>
      <c r="Y310" s="196">
        <v>1698</v>
      </c>
      <c r="Z310" s="196"/>
      <c r="AA310" s="196">
        <f>Z310+Y310+X310+W310</f>
        <v>12572</v>
      </c>
      <c r="AB310" s="74"/>
      <c r="AC310" s="196">
        <v>1103</v>
      </c>
      <c r="AD310" s="196">
        <v>1311</v>
      </c>
      <c r="AE310" s="196">
        <v>1413</v>
      </c>
      <c r="AF310" s="196">
        <f>AG310-AE310-AD310-AC310</f>
        <v>430</v>
      </c>
      <c r="AG310" s="196">
        <v>4257</v>
      </c>
      <c r="AH310" s="74"/>
      <c r="AI310" s="196">
        <v>2639</v>
      </c>
      <c r="AJ310" s="196">
        <v>8699</v>
      </c>
      <c r="AK310" s="196">
        <v>859</v>
      </c>
      <c r="AL310" s="196">
        <v>1016</v>
      </c>
      <c r="AM310" s="196">
        <v>4053</v>
      </c>
      <c r="AO310" s="196">
        <v>600</v>
      </c>
      <c r="AP310" s="196">
        <v>1000</v>
      </c>
      <c r="AQ310" s="196">
        <v>400</v>
      </c>
      <c r="AR310" s="196">
        <v>900</v>
      </c>
      <c r="AS310" s="196">
        <f t="shared" si="290"/>
        <v>2900</v>
      </c>
      <c r="AU310" s="196">
        <v>400</v>
      </c>
      <c r="AV310" s="196">
        <v>1500</v>
      </c>
      <c r="AW310" s="196">
        <v>300</v>
      </c>
      <c r="AX310" s="196">
        <v>1200</v>
      </c>
      <c r="AY310" s="196">
        <f t="shared" si="327"/>
        <v>3400</v>
      </c>
      <c r="BA310" s="196">
        <v>300</v>
      </c>
      <c r="BB310" s="196">
        <v>1200</v>
      </c>
      <c r="BC310" s="196">
        <v>500</v>
      </c>
      <c r="BD310" s="196">
        <v>200</v>
      </c>
      <c r="BE310" s="196">
        <f t="shared" si="328"/>
        <v>2200</v>
      </c>
      <c r="BG310" s="77">
        <v>0.1</v>
      </c>
      <c r="BH310" s="77">
        <v>0.5</v>
      </c>
      <c r="BI310" s="77">
        <v>0.5</v>
      </c>
      <c r="BJ310" s="77">
        <v>1.7</v>
      </c>
      <c r="BK310" s="77">
        <f t="shared" si="291"/>
        <v>2.8</v>
      </c>
      <c r="BM310" s="77">
        <v>0.7</v>
      </c>
      <c r="BN310" s="77">
        <v>0.5</v>
      </c>
      <c r="BO310" s="77">
        <v>0.9</v>
      </c>
      <c r="BP310" s="77">
        <v>1.4</v>
      </c>
      <c r="BQ310" s="77">
        <f t="shared" si="292"/>
        <v>3.5</v>
      </c>
      <c r="BS310" s="77">
        <v>0.9</v>
      </c>
      <c r="BT310" s="77">
        <v>0.4</v>
      </c>
      <c r="BU310" s="77">
        <v>0.3</v>
      </c>
      <c r="BV310" s="77">
        <v>0</v>
      </c>
      <c r="BW310" s="77">
        <f t="shared" si="293"/>
        <v>1.6</v>
      </c>
      <c r="BY310" s="77">
        <v>1.2</v>
      </c>
      <c r="BZ310" s="77">
        <v>0.9</v>
      </c>
      <c r="CA310" s="77">
        <v>1.7</v>
      </c>
      <c r="CB310" s="77">
        <v>1.4</v>
      </c>
      <c r="CC310" s="77">
        <f t="shared" si="294"/>
        <v>5.1999999999999993</v>
      </c>
      <c r="CE310" s="77">
        <v>0.3</v>
      </c>
      <c r="CF310" s="77">
        <v>0.8</v>
      </c>
      <c r="CG310" s="77">
        <v>0.1</v>
      </c>
      <c r="CH310" s="77">
        <v>1.6</v>
      </c>
      <c r="CI310" s="77">
        <f t="shared" si="295"/>
        <v>2.8000000000000003</v>
      </c>
      <c r="CK310" s="77">
        <v>0.4</v>
      </c>
      <c r="CL310" s="77">
        <v>3</v>
      </c>
      <c r="CM310" s="77">
        <v>0.1</v>
      </c>
      <c r="CN310" s="77">
        <v>0.1</v>
      </c>
      <c r="CO310" s="77">
        <f t="shared" si="296"/>
        <v>3.6</v>
      </c>
      <c r="CQ310" s="77">
        <v>0.6</v>
      </c>
      <c r="CR310" s="77">
        <v>1.4</v>
      </c>
      <c r="CS310" s="77">
        <v>0.3</v>
      </c>
      <c r="CT310" s="77">
        <v>0.8</v>
      </c>
      <c r="CU310" s="77">
        <f t="shared" si="297"/>
        <v>3.0999999999999996</v>
      </c>
      <c r="CW310" s="77">
        <v>1</v>
      </c>
      <c r="CX310" s="77">
        <v>10.3</v>
      </c>
      <c r="CY310" s="77">
        <v>22.5</v>
      </c>
      <c r="CZ310" s="77">
        <v>6.2</v>
      </c>
      <c r="DA310" s="77">
        <f t="shared" si="298"/>
        <v>40</v>
      </c>
      <c r="DC310" s="77">
        <v>21</v>
      </c>
      <c r="DD310" s="77">
        <v>29</v>
      </c>
      <c r="DE310" s="77">
        <v>34</v>
      </c>
      <c r="DF310" s="77">
        <v>33.5</v>
      </c>
      <c r="DG310" s="77">
        <f t="shared" si="299"/>
        <v>117.5</v>
      </c>
      <c r="DI310" s="77">
        <v>11.5</v>
      </c>
      <c r="DJ310" s="77">
        <v>13.9</v>
      </c>
      <c r="DK310" s="77">
        <v>22.5</v>
      </c>
      <c r="DL310" s="77">
        <v>21</v>
      </c>
      <c r="DM310" s="77">
        <f t="shared" si="300"/>
        <v>68.900000000000006</v>
      </c>
      <c r="DO310" s="77">
        <v>18.3</v>
      </c>
      <c r="DP310" s="77">
        <v>0</v>
      </c>
      <c r="DQ310" s="77">
        <v>0</v>
      </c>
      <c r="DR310" s="77">
        <v>0</v>
      </c>
      <c r="DS310" s="77">
        <f t="shared" si="301"/>
        <v>18.3</v>
      </c>
      <c r="DT310" s="77"/>
      <c r="DU310" s="77">
        <v>0</v>
      </c>
      <c r="DV310" s="77">
        <v>0</v>
      </c>
      <c r="DW310" s="77">
        <v>0</v>
      </c>
      <c r="DX310" s="77">
        <v>0</v>
      </c>
      <c r="DY310" s="77">
        <f t="shared" si="302"/>
        <v>0</v>
      </c>
      <c r="EA310" s="77">
        <v>0</v>
      </c>
      <c r="EB310" s="77">
        <v>0</v>
      </c>
      <c r="EC310" s="77">
        <v>0</v>
      </c>
      <c r="ED310" s="77">
        <v>0</v>
      </c>
      <c r="EE310" s="77">
        <f t="shared" si="303"/>
        <v>0</v>
      </c>
      <c r="EG310" s="77">
        <v>0</v>
      </c>
      <c r="EH310" s="77">
        <v>0</v>
      </c>
      <c r="EI310" s="77">
        <v>0</v>
      </c>
      <c r="EJ310" s="77">
        <v>0</v>
      </c>
      <c r="EK310" s="77">
        <f t="shared" si="304"/>
        <v>0</v>
      </c>
      <c r="EQ310" s="198"/>
      <c r="ER310" s="198"/>
      <c r="ES310" s="198"/>
      <c r="EU310" s="114"/>
      <c r="EV310" s="77"/>
      <c r="EW310" s="77"/>
      <c r="EX310" s="77">
        <f t="shared" si="305"/>
        <v>0</v>
      </c>
      <c r="EY310" s="77">
        <f t="shared" si="306"/>
        <v>0</v>
      </c>
      <c r="EZ310" s="77">
        <f t="shared" si="307"/>
        <v>0</v>
      </c>
      <c r="FA310" s="77">
        <f t="shared" si="308"/>
        <v>12572</v>
      </c>
      <c r="FB310" s="77">
        <f t="shared" si="309"/>
        <v>4257</v>
      </c>
      <c r="FC310" s="77">
        <f t="shared" si="310"/>
        <v>4053</v>
      </c>
      <c r="FD310" s="77">
        <f t="shared" si="311"/>
        <v>2900</v>
      </c>
      <c r="FE310" s="77">
        <f t="shared" si="312"/>
        <v>3400</v>
      </c>
      <c r="FF310" s="77">
        <f t="shared" si="313"/>
        <v>2200</v>
      </c>
      <c r="FG310" s="196">
        <f t="shared" si="314"/>
        <v>2.8</v>
      </c>
      <c r="FH310" s="196">
        <f t="shared" si="315"/>
        <v>3.5</v>
      </c>
      <c r="FI310" s="196">
        <f t="shared" si="316"/>
        <v>1.6</v>
      </c>
      <c r="FJ310" s="196">
        <f t="shared" si="317"/>
        <v>5.1999999999999993</v>
      </c>
      <c r="FK310" s="196">
        <f t="shared" si="318"/>
        <v>2.8000000000000003</v>
      </c>
      <c r="FL310" s="196">
        <f t="shared" si="319"/>
        <v>3.6</v>
      </c>
      <c r="FM310" s="77">
        <f t="shared" si="320"/>
        <v>3.0999999999999996</v>
      </c>
      <c r="FN310" s="77">
        <f t="shared" si="321"/>
        <v>40</v>
      </c>
      <c r="FO310" s="77">
        <f t="shared" si="322"/>
        <v>117.5</v>
      </c>
      <c r="FP310" s="77">
        <f t="shared" si="323"/>
        <v>68.900000000000006</v>
      </c>
      <c r="FQ310" s="77">
        <f t="shared" si="324"/>
        <v>18.3</v>
      </c>
      <c r="FR310" s="77">
        <f t="shared" si="325"/>
        <v>0</v>
      </c>
      <c r="FS310" s="77">
        <f t="shared" si="329"/>
        <v>0</v>
      </c>
      <c r="FT310" s="77">
        <f t="shared" si="326"/>
        <v>0</v>
      </c>
      <c r="FU310" s="77">
        <f>FT310</f>
        <v>0</v>
      </c>
      <c r="FV310" s="77">
        <f>FU310</f>
        <v>0</v>
      </c>
      <c r="FW310" s="77">
        <f>FV310</f>
        <v>0</v>
      </c>
      <c r="FX310" s="77">
        <f>FW310</f>
        <v>0</v>
      </c>
    </row>
    <row r="311" spans="2:180" x14ac:dyDescent="0.25">
      <c r="B311" s="198" t="s">
        <v>73</v>
      </c>
      <c r="C311" s="74"/>
      <c r="D311" s="74"/>
      <c r="E311" s="196"/>
      <c r="F311" s="196"/>
      <c r="G311" s="196"/>
      <c r="H311" s="196"/>
      <c r="I311" s="184"/>
      <c r="J311" s="74"/>
      <c r="K311" s="184"/>
      <c r="L311" s="184"/>
      <c r="M311" s="184"/>
      <c r="N311" s="184"/>
      <c r="O311" s="196"/>
      <c r="P311" s="74"/>
      <c r="Q311" s="184"/>
      <c r="R311" s="184"/>
      <c r="S311" s="184"/>
      <c r="T311" s="184"/>
      <c r="U311" s="196"/>
      <c r="W311" s="196">
        <v>2305</v>
      </c>
      <c r="X311" s="196">
        <v>4362</v>
      </c>
      <c r="Y311" s="196">
        <v>3675</v>
      </c>
      <c r="Z311" s="87"/>
      <c r="AA311" s="196">
        <f>Z311+Y311+X311+W311</f>
        <v>10342</v>
      </c>
      <c r="AB311" s="74"/>
      <c r="AC311" s="196">
        <v>3567</v>
      </c>
      <c r="AD311" s="196">
        <v>3109</v>
      </c>
      <c r="AE311" s="196">
        <v>3687</v>
      </c>
      <c r="AF311" s="196">
        <v>3172</v>
      </c>
      <c r="AG311" s="196">
        <f>AF311+AE311+AD311+AC311</f>
        <v>13535</v>
      </c>
      <c r="AH311" s="74"/>
      <c r="AI311" s="196">
        <v>3512</v>
      </c>
      <c r="AJ311" s="196">
        <v>2581</v>
      </c>
      <c r="AK311" s="196">
        <v>2786</v>
      </c>
      <c r="AL311" s="196">
        <v>4515</v>
      </c>
      <c r="AM311" s="196">
        <f>AL311+AK311+AJ311+AI311</f>
        <v>13394</v>
      </c>
      <c r="AO311" s="196">
        <v>2800</v>
      </c>
      <c r="AP311" s="196">
        <v>2400</v>
      </c>
      <c r="AQ311" s="196">
        <v>4600</v>
      </c>
      <c r="AR311" s="196">
        <v>2300</v>
      </c>
      <c r="AS311" s="196">
        <f t="shared" si="290"/>
        <v>12100</v>
      </c>
      <c r="AU311" s="196">
        <v>3000</v>
      </c>
      <c r="AV311" s="196">
        <v>1800</v>
      </c>
      <c r="AW311" s="196">
        <v>4000</v>
      </c>
      <c r="AX311" s="196">
        <v>3600</v>
      </c>
      <c r="AY311" s="196">
        <f t="shared" si="327"/>
        <v>12400</v>
      </c>
      <c r="BA311" s="196">
        <v>4400</v>
      </c>
      <c r="BB311" s="196">
        <v>4400</v>
      </c>
      <c r="BC311" s="196">
        <v>4900</v>
      </c>
      <c r="BD311" s="196">
        <v>5000</v>
      </c>
      <c r="BE311" s="196">
        <f t="shared" si="328"/>
        <v>18700</v>
      </c>
      <c r="BG311" s="77">
        <v>5.7</v>
      </c>
      <c r="BH311" s="77">
        <v>9.4</v>
      </c>
      <c r="BI311" s="77">
        <v>19.399999999999999</v>
      </c>
      <c r="BJ311" s="77">
        <v>17.899999999999999</v>
      </c>
      <c r="BK311" s="77">
        <f t="shared" si="291"/>
        <v>52.4</v>
      </c>
      <c r="BM311" s="77">
        <v>23.1</v>
      </c>
      <c r="BN311" s="77">
        <v>13.5</v>
      </c>
      <c r="BO311" s="77">
        <v>13.7</v>
      </c>
      <c r="BP311" s="77">
        <v>13.1</v>
      </c>
      <c r="BQ311" s="77">
        <f t="shared" si="292"/>
        <v>63.4</v>
      </c>
      <c r="BS311" s="77">
        <v>14.6</v>
      </c>
      <c r="BT311" s="77">
        <v>15</v>
      </c>
      <c r="BU311" s="77">
        <v>14.8</v>
      </c>
      <c r="BV311" s="77">
        <v>14.7</v>
      </c>
      <c r="BW311" s="77">
        <f t="shared" si="293"/>
        <v>59.100000000000009</v>
      </c>
      <c r="BY311" s="77">
        <v>13.2</v>
      </c>
      <c r="BZ311" s="77">
        <v>10.9</v>
      </c>
      <c r="CA311" s="77">
        <v>11.6</v>
      </c>
      <c r="CB311" s="77">
        <v>12</v>
      </c>
      <c r="CC311" s="77">
        <f t="shared" si="294"/>
        <v>47.7</v>
      </c>
      <c r="CE311" s="77">
        <v>13.5</v>
      </c>
      <c r="CF311" s="77">
        <v>10.1</v>
      </c>
      <c r="CG311" s="77">
        <v>14.8</v>
      </c>
      <c r="CH311" s="77">
        <v>14.7</v>
      </c>
      <c r="CI311" s="77">
        <f t="shared" si="295"/>
        <v>53.100000000000009</v>
      </c>
      <c r="CK311" s="77">
        <v>12.2</v>
      </c>
      <c r="CL311" s="77">
        <v>9.1999999999999993</v>
      </c>
      <c r="CM311" s="77">
        <v>16.600000000000001</v>
      </c>
      <c r="CN311" s="77">
        <v>8.3000000000000007</v>
      </c>
      <c r="CO311" s="77">
        <f t="shared" si="296"/>
        <v>46.3</v>
      </c>
      <c r="CQ311" s="77">
        <v>14.9</v>
      </c>
      <c r="CR311" s="77">
        <v>12.5</v>
      </c>
      <c r="CS311" s="77">
        <v>18</v>
      </c>
      <c r="CT311" s="77">
        <v>29.2</v>
      </c>
      <c r="CU311" s="77">
        <f t="shared" si="297"/>
        <v>74.599999999999994</v>
      </c>
      <c r="CW311" s="77">
        <v>14.9</v>
      </c>
      <c r="CX311" s="77">
        <v>0</v>
      </c>
      <c r="CY311" s="77">
        <v>0</v>
      </c>
      <c r="CZ311" s="77">
        <v>0</v>
      </c>
      <c r="DA311" s="77">
        <f t="shared" si="298"/>
        <v>14.9</v>
      </c>
      <c r="DC311" s="77">
        <v>0</v>
      </c>
      <c r="DD311" s="77">
        <v>0</v>
      </c>
      <c r="DE311" s="77">
        <v>0</v>
      </c>
      <c r="DF311" s="77">
        <v>-213.7</v>
      </c>
      <c r="DG311" s="77">
        <f t="shared" si="299"/>
        <v>-213.7</v>
      </c>
      <c r="DI311" s="77">
        <v>0</v>
      </c>
      <c r="DJ311" s="77">
        <v>0</v>
      </c>
      <c r="DK311" s="77">
        <v>0</v>
      </c>
      <c r="DL311" s="77">
        <v>0</v>
      </c>
      <c r="DM311" s="77">
        <f t="shared" si="300"/>
        <v>0</v>
      </c>
      <c r="DO311" s="77">
        <v>0</v>
      </c>
      <c r="DP311" s="77">
        <v>33.4</v>
      </c>
      <c r="DQ311" s="77">
        <v>41.5</v>
      </c>
      <c r="DR311" s="77">
        <v>41.6</v>
      </c>
      <c r="DS311" s="77">
        <f t="shared" si="301"/>
        <v>116.5</v>
      </c>
      <c r="DT311" s="77"/>
      <c r="DU311" s="77">
        <v>19.8</v>
      </c>
      <c r="DV311" s="77">
        <v>46.5</v>
      </c>
      <c r="DW311" s="77">
        <v>53.3</v>
      </c>
      <c r="DX311" s="77">
        <v>53</v>
      </c>
      <c r="DY311" s="77">
        <f t="shared" si="302"/>
        <v>172.6</v>
      </c>
      <c r="EA311" s="77">
        <v>40</v>
      </c>
      <c r="EB311" s="77">
        <v>49</v>
      </c>
      <c r="EC311" s="77">
        <v>57.7</v>
      </c>
      <c r="ED311" s="77">
        <v>55.6</v>
      </c>
      <c r="EE311" s="77">
        <f t="shared" si="303"/>
        <v>202.29999999999998</v>
      </c>
      <c r="EG311" s="77">
        <v>31.1</v>
      </c>
      <c r="EH311" s="77">
        <v>0</v>
      </c>
      <c r="EI311" s="77">
        <v>0</v>
      </c>
      <c r="EJ311" s="77">
        <v>0</v>
      </c>
      <c r="EK311" s="77">
        <f t="shared" si="304"/>
        <v>31.1</v>
      </c>
      <c r="EQ311" s="198"/>
      <c r="ER311" s="198"/>
      <c r="ES311" s="198"/>
      <c r="EU311" s="114"/>
      <c r="EV311" s="77"/>
      <c r="EW311" s="77"/>
      <c r="EX311" s="77">
        <f t="shared" si="305"/>
        <v>0</v>
      </c>
      <c r="EY311" s="77">
        <f t="shared" si="306"/>
        <v>0</v>
      </c>
      <c r="EZ311" s="77">
        <f t="shared" si="307"/>
        <v>0</v>
      </c>
      <c r="FA311" s="77">
        <f t="shared" si="308"/>
        <v>10342</v>
      </c>
      <c r="FB311" s="77">
        <f t="shared" si="309"/>
        <v>13535</v>
      </c>
      <c r="FC311" s="77">
        <f t="shared" si="310"/>
        <v>13394</v>
      </c>
      <c r="FD311" s="77">
        <f t="shared" si="311"/>
        <v>12100</v>
      </c>
      <c r="FE311" s="77">
        <f t="shared" si="312"/>
        <v>12400</v>
      </c>
      <c r="FF311" s="77">
        <f t="shared" si="313"/>
        <v>18700</v>
      </c>
      <c r="FG311" s="196">
        <f t="shared" si="314"/>
        <v>52.4</v>
      </c>
      <c r="FH311" s="196">
        <f t="shared" si="315"/>
        <v>63.4</v>
      </c>
      <c r="FI311" s="196">
        <f t="shared" si="316"/>
        <v>59.100000000000009</v>
      </c>
      <c r="FJ311" s="196">
        <f t="shared" si="317"/>
        <v>47.7</v>
      </c>
      <c r="FK311" s="196">
        <f t="shared" si="318"/>
        <v>53.100000000000009</v>
      </c>
      <c r="FL311" s="196">
        <f t="shared" si="319"/>
        <v>46.3</v>
      </c>
      <c r="FM311" s="77">
        <f t="shared" si="320"/>
        <v>74.599999999999994</v>
      </c>
      <c r="FN311" s="77">
        <f t="shared" si="321"/>
        <v>14.9</v>
      </c>
      <c r="FO311" s="77">
        <f t="shared" si="322"/>
        <v>-213.7</v>
      </c>
      <c r="FP311" s="77">
        <f t="shared" si="323"/>
        <v>0</v>
      </c>
      <c r="FQ311" s="77">
        <f t="shared" si="324"/>
        <v>116.5</v>
      </c>
      <c r="FR311" s="77">
        <f t="shared" si="325"/>
        <v>172.6</v>
      </c>
      <c r="FS311" s="77">
        <f t="shared" si="329"/>
        <v>202.29999999999998</v>
      </c>
      <c r="FT311" s="77">
        <f t="shared" si="326"/>
        <v>31.1</v>
      </c>
      <c r="FU311" s="77">
        <f>FU365</f>
        <v>32.966000000000001</v>
      </c>
      <c r="FV311" s="77">
        <f>FV365</f>
        <v>34.943960000000004</v>
      </c>
      <c r="FW311" s="77">
        <f>FW365</f>
        <v>37.040597600000005</v>
      </c>
      <c r="FX311" s="77">
        <f>FX365</f>
        <v>39.263033456000009</v>
      </c>
    </row>
    <row r="312" spans="2:180" x14ac:dyDescent="0.25">
      <c r="B312" s="198" t="s">
        <v>313</v>
      </c>
      <c r="C312" s="153"/>
      <c r="D312" s="153"/>
      <c r="E312" s="154"/>
      <c r="F312" s="154"/>
      <c r="G312" s="154"/>
      <c r="H312" s="154"/>
      <c r="I312" s="154">
        <v>3085</v>
      </c>
      <c r="J312" s="153"/>
      <c r="K312" s="154"/>
      <c r="L312" s="154"/>
      <c r="M312" s="154"/>
      <c r="N312" s="154"/>
      <c r="O312" s="154">
        <v>1871</v>
      </c>
      <c r="P312" s="153"/>
      <c r="Q312" s="154"/>
      <c r="R312" s="154"/>
      <c r="S312" s="154"/>
      <c r="T312" s="154"/>
      <c r="U312" s="154">
        <v>249</v>
      </c>
      <c r="V312" s="153"/>
      <c r="W312" s="154"/>
      <c r="X312" s="154"/>
      <c r="Y312" s="154"/>
      <c r="Z312" s="154"/>
      <c r="AA312" s="154"/>
      <c r="AB312" s="153"/>
      <c r="AC312" s="196">
        <f>-107-AD312</f>
        <v>540</v>
      </c>
      <c r="AD312" s="196">
        <v>-647</v>
      </c>
      <c r="AE312" s="196">
        <f>AG312-AF312-AD312-AC312</f>
        <v>142</v>
      </c>
      <c r="AF312" s="196">
        <v>153</v>
      </c>
      <c r="AG312" s="196">
        <v>188</v>
      </c>
      <c r="AH312" s="153"/>
      <c r="AI312" s="196">
        <v>-13</v>
      </c>
      <c r="AJ312" s="196">
        <v>1177</v>
      </c>
      <c r="AK312" s="196">
        <v>672</v>
      </c>
      <c r="AL312" s="196">
        <v>53</v>
      </c>
      <c r="AM312" s="196">
        <f>AL312+AK312+AJ312+AI312</f>
        <v>1889</v>
      </c>
      <c r="AN312" s="153"/>
      <c r="AO312" s="196">
        <v>200</v>
      </c>
      <c r="AP312" s="154"/>
      <c r="AQ312" s="196">
        <v>600</v>
      </c>
      <c r="AR312" s="196">
        <v>-2100</v>
      </c>
      <c r="AS312" s="196">
        <f t="shared" si="290"/>
        <v>-1300</v>
      </c>
      <c r="AT312" s="153"/>
      <c r="AU312" s="196">
        <v>1200</v>
      </c>
      <c r="AV312" s="196"/>
      <c r="AW312" s="196">
        <v>-900</v>
      </c>
      <c r="AX312" s="196">
        <v>500</v>
      </c>
      <c r="AY312" s="196">
        <f t="shared" si="327"/>
        <v>800</v>
      </c>
      <c r="BA312" s="196">
        <v>200</v>
      </c>
      <c r="BB312" s="196">
        <v>100</v>
      </c>
      <c r="BC312" s="196">
        <v>500</v>
      </c>
      <c r="BD312" s="196">
        <v>-300</v>
      </c>
      <c r="BE312" s="196">
        <f t="shared" si="328"/>
        <v>500</v>
      </c>
      <c r="BF312" s="153"/>
      <c r="BG312" s="77">
        <v>0.3</v>
      </c>
      <c r="BH312" s="77">
        <v>0.4</v>
      </c>
      <c r="BI312" s="77">
        <v>0.5</v>
      </c>
      <c r="BJ312" s="77">
        <v>-0.1</v>
      </c>
      <c r="BK312" s="77">
        <f t="shared" si="291"/>
        <v>1.0999999999999999</v>
      </c>
      <c r="BL312" s="153"/>
      <c r="BM312" s="77">
        <v>0.1</v>
      </c>
      <c r="BN312" s="77">
        <v>0.1</v>
      </c>
      <c r="BO312" s="77">
        <v>0.1</v>
      </c>
      <c r="BP312" s="77">
        <v>-0.2</v>
      </c>
      <c r="BQ312" s="77">
        <f t="shared" si="292"/>
        <v>0.10000000000000003</v>
      </c>
      <c r="BR312" s="153"/>
      <c r="BS312" s="77">
        <v>0.4</v>
      </c>
      <c r="BT312" s="77">
        <v>1.7</v>
      </c>
      <c r="BU312" s="77">
        <v>0.6</v>
      </c>
      <c r="BV312" s="77">
        <v>1.2</v>
      </c>
      <c r="BW312" s="77">
        <f t="shared" si="293"/>
        <v>3.9000000000000004</v>
      </c>
      <c r="BY312" s="77">
        <v>0.9</v>
      </c>
      <c r="BZ312" s="77">
        <v>0.8</v>
      </c>
      <c r="CA312" s="77">
        <v>0.7</v>
      </c>
      <c r="CB312" s="77">
        <v>0.8</v>
      </c>
      <c r="CC312" s="77">
        <f t="shared" si="294"/>
        <v>3.2</v>
      </c>
      <c r="CE312" s="77">
        <v>1.2</v>
      </c>
      <c r="CF312" s="77">
        <v>1.3</v>
      </c>
      <c r="CG312" s="77">
        <v>3.1</v>
      </c>
      <c r="CH312" s="77">
        <v>2.2000000000000002</v>
      </c>
      <c r="CI312" s="77">
        <f t="shared" si="295"/>
        <v>7.8</v>
      </c>
      <c r="CK312" s="77">
        <v>2.4</v>
      </c>
      <c r="CL312" s="77">
        <v>0</v>
      </c>
      <c r="CM312" s="77">
        <v>0</v>
      </c>
      <c r="CN312" s="77">
        <v>0</v>
      </c>
      <c r="CO312" s="77">
        <f t="shared" si="296"/>
        <v>2.4</v>
      </c>
      <c r="CQ312" s="77">
        <v>0</v>
      </c>
      <c r="CR312" s="77">
        <v>0</v>
      </c>
      <c r="CS312" s="77">
        <v>0</v>
      </c>
      <c r="CT312" s="77">
        <v>0</v>
      </c>
      <c r="CU312" s="77">
        <f t="shared" si="297"/>
        <v>0</v>
      </c>
      <c r="CW312" s="77">
        <v>0</v>
      </c>
      <c r="CX312" s="77">
        <v>0</v>
      </c>
      <c r="CY312" s="77">
        <v>0</v>
      </c>
      <c r="CZ312" s="77">
        <v>0</v>
      </c>
      <c r="DA312" s="77">
        <f t="shared" si="298"/>
        <v>0</v>
      </c>
      <c r="DC312" s="77">
        <v>0</v>
      </c>
      <c r="DD312" s="77">
        <v>0</v>
      </c>
      <c r="DE312" s="77">
        <v>0</v>
      </c>
      <c r="DF312" s="77">
        <v>0</v>
      </c>
      <c r="DG312" s="77">
        <f t="shared" si="299"/>
        <v>0</v>
      </c>
      <c r="DI312" s="77">
        <v>0</v>
      </c>
      <c r="DJ312" s="77">
        <v>0</v>
      </c>
      <c r="DK312" s="77">
        <v>0</v>
      </c>
      <c r="DL312" s="77">
        <v>0</v>
      </c>
      <c r="DM312" s="77">
        <f t="shared" si="300"/>
        <v>0</v>
      </c>
      <c r="DO312" s="77">
        <v>0</v>
      </c>
      <c r="DP312" s="77">
        <v>0</v>
      </c>
      <c r="DQ312" s="77">
        <v>0</v>
      </c>
      <c r="DR312" s="77">
        <v>0</v>
      </c>
      <c r="DS312" s="77">
        <f t="shared" si="301"/>
        <v>0</v>
      </c>
      <c r="DT312" s="77"/>
      <c r="DU312" s="77">
        <v>0</v>
      </c>
      <c r="DV312" s="77">
        <v>0</v>
      </c>
      <c r="DW312" s="77">
        <v>0</v>
      </c>
      <c r="DX312" s="77">
        <v>0</v>
      </c>
      <c r="DY312" s="77">
        <f t="shared" si="302"/>
        <v>0</v>
      </c>
      <c r="EA312" s="77">
        <v>0</v>
      </c>
      <c r="EB312" s="77">
        <v>0</v>
      </c>
      <c r="EC312" s="77">
        <v>0</v>
      </c>
      <c r="ED312" s="77">
        <v>0</v>
      </c>
      <c r="EE312" s="77">
        <f t="shared" si="303"/>
        <v>0</v>
      </c>
      <c r="EG312" s="77">
        <v>0</v>
      </c>
      <c r="EH312" s="77">
        <v>0</v>
      </c>
      <c r="EI312" s="77">
        <v>0</v>
      </c>
      <c r="EJ312" s="77">
        <v>0</v>
      </c>
      <c r="EK312" s="77">
        <f t="shared" si="304"/>
        <v>0</v>
      </c>
      <c r="EQ312" s="198"/>
      <c r="ER312" s="198"/>
      <c r="ES312" s="198"/>
      <c r="EU312" s="114"/>
      <c r="EV312" s="77">
        <v>0</v>
      </c>
      <c r="EW312" s="77">
        <v>9113</v>
      </c>
      <c r="EX312" s="77">
        <f t="shared" si="305"/>
        <v>3085</v>
      </c>
      <c r="EY312" s="77">
        <f t="shared" si="306"/>
        <v>1871</v>
      </c>
      <c r="EZ312" s="77">
        <f t="shared" si="307"/>
        <v>249</v>
      </c>
      <c r="FA312" s="77">
        <f t="shared" si="308"/>
        <v>0</v>
      </c>
      <c r="FB312" s="77">
        <f t="shared" si="309"/>
        <v>188</v>
      </c>
      <c r="FC312" s="77">
        <f t="shared" si="310"/>
        <v>1889</v>
      </c>
      <c r="FD312" s="77">
        <f t="shared" si="311"/>
        <v>-1300</v>
      </c>
      <c r="FE312" s="77">
        <f t="shared" si="312"/>
        <v>800</v>
      </c>
      <c r="FF312" s="77">
        <f t="shared" si="313"/>
        <v>500</v>
      </c>
      <c r="FG312" s="196">
        <f t="shared" si="314"/>
        <v>1.0999999999999999</v>
      </c>
      <c r="FH312" s="196">
        <f t="shared" si="315"/>
        <v>0.10000000000000003</v>
      </c>
      <c r="FI312" s="196">
        <f t="shared" si="316"/>
        <v>3.9000000000000004</v>
      </c>
      <c r="FJ312" s="196">
        <f t="shared" si="317"/>
        <v>3.2</v>
      </c>
      <c r="FK312" s="196">
        <f t="shared" si="318"/>
        <v>7.8</v>
      </c>
      <c r="FL312" s="196">
        <f t="shared" si="319"/>
        <v>2.4</v>
      </c>
      <c r="FM312" s="77">
        <f t="shared" si="320"/>
        <v>0</v>
      </c>
      <c r="FN312" s="77">
        <f t="shared" si="321"/>
        <v>0</v>
      </c>
      <c r="FO312" s="77">
        <f t="shared" si="322"/>
        <v>0</v>
      </c>
      <c r="FP312" s="77">
        <f t="shared" si="323"/>
        <v>0</v>
      </c>
      <c r="FQ312" s="77">
        <f t="shared" si="324"/>
        <v>0</v>
      </c>
      <c r="FR312" s="77">
        <f t="shared" si="325"/>
        <v>0</v>
      </c>
      <c r="FS312" s="77">
        <f t="shared" si="329"/>
        <v>0</v>
      </c>
      <c r="FT312" s="77">
        <f t="shared" si="326"/>
        <v>0</v>
      </c>
      <c r="FU312" s="77">
        <v>2</v>
      </c>
      <c r="FV312" s="77">
        <v>3</v>
      </c>
      <c r="FW312" s="77">
        <v>4</v>
      </c>
      <c r="FX312" s="77">
        <v>5</v>
      </c>
    </row>
    <row r="313" spans="2:180" x14ac:dyDescent="0.25">
      <c r="B313" s="198" t="s">
        <v>158</v>
      </c>
      <c r="C313" s="153"/>
      <c r="D313" s="153"/>
      <c r="E313" s="154"/>
      <c r="F313" s="154"/>
      <c r="G313" s="154"/>
      <c r="H313" s="154"/>
      <c r="I313" s="154">
        <v>34336</v>
      </c>
      <c r="J313" s="153"/>
      <c r="K313" s="154"/>
      <c r="L313" s="154"/>
      <c r="M313" s="154"/>
      <c r="N313" s="154"/>
      <c r="O313" s="154">
        <v>11811</v>
      </c>
      <c r="P313" s="153"/>
      <c r="Q313" s="154"/>
      <c r="R313" s="154"/>
      <c r="S313" s="154"/>
      <c r="T313" s="154"/>
      <c r="U313" s="154">
        <v>54181</v>
      </c>
      <c r="V313" s="153"/>
      <c r="W313" s="154"/>
      <c r="X313" s="154"/>
      <c r="Y313" s="154"/>
      <c r="Z313" s="154"/>
      <c r="AA313" s="154"/>
      <c r="AB313" s="153"/>
      <c r="AC313" s="196">
        <f>32556-AD313</f>
        <v>20766</v>
      </c>
      <c r="AD313" s="196">
        <v>11790</v>
      </c>
      <c r="AE313" s="196">
        <f>AG313-AF313-AD313-AC313</f>
        <v>21295</v>
      </c>
      <c r="AF313" s="196">
        <v>85777</v>
      </c>
      <c r="AG313" s="196">
        <v>139628</v>
      </c>
      <c r="AH313" s="153"/>
      <c r="AI313" s="196">
        <v>22135</v>
      </c>
      <c r="AJ313" s="196">
        <v>43897</v>
      </c>
      <c r="AK313" s="196">
        <v>20840</v>
      </c>
      <c r="AL313" s="196">
        <v>7410</v>
      </c>
      <c r="AM313" s="196">
        <v>86636</v>
      </c>
      <c r="AN313" s="153"/>
      <c r="AO313" s="196">
        <v>13800</v>
      </c>
      <c r="AP313" s="196">
        <v>21200</v>
      </c>
      <c r="AQ313" s="196">
        <v>15500</v>
      </c>
      <c r="AR313" s="196">
        <v>5200</v>
      </c>
      <c r="AS313" s="196">
        <f t="shared" si="290"/>
        <v>55700</v>
      </c>
      <c r="AT313" s="153"/>
      <c r="AU313" s="196">
        <v>9300</v>
      </c>
      <c r="AV313" s="196">
        <v>13600</v>
      </c>
      <c r="AW313" s="196">
        <v>14300</v>
      </c>
      <c r="AX313" s="196">
        <v>23000</v>
      </c>
      <c r="AY313" s="196">
        <f t="shared" si="327"/>
        <v>60200</v>
      </c>
      <c r="BA313" s="196">
        <v>23600</v>
      </c>
      <c r="BB313" s="196">
        <v>53400</v>
      </c>
      <c r="BC313" s="196">
        <v>31000</v>
      </c>
      <c r="BD313" s="196">
        <v>22900</v>
      </c>
      <c r="BE313" s="196">
        <f t="shared" si="328"/>
        <v>130900</v>
      </c>
      <c r="BF313" s="153"/>
      <c r="BG313" s="77">
        <v>30.4</v>
      </c>
      <c r="BH313" s="77">
        <v>33.9</v>
      </c>
      <c r="BI313" s="77">
        <v>48.2</v>
      </c>
      <c r="BJ313" s="77">
        <v>52.4</v>
      </c>
      <c r="BK313" s="77">
        <f t="shared" si="291"/>
        <v>164.9</v>
      </c>
      <c r="BL313" s="153"/>
      <c r="BM313" s="77">
        <v>41.5</v>
      </c>
      <c r="BN313" s="77">
        <v>45.2</v>
      </c>
      <c r="BO313" s="77">
        <v>35.799999999999997</v>
      </c>
      <c r="BP313" s="77">
        <v>40.299999999999997</v>
      </c>
      <c r="BQ313" s="77">
        <f t="shared" si="292"/>
        <v>162.80000000000001</v>
      </c>
      <c r="BR313" s="153"/>
      <c r="BS313" s="77">
        <v>37</v>
      </c>
      <c r="BT313" s="77">
        <v>60.3</v>
      </c>
      <c r="BU313" s="77">
        <v>56.3</v>
      </c>
      <c r="BV313" s="77">
        <v>58.2</v>
      </c>
      <c r="BW313" s="77">
        <f t="shared" si="293"/>
        <v>211.8</v>
      </c>
      <c r="BY313" s="77">
        <v>36.6</v>
      </c>
      <c r="BZ313" s="77">
        <v>22.5</v>
      </c>
      <c r="CA313" s="77">
        <v>2.9</v>
      </c>
      <c r="CB313" s="77">
        <v>11</v>
      </c>
      <c r="CC313" s="77">
        <f t="shared" si="294"/>
        <v>73</v>
      </c>
      <c r="CE313" s="77">
        <v>29.3</v>
      </c>
      <c r="CF313" s="77">
        <v>31.3</v>
      </c>
      <c r="CG313" s="77">
        <v>40.6</v>
      </c>
      <c r="CH313" s="77">
        <v>18.899999999999999</v>
      </c>
      <c r="CI313" s="77">
        <f t="shared" si="295"/>
        <v>120.1</v>
      </c>
      <c r="CK313" s="77">
        <v>59</v>
      </c>
      <c r="CL313" s="77">
        <v>41.7</v>
      </c>
      <c r="CM313" s="77">
        <v>45.5</v>
      </c>
      <c r="CN313" s="77">
        <v>72</v>
      </c>
      <c r="CO313" s="77">
        <f t="shared" si="296"/>
        <v>218.2</v>
      </c>
      <c r="CQ313" s="77">
        <v>72.099999999999994</v>
      </c>
      <c r="CR313" s="77">
        <v>49.1</v>
      </c>
      <c r="CS313" s="77">
        <v>46.1</v>
      </c>
      <c r="CT313" s="77">
        <v>54.2</v>
      </c>
      <c r="CU313" s="77">
        <f t="shared" si="297"/>
        <v>221.5</v>
      </c>
      <c r="CW313" s="77">
        <v>39.299999999999997</v>
      </c>
      <c r="CX313" s="77">
        <v>39.200000000000003</v>
      </c>
      <c r="CY313" s="77">
        <v>36.299999999999997</v>
      </c>
      <c r="CZ313" s="77">
        <v>77.599999999999994</v>
      </c>
      <c r="DA313" s="77">
        <f t="shared" si="298"/>
        <v>192.39999999999998</v>
      </c>
      <c r="DC313" s="77">
        <v>34.4</v>
      </c>
      <c r="DD313" s="77">
        <v>44</v>
      </c>
      <c r="DE313" s="77">
        <v>52.9</v>
      </c>
      <c r="DF313" s="77">
        <v>49.4</v>
      </c>
      <c r="DG313" s="77">
        <f t="shared" si="299"/>
        <v>180.70000000000002</v>
      </c>
      <c r="DI313" s="77">
        <v>50.2</v>
      </c>
      <c r="DJ313" s="77">
        <v>75.2</v>
      </c>
      <c r="DK313" s="77">
        <v>81.8</v>
      </c>
      <c r="DL313" s="77">
        <v>71.3</v>
      </c>
      <c r="DM313" s="77">
        <f t="shared" si="300"/>
        <v>278.5</v>
      </c>
      <c r="DO313" s="77">
        <v>81.7</v>
      </c>
      <c r="DP313" s="77">
        <v>90.6</v>
      </c>
      <c r="DQ313" s="77">
        <v>102.3</v>
      </c>
      <c r="DR313" s="77">
        <v>210.7</v>
      </c>
      <c r="DS313" s="77">
        <f t="shared" si="301"/>
        <v>485.3</v>
      </c>
      <c r="DT313" s="77"/>
      <c r="DU313" s="77">
        <v>121.5</v>
      </c>
      <c r="DV313" s="77">
        <v>110.7</v>
      </c>
      <c r="DW313" s="77">
        <v>154.80000000000001</v>
      </c>
      <c r="DX313" s="77">
        <v>167.7</v>
      </c>
      <c r="DY313" s="77">
        <f t="shared" si="302"/>
        <v>554.70000000000005</v>
      </c>
      <c r="EA313" s="77">
        <v>59.6</v>
      </c>
      <c r="EB313" s="77">
        <v>99.7</v>
      </c>
      <c r="EC313" s="77">
        <v>138.6</v>
      </c>
      <c r="ED313" s="77">
        <v>171.5</v>
      </c>
      <c r="EE313" s="77">
        <f t="shared" si="303"/>
        <v>469.4</v>
      </c>
      <c r="EG313" s="77">
        <v>80.2</v>
      </c>
      <c r="EH313" s="77">
        <v>139.56799999999998</v>
      </c>
      <c r="EI313" s="77">
        <v>149.15694444444443</v>
      </c>
      <c r="EJ313" s="77">
        <v>107.05930341944439</v>
      </c>
      <c r="EK313" s="77">
        <f t="shared" si="304"/>
        <v>475.98424786388881</v>
      </c>
      <c r="EQ313" s="198"/>
      <c r="ER313" s="198"/>
      <c r="ES313" s="198"/>
      <c r="EU313" s="114"/>
      <c r="EV313" s="77">
        <v>112164</v>
      </c>
      <c r="EW313" s="77">
        <v>32431</v>
      </c>
      <c r="EX313" s="77">
        <f t="shared" si="305"/>
        <v>34336</v>
      </c>
      <c r="EY313" s="77">
        <f t="shared" si="306"/>
        <v>11811</v>
      </c>
      <c r="EZ313" s="77">
        <f t="shared" si="307"/>
        <v>54181</v>
      </c>
      <c r="FA313" s="77">
        <f t="shared" si="308"/>
        <v>0</v>
      </c>
      <c r="FB313" s="77">
        <f t="shared" si="309"/>
        <v>139628</v>
      </c>
      <c r="FC313" s="77">
        <f t="shared" si="310"/>
        <v>86636</v>
      </c>
      <c r="FD313" s="77">
        <f t="shared" si="311"/>
        <v>55700</v>
      </c>
      <c r="FE313" s="77">
        <f t="shared" si="312"/>
        <v>60200</v>
      </c>
      <c r="FF313" s="77">
        <f t="shared" si="313"/>
        <v>130900</v>
      </c>
      <c r="FG313" s="196">
        <f t="shared" si="314"/>
        <v>164.9</v>
      </c>
      <c r="FH313" s="196">
        <f t="shared" si="315"/>
        <v>162.80000000000001</v>
      </c>
      <c r="FI313" s="196">
        <f t="shared" si="316"/>
        <v>211.8</v>
      </c>
      <c r="FJ313" s="196">
        <f t="shared" si="317"/>
        <v>73</v>
      </c>
      <c r="FK313" s="196">
        <f t="shared" si="318"/>
        <v>120.1</v>
      </c>
      <c r="FL313" s="196">
        <f t="shared" si="319"/>
        <v>218.2</v>
      </c>
      <c r="FM313" s="77">
        <f t="shared" si="320"/>
        <v>221.5</v>
      </c>
      <c r="FN313" s="77">
        <f t="shared" si="321"/>
        <v>192.39999999999998</v>
      </c>
      <c r="FO313" s="77">
        <f t="shared" si="322"/>
        <v>180.70000000000002</v>
      </c>
      <c r="FP313" s="77">
        <f t="shared" si="323"/>
        <v>278.5</v>
      </c>
      <c r="FQ313" s="77">
        <f t="shared" si="324"/>
        <v>485.3</v>
      </c>
      <c r="FR313" s="77">
        <f t="shared" si="325"/>
        <v>554.70000000000005</v>
      </c>
      <c r="FS313" s="77">
        <f t="shared" si="329"/>
        <v>469.4</v>
      </c>
      <c r="FT313" s="77">
        <f t="shared" si="326"/>
        <v>475.98424786388881</v>
      </c>
      <c r="FU313" s="77">
        <f>FU368</f>
        <v>652.60763544166673</v>
      </c>
      <c r="FV313" s="77">
        <f>FV368</f>
        <v>489.08462366662917</v>
      </c>
      <c r="FW313" s="77">
        <f ca="1">FW368</f>
        <v>301.04180555555553</v>
      </c>
      <c r="FX313" s="77">
        <f>FX368</f>
        <v>351.61611111111114</v>
      </c>
    </row>
    <row r="314" spans="2:180" x14ac:dyDescent="0.25">
      <c r="B314" s="84" t="s">
        <v>72</v>
      </c>
      <c r="C314" s="74"/>
      <c r="D314" s="74"/>
      <c r="E314" s="77"/>
      <c r="F314" s="77"/>
      <c r="G314" s="96"/>
      <c r="H314" s="96"/>
      <c r="I314" s="77">
        <v>114701</v>
      </c>
      <c r="J314" s="74"/>
      <c r="K314" s="77">
        <v>38353</v>
      </c>
      <c r="L314" s="77">
        <v>43755</v>
      </c>
      <c r="M314" s="77">
        <v>14249</v>
      </c>
      <c r="N314" s="77">
        <f>O314+O309+O312+O313-M314-L314-K314</f>
        <v>-56495</v>
      </c>
      <c r="O314" s="77">
        <v>17830</v>
      </c>
      <c r="P314" s="74"/>
      <c r="Q314" s="77">
        <v>-53550</v>
      </c>
      <c r="R314" s="77">
        <v>65310</v>
      </c>
      <c r="S314" s="77">
        <v>61771</v>
      </c>
      <c r="T314" s="77">
        <f>U314+U309+U312+U313-S314-R314-Q314</f>
        <v>-71198</v>
      </c>
      <c r="U314" s="77">
        <v>-69451</v>
      </c>
      <c r="V314" s="74"/>
      <c r="W314" s="77">
        <v>18742</v>
      </c>
      <c r="X314" s="77">
        <v>10838</v>
      </c>
      <c r="Y314" s="77">
        <v>-5306</v>
      </c>
      <c r="Z314" s="77">
        <v>-28079</v>
      </c>
      <c r="AA314" s="77">
        <f>Z314+Y314+X314+W314</f>
        <v>-3805</v>
      </c>
      <c r="AB314" s="74"/>
      <c r="AC314" s="77">
        <f>-33868-AD314</f>
        <v>20589</v>
      </c>
      <c r="AD314" s="77">
        <v>-54457</v>
      </c>
      <c r="AE314" s="77">
        <v>-5970</v>
      </c>
      <c r="AF314" s="77">
        <f>AG314-AE314-AD314-AC314</f>
        <v>5683</v>
      </c>
      <c r="AG314" s="77">
        <v>-34155</v>
      </c>
      <c r="AH314" s="74"/>
      <c r="AI314" s="77">
        <v>-27023</v>
      </c>
      <c r="AJ314" s="77">
        <v>-31211</v>
      </c>
      <c r="AK314" s="77">
        <v>-4461</v>
      </c>
      <c r="AL314" s="77">
        <f>13272</f>
        <v>13272</v>
      </c>
      <c r="AM314" s="77">
        <f>AL314+AK314+AJ314+AI314</f>
        <v>-49423</v>
      </c>
      <c r="AN314" s="74"/>
      <c r="AO314" s="77">
        <v>23700</v>
      </c>
      <c r="AP314" s="77">
        <v>6100</v>
      </c>
      <c r="AQ314" s="77">
        <v>41400</v>
      </c>
      <c r="AR314" s="77">
        <v>-43100</v>
      </c>
      <c r="AS314" s="77">
        <f t="shared" si="290"/>
        <v>28100</v>
      </c>
      <c r="AT314" s="74"/>
      <c r="AU314" s="77">
        <v>47000</v>
      </c>
      <c r="AV314" s="77">
        <v>-7500</v>
      </c>
      <c r="AW314" s="77">
        <v>-3900</v>
      </c>
      <c r="AX314" s="77">
        <v>27600</v>
      </c>
      <c r="AY314" s="77">
        <f t="shared" si="327"/>
        <v>63200</v>
      </c>
      <c r="AZ314" s="74"/>
      <c r="BA314" s="77">
        <v>21600</v>
      </c>
      <c r="BB314" s="77">
        <v>700</v>
      </c>
      <c r="BC314" s="77">
        <v>25600</v>
      </c>
      <c r="BD314" s="77">
        <v>-120300</v>
      </c>
      <c r="BE314" s="77">
        <f t="shared" si="328"/>
        <v>-72400</v>
      </c>
      <c r="BF314" s="74"/>
      <c r="BG314" s="77">
        <v>0.3</v>
      </c>
      <c r="BH314" s="77">
        <v>7.1</v>
      </c>
      <c r="BI314" s="77">
        <v>-12.8</v>
      </c>
      <c r="BJ314" s="77">
        <v>-17.3</v>
      </c>
      <c r="BK314" s="77">
        <f t="shared" si="291"/>
        <v>-22.700000000000003</v>
      </c>
      <c r="BL314" s="74"/>
      <c r="BM314" s="77">
        <v>-29.9</v>
      </c>
      <c r="BN314" s="77">
        <v>11</v>
      </c>
      <c r="BO314" s="77">
        <v>-39</v>
      </c>
      <c r="BP314" s="77">
        <v>-1.2</v>
      </c>
      <c r="BQ314" s="77">
        <f t="shared" si="292"/>
        <v>-59.1</v>
      </c>
      <c r="BR314" s="74"/>
      <c r="BS314" s="77">
        <v>16.5</v>
      </c>
      <c r="BT314" s="77">
        <v>-9.4</v>
      </c>
      <c r="BU314" s="77">
        <v>41</v>
      </c>
      <c r="BV314" s="77">
        <v>-2.8</v>
      </c>
      <c r="BW314" s="77">
        <f t="shared" si="293"/>
        <v>45.300000000000004</v>
      </c>
      <c r="BY314" s="77">
        <v>-4.5</v>
      </c>
      <c r="BZ314" s="77">
        <v>-6.6</v>
      </c>
      <c r="CA314" s="77">
        <v>37.200000000000003</v>
      </c>
      <c r="CB314" s="77">
        <v>-26.7</v>
      </c>
      <c r="CC314" s="77">
        <f t="shared" si="294"/>
        <v>-0.59999999999999787</v>
      </c>
      <c r="CE314" s="77">
        <v>16.3</v>
      </c>
      <c r="CF314" s="77">
        <v>-1.5</v>
      </c>
      <c r="CG314" s="77">
        <v>-6.5</v>
      </c>
      <c r="CH314" s="77">
        <v>-15.9</v>
      </c>
      <c r="CI314" s="77">
        <f t="shared" si="295"/>
        <v>-7.6</v>
      </c>
      <c r="CK314" s="77">
        <v>8.6</v>
      </c>
      <c r="CL314" s="77">
        <v>30</v>
      </c>
      <c r="CM314" s="77">
        <v>-40.200000000000003</v>
      </c>
      <c r="CN314" s="77">
        <v>-236.9</v>
      </c>
      <c r="CO314" s="77">
        <f t="shared" si="296"/>
        <v>-238.5</v>
      </c>
      <c r="CQ314" s="77">
        <v>-76.5</v>
      </c>
      <c r="CR314" s="77">
        <v>-65.099999999999994</v>
      </c>
      <c r="CS314" s="77">
        <v>22.5</v>
      </c>
      <c r="CT314" s="77">
        <v>-80.900000000000006</v>
      </c>
      <c r="CU314" s="77">
        <f t="shared" si="297"/>
        <v>-200</v>
      </c>
      <c r="CW314" s="77">
        <v>-24.6</v>
      </c>
      <c r="CX314" s="77">
        <v>-15.4</v>
      </c>
      <c r="CY314" s="77">
        <v>-110.6</v>
      </c>
      <c r="CZ314" s="77">
        <v>-60.7</v>
      </c>
      <c r="DA314" s="77">
        <f t="shared" si="298"/>
        <v>-211.3</v>
      </c>
      <c r="DC314" s="77">
        <v>-35.799999999999997</v>
      </c>
      <c r="DD314" s="77">
        <v>-7.5</v>
      </c>
      <c r="DE314" s="77">
        <v>-270.10000000000002</v>
      </c>
      <c r="DF314" s="77">
        <v>-106.2</v>
      </c>
      <c r="DG314" s="77">
        <f t="shared" si="299"/>
        <v>-419.6</v>
      </c>
      <c r="DI314" s="77">
        <v>-39.700000000000003</v>
      </c>
      <c r="DJ314" s="77">
        <v>-94.7</v>
      </c>
      <c r="DK314" s="77">
        <v>-340.8</v>
      </c>
      <c r="DL314" s="77">
        <v>-89</v>
      </c>
      <c r="DM314" s="77">
        <f t="shared" si="300"/>
        <v>-564.20000000000005</v>
      </c>
      <c r="DO314" s="77">
        <v>12.7</v>
      </c>
      <c r="DP314" s="77">
        <v>41.5</v>
      </c>
      <c r="DQ314" s="77">
        <v>-138.9</v>
      </c>
      <c r="DR314" s="77">
        <v>-48.9</v>
      </c>
      <c r="DS314" s="77">
        <f t="shared" si="301"/>
        <v>-133.6</v>
      </c>
      <c r="DT314" s="77"/>
      <c r="DU314" s="77">
        <v>-2.7</v>
      </c>
      <c r="DV314" s="77">
        <v>0.8</v>
      </c>
      <c r="DW314" s="77">
        <v>-114.6</v>
      </c>
      <c r="DX314" s="77">
        <v>-28.3</v>
      </c>
      <c r="DY314" s="77">
        <f t="shared" si="302"/>
        <v>-144.80000000000001</v>
      </c>
      <c r="EA314" s="77">
        <v>79.099999999999994</v>
      </c>
      <c r="EB314" s="77">
        <v>38.1</v>
      </c>
      <c r="EC314" s="77">
        <v>-55.3</v>
      </c>
      <c r="ED314" s="77">
        <v>118.8</v>
      </c>
      <c r="EE314" s="77">
        <f t="shared" si="303"/>
        <v>180.7</v>
      </c>
      <c r="EG314" s="77">
        <v>-42.1</v>
      </c>
      <c r="EH314" s="77">
        <v>-103.10000000000002</v>
      </c>
      <c r="EI314" s="77">
        <v>-543.70000000000005</v>
      </c>
      <c r="EJ314" s="77">
        <v>0</v>
      </c>
      <c r="EK314" s="77">
        <f t="shared" si="304"/>
        <v>-688.90000000000009</v>
      </c>
      <c r="EQ314" s="84"/>
      <c r="ER314" s="84"/>
      <c r="ES314" s="84"/>
      <c r="ET314" s="74"/>
      <c r="EU314" s="114"/>
      <c r="EV314" s="77">
        <v>-22361</v>
      </c>
      <c r="EW314" s="77">
        <v>-79577</v>
      </c>
      <c r="EX314" s="77">
        <f t="shared" si="305"/>
        <v>114701</v>
      </c>
      <c r="EY314" s="77">
        <f t="shared" si="306"/>
        <v>17830</v>
      </c>
      <c r="EZ314" s="77">
        <f t="shared" si="307"/>
        <v>-69451</v>
      </c>
      <c r="FA314" s="77">
        <f t="shared" si="308"/>
        <v>-3805</v>
      </c>
      <c r="FB314" s="77">
        <f t="shared" si="309"/>
        <v>-34155</v>
      </c>
      <c r="FC314" s="77">
        <f t="shared" si="310"/>
        <v>-49423</v>
      </c>
      <c r="FD314" s="77">
        <f t="shared" si="311"/>
        <v>28100</v>
      </c>
      <c r="FE314" s="77">
        <f t="shared" si="312"/>
        <v>63200</v>
      </c>
      <c r="FF314" s="77">
        <f t="shared" si="313"/>
        <v>-72400</v>
      </c>
      <c r="FG314" s="196">
        <f t="shared" si="314"/>
        <v>-22.700000000000003</v>
      </c>
      <c r="FH314" s="196">
        <f t="shared" si="315"/>
        <v>-59.1</v>
      </c>
      <c r="FI314" s="196">
        <f t="shared" si="316"/>
        <v>45.300000000000004</v>
      </c>
      <c r="FJ314" s="196">
        <f t="shared" si="317"/>
        <v>-0.59999999999999787</v>
      </c>
      <c r="FK314" s="196">
        <f t="shared" si="318"/>
        <v>-7.6</v>
      </c>
      <c r="FL314" s="196">
        <f t="shared" si="319"/>
        <v>-238.5</v>
      </c>
      <c r="FM314" s="77">
        <f t="shared" si="320"/>
        <v>-200</v>
      </c>
      <c r="FN314" s="77">
        <f t="shared" si="321"/>
        <v>-211.3</v>
      </c>
      <c r="FO314" s="77">
        <f t="shared" si="322"/>
        <v>-419.6</v>
      </c>
      <c r="FP314" s="77">
        <f t="shared" si="323"/>
        <v>-564.20000000000005</v>
      </c>
      <c r="FQ314" s="77">
        <f t="shared" si="324"/>
        <v>-133.6</v>
      </c>
      <c r="FR314" s="77">
        <f t="shared" si="325"/>
        <v>-144.80000000000001</v>
      </c>
      <c r="FS314" s="77">
        <f t="shared" si="329"/>
        <v>180.7</v>
      </c>
      <c r="FT314" s="77">
        <f t="shared" si="326"/>
        <v>-688.90000000000009</v>
      </c>
      <c r="FU314" s="77">
        <f>-(FU242-FR242)</f>
        <v>-223.10000000000002</v>
      </c>
      <c r="FV314" s="77">
        <f>-(FV242-FS242)</f>
        <v>-103.10000000000002</v>
      </c>
      <c r="FW314" s="77">
        <f>-(FW242-FT242)</f>
        <v>0</v>
      </c>
      <c r="FX314" s="77">
        <f>-(FX242-FU242)</f>
        <v>0</v>
      </c>
    </row>
    <row r="315" spans="2:180" x14ac:dyDescent="0.25">
      <c r="B315" s="180" t="s">
        <v>71</v>
      </c>
      <c r="C315" s="74"/>
      <c r="D315" s="74"/>
      <c r="E315" s="77"/>
      <c r="F315" s="77"/>
      <c r="G315" s="96"/>
      <c r="H315" s="96"/>
      <c r="I315" s="77"/>
      <c r="J315" s="74"/>
      <c r="K315" s="77"/>
      <c r="L315" s="77"/>
      <c r="M315" s="77"/>
      <c r="N315" s="77"/>
      <c r="O315" s="77"/>
      <c r="P315" s="74"/>
      <c r="Q315" s="77"/>
      <c r="R315" s="77"/>
      <c r="S315" s="77"/>
      <c r="T315" s="77"/>
      <c r="U315" s="77"/>
      <c r="V315" s="74"/>
      <c r="W315" s="77"/>
      <c r="X315" s="77"/>
      <c r="Y315" s="77"/>
      <c r="Z315" s="77"/>
      <c r="AA315" s="77"/>
      <c r="AB315" s="74"/>
      <c r="AC315" s="77"/>
      <c r="AD315" s="77"/>
      <c r="AE315" s="77"/>
      <c r="AF315" s="77"/>
      <c r="AG315" s="77"/>
      <c r="AH315" s="74"/>
      <c r="AI315" s="77"/>
      <c r="AJ315" s="77"/>
      <c r="AK315" s="77"/>
      <c r="AL315" s="77"/>
      <c r="AM315" s="77"/>
      <c r="AN315" s="74"/>
      <c r="AO315" s="77"/>
      <c r="AP315" s="77"/>
      <c r="AQ315" s="77"/>
      <c r="AR315" s="77"/>
      <c r="AS315" s="77"/>
      <c r="AT315" s="74"/>
      <c r="AU315" s="77"/>
      <c r="AV315" s="77"/>
      <c r="AW315" s="77"/>
      <c r="AX315" s="77"/>
      <c r="AY315" s="77"/>
      <c r="AZ315" s="74"/>
      <c r="BA315" s="77"/>
      <c r="BB315" s="77"/>
      <c r="BC315" s="77"/>
      <c r="BD315" s="77"/>
      <c r="BE315" s="77"/>
      <c r="BF315" s="74"/>
      <c r="BG315" s="77"/>
      <c r="BH315" s="77"/>
      <c r="BI315" s="77"/>
      <c r="BJ315" s="77"/>
      <c r="BK315" s="77"/>
      <c r="BL315" s="74"/>
      <c r="BM315" s="77"/>
      <c r="BN315" s="77"/>
      <c r="BO315" s="77"/>
      <c r="BP315" s="77"/>
      <c r="BQ315" s="77"/>
      <c r="BR315" s="74"/>
      <c r="BS315" s="77"/>
      <c r="BT315" s="77"/>
      <c r="BU315" s="77"/>
      <c r="BV315" s="77"/>
      <c r="BW315" s="77"/>
      <c r="BY315" s="77">
        <v>0</v>
      </c>
      <c r="BZ315" s="77">
        <v>0</v>
      </c>
      <c r="CA315" s="77">
        <v>0</v>
      </c>
      <c r="CB315" s="77">
        <v>0</v>
      </c>
      <c r="CC315" s="77">
        <f t="shared" si="294"/>
        <v>0</v>
      </c>
      <c r="CE315" s="77">
        <v>0</v>
      </c>
      <c r="CF315" s="77">
        <v>0</v>
      </c>
      <c r="CG315" s="77">
        <v>0</v>
      </c>
      <c r="CH315" s="77">
        <v>36.4</v>
      </c>
      <c r="CI315" s="77">
        <f t="shared" si="295"/>
        <v>36.4</v>
      </c>
      <c r="CK315" s="77">
        <v>11.7</v>
      </c>
      <c r="CL315" s="77">
        <v>-8.9</v>
      </c>
      <c r="CM315" s="77">
        <v>-5.8</v>
      </c>
      <c r="CN315" s="77">
        <v>64.599999999999994</v>
      </c>
      <c r="CO315" s="77">
        <f t="shared" si="296"/>
        <v>61.599999999999994</v>
      </c>
      <c r="CQ315" s="77">
        <v>-17</v>
      </c>
      <c r="CR315" s="77">
        <v>-15.3</v>
      </c>
      <c r="CS315" s="77">
        <v>-18.600000000000001</v>
      </c>
      <c r="CT315" s="77">
        <v>107.8</v>
      </c>
      <c r="CU315" s="77">
        <f t="shared" si="297"/>
        <v>56.9</v>
      </c>
      <c r="CW315" s="77">
        <v>-32.299999999999997</v>
      </c>
      <c r="CX315" s="77">
        <v>-26.4</v>
      </c>
      <c r="CY315" s="77">
        <v>-26.1</v>
      </c>
      <c r="CZ315" s="77">
        <v>95.8</v>
      </c>
      <c r="DA315" s="77">
        <f t="shared" si="298"/>
        <v>11</v>
      </c>
      <c r="DC315" s="77">
        <v>-21.5</v>
      </c>
      <c r="DD315" s="77">
        <v>-22.5</v>
      </c>
      <c r="DE315" s="77">
        <v>-97.3</v>
      </c>
      <c r="DF315" s="77">
        <v>91.4</v>
      </c>
      <c r="DG315" s="77">
        <f t="shared" si="299"/>
        <v>-49.900000000000006</v>
      </c>
      <c r="DI315" s="77">
        <v>-47.5</v>
      </c>
      <c r="DJ315" s="77">
        <v>-21.2</v>
      </c>
      <c r="DK315" s="77">
        <v>-36.799999999999997</v>
      </c>
      <c r="DL315" s="77">
        <v>120.8</v>
      </c>
      <c r="DM315" s="77">
        <f t="shared" si="300"/>
        <v>15.299999999999997</v>
      </c>
      <c r="DO315" s="77">
        <v>-46.8</v>
      </c>
      <c r="DP315" s="77">
        <v>-70.900000000000006</v>
      </c>
      <c r="DQ315" s="77">
        <v>-53.8</v>
      </c>
      <c r="DR315" s="77">
        <v>175.7</v>
      </c>
      <c r="DS315" s="77">
        <f t="shared" si="301"/>
        <v>4.1999999999999886</v>
      </c>
      <c r="DT315" s="77"/>
      <c r="DU315" s="77">
        <v>-33.9</v>
      </c>
      <c r="DV315" s="77">
        <v>-50.6</v>
      </c>
      <c r="DW315" s="77">
        <v>-81</v>
      </c>
      <c r="DX315" s="77">
        <v>169.9</v>
      </c>
      <c r="DY315" s="77">
        <f t="shared" si="302"/>
        <v>4.4000000000000057</v>
      </c>
      <c r="EA315" s="77">
        <v>-34.9</v>
      </c>
      <c r="EB315" s="77">
        <v>-90.7</v>
      </c>
      <c r="EC315" s="77">
        <v>-80.8</v>
      </c>
      <c r="ED315" s="77">
        <v>300.89999999999998</v>
      </c>
      <c r="EE315" s="77">
        <f t="shared" si="303"/>
        <v>94.5</v>
      </c>
      <c r="EG315" s="77">
        <v>-113.3</v>
      </c>
      <c r="EH315" s="77">
        <v>0</v>
      </c>
      <c r="EI315" s="77">
        <v>0</v>
      </c>
      <c r="EJ315" s="77">
        <v>0</v>
      </c>
      <c r="EK315" s="77">
        <f t="shared" si="304"/>
        <v>-113.3</v>
      </c>
      <c r="EQ315" s="84"/>
      <c r="ER315" s="84"/>
      <c r="ES315" s="84"/>
      <c r="ET315" s="74"/>
      <c r="EU315" s="114"/>
      <c r="EV315" s="77"/>
      <c r="EW315" s="77"/>
      <c r="EX315" s="77"/>
      <c r="EY315" s="77"/>
      <c r="EZ315" s="77"/>
      <c r="FA315" s="77"/>
      <c r="FB315" s="77"/>
      <c r="FC315" s="77"/>
      <c r="FD315" s="77"/>
      <c r="FE315" s="77"/>
      <c r="FF315" s="77"/>
      <c r="FG315" s="196">
        <f t="shared" si="314"/>
        <v>0</v>
      </c>
      <c r="FH315" s="196">
        <f t="shared" si="315"/>
        <v>0</v>
      </c>
      <c r="FI315" s="196">
        <f t="shared" si="316"/>
        <v>0</v>
      </c>
      <c r="FJ315" s="196">
        <f t="shared" si="317"/>
        <v>0</v>
      </c>
      <c r="FK315" s="196">
        <f t="shared" si="318"/>
        <v>36.4</v>
      </c>
      <c r="FL315" s="196">
        <f t="shared" si="319"/>
        <v>61.599999999999994</v>
      </c>
      <c r="FM315" s="77">
        <f t="shared" si="320"/>
        <v>56.9</v>
      </c>
      <c r="FN315" s="77">
        <f t="shared" si="321"/>
        <v>11</v>
      </c>
      <c r="FO315" s="77">
        <f t="shared" si="322"/>
        <v>-49.900000000000006</v>
      </c>
      <c r="FP315" s="77">
        <f t="shared" si="323"/>
        <v>15.299999999999997</v>
      </c>
      <c r="FQ315" s="77">
        <f t="shared" si="324"/>
        <v>4.1999999999999886</v>
      </c>
      <c r="FR315" s="77">
        <f t="shared" si="325"/>
        <v>4.4000000000000057</v>
      </c>
      <c r="FS315" s="77">
        <f t="shared" si="329"/>
        <v>94.5</v>
      </c>
      <c r="FT315" s="77">
        <f t="shared" si="326"/>
        <v>-113.3</v>
      </c>
      <c r="FU315" s="77">
        <f>FU370</f>
        <v>0</v>
      </c>
      <c r="FV315" s="77">
        <f>FV370</f>
        <v>0</v>
      </c>
      <c r="FW315" s="77">
        <f>FW370</f>
        <v>0</v>
      </c>
      <c r="FX315" s="77">
        <f>FX370</f>
        <v>0</v>
      </c>
    </row>
    <row r="316" spans="2:180" x14ac:dyDescent="0.25">
      <c r="B316" s="74" t="s">
        <v>312</v>
      </c>
      <c r="I316" s="87">
        <f>SUM(I308:I314)</f>
        <v>245266</v>
      </c>
      <c r="K316" s="87">
        <f>SUM(K308:K314)</f>
        <v>60720</v>
      </c>
      <c r="L316" s="87">
        <f>SUM(L308:L314)</f>
        <v>68720</v>
      </c>
      <c r="M316" s="87">
        <f>SUM(M308:M314)</f>
        <v>36141</v>
      </c>
      <c r="N316" s="87">
        <f>SUM(N308:N314)</f>
        <v>-35188</v>
      </c>
      <c r="O316" s="87">
        <f>SUM(O308:O314)</f>
        <v>130393</v>
      </c>
      <c r="Q316" s="87">
        <f>SUM(Q308:Q314)</f>
        <v>-31432</v>
      </c>
      <c r="R316" s="87">
        <f>SUM(R308:R314)</f>
        <v>86023</v>
      </c>
      <c r="S316" s="87">
        <f>SUM(S308:S314)</f>
        <v>91405</v>
      </c>
      <c r="T316" s="87">
        <f>SUM(T308:T314)</f>
        <v>-56571</v>
      </c>
      <c r="U316" s="87">
        <f>SUM(U308:U314)</f>
        <v>89425</v>
      </c>
      <c r="W316" s="87">
        <f>SUM(W308:W314)</f>
        <v>75360</v>
      </c>
      <c r="X316" s="87">
        <f>SUM(X308:X314)</f>
        <v>49280</v>
      </c>
      <c r="Y316" s="87">
        <f>SUM(Y308:Y314)</f>
        <v>28075</v>
      </c>
      <c r="Z316" s="87">
        <f>SUM(Z308:Z314)</f>
        <v>1760</v>
      </c>
      <c r="AA316" s="87">
        <f>SUM(AA308:AA314)</f>
        <v>154475</v>
      </c>
      <c r="AB316" s="153"/>
      <c r="AC316" s="87">
        <f>SUM(AC308:AC314)</f>
        <v>77141</v>
      </c>
      <c r="AD316" s="87">
        <f>SUM(AD308:AD314)</f>
        <v>-12349</v>
      </c>
      <c r="AE316" s="87">
        <f>SUM(AE308:AE314)</f>
        <v>52663</v>
      </c>
      <c r="AF316" s="87">
        <f>SUM(AF308:AF314)</f>
        <v>150297</v>
      </c>
      <c r="AG316" s="87">
        <f>SUM(AG308:AG314)</f>
        <v>267752</v>
      </c>
      <c r="AH316" s="153"/>
      <c r="AI316" s="87">
        <f>SUM(AI308:AI314)</f>
        <v>41718</v>
      </c>
      <c r="AJ316" s="87">
        <f>SUM(AJ308:AJ314)</f>
        <v>61190</v>
      </c>
      <c r="AK316" s="87">
        <f>SUM(AK308:AK314)</f>
        <v>69048</v>
      </c>
      <c r="AL316" s="87">
        <f>SUM(AL308:AL314)</f>
        <v>60230</v>
      </c>
      <c r="AM316" s="87">
        <f>SUM(AM308:AM314)</f>
        <v>212646</v>
      </c>
      <c r="AO316" s="87">
        <f>SUM(AO308:AO314)</f>
        <v>76600</v>
      </c>
      <c r="AP316" s="87">
        <f>SUM(AP308:AP314)</f>
        <v>67600</v>
      </c>
      <c r="AQ316" s="87">
        <f>SUM(AQ308:AQ314)</f>
        <v>103600</v>
      </c>
      <c r="AR316" s="87">
        <f>SUM(AR308:AR314)</f>
        <v>9700</v>
      </c>
      <c r="AS316" s="87">
        <f>SUM(AS308:AS314)</f>
        <v>257500</v>
      </c>
      <c r="AU316" s="87">
        <f>SUM(AU308:AU314)</f>
        <v>100400</v>
      </c>
      <c r="AV316" s="87">
        <f>SUM(AV308:AV314)</f>
        <v>52600</v>
      </c>
      <c r="AW316" s="87">
        <f>SUM(AW308:AW314)</f>
        <v>66000</v>
      </c>
      <c r="AX316" s="87">
        <f>SUM(AX308:AX314)</f>
        <v>98500</v>
      </c>
      <c r="AY316" s="87">
        <f>SUM(AY308:AY314)</f>
        <v>317500</v>
      </c>
      <c r="BA316" s="87">
        <f>SUM(BA308:BA314)</f>
        <v>99700</v>
      </c>
      <c r="BB316" s="87">
        <f>SUM(BB308:BB314)</f>
        <v>117700</v>
      </c>
      <c r="BC316" s="87">
        <f>SUM(BC308:BC314)</f>
        <v>100900</v>
      </c>
      <c r="BD316" s="87">
        <f>SUM(BD308:BD314)</f>
        <v>-48500</v>
      </c>
      <c r="BE316" s="87">
        <f>SUM(BE308:BE314)</f>
        <v>269800</v>
      </c>
      <c r="BG316" s="87">
        <f>SUM(BG308:BG314)</f>
        <v>81.399999999999991</v>
      </c>
      <c r="BH316" s="87">
        <f>SUM(BH308:BH314)</f>
        <v>102.69999999999999</v>
      </c>
      <c r="BI316" s="87">
        <f>SUM(BI308:BI314)</f>
        <v>124.2</v>
      </c>
      <c r="BJ316" s="87">
        <f>SUM(BJ308:BJ314)</f>
        <v>132</v>
      </c>
      <c r="BK316" s="87">
        <f>SUM(BK308:BK314)</f>
        <v>440.3</v>
      </c>
      <c r="BM316" s="87">
        <f>SUM(BM308:BM314)</f>
        <v>104.1</v>
      </c>
      <c r="BN316" s="87">
        <f>SUM(BN308:BN314)</f>
        <v>139.80000000000001</v>
      </c>
      <c r="BO316" s="87">
        <f>SUM(BO308:BO314)</f>
        <v>75.5</v>
      </c>
      <c r="BP316" s="87">
        <f>SUM(BP308:BP314)</f>
        <v>116.39999999999999</v>
      </c>
      <c r="BQ316" s="87">
        <f>SUM(BQ308:BQ314)</f>
        <v>435.8</v>
      </c>
      <c r="BS316" s="87">
        <f>SUM(BS308:BS314)</f>
        <v>135.5</v>
      </c>
      <c r="BT316" s="87">
        <f>SUM(BT308:BT314)</f>
        <v>141.4</v>
      </c>
      <c r="BU316" s="87">
        <f>SUM(BU308:BU314)</f>
        <v>190.7</v>
      </c>
      <c r="BV316" s="87">
        <f>SUM(BV308:BV314)</f>
        <v>153.30000000000001</v>
      </c>
      <c r="BW316" s="87">
        <f>SUM(BW308:BW314)</f>
        <v>620.9</v>
      </c>
      <c r="BY316" s="87">
        <f>SUM(BY308:BY315)</f>
        <v>129.9</v>
      </c>
      <c r="BZ316" s="87">
        <f>SUM(BZ308:BZ315)</f>
        <v>113.00000000000001</v>
      </c>
      <c r="CA316" s="87">
        <f>SUM(CA308:CA315)</f>
        <v>143.20000000000002</v>
      </c>
      <c r="CB316" s="87">
        <f>SUM(CB308:CB315)</f>
        <v>102.8</v>
      </c>
      <c r="CC316" s="87">
        <f>SUM(CC308:CC315)</f>
        <v>488.89999999999992</v>
      </c>
      <c r="CE316" s="87">
        <f>SUM(CE308:CE315)</f>
        <v>170.9</v>
      </c>
      <c r="CF316" s="87">
        <f>SUM(CF308:CF315)</f>
        <v>153.5</v>
      </c>
      <c r="CG316" s="87">
        <f>SUM(CG308:CG315)</f>
        <v>153.29999999999998</v>
      </c>
      <c r="CH316" s="87">
        <f>SUM(CH308:CH315)</f>
        <v>161.4</v>
      </c>
      <c r="CI316" s="87">
        <f>SUM(CI308:CI315)</f>
        <v>639.1</v>
      </c>
      <c r="CK316" s="87">
        <f>SUM(CK308:CK315)</f>
        <v>198.9</v>
      </c>
      <c r="CL316" s="87">
        <f>SUM(CL308:CL315)</f>
        <v>177.29999999999998</v>
      </c>
      <c r="CM316" s="87">
        <f>SUM(CM308:CM315)</f>
        <v>127.39999999999999</v>
      </c>
      <c r="CN316" s="87">
        <f>SUM(CN308:CN315)</f>
        <v>28.099999999999994</v>
      </c>
      <c r="CO316" s="87">
        <f>SUM(CO308:CO315)</f>
        <v>531.70000000000005</v>
      </c>
      <c r="CQ316" s="87">
        <f>SUM(CQ308:CQ315)</f>
        <v>101.6</v>
      </c>
      <c r="CR316" s="87">
        <f>SUM(CR308:CR315)</f>
        <v>91.000000000000014</v>
      </c>
      <c r="CS316" s="87">
        <f>SUM(CS308:CS315)</f>
        <v>182.7</v>
      </c>
      <c r="CT316" s="87">
        <f>SUM(CT308:CT315)</f>
        <v>234</v>
      </c>
      <c r="CU316" s="87">
        <f>SUM(CU308:CU315)</f>
        <v>609.29999999999995</v>
      </c>
      <c r="CW316" s="87">
        <f>SUM(CW308:CW315)</f>
        <v>119.3</v>
      </c>
      <c r="CX316" s="87">
        <f>SUM(CX308:CX315)</f>
        <v>133</v>
      </c>
      <c r="CY316" s="87">
        <f>SUM(CY308:CY315)</f>
        <v>44.900000000000027</v>
      </c>
      <c r="CZ316" s="87">
        <f>SUM(CZ308:CZ315)</f>
        <v>245.10000000000002</v>
      </c>
      <c r="DA316" s="87">
        <f>SUM(DA308:DA315)</f>
        <v>542.29999999999995</v>
      </c>
      <c r="DC316" s="87">
        <f>SUM(DC308:DC315)</f>
        <v>122.20000000000005</v>
      </c>
      <c r="DD316" s="87">
        <f>SUM(DD308:DD315)</f>
        <v>155.9</v>
      </c>
      <c r="DE316" s="87">
        <f>SUM(DE308:DE315)</f>
        <v>-204.10000000000002</v>
      </c>
      <c r="DF316" s="87">
        <f>SUM(DF308:DF315)</f>
        <v>-3.9000000000000057</v>
      </c>
      <c r="DG316" s="87">
        <f>SUM(DG308:DG315)</f>
        <v>70.099999999999994</v>
      </c>
      <c r="DI316" s="87">
        <f>SUM(DI308:DI315)</f>
        <v>117.60000000000002</v>
      </c>
      <c r="DJ316" s="87">
        <f>SUM(DJ308:DJ315)</f>
        <v>105.00000000000003</v>
      </c>
      <c r="DK316" s="87">
        <f>SUM(DK308:DK315)</f>
        <v>-122.20000000000003</v>
      </c>
      <c r="DL316" s="87">
        <f>SUM(DL308:DL315)</f>
        <v>321</v>
      </c>
      <c r="DM316" s="87">
        <f>SUM(DM308:DM315)</f>
        <v>421.39999999999981</v>
      </c>
      <c r="DO316" s="87">
        <f>SUM(DO308:DO315)</f>
        <v>239.39999999999998</v>
      </c>
      <c r="DP316" s="87">
        <f>SUM(DP308:DP315)</f>
        <v>279.70000000000005</v>
      </c>
      <c r="DQ316" s="87">
        <f>SUM(DQ308:DQ315)</f>
        <v>147.69999999999999</v>
      </c>
      <c r="DR316" s="87">
        <f>SUM(DR308:DR315)</f>
        <v>601.20000000000005</v>
      </c>
      <c r="DS316" s="87">
        <f>SUM(DS308:DS315)</f>
        <v>1268.0000000000002</v>
      </c>
      <c r="DT316" s="87"/>
      <c r="DU316" s="87">
        <f>SUM(DU308:DU315)</f>
        <v>323.3</v>
      </c>
      <c r="DV316" s="87">
        <f>SUM(DV308:DV315)</f>
        <v>348.59999999999997</v>
      </c>
      <c r="DW316" s="87">
        <f>SUM(DW308:DW315)</f>
        <v>255</v>
      </c>
      <c r="DX316" s="87">
        <f>SUM(DX308:DX315)</f>
        <v>614.4</v>
      </c>
      <c r="DY316" s="87">
        <f>SUM(DY308:DY315)</f>
        <v>1541.3</v>
      </c>
      <c r="EA316" s="87">
        <f>SUM(EA308:EA315)</f>
        <v>387.20000000000005</v>
      </c>
      <c r="EB316" s="87">
        <f>SUM(EB308:EB315)</f>
        <v>367.5</v>
      </c>
      <c r="EC316" s="87">
        <f>SUM(EC308:EC315)</f>
        <v>337.9</v>
      </c>
      <c r="ED316" s="87">
        <f>SUM(ED308:ED315)</f>
        <v>930</v>
      </c>
      <c r="EE316" s="87">
        <f>SUM(EE308:EE315)</f>
        <v>2022.6000000000001</v>
      </c>
      <c r="EG316" s="87">
        <f>SUM(EG308:EG315)</f>
        <v>215.79999999999995</v>
      </c>
      <c r="EH316" s="87">
        <f>SUM(EH308:EH315)</f>
        <v>266.55134680887465</v>
      </c>
      <c r="EI316" s="87">
        <f>SUM(EI308:EI315)</f>
        <v>-134.99733092200745</v>
      </c>
      <c r="EJ316" s="87">
        <f>SUM(EJ308:EJ315)</f>
        <v>352.988779401307</v>
      </c>
      <c r="EK316" s="87">
        <f>SUM(EK308:EK315)</f>
        <v>700.34279528817433</v>
      </c>
      <c r="EQ316" s="74"/>
      <c r="ER316" s="74"/>
      <c r="ES316" s="74"/>
      <c r="EV316" s="87">
        <f t="shared" ref="EV316:FF316" si="330">SUM(EV308:EV314)</f>
        <v>276489</v>
      </c>
      <c r="EW316" s="87">
        <f t="shared" si="330"/>
        <v>118867</v>
      </c>
      <c r="EX316" s="87">
        <f t="shared" si="330"/>
        <v>245266</v>
      </c>
      <c r="EY316" s="87">
        <f t="shared" si="330"/>
        <v>130393</v>
      </c>
      <c r="EZ316" s="87">
        <f t="shared" si="330"/>
        <v>89425</v>
      </c>
      <c r="FA316" s="87">
        <f t="shared" si="330"/>
        <v>154475</v>
      </c>
      <c r="FB316" s="87">
        <f t="shared" si="330"/>
        <v>267752</v>
      </c>
      <c r="FC316" s="87">
        <f t="shared" si="330"/>
        <v>212646</v>
      </c>
      <c r="FD316" s="87">
        <f t="shared" si="330"/>
        <v>257500</v>
      </c>
      <c r="FE316" s="87">
        <f t="shared" si="330"/>
        <v>317500</v>
      </c>
      <c r="FF316" s="87">
        <f t="shared" si="330"/>
        <v>269800</v>
      </c>
      <c r="FG316" s="87">
        <f t="shared" ref="FG316:FP316" si="331">SUM(FG308:FG315)</f>
        <v>440.3</v>
      </c>
      <c r="FH316" s="87">
        <f t="shared" si="331"/>
        <v>435.8</v>
      </c>
      <c r="FI316" s="87">
        <f t="shared" si="331"/>
        <v>620.9</v>
      </c>
      <c r="FJ316" s="87">
        <f t="shared" si="331"/>
        <v>488.89999999999992</v>
      </c>
      <c r="FK316" s="87">
        <f t="shared" si="331"/>
        <v>639.1</v>
      </c>
      <c r="FL316" s="87">
        <f t="shared" si="331"/>
        <v>531.70000000000005</v>
      </c>
      <c r="FM316" s="87">
        <f t="shared" si="331"/>
        <v>609.29999999999995</v>
      </c>
      <c r="FN316" s="87">
        <f t="shared" si="331"/>
        <v>542.29999999999995</v>
      </c>
      <c r="FO316" s="87">
        <f t="shared" si="331"/>
        <v>70.099999999999994</v>
      </c>
      <c r="FP316" s="87">
        <f t="shared" si="331"/>
        <v>421.39999999999981</v>
      </c>
      <c r="FQ316" s="87">
        <f>SUM(FQ308:FQ315)</f>
        <v>1268.0000000000002</v>
      </c>
      <c r="FR316" s="87">
        <f t="shared" ref="FR316:FX316" si="332">SUM(FR308:FR315)</f>
        <v>1541.3</v>
      </c>
      <c r="FS316" s="87">
        <f t="shared" si="332"/>
        <v>2022.6000000000001</v>
      </c>
      <c r="FT316" s="87">
        <f>SUM(FT308:FT315)</f>
        <v>700.34279528817433</v>
      </c>
      <c r="FU316" s="87">
        <f t="shared" si="332"/>
        <v>1618.7603766416669</v>
      </c>
      <c r="FV316" s="87">
        <f t="shared" si="332"/>
        <v>1418.0426913602291</v>
      </c>
      <c r="FW316" s="87">
        <f t="shared" ca="1" si="332"/>
        <v>877.38240315555549</v>
      </c>
      <c r="FX316" s="87">
        <f t="shared" si="332"/>
        <v>1023.4391445671113</v>
      </c>
    </row>
    <row r="317" spans="2:180" x14ac:dyDescent="0.25">
      <c r="W317" s="153"/>
      <c r="X317" s="153"/>
      <c r="Y317" s="153"/>
      <c r="Z317" s="153"/>
      <c r="AA317" s="153"/>
      <c r="AB317" s="153"/>
      <c r="AC317" s="153"/>
      <c r="AD317" s="153"/>
      <c r="AE317" s="153"/>
      <c r="AF317" s="153"/>
      <c r="AG317" s="153"/>
      <c r="AH317" s="153"/>
      <c r="DQ317" s="201"/>
      <c r="DR317" s="201"/>
      <c r="DT317" s="201"/>
      <c r="DW317" s="201"/>
      <c r="DX317" s="201"/>
      <c r="ET317" s="74"/>
      <c r="EU317" s="114"/>
      <c r="EV317" s="101"/>
      <c r="EW317" s="101"/>
      <c r="FP317" s="74"/>
      <c r="FQ317" s="74"/>
    </row>
    <row r="318" spans="2:180" x14ac:dyDescent="0.25">
      <c r="B318" s="74" t="s">
        <v>311</v>
      </c>
      <c r="C318" s="74"/>
      <c r="D318" s="74"/>
      <c r="E318" s="87"/>
      <c r="F318" s="87"/>
      <c r="G318" s="87"/>
      <c r="H318" s="87"/>
      <c r="I318" s="87">
        <f>I319+I320+I321+I322</f>
        <v>-223579</v>
      </c>
      <c r="J318" s="74"/>
      <c r="K318" s="87">
        <v>-57120</v>
      </c>
      <c r="L318" s="87">
        <v>44266</v>
      </c>
      <c r="M318" s="87">
        <v>89408</v>
      </c>
      <c r="N318" s="87">
        <f>N319+N320+N321+N322</f>
        <v>195100</v>
      </c>
      <c r="O318" s="87">
        <f>O319+O320+O321+O322</f>
        <v>271654</v>
      </c>
      <c r="P318" s="74"/>
      <c r="Q318" s="87">
        <v>-267638</v>
      </c>
      <c r="R318" s="87">
        <v>76870</v>
      </c>
      <c r="S318" s="87">
        <v>-261230</v>
      </c>
      <c r="T318" s="87">
        <f>T319+T320+T321+T322</f>
        <v>215391</v>
      </c>
      <c r="U318" s="87">
        <f>U319+U320+U321+U322</f>
        <v>-236607</v>
      </c>
      <c r="W318" s="87">
        <v>-53011</v>
      </c>
      <c r="X318" s="87">
        <v>62953</v>
      </c>
      <c r="Y318" s="87">
        <v>-20024</v>
      </c>
      <c r="Z318" s="87">
        <v>-135694</v>
      </c>
      <c r="AA318" s="87">
        <f>AA319+AA320+AA321+AA322</f>
        <v>-145776</v>
      </c>
      <c r="AB318" s="74"/>
      <c r="AC318" s="87">
        <f>-4563-AD318</f>
        <v>45088</v>
      </c>
      <c r="AD318" s="87">
        <v>-49651</v>
      </c>
      <c r="AE318" s="87">
        <v>-80747</v>
      </c>
      <c r="AF318" s="87">
        <f>AG318-AE318-AD318-AC318</f>
        <v>-224066</v>
      </c>
      <c r="AG318" s="87">
        <f>AG319+AG320+AG321+AG322</f>
        <v>-309376</v>
      </c>
      <c r="AH318" s="74"/>
      <c r="AI318" s="87">
        <v>157714</v>
      </c>
      <c r="AJ318" s="87">
        <v>113798</v>
      </c>
      <c r="AK318" s="87">
        <v>-154188</v>
      </c>
      <c r="AL318" s="87">
        <v>-91661</v>
      </c>
      <c r="AM318" s="87">
        <v>36043</v>
      </c>
      <c r="AO318" s="87">
        <v>-142800</v>
      </c>
      <c r="AP318" s="87">
        <v>-113800</v>
      </c>
      <c r="AQ318" s="87">
        <v>31400</v>
      </c>
      <c r="AR318" s="87">
        <v>-114100</v>
      </c>
      <c r="AS318" s="87">
        <f>AS319+AS320+AS321+AS322</f>
        <v>-339300</v>
      </c>
      <c r="AU318" s="87">
        <v>605200</v>
      </c>
      <c r="AV318" s="87">
        <v>14600</v>
      </c>
      <c r="AW318" s="87">
        <v>-83000</v>
      </c>
      <c r="AX318" s="87">
        <v>-250800</v>
      </c>
      <c r="AY318" s="87">
        <f>AY319+AY320+AY321+AY322</f>
        <v>286000</v>
      </c>
      <c r="BA318" s="87">
        <v>13900</v>
      </c>
      <c r="BB318" s="87">
        <v>-335500</v>
      </c>
      <c r="BC318" s="87">
        <v>113700</v>
      </c>
      <c r="BD318" s="87">
        <v>-504700</v>
      </c>
      <c r="BE318" s="196">
        <f>BD318+BC318+BB318+BA318</f>
        <v>-712600</v>
      </c>
      <c r="BG318" s="87">
        <v>-233.9</v>
      </c>
      <c r="BH318" s="87">
        <v>133.5</v>
      </c>
      <c r="BI318" s="87">
        <v>-209.9</v>
      </c>
      <c r="BJ318" s="87">
        <v>-91.3</v>
      </c>
      <c r="BK318" s="87">
        <f>SUM(BK319:BK322)</f>
        <v>-401.6</v>
      </c>
      <c r="BM318" s="87">
        <v>-149.80000000000001</v>
      </c>
      <c r="BN318" s="87">
        <v>-340.1</v>
      </c>
      <c r="BO318" s="87">
        <v>-105.3</v>
      </c>
      <c r="BP318" s="87">
        <v>-12</v>
      </c>
      <c r="BQ318" s="87">
        <f>SUM(BQ319:BQ322)</f>
        <v>-607.20000000000005</v>
      </c>
      <c r="BS318" s="87">
        <v>-201</v>
      </c>
      <c r="BT318" s="87">
        <v>-227.3</v>
      </c>
      <c r="BU318" s="87">
        <v>-93.3</v>
      </c>
      <c r="BV318" s="87">
        <v>539</v>
      </c>
      <c r="BW318" s="87">
        <f>SUM(BW319:BW322)</f>
        <v>17.399999999999977</v>
      </c>
      <c r="BY318" s="87">
        <v>-333.7</v>
      </c>
      <c r="BZ318" s="87">
        <v>14.3</v>
      </c>
      <c r="CA318" s="87">
        <v>-541.79999999999995</v>
      </c>
      <c r="CB318" s="87">
        <v>566.29999999999995</v>
      </c>
      <c r="CC318" s="87">
        <f>SUM(CC319:CC322)</f>
        <v>-294.89999999999998</v>
      </c>
      <c r="CE318" s="87">
        <v>-791.4</v>
      </c>
      <c r="CF318" s="87">
        <v>-89.5</v>
      </c>
      <c r="CG318" s="87">
        <v>-310.39999999999998</v>
      </c>
      <c r="CH318" s="87">
        <v>252</v>
      </c>
      <c r="CI318" s="87">
        <f>SUM(CI319:CI322)</f>
        <v>-939.3</v>
      </c>
      <c r="CK318" s="87">
        <v>-553.5</v>
      </c>
      <c r="CL318" s="87">
        <v>-6.8</v>
      </c>
      <c r="CM318" s="87">
        <v>-321.10000000000002</v>
      </c>
      <c r="CN318" s="87">
        <v>830.8</v>
      </c>
      <c r="CO318" s="87">
        <f>SUM(CO319:CO322)</f>
        <v>-50.600000000000023</v>
      </c>
      <c r="CQ318" s="87">
        <v>-937.8</v>
      </c>
      <c r="CR318" s="87">
        <v>-467.5</v>
      </c>
      <c r="CS318" s="87">
        <v>-740.1</v>
      </c>
      <c r="CT318" s="87">
        <v>2220.1999999999998</v>
      </c>
      <c r="CU318" s="87">
        <f>SUM(CU319:CU322)</f>
        <v>74.799999999999727</v>
      </c>
      <c r="CW318" s="87">
        <v>-1115.7</v>
      </c>
      <c r="CX318" s="87">
        <v>-512.1</v>
      </c>
      <c r="CY318" s="87">
        <v>-915.3</v>
      </c>
      <c r="CZ318" s="87">
        <v>3074.7</v>
      </c>
      <c r="DA318" s="87">
        <f>SUM(DA319:DA322)</f>
        <v>531.59999999999968</v>
      </c>
      <c r="DC318" s="87">
        <v>-2395.3000000000002</v>
      </c>
      <c r="DD318" s="87">
        <v>2374.8000000000002</v>
      </c>
      <c r="DE318" s="87">
        <v>265.5</v>
      </c>
      <c r="DF318" s="87">
        <v>4647.5</v>
      </c>
      <c r="DG318" s="87">
        <f>SUM(DG319:DG322)</f>
        <v>4892.5</v>
      </c>
      <c r="DI318" s="87">
        <v>-1399</v>
      </c>
      <c r="DJ318" s="87">
        <v>1037</v>
      </c>
      <c r="DK318" s="87">
        <v>-409.8</v>
      </c>
      <c r="DL318" s="87">
        <v>3213</v>
      </c>
      <c r="DM318" s="87">
        <f>SUM(DM319:DM322)</f>
        <v>2441.1999999999998</v>
      </c>
      <c r="DO318" s="87">
        <v>-1461.6</v>
      </c>
      <c r="DP318" s="87">
        <v>-1836.7</v>
      </c>
      <c r="DQ318" s="87">
        <v>-913</v>
      </c>
      <c r="DR318" s="87">
        <v>547.70000000000005</v>
      </c>
      <c r="DS318" s="87">
        <f>SUM(DS319:DS322)</f>
        <v>-3663.5999999999995</v>
      </c>
      <c r="DT318" s="87"/>
      <c r="DU318" s="87">
        <v>-1799</v>
      </c>
      <c r="DV318" s="87">
        <v>-1003.1</v>
      </c>
      <c r="DW318" s="87">
        <v>-1381.6</v>
      </c>
      <c r="DX318" s="87">
        <v>6237</v>
      </c>
      <c r="DY318" s="87">
        <f>SUM(DY319:DY322)</f>
        <v>2053.3000000000002</v>
      </c>
      <c r="EA318" s="87">
        <v>-2800.8</v>
      </c>
      <c r="EB318" s="87">
        <v>-1910.1</v>
      </c>
      <c r="EC318" s="87">
        <v>-1903.3</v>
      </c>
      <c r="ED318" s="87">
        <v>7640.7</v>
      </c>
      <c r="EE318" s="87">
        <v>1026.5</v>
      </c>
      <c r="EG318" s="87">
        <v>-5158.1000000000004</v>
      </c>
      <c r="EH318" s="87">
        <v>-4491.2330471615824</v>
      </c>
      <c r="EI318" s="87">
        <v>-1895.0766666666677</v>
      </c>
      <c r="EJ318" s="87">
        <v>3663.9345551111182</v>
      </c>
      <c r="EK318" s="87">
        <f>SUM(EK319:EK322)</f>
        <v>-3005.4094701484692</v>
      </c>
      <c r="EQ318" s="74"/>
      <c r="ER318" s="74"/>
      <c r="ES318" s="74"/>
      <c r="EU318" s="114"/>
      <c r="EV318" s="87">
        <f>EV319+EV320+EV321+EV322</f>
        <v>-249571</v>
      </c>
      <c r="EW318" s="87">
        <f>EW319+EW320+EW321+EW322</f>
        <v>538298</v>
      </c>
      <c r="EX318" s="87">
        <f>I318</f>
        <v>-223579</v>
      </c>
      <c r="EY318" s="87">
        <f>O318</f>
        <v>271654</v>
      </c>
      <c r="EZ318" s="87">
        <f>U318</f>
        <v>-236607</v>
      </c>
      <c r="FA318" s="87">
        <f>AA318</f>
        <v>-145776</v>
      </c>
      <c r="FB318" s="87">
        <f>AG318</f>
        <v>-309376</v>
      </c>
      <c r="FC318" s="87">
        <f>AM318</f>
        <v>36043</v>
      </c>
      <c r="FD318" s="87">
        <f>AS318</f>
        <v>-339300</v>
      </c>
      <c r="FE318" s="87">
        <f>AY318</f>
        <v>286000</v>
      </c>
      <c r="FF318" s="87">
        <f>BE318</f>
        <v>-712600</v>
      </c>
      <c r="FG318" s="250">
        <f>BK318</f>
        <v>-401.6</v>
      </c>
      <c r="FH318" s="250">
        <f>BQ318</f>
        <v>-607.20000000000005</v>
      </c>
      <c r="FI318" s="250">
        <f>BW318</f>
        <v>17.399999999999977</v>
      </c>
      <c r="FJ318" s="250">
        <f>CC318</f>
        <v>-294.89999999999998</v>
      </c>
      <c r="FK318" s="250">
        <f>CI318</f>
        <v>-939.3</v>
      </c>
      <c r="FL318" s="250">
        <f>CO318</f>
        <v>-50.600000000000023</v>
      </c>
      <c r="FM318" s="87">
        <f>CU318</f>
        <v>74.799999999999727</v>
      </c>
      <c r="FN318" s="87">
        <f>DA318</f>
        <v>531.59999999999968</v>
      </c>
      <c r="FO318" s="87">
        <f>DG318</f>
        <v>4892.5</v>
      </c>
      <c r="FP318" s="87">
        <f>DM318</f>
        <v>2441.1999999999998</v>
      </c>
      <c r="FQ318" s="87">
        <f>DS318</f>
        <v>-3663.5999999999995</v>
      </c>
      <c r="FR318" s="87">
        <f>DY318</f>
        <v>2053.3000000000002</v>
      </c>
      <c r="FS318" s="87">
        <f>EE318</f>
        <v>1026.5</v>
      </c>
      <c r="FT318" s="87">
        <f>EK318</f>
        <v>-3005.4094701484692</v>
      </c>
      <c r="FU318" s="87">
        <f>SUM(FU319:FU322)</f>
        <v>-5413.3870141111165</v>
      </c>
      <c r="FV318" s="87">
        <f>SUM(FV319:FV322)</f>
        <v>6743.0074041870666</v>
      </c>
      <c r="FW318" s="87">
        <f ca="1">SUM(FW319:FW322)</f>
        <v>5986.3500548129341</v>
      </c>
      <c r="FX318" s="87">
        <f ca="1">SUM(FX319:FX322)</f>
        <v>-1422.4916666666668</v>
      </c>
    </row>
    <row r="319" spans="2:180" x14ac:dyDescent="0.25">
      <c r="B319" s="198" t="s">
        <v>167</v>
      </c>
      <c r="C319" s="74"/>
      <c r="D319" s="74"/>
      <c r="E319" s="196"/>
      <c r="F319" s="196"/>
      <c r="G319" s="196"/>
      <c r="H319" s="196"/>
      <c r="I319" s="196">
        <v>-149215</v>
      </c>
      <c r="J319" s="74"/>
      <c r="K319" s="196">
        <f>-(K241-H241)</f>
        <v>-10690</v>
      </c>
      <c r="L319" s="196">
        <f>-(L241-K241)</f>
        <v>33048</v>
      </c>
      <c r="M319" s="196">
        <f>-(M241-L241)</f>
        <v>42232</v>
      </c>
      <c r="N319" s="196">
        <f>O319-M319-L319-K319</f>
        <v>-105987</v>
      </c>
      <c r="O319" s="196">
        <v>-41397</v>
      </c>
      <c r="P319" s="74"/>
      <c r="Q319" s="196">
        <f>-(Q241-N241)</f>
        <v>-163223</v>
      </c>
      <c r="R319" s="196">
        <f>-(R241-Q241)</f>
        <v>24223</v>
      </c>
      <c r="S319" s="196">
        <f>-(S241-R241)</f>
        <v>78984</v>
      </c>
      <c r="T319" s="196">
        <f>U319-S319-R319-Q319</f>
        <v>-25197</v>
      </c>
      <c r="U319" s="196">
        <v>-85213</v>
      </c>
      <c r="W319" s="196">
        <f>-(W241-T241)</f>
        <v>-98229</v>
      </c>
      <c r="X319" s="196">
        <f>-(X241-W241)</f>
        <v>-66233</v>
      </c>
      <c r="Y319" s="196">
        <f>-(Y241-X241)</f>
        <v>-48239</v>
      </c>
      <c r="Z319" s="196">
        <f>-(Z241-Y241)</f>
        <v>-81028</v>
      </c>
      <c r="AA319" s="196">
        <f>W319+X319+Y319+Z319</f>
        <v>-293729</v>
      </c>
      <c r="AB319" s="74"/>
      <c r="AC319" s="196">
        <f>-(AC241-Z241)</f>
        <v>-49800</v>
      </c>
      <c r="AD319" s="196">
        <f>-(AD241-AC241)</f>
        <v>21771</v>
      </c>
      <c r="AE319" s="196">
        <f>-(AE241-AD241)</f>
        <v>-3800</v>
      </c>
      <c r="AF319" s="196">
        <f>-(AF241-AE241)</f>
        <v>134889</v>
      </c>
      <c r="AG319" s="196">
        <v>-87804</v>
      </c>
      <c r="AH319" s="74"/>
      <c r="AI319" s="196">
        <f>-(AI241-AF241)</f>
        <v>62380</v>
      </c>
      <c r="AJ319" s="196">
        <f>-(AJ241-AI241)</f>
        <v>10690</v>
      </c>
      <c r="AK319" s="196">
        <f>-(AK241-AJ241)</f>
        <v>43711</v>
      </c>
      <c r="AL319" s="196">
        <f>-(AL241-AK241)</f>
        <v>-81013</v>
      </c>
      <c r="AM319" s="196">
        <f>AL319+AK319+AJ319+AI319</f>
        <v>35768</v>
      </c>
      <c r="AO319" s="196">
        <f>-(AO241-AL241)</f>
        <v>-192118</v>
      </c>
      <c r="AP319" s="196">
        <f>-(AP241-AO241)</f>
        <v>-153800</v>
      </c>
      <c r="AQ319" s="196">
        <f>-(AQ241-AP241)</f>
        <v>-140500</v>
      </c>
      <c r="AR319" s="196">
        <f>-(AR241-AQ241)</f>
        <v>-47380</v>
      </c>
      <c r="AS319" s="196">
        <f>AR319+AQ319+AP319+AO319</f>
        <v>-533798</v>
      </c>
      <c r="AU319" s="196">
        <f>-(AU241-AR241)</f>
        <v>-68420</v>
      </c>
      <c r="AV319" s="196">
        <f>-(AV241-AU241)</f>
        <v>-44800</v>
      </c>
      <c r="AW319" s="196">
        <f>-(AW241-AV241)</f>
        <v>154600</v>
      </c>
      <c r="AX319" s="196">
        <f>-(AX241-AW241)</f>
        <v>-168800</v>
      </c>
      <c r="AY319" s="196">
        <f>AX319+AW319+AV319+AU319</f>
        <v>-127420</v>
      </c>
      <c r="BA319" s="196">
        <f>-(BA241-AX241)</f>
        <v>17000</v>
      </c>
      <c r="BB319" s="196">
        <f>-(BB241-BA241)</f>
        <v>-113600</v>
      </c>
      <c r="BC319" s="196">
        <f>-(BC241-BB241)</f>
        <v>-198800</v>
      </c>
      <c r="BD319" s="196">
        <f>-(BD241-BC241)</f>
        <v>1918143</v>
      </c>
      <c r="BE319" s="196">
        <f>BD319+BC319+BB319+BA319</f>
        <v>1622743</v>
      </c>
      <c r="BG319" s="196">
        <f>-(BG241-BD241)</f>
        <v>-148.79999999999995</v>
      </c>
      <c r="BH319" s="196">
        <f>-(BH241-BG241)</f>
        <v>-365.89999999999986</v>
      </c>
      <c r="BI319" s="196">
        <f>-(BI241-BH241)</f>
        <v>-120.70000000000027</v>
      </c>
      <c r="BJ319" s="196">
        <f>-(BJ241-BI241)</f>
        <v>99.400000000000091</v>
      </c>
      <c r="BK319" s="77">
        <f>SUM(BG319:BJ319)</f>
        <v>-536</v>
      </c>
      <c r="BM319" s="196">
        <f>-(BM241-BJ241)</f>
        <v>-154.69999999999982</v>
      </c>
      <c r="BN319" s="196">
        <f>-(BN241-BM241)</f>
        <v>-67.800000000000182</v>
      </c>
      <c r="BO319" s="196">
        <f>-(BO241-BN241)</f>
        <v>-61.300000000000182</v>
      </c>
      <c r="BP319" s="196">
        <f>-(BP241-BO241)</f>
        <v>127</v>
      </c>
      <c r="BQ319" s="77">
        <f>SUM(BM319:BP319)</f>
        <v>-156.80000000000018</v>
      </c>
      <c r="BS319" s="196">
        <f>-(BS241-BP241)</f>
        <v>-57.699999999999818</v>
      </c>
      <c r="BT319" s="196">
        <f>-(BT241-BS241)</f>
        <v>15.400000000000091</v>
      </c>
      <c r="BU319" s="196">
        <f>-(BU241-BT241)</f>
        <v>55.099999999999909</v>
      </c>
      <c r="BV319" s="196">
        <f>-(BV241-BU241)</f>
        <v>-36.699999999999818</v>
      </c>
      <c r="BW319" s="77">
        <f>SUM(BS319:BV319)</f>
        <v>-23.899999999999636</v>
      </c>
      <c r="BY319" s="196">
        <f>-(BY241-BV241)</f>
        <v>-176.30000000000018</v>
      </c>
      <c r="BZ319" s="196">
        <f>-(BZ241-BY241)</f>
        <v>34.699999999999818</v>
      </c>
      <c r="CA319" s="196">
        <f>-(CA241-BZ241)</f>
        <v>18.400000000000091</v>
      </c>
      <c r="CB319" s="196">
        <f>-(CB241-CA241)</f>
        <v>-84</v>
      </c>
      <c r="CC319" s="77">
        <f>SUM(BY319:CB319)</f>
        <v>-207.20000000000027</v>
      </c>
      <c r="CE319" s="196">
        <f>-(CE241-CB241)</f>
        <v>-214.79999999999973</v>
      </c>
      <c r="CF319" s="196">
        <f>-(CF241-CE241)</f>
        <v>-141.20000000000027</v>
      </c>
      <c r="CG319" s="196">
        <f>-(CG241-CF241)</f>
        <v>138.40000000000009</v>
      </c>
      <c r="CH319" s="196">
        <f>-(CH241-CG241)</f>
        <v>42.900000000000091</v>
      </c>
      <c r="CI319" s="77">
        <f>SUM(CE319:CH319)</f>
        <v>-174.69999999999982</v>
      </c>
      <c r="CK319" s="196">
        <f>-(CK241-CH241)</f>
        <v>-275.90000000000009</v>
      </c>
      <c r="CL319" s="196">
        <f>-(CL241-CK241)</f>
        <v>14</v>
      </c>
      <c r="CM319" s="196">
        <f>-(CM241-CL241)</f>
        <v>-185.19999999999982</v>
      </c>
      <c r="CN319" s="196">
        <f>-(CN241-CM241)</f>
        <v>-36.800000000000182</v>
      </c>
      <c r="CO319" s="77">
        <f>SUM(CK319:CN319)</f>
        <v>-483.90000000000009</v>
      </c>
      <c r="CQ319" s="196">
        <f>-(CQ241-CN241)</f>
        <v>-325.30000000000018</v>
      </c>
      <c r="CR319" s="196">
        <f>-(CR241-CQ241)</f>
        <v>-149.29999999999973</v>
      </c>
      <c r="CS319" s="196">
        <f>-(CS241-CR241)</f>
        <v>19.099999999999909</v>
      </c>
      <c r="CT319" s="196">
        <f>-(CT241-CS241)</f>
        <v>85.800000000000182</v>
      </c>
      <c r="CU319" s="77">
        <f>SUM(CQ319:CT319)</f>
        <v>-369.69999999999982</v>
      </c>
      <c r="CW319" s="196">
        <f>-(CW241-CT241)</f>
        <v>-536.10000000000036</v>
      </c>
      <c r="CX319" s="196">
        <f>-(CX241-CW241)</f>
        <v>-340.30000000000018</v>
      </c>
      <c r="CY319" s="196">
        <f>-(CY241-CX241)</f>
        <v>71.900000000000546</v>
      </c>
      <c r="CZ319" s="196">
        <f>-(CZ241-CY241)</f>
        <v>44.300000000000182</v>
      </c>
      <c r="DA319" s="77">
        <f>SUM(CW319:CZ319)</f>
        <v>-760.19999999999982</v>
      </c>
      <c r="DC319" s="196">
        <f>-(DC241-CZ241)</f>
        <v>-178.70000000000073</v>
      </c>
      <c r="DD319" s="196">
        <f>-(DD241-DC241)</f>
        <v>-338.19999999999982</v>
      </c>
      <c r="DE319" s="196">
        <f>-(DE241-DD241)</f>
        <v>142.10000000000036</v>
      </c>
      <c r="DF319" s="196">
        <f>-(DF241-DE241)</f>
        <v>-235</v>
      </c>
      <c r="DG319" s="77">
        <f>SUM(DC319:DF319)</f>
        <v>-609.80000000000018</v>
      </c>
      <c r="DI319" s="196">
        <f>-(DI241-DF241)</f>
        <v>-894.30000000000018</v>
      </c>
      <c r="DJ319" s="196">
        <f>-(DJ241-DI241)</f>
        <v>-293.60000000000036</v>
      </c>
      <c r="DK319" s="196">
        <f>-(DK241-DJ241)</f>
        <v>-516.89999999999964</v>
      </c>
      <c r="DL319" s="196">
        <f>-(DL241-DK241)</f>
        <v>-315.69999999999982</v>
      </c>
      <c r="DM319" s="77">
        <f>SUM(DI319:DL319)</f>
        <v>-2020.5</v>
      </c>
      <c r="DO319" s="196">
        <f>-(DO241-DL241)</f>
        <v>-192.30000000000018</v>
      </c>
      <c r="DP319" s="196">
        <f>-(DP241-DO241)</f>
        <v>-342.39999999999964</v>
      </c>
      <c r="DQ319" s="196">
        <f>-(DQ241-DP241)</f>
        <v>-644.10000000000036</v>
      </c>
      <c r="DR319" s="196">
        <f>-(DR241-DQ241)</f>
        <v>-472.20000000000073</v>
      </c>
      <c r="DS319" s="77">
        <f>SUM(DO319:DR319)</f>
        <v>-1651.0000000000009</v>
      </c>
      <c r="DT319" s="196"/>
      <c r="DU319" s="196">
        <f>-(DU241-DR241)</f>
        <v>-1013.7999999999993</v>
      </c>
      <c r="DV319" s="196">
        <f>-(DV241-DU241)</f>
        <v>-1107.7999999999993</v>
      </c>
      <c r="DW319" s="196">
        <f>-(DW241-DV241)</f>
        <v>-442.20000000000073</v>
      </c>
      <c r="DX319" s="196">
        <f>-(DX241-DW241)</f>
        <v>523</v>
      </c>
      <c r="DY319" s="77">
        <f>SUM(DU319:DX319)</f>
        <v>-2040.7999999999993</v>
      </c>
      <c r="EA319" s="196">
        <f>-(EA241-DX241)</f>
        <v>-133.20000000000073</v>
      </c>
      <c r="EB319" s="196">
        <f>-(EB241-EA241)</f>
        <v>-551.09999999999854</v>
      </c>
      <c r="EC319" s="196">
        <f>-(EC241-EB241)</f>
        <v>-187</v>
      </c>
      <c r="ED319" s="196">
        <f>-(ED241-EC241)</f>
        <v>333.5</v>
      </c>
      <c r="EE319" s="77">
        <f>SUM(EA319:ED319)</f>
        <v>-537.79999999999927</v>
      </c>
      <c r="EG319" s="196">
        <f>-(EG241-ED241)</f>
        <v>-281.90000000000146</v>
      </c>
      <c r="EH319" s="196">
        <f>-(EH241-EG241)</f>
        <v>-976.79999999999927</v>
      </c>
      <c r="EI319" s="196">
        <f>-(EI241-EH241)</f>
        <v>-871.72222222222263</v>
      </c>
      <c r="EJ319" s="196">
        <f>-(EJ241-EI241)</f>
        <v>3827.0582750000049</v>
      </c>
      <c r="EK319" s="77">
        <f>SUM(EG319:EJ319)</f>
        <v>1696.6360527777815</v>
      </c>
      <c r="EQ319" s="198"/>
      <c r="ER319" s="198"/>
      <c r="ES319" s="198"/>
      <c r="EU319" s="114"/>
      <c r="EV319" s="77">
        <v>-84384</v>
      </c>
      <c r="EW319" s="77">
        <v>118617</v>
      </c>
      <c r="EX319" s="77">
        <f>I319</f>
        <v>-149215</v>
      </c>
      <c r="EY319" s="77">
        <f>O319</f>
        <v>-41397</v>
      </c>
      <c r="EZ319" s="77">
        <f>U319</f>
        <v>-85213</v>
      </c>
      <c r="FA319" s="77">
        <f>AA319</f>
        <v>-293729</v>
      </c>
      <c r="FB319" s="77">
        <f>AG319</f>
        <v>-87804</v>
      </c>
      <c r="FC319" s="77">
        <f>AM319</f>
        <v>35768</v>
      </c>
      <c r="FD319" s="77">
        <f>AS319</f>
        <v>-533798</v>
      </c>
      <c r="FE319" s="77">
        <f>AY319</f>
        <v>-127420</v>
      </c>
      <c r="FF319" s="77">
        <f>BE319</f>
        <v>1622743</v>
      </c>
      <c r="FG319" s="196">
        <f>BK319</f>
        <v>-536</v>
      </c>
      <c r="FH319" s="196">
        <f>BQ319</f>
        <v>-156.80000000000018</v>
      </c>
      <c r="FI319" s="196">
        <f>BW319</f>
        <v>-23.899999999999636</v>
      </c>
      <c r="FJ319" s="196">
        <f>CC319</f>
        <v>-207.20000000000027</v>
      </c>
      <c r="FK319" s="196">
        <f>CI319</f>
        <v>-174.69999999999982</v>
      </c>
      <c r="FL319" s="196">
        <f>CO319</f>
        <v>-483.90000000000009</v>
      </c>
      <c r="FM319" s="77">
        <f>CU319</f>
        <v>-369.69999999999982</v>
      </c>
      <c r="FN319" s="77">
        <f>DA319</f>
        <v>-760.19999999999982</v>
      </c>
      <c r="FO319" s="77">
        <f>DG319</f>
        <v>-609.80000000000018</v>
      </c>
      <c r="FP319" s="77">
        <f>DM319</f>
        <v>-2020.5</v>
      </c>
      <c r="FQ319" s="77">
        <f>DS319</f>
        <v>-1651.0000000000009</v>
      </c>
      <c r="FR319" s="77">
        <f>DY319</f>
        <v>-2040.7999999999993</v>
      </c>
      <c r="FS319" s="77">
        <f>EE319</f>
        <v>-537.79999999999927</v>
      </c>
      <c r="FT319" s="77">
        <f>EK319</f>
        <v>1696.6360527777815</v>
      </c>
      <c r="FU319" s="196">
        <f>-(FU241-FT241)</f>
        <v>-3319.4887616111155</v>
      </c>
      <c r="FV319" s="196">
        <f>-(FV241-FU241)</f>
        <v>3270.4602355007501</v>
      </c>
      <c r="FW319" s="196">
        <f ca="1">-(FW241-FV241)</f>
        <v>3760.8563622214724</v>
      </c>
      <c r="FX319" s="196">
        <f ca="1">-(FX241-FW241)</f>
        <v>-1011.4861111111113</v>
      </c>
    </row>
    <row r="320" spans="2:180" x14ac:dyDescent="0.25">
      <c r="B320" s="198" t="s">
        <v>166</v>
      </c>
      <c r="C320" s="74"/>
      <c r="D320" s="74"/>
      <c r="E320" s="196"/>
      <c r="F320" s="196"/>
      <c r="G320" s="196"/>
      <c r="H320" s="196"/>
      <c r="I320" s="196">
        <v>-192819</v>
      </c>
      <c r="J320" s="74"/>
      <c r="K320" s="196">
        <f>-(K238-H238)</f>
        <v>19255</v>
      </c>
      <c r="L320" s="196">
        <f>-(L238-K238)</f>
        <v>-1454</v>
      </c>
      <c r="M320" s="196">
        <f>-(M238-L238)</f>
        <v>81863</v>
      </c>
      <c r="N320" s="196">
        <f>O320-M320-L320-K320</f>
        <v>103824</v>
      </c>
      <c r="O320" s="196">
        <v>203488</v>
      </c>
      <c r="P320" s="74"/>
      <c r="Q320" s="196">
        <f>-(Q238-N238)</f>
        <v>-144829</v>
      </c>
      <c r="R320" s="196">
        <f>-(R238-Q238)</f>
        <v>-92899</v>
      </c>
      <c r="S320" s="196">
        <f>-(S238-R238)</f>
        <v>-134222</v>
      </c>
      <c r="T320" s="196">
        <f>U320-S320-R320-Q320</f>
        <v>9562</v>
      </c>
      <c r="U320" s="196">
        <v>-362388</v>
      </c>
      <c r="W320" s="196">
        <f>-(W238-T238)</f>
        <v>24154</v>
      </c>
      <c r="X320" s="196">
        <f>-(X238-W238)</f>
        <v>80841</v>
      </c>
      <c r="Y320" s="196">
        <f>-(Y238-X238)</f>
        <v>-43930</v>
      </c>
      <c r="Z320" s="196">
        <f>-(Z238-Y238)</f>
        <v>-26278</v>
      </c>
      <c r="AA320" s="196">
        <f>W320+X320+Y320+Z320</f>
        <v>34787</v>
      </c>
      <c r="AC320" s="196">
        <f>-(AC238-Z238)</f>
        <v>-103540</v>
      </c>
      <c r="AD320" s="196">
        <f>-(AD238-AC238)</f>
        <v>224629</v>
      </c>
      <c r="AE320" s="196">
        <f>-(AE238-AD238)</f>
        <v>-57344</v>
      </c>
      <c r="AF320" s="196">
        <f>-(AF238-AE238)</f>
        <v>104732</v>
      </c>
      <c r="AG320" s="196">
        <v>132147</v>
      </c>
      <c r="AI320" s="196">
        <f>-(AI238-AF238)</f>
        <v>171661</v>
      </c>
      <c r="AJ320" s="196">
        <f>-(AJ238-AI238)</f>
        <v>84253</v>
      </c>
      <c r="AK320" s="196">
        <f>-(AK238-AJ238)</f>
        <v>-168481</v>
      </c>
      <c r="AL320" s="196">
        <f>-(AL238-AK238)</f>
        <v>4626</v>
      </c>
      <c r="AM320" s="196">
        <f>AL320+AK320+AJ320+AI320</f>
        <v>92059</v>
      </c>
      <c r="AO320" s="196">
        <f>-(AO238-AL238)</f>
        <v>-252361</v>
      </c>
      <c r="AP320" s="196">
        <f>-(AP238-AO238)</f>
        <v>-181700</v>
      </c>
      <c r="AQ320" s="196">
        <f>-(AQ238-AP238)</f>
        <v>-103500</v>
      </c>
      <c r="AR320" s="196">
        <f>-(AR238-AQ238)</f>
        <v>-208534</v>
      </c>
      <c r="AS320" s="196">
        <f>AR320+AQ320+AP320+AO320</f>
        <v>-746095</v>
      </c>
      <c r="AU320" s="196">
        <f>-(AU238-AR238)</f>
        <v>104734</v>
      </c>
      <c r="AV320" s="196">
        <f>-(AV238-AU238)</f>
        <v>123700</v>
      </c>
      <c r="AW320" s="196">
        <f>-(AW238-AV238)</f>
        <v>83300</v>
      </c>
      <c r="AX320" s="196">
        <f>-(AX238-AW238)</f>
        <v>-68800</v>
      </c>
      <c r="AY320" s="196">
        <f>AX320+AW320+AV320+AU320</f>
        <v>242934</v>
      </c>
      <c r="BA320" s="196">
        <f>-(BA238-AX238)</f>
        <v>119400</v>
      </c>
      <c r="BB320" s="196">
        <f>-(BB238-BA238)</f>
        <v>129500</v>
      </c>
      <c r="BC320" s="196">
        <f>-(BC238-BB238)</f>
        <v>304900</v>
      </c>
      <c r="BD320" s="196">
        <f>-(BD238-BC238)</f>
        <v>326194.7</v>
      </c>
      <c r="BE320" s="196">
        <f>BD320+BC320+BB320+BA320</f>
        <v>879994.7</v>
      </c>
      <c r="BG320" s="196">
        <f>-(BG238-BD238)</f>
        <v>-84.5</v>
      </c>
      <c r="BH320" s="196">
        <f>-(BH238-BG238)</f>
        <v>77</v>
      </c>
      <c r="BI320" s="196">
        <f>-(BI238-BH238)</f>
        <v>-13.400000000000091</v>
      </c>
      <c r="BJ320" s="196">
        <f>-(BJ238-BI238)</f>
        <v>-252.09999999999991</v>
      </c>
      <c r="BK320" s="77">
        <f>SUM(BG320:BJ320)</f>
        <v>-273</v>
      </c>
      <c r="BM320" s="196">
        <f>-(BM238-BJ238)</f>
        <v>46.099999999999909</v>
      </c>
      <c r="BN320" s="196">
        <f>-(BN238-BM238)</f>
        <v>-253.39999999999986</v>
      </c>
      <c r="BO320" s="196">
        <f>-(BO238-BN238)</f>
        <v>124.39999999999986</v>
      </c>
      <c r="BP320" s="196">
        <f>-(BP238-BO238)</f>
        <v>-91.299999999999955</v>
      </c>
      <c r="BQ320" s="77">
        <f>SUM(BM320:BP320)</f>
        <v>-174.20000000000005</v>
      </c>
      <c r="BS320" s="196">
        <f>-(BS238-BP238)</f>
        <v>-218.09999999999991</v>
      </c>
      <c r="BT320" s="196">
        <f>-(BT238-BS238)</f>
        <v>-11.700000000000045</v>
      </c>
      <c r="BU320" s="196">
        <f>-(BU238-BT238)</f>
        <v>192.89999999999986</v>
      </c>
      <c r="BV320" s="196">
        <f>-(BV238-BU238)</f>
        <v>285.70000000000005</v>
      </c>
      <c r="BW320" s="77">
        <f>SUM(BS320:BV320)</f>
        <v>248.79999999999995</v>
      </c>
      <c r="BY320" s="196">
        <f>-(BY238-BV238)</f>
        <v>50.5</v>
      </c>
      <c r="BZ320" s="196">
        <f>-(BZ238-BY238)</f>
        <v>20.800000000000068</v>
      </c>
      <c r="CA320" s="196">
        <f>-(CA238-BZ238)</f>
        <v>-126</v>
      </c>
      <c r="CB320" s="196">
        <f>-(CB238-CA238)</f>
        <v>158.19999999999993</v>
      </c>
      <c r="CC320" s="77">
        <f>SUM(BY320:CB320)</f>
        <v>103.5</v>
      </c>
      <c r="CE320" s="196">
        <f>-(CE238-CB238)</f>
        <v>-164.59999999999991</v>
      </c>
      <c r="CF320" s="196">
        <f>-(CF238-CE238)</f>
        <v>-359.79999999999995</v>
      </c>
      <c r="CG320" s="196">
        <f>-(CG238-CF238)</f>
        <v>-439.60000000000014</v>
      </c>
      <c r="CH320" s="196">
        <f>-(CH238-CG238)</f>
        <v>-76.099999999999909</v>
      </c>
      <c r="CI320" s="77">
        <f>SUM(CE320:CH320)</f>
        <v>-1040.0999999999999</v>
      </c>
      <c r="CK320" s="196">
        <f>-(CK238-CH238)</f>
        <v>136.89999999999986</v>
      </c>
      <c r="CL320" s="196">
        <f>-(CL238-CK238)</f>
        <v>464.5</v>
      </c>
      <c r="CM320" s="196">
        <f>-(CM238-CL238)</f>
        <v>-540.19999999999982</v>
      </c>
      <c r="CN320" s="196">
        <f>-(CN238-CM238)</f>
        <v>180.89999999999986</v>
      </c>
      <c r="CO320" s="77">
        <f>SUM(CK320:CN320)</f>
        <v>242.09999999999991</v>
      </c>
      <c r="CQ320" s="196">
        <f>-(CQ238-CN238)</f>
        <v>-91.099999999999909</v>
      </c>
      <c r="CR320" s="196">
        <f>-(CR238-CQ238)</f>
        <v>-48.400000000000091</v>
      </c>
      <c r="CS320" s="196">
        <f>-(CS238-CR238)</f>
        <v>-462.99999999999977</v>
      </c>
      <c r="CT320" s="196">
        <f>-(CT238-CS238)</f>
        <v>313.89999999999986</v>
      </c>
      <c r="CU320" s="77">
        <f>SUM(CQ320:CT320)</f>
        <v>-288.59999999999991</v>
      </c>
      <c r="CW320" s="196">
        <f>-(CW238-CT238)</f>
        <v>19.399999999999864</v>
      </c>
      <c r="CX320" s="196">
        <f>-(CX238-CW238)</f>
        <v>-2.5999999999999091</v>
      </c>
      <c r="CY320" s="196">
        <f>-(CY238-CX238)</f>
        <v>-688.80000000000018</v>
      </c>
      <c r="CZ320" s="196">
        <f>-(CZ238-CY238)</f>
        <v>1148.5000000000002</v>
      </c>
      <c r="DA320" s="77">
        <f>SUM(CW320:CZ320)</f>
        <v>476.5</v>
      </c>
      <c r="DC320" s="196">
        <f>-(DC238-CZ238)</f>
        <v>-928.89999999999986</v>
      </c>
      <c r="DD320" s="196">
        <f>-(DD238-DC238)</f>
        <v>-542.80000000000018</v>
      </c>
      <c r="DE320" s="196">
        <f>-(DE238-DD238)</f>
        <v>-601.30000000000018</v>
      </c>
      <c r="DF320" s="196">
        <f>-(DF238-DE238)</f>
        <v>355.30000000000018</v>
      </c>
      <c r="DG320" s="77">
        <f>SUM(DC320:DF320)</f>
        <v>-1717.6999999999998</v>
      </c>
      <c r="DI320" s="196">
        <f>-(DI238-DF238)</f>
        <v>-466.59999999999991</v>
      </c>
      <c r="DJ320" s="196">
        <f>-(DJ238-DI238)</f>
        <v>-1882.1</v>
      </c>
      <c r="DK320" s="196">
        <f>-(DK238-DJ238)</f>
        <v>-463.5</v>
      </c>
      <c r="DL320" s="196">
        <f>-(DL238-DK238)</f>
        <v>516.39999999999964</v>
      </c>
      <c r="DM320" s="77">
        <f>SUM(DI320:DL320)</f>
        <v>-2295.8000000000002</v>
      </c>
      <c r="DO320" s="196">
        <f>-(DO238-DL238)</f>
        <v>1869.1000000000004</v>
      </c>
      <c r="DP320" s="196">
        <f>-(DP238-DO238)</f>
        <v>-508.90000000000009</v>
      </c>
      <c r="DQ320" s="196">
        <f>-(DQ238-DP238)</f>
        <v>53.099999999999909</v>
      </c>
      <c r="DR320" s="196">
        <f>-(DR238-DQ238)</f>
        <v>-423.60000000000036</v>
      </c>
      <c r="DS320" s="77">
        <f>SUM(DO320:DR320)</f>
        <v>989.69999999999982</v>
      </c>
      <c r="DT320" s="196"/>
      <c r="DU320" s="196">
        <f>-(DU238-DR238)</f>
        <v>748.60000000000036</v>
      </c>
      <c r="DV320" s="196">
        <f>-(DV238-DU238)</f>
        <v>-890.30000000000018</v>
      </c>
      <c r="DW320" s="196">
        <f>-(DW238-DV238)</f>
        <v>-684.80000000000018</v>
      </c>
      <c r="DX320" s="196">
        <f>-(DX238-DW238)</f>
        <v>683.10000000000036</v>
      </c>
      <c r="DY320" s="77">
        <f>SUM(DU320:DX320)</f>
        <v>-143.39999999999964</v>
      </c>
      <c r="EA320" s="196">
        <f>-(EA238-DX238)</f>
        <v>-120</v>
      </c>
      <c r="EB320" s="196">
        <f>-(EB238-EA238)</f>
        <v>-399.39999999999964</v>
      </c>
      <c r="EC320" s="196">
        <f>-(EC238-EB238)</f>
        <v>-367.40000000000055</v>
      </c>
      <c r="ED320" s="196">
        <f>-(ED238-EC238)</f>
        <v>2341.3000000000002</v>
      </c>
      <c r="EE320" s="77">
        <f>SUM(EA320:ED320)</f>
        <v>1454.5</v>
      </c>
      <c r="EG320" s="196">
        <f>-(EG238-ED238)</f>
        <v>-1379.8999999999996</v>
      </c>
      <c r="EH320" s="196">
        <f>-(EH238-EG238)</f>
        <v>-693.40000000000055</v>
      </c>
      <c r="EI320" s="196">
        <f>-(EI238-EH238)</f>
        <v>-1101.8944444444451</v>
      </c>
      <c r="EJ320" s="196">
        <f>-(EJ238-EI238)</f>
        <v>-172.75805555555326</v>
      </c>
      <c r="EK320" s="77">
        <f>SUM(EG320:EJ320)</f>
        <v>-3347.9524999999985</v>
      </c>
      <c r="EQ320" s="198"/>
      <c r="ER320" s="198"/>
      <c r="ES320" s="198"/>
      <c r="EU320" s="114"/>
      <c r="EV320" s="77">
        <v>-57183</v>
      </c>
      <c r="EW320" s="77">
        <v>211627</v>
      </c>
      <c r="EX320" s="77">
        <f>I320</f>
        <v>-192819</v>
      </c>
      <c r="EY320" s="77">
        <f>O320</f>
        <v>203488</v>
      </c>
      <c r="EZ320" s="77">
        <f>U320</f>
        <v>-362388</v>
      </c>
      <c r="FA320" s="77">
        <f>AA320</f>
        <v>34787</v>
      </c>
      <c r="FB320" s="77">
        <f>AG320</f>
        <v>132147</v>
      </c>
      <c r="FC320" s="77">
        <f>AM320</f>
        <v>92059</v>
      </c>
      <c r="FD320" s="77">
        <f>AS320</f>
        <v>-746095</v>
      </c>
      <c r="FE320" s="77">
        <f>AY320</f>
        <v>242934</v>
      </c>
      <c r="FF320" s="77">
        <f>BE320</f>
        <v>879994.7</v>
      </c>
      <c r="FG320" s="196">
        <f>BK320</f>
        <v>-273</v>
      </c>
      <c r="FH320" s="196">
        <f>BQ320</f>
        <v>-174.20000000000005</v>
      </c>
      <c r="FI320" s="196">
        <f>BW320</f>
        <v>248.79999999999995</v>
      </c>
      <c r="FJ320" s="196">
        <f>CC320</f>
        <v>103.5</v>
      </c>
      <c r="FK320" s="196">
        <f>CI320</f>
        <v>-1040.0999999999999</v>
      </c>
      <c r="FL320" s="196">
        <f>CO320</f>
        <v>242.09999999999991</v>
      </c>
      <c r="FM320" s="77">
        <f>CU320</f>
        <v>-288.59999999999991</v>
      </c>
      <c r="FN320" s="77">
        <f>DA320</f>
        <v>476.5</v>
      </c>
      <c r="FO320" s="77">
        <f>DG320</f>
        <v>-1717.6999999999998</v>
      </c>
      <c r="FP320" s="77">
        <f>DM320</f>
        <v>-2295.8000000000002</v>
      </c>
      <c r="FQ320" s="77">
        <f>DS320</f>
        <v>989.69999999999982</v>
      </c>
      <c r="FR320" s="77">
        <f>DY320</f>
        <v>-143.39999999999964</v>
      </c>
      <c r="FS320" s="77">
        <f>EE320</f>
        <v>1454.5</v>
      </c>
      <c r="FT320" s="77">
        <f>EK320</f>
        <v>-3347.9524999999985</v>
      </c>
      <c r="FU320" s="196">
        <f>-(FU238-FT238)</f>
        <v>-2297.8713631944456</v>
      </c>
      <c r="FV320" s="196">
        <f>-(FV238-FU238)</f>
        <v>2933.2098140416665</v>
      </c>
      <c r="FW320" s="196">
        <f ca="1">-(FW238-FV238)</f>
        <v>2660.9612713749998</v>
      </c>
      <c r="FX320" s="196">
        <f ca="1">-(FX238-FW238)</f>
        <v>-528.125</v>
      </c>
    </row>
    <row r="321" spans="2:180" x14ac:dyDescent="0.25">
      <c r="B321" s="198" t="s">
        <v>165</v>
      </c>
      <c r="C321" s="74"/>
      <c r="D321" s="74"/>
      <c r="E321" s="196"/>
      <c r="F321" s="196"/>
      <c r="G321" s="196"/>
      <c r="H321" s="196"/>
      <c r="I321" s="196">
        <v>121998</v>
      </c>
      <c r="J321" s="74"/>
      <c r="K321" s="196">
        <f>-(K250-H250)</f>
        <v>33022.577777777798</v>
      </c>
      <c r="L321" s="196">
        <f>-(L250-K250)</f>
        <v>-61420.177777777833</v>
      </c>
      <c r="M321" s="196">
        <f>-(M250-L250)</f>
        <v>91667.266666666663</v>
      </c>
      <c r="N321" s="196">
        <f>O321-M321-L321-K321</f>
        <v>-59863.666666666628</v>
      </c>
      <c r="O321" s="196">
        <v>3406</v>
      </c>
      <c r="P321" s="74"/>
      <c r="Q321" s="196">
        <f>-(Q250-N250)</f>
        <v>20759.63333333336</v>
      </c>
      <c r="R321" s="196">
        <f>-(R250-Q250)</f>
        <v>-81842.244444444485</v>
      </c>
      <c r="S321" s="196">
        <f>-(S250-R250)</f>
        <v>58227.444444444438</v>
      </c>
      <c r="T321" s="196">
        <f>U321-S321-R321-Q321</f>
        <v>-6060.8333333333139</v>
      </c>
      <c r="U321" s="196">
        <v>-8916</v>
      </c>
      <c r="W321" s="196">
        <f>-(W250-T250)</f>
        <v>55787.311111111077</v>
      </c>
      <c r="X321" s="196">
        <f>-(X250-W250)</f>
        <v>9884.2666666666919</v>
      </c>
      <c r="Y321" s="196">
        <f>-(Y250-X250)</f>
        <v>-13382.077777777769</v>
      </c>
      <c r="Z321" s="196">
        <f>-(Z250-Y250)</f>
        <v>-8247.5</v>
      </c>
      <c r="AA321" s="196">
        <f>W321+X321+Y321+Z321</f>
        <v>44042</v>
      </c>
      <c r="AC321" s="196">
        <f>-(AC250-Z250)</f>
        <v>16223.533333333326</v>
      </c>
      <c r="AD321" s="196">
        <f>-(AD250-AC250)</f>
        <v>30274.600000000006</v>
      </c>
      <c r="AE321" s="196">
        <f>-(AE250-AD250)</f>
        <v>30503.022222222207</v>
      </c>
      <c r="AF321" s="196">
        <f>AF318-AF320-AF319-AF322</f>
        <v>-147705</v>
      </c>
      <c r="AG321" s="196">
        <v>-94375</v>
      </c>
      <c r="AI321" s="196">
        <f>-(AI250-AF250)</f>
        <v>117573.11111111111</v>
      </c>
      <c r="AJ321" s="196">
        <f>-(AJ250-AI250)</f>
        <v>-31510.666666666657</v>
      </c>
      <c r="AK321" s="196">
        <f>-(AK250-AJ250)</f>
        <v>-54155.999999999985</v>
      </c>
      <c r="AL321" s="196">
        <f>-(AL250-AK250)</f>
        <v>-44442.444444444467</v>
      </c>
      <c r="AM321" s="196">
        <f>AL321+AK321+AJ321+AI321</f>
        <v>-12536</v>
      </c>
      <c r="AO321" s="196">
        <f>-(AO250-AL250)</f>
        <v>-39996.222222222219</v>
      </c>
      <c r="AP321" s="196">
        <f>-(AP250-AO250)</f>
        <v>-126127.77777777784</v>
      </c>
      <c r="AQ321" s="196">
        <f>-(AQ250-AP250)</f>
        <v>-55238.888888888876</v>
      </c>
      <c r="AR321" s="196">
        <f>-(AR250-AQ250)</f>
        <v>-127808.11111111107</v>
      </c>
      <c r="AS321" s="196">
        <f>AR321+AQ321+AP321+AO321</f>
        <v>-349171</v>
      </c>
      <c r="AU321" s="196">
        <f>-(AU250-AR250)</f>
        <v>64919.22222222219</v>
      </c>
      <c r="AV321" s="196">
        <f>-(AV250-AU250)</f>
        <v>24144.444444444438</v>
      </c>
      <c r="AW321" s="196">
        <f>-(AW250-AV250)</f>
        <v>43783.333333333372</v>
      </c>
      <c r="AX321" s="196">
        <f>-(AX250-AW250)</f>
        <v>-21719</v>
      </c>
      <c r="AY321" s="196">
        <f>AX321+AW321+AV321+AU321</f>
        <v>111128</v>
      </c>
      <c r="BA321" s="196">
        <f>-(BA250-AX250)</f>
        <v>443823.92777777778</v>
      </c>
      <c r="BB321" s="196">
        <f>-(BB250-BA250)</f>
        <v>57.683333333333394</v>
      </c>
      <c r="BC321" s="196">
        <f>-(BC250-BB250)</f>
        <v>38.48888888888888</v>
      </c>
      <c r="BD321" s="196">
        <f>-(BD250-BC250)</f>
        <v>159.93899999999996</v>
      </c>
      <c r="BE321" s="196">
        <f>BD321+BC321+BB321+BA321</f>
        <v>444080.03899999999</v>
      </c>
      <c r="BG321" s="196">
        <f>(BG250-BD250)</f>
        <v>233.339</v>
      </c>
      <c r="BH321" s="196">
        <f>(BH250-BG250)</f>
        <v>89.699999999999989</v>
      </c>
      <c r="BI321" s="196">
        <f>(BI250-BH250)</f>
        <v>210.79999999999995</v>
      </c>
      <c r="BJ321" s="196">
        <f>(BJ250-BI250)</f>
        <v>-96.899999999999977</v>
      </c>
      <c r="BK321" s="77">
        <f>SUM(BG321:BJ321)</f>
        <v>436.93899999999996</v>
      </c>
      <c r="BM321" s="196">
        <f>(BM250-BJ250)</f>
        <v>103.10000000000002</v>
      </c>
      <c r="BN321" s="196">
        <f>(BN250-BM250)</f>
        <v>-55.799999999999955</v>
      </c>
      <c r="BO321" s="196">
        <f>(BO250-BN250)</f>
        <v>43.599999999999909</v>
      </c>
      <c r="BP321" s="196">
        <f>(BP250-BO250)</f>
        <v>-220.59999999999997</v>
      </c>
      <c r="BQ321" s="77">
        <f>SUM(BM321:BP321)</f>
        <v>-129.69999999999999</v>
      </c>
      <c r="BS321" s="196">
        <f>(BS250-BP250)</f>
        <v>239.09999999999997</v>
      </c>
      <c r="BT321" s="196">
        <f>(BT250-BS250)</f>
        <v>-13.599999999999909</v>
      </c>
      <c r="BU321" s="196">
        <f>(BU250-BT250)</f>
        <v>-217.90000000000003</v>
      </c>
      <c r="BV321" s="196">
        <f>(BV250-BU250)</f>
        <v>-84.900000000000034</v>
      </c>
      <c r="BW321" s="77">
        <f>SUM(BS321:BV321)</f>
        <v>-77.300000000000011</v>
      </c>
      <c r="BY321" s="196">
        <f>(BY250-BV250)</f>
        <v>225.60000000000002</v>
      </c>
      <c r="BZ321" s="196">
        <f>(BZ250-BY250)</f>
        <v>89.700000000000045</v>
      </c>
      <c r="CA321" s="196">
        <f>(CA250-BZ250)</f>
        <v>-102.90000000000009</v>
      </c>
      <c r="CB321" s="196">
        <f>(CB250-CA250)</f>
        <v>-38.099999999999909</v>
      </c>
      <c r="CC321" s="77">
        <f>SUM(BY321:CB321)</f>
        <v>174.30000000000007</v>
      </c>
      <c r="CE321" s="196">
        <f>(CE250-CB250)</f>
        <v>172.09999999999991</v>
      </c>
      <c r="CF321" s="196">
        <f>(CF250-CE250)</f>
        <v>217</v>
      </c>
      <c r="CG321" s="196">
        <f>(CG250-CF250)</f>
        <v>-146.59999999999991</v>
      </c>
      <c r="CH321" s="196">
        <f>(CH250-CG250)</f>
        <v>1.5999999999999091</v>
      </c>
      <c r="CI321" s="77">
        <f>SUM(CE321:CH321)</f>
        <v>244.09999999999991</v>
      </c>
      <c r="CK321" s="196">
        <f>(CK250-CH250)</f>
        <v>142.20000000000005</v>
      </c>
      <c r="CL321" s="196">
        <f>(CL250-CK250)</f>
        <v>319.39308578745204</v>
      </c>
      <c r="CM321" s="196">
        <f>(CM250-CL250)</f>
        <v>-94.730985915492965</v>
      </c>
      <c r="CN321" s="196">
        <f>(CN250-CM250)</f>
        <v>-240.16209987195907</v>
      </c>
      <c r="CO321" s="77">
        <f>SUM(CK321:CN321)</f>
        <v>126.70000000000005</v>
      </c>
      <c r="CQ321" s="196">
        <f>(CQ250-CN250)</f>
        <v>-247.11591220850482</v>
      </c>
      <c r="CR321" s="196">
        <f>(CR250-CQ250)</f>
        <v>89.038866026520395</v>
      </c>
      <c r="CS321" s="196">
        <f>(CS250-CR250)</f>
        <v>119.78372199359853</v>
      </c>
      <c r="CT321" s="196">
        <f>(CT250-CS250)</f>
        <v>136.49332418838594</v>
      </c>
      <c r="CU321" s="77">
        <f>SUM(CQ321:CT321)</f>
        <v>98.200000000000045</v>
      </c>
      <c r="CW321" s="196">
        <f>(CW250-CT250)</f>
        <v>-383.62429995706725</v>
      </c>
      <c r="CX321" s="196">
        <f>(CX250-CW250)</f>
        <v>194.21898583218046</v>
      </c>
      <c r="CY321" s="196">
        <f>(CY250-CX250)</f>
        <v>179.42327911081418</v>
      </c>
      <c r="CZ321" s="196">
        <f>(CZ250-CY250)</f>
        <v>325.68203501407265</v>
      </c>
      <c r="DA321" s="77">
        <f>SUM(CW321:CZ321)</f>
        <v>315.70000000000005</v>
      </c>
      <c r="DC321" s="196">
        <f>(DC250-CZ250)</f>
        <v>-21.245154185021875</v>
      </c>
      <c r="DD321" s="196">
        <f>(DD250-DC250)</f>
        <v>-24.212731277533294</v>
      </c>
      <c r="DE321" s="196">
        <f>(DE250-DD250)</f>
        <v>373.84726872246711</v>
      </c>
      <c r="DF321" s="196">
        <f>(DF250-DE250)</f>
        <v>410.01061674008815</v>
      </c>
      <c r="DG321" s="77">
        <f>SUM(DC321:DF321)</f>
        <v>738.40000000000009</v>
      </c>
      <c r="DI321" s="196">
        <f>(DI250-DF250)</f>
        <v>-446.04379868708952</v>
      </c>
      <c r="DJ321" s="196">
        <f>(DJ250-DI250)</f>
        <v>891.53189496717755</v>
      </c>
      <c r="DK321" s="196">
        <f>(DK250-DJ250)</f>
        <v>17.226774617067804</v>
      </c>
      <c r="DL321" s="196">
        <f>(DL250-DK250)</f>
        <v>-13.814870897156197</v>
      </c>
      <c r="DM321" s="77">
        <f>SUM(DI321:DL321)</f>
        <v>448.89999999999964</v>
      </c>
      <c r="DO321" s="196">
        <f>(DO250-DL250)</f>
        <v>175.73918507357394</v>
      </c>
      <c r="DP321" s="196">
        <f>(DP250-DO250)</f>
        <v>-1918.3989007314849</v>
      </c>
      <c r="DQ321" s="196">
        <f>(DQ250-DP250)</f>
        <v>-35.979861170786762</v>
      </c>
      <c r="DR321" s="196">
        <f>(DR250-DQ250)</f>
        <v>1560.7395768286979</v>
      </c>
      <c r="DS321" s="77">
        <f>SUM(DO321:DR321)</f>
        <v>-217.89999999999986</v>
      </c>
      <c r="DT321" s="196"/>
      <c r="DU321" s="196">
        <f>(DU250-DR250)</f>
        <v>-617.75264653237491</v>
      </c>
      <c r="DV321" s="196">
        <f>(DV250-DU250)</f>
        <v>-1199.5581279937905</v>
      </c>
      <c r="DW321" s="196">
        <f>(DW250-DV250)</f>
        <v>112.49985770056037</v>
      </c>
      <c r="DX321" s="196">
        <f>(DX250-DW250)</f>
        <v>2857.910916825605</v>
      </c>
      <c r="DY321" s="77">
        <f>SUM(DU321:DX321)</f>
        <v>1153.0999999999999</v>
      </c>
      <c r="EA321" s="196">
        <f>(EA250-DX250)</f>
        <v>-713.07052984574102</v>
      </c>
      <c r="EB321" s="196">
        <f>(EB250-EA250)</f>
        <v>-1881.8603374178365</v>
      </c>
      <c r="EC321" s="196">
        <f>(EC250-EB250)</f>
        <v>18.682831187504121</v>
      </c>
      <c r="ED321" s="196">
        <f>(ED250-EC250)</f>
        <v>2597.6480360760734</v>
      </c>
      <c r="EE321" s="77">
        <f>SUM(EA321:ED321)</f>
        <v>21.400000000000091</v>
      </c>
      <c r="EG321" s="196">
        <f>(EG250-ED250)</f>
        <v>-399.63473061619561</v>
      </c>
      <c r="EH321" s="196">
        <f>(EH250-EG250)</f>
        <v>-2821.0330471615825</v>
      </c>
      <c r="EI321" s="196">
        <f>(EI250-EH250)</f>
        <v>78.54000000000002</v>
      </c>
      <c r="EJ321" s="196">
        <f>(EJ250-EI250)</f>
        <v>9.6343356666665159</v>
      </c>
      <c r="EK321" s="77">
        <f>SUM(EG321:EJ321)</f>
        <v>-3132.4934421111116</v>
      </c>
      <c r="EQ321" s="198"/>
      <c r="ER321" s="198"/>
      <c r="ES321" s="198"/>
      <c r="EU321" s="114"/>
      <c r="EV321" s="77">
        <v>-71927</v>
      </c>
      <c r="EW321" s="77">
        <v>7231</v>
      </c>
      <c r="EX321" s="77">
        <f>I321</f>
        <v>121998</v>
      </c>
      <c r="EY321" s="77">
        <f>O321</f>
        <v>3406</v>
      </c>
      <c r="EZ321" s="77">
        <f>U321</f>
        <v>-8916</v>
      </c>
      <c r="FA321" s="77">
        <f>AA321</f>
        <v>44042</v>
      </c>
      <c r="FB321" s="77">
        <f>AG321</f>
        <v>-94375</v>
      </c>
      <c r="FC321" s="77">
        <f>AM321</f>
        <v>-12536</v>
      </c>
      <c r="FD321" s="77">
        <f>AS321</f>
        <v>-349171</v>
      </c>
      <c r="FE321" s="77">
        <f>AY321</f>
        <v>111128</v>
      </c>
      <c r="FF321" s="77">
        <f>BE321</f>
        <v>444080.03899999999</v>
      </c>
      <c r="FG321" s="196">
        <f>BK321</f>
        <v>436.93899999999996</v>
      </c>
      <c r="FH321" s="196">
        <f>BQ321</f>
        <v>-129.69999999999999</v>
      </c>
      <c r="FI321" s="196">
        <f>BW321</f>
        <v>-77.300000000000011</v>
      </c>
      <c r="FJ321" s="196">
        <f>CC321</f>
        <v>174.30000000000007</v>
      </c>
      <c r="FK321" s="196">
        <f>CI321</f>
        <v>244.09999999999991</v>
      </c>
      <c r="FL321" s="196">
        <f>CO321</f>
        <v>126.70000000000005</v>
      </c>
      <c r="FM321" s="77">
        <f>CU321</f>
        <v>98.200000000000045</v>
      </c>
      <c r="FN321" s="77">
        <f>DA321</f>
        <v>315.70000000000005</v>
      </c>
      <c r="FO321" s="77">
        <f>DG321</f>
        <v>738.40000000000009</v>
      </c>
      <c r="FP321" s="77">
        <f>DM321</f>
        <v>448.89999999999964</v>
      </c>
      <c r="FQ321" s="77">
        <f>DS321</f>
        <v>-217.89999999999986</v>
      </c>
      <c r="FR321" s="77">
        <f>DY321</f>
        <v>1153.0999999999999</v>
      </c>
      <c r="FS321" s="77">
        <f>EE321</f>
        <v>21.400000000000091</v>
      </c>
      <c r="FT321" s="77">
        <f>EK321</f>
        <v>-3132.4934421111116</v>
      </c>
      <c r="FU321" s="196">
        <f>(FU250-FT250)</f>
        <v>203.97311069444447</v>
      </c>
      <c r="FV321" s="196">
        <f>(FV250-FU250)</f>
        <v>539.33735464465008</v>
      </c>
      <c r="FW321" s="196">
        <f>(FW250-FV250)</f>
        <v>-435.4675787835389</v>
      </c>
      <c r="FX321" s="196">
        <f>(FX250-FW250)</f>
        <v>117.11944444444441</v>
      </c>
    </row>
    <row r="322" spans="2:180" x14ac:dyDescent="0.25">
      <c r="B322" s="198" t="s">
        <v>164</v>
      </c>
      <c r="C322" s="74"/>
      <c r="D322" s="74"/>
      <c r="E322" s="196"/>
      <c r="F322" s="196"/>
      <c r="G322" s="196"/>
      <c r="H322" s="196"/>
      <c r="I322" s="196">
        <v>-3543</v>
      </c>
      <c r="J322" s="74"/>
      <c r="K322" s="196">
        <f>K318-K319-K320-K321</f>
        <v>-98707.577777777798</v>
      </c>
      <c r="L322" s="196">
        <f>L318-L319-L320-L321</f>
        <v>74092.177777777833</v>
      </c>
      <c r="M322" s="196">
        <f>M318-M319-M320-M321</f>
        <v>-126354.26666666666</v>
      </c>
      <c r="N322" s="196">
        <f>O322-M322-L322-K322</f>
        <v>257126.66666666663</v>
      </c>
      <c r="O322" s="196">
        <v>106157</v>
      </c>
      <c r="P322" s="74"/>
      <c r="Q322" s="196">
        <f>Q318-Q319-Q320-Q321</f>
        <v>19654.36666666664</v>
      </c>
      <c r="R322" s="196">
        <f>R318-R319-R320-R321</f>
        <v>227388.24444444448</v>
      </c>
      <c r="S322" s="196">
        <f>S318-S319-S320-S321</f>
        <v>-264219.44444444444</v>
      </c>
      <c r="T322" s="196">
        <f>U322-S322-R322-Q322</f>
        <v>237086.83333333331</v>
      </c>
      <c r="U322" s="196">
        <v>219910</v>
      </c>
      <c r="W322" s="196">
        <f>W318-W319-W320-W321</f>
        <v>-34723.311111111077</v>
      </c>
      <c r="X322" s="196">
        <f>X318-X319-X320-X321</f>
        <v>38460.733333333308</v>
      </c>
      <c r="Y322" s="196">
        <f>Y318-Y319-Y320-Y321</f>
        <v>85527.077777777769</v>
      </c>
      <c r="Z322" s="196">
        <f>Z318-Z319-Z320-Z321</f>
        <v>-20140.5</v>
      </c>
      <c r="AA322" s="196">
        <f>W322+X322+Y322+Z322</f>
        <v>69124</v>
      </c>
      <c r="AC322" s="196">
        <f>AC318-AC319-AC320-AC321</f>
        <v>182204.46666666667</v>
      </c>
      <c r="AD322" s="196">
        <f>AD318-AD319-AD320-AD321</f>
        <v>-326325.59999999998</v>
      </c>
      <c r="AE322" s="196">
        <f>AE318-AE319-AE320-AE321</f>
        <v>-50106.022222222207</v>
      </c>
      <c r="AF322" s="196">
        <f>(AF254-AE254)-(AF243-AE243+AF242-AE242)</f>
        <v>-315982</v>
      </c>
      <c r="AG322" s="196">
        <f>-76342-158277-24725</f>
        <v>-259344</v>
      </c>
      <c r="AI322" s="196">
        <f>AI318-AI319-AI320-AI321</f>
        <v>-193900.11111111112</v>
      </c>
      <c r="AJ322" s="196">
        <f>AJ318-AJ319-AJ320-AJ321</f>
        <v>50365.666666666657</v>
      </c>
      <c r="AK322" s="196">
        <f>AK318-AK319-AK320-AK321</f>
        <v>24737.999999999985</v>
      </c>
      <c r="AL322" s="196">
        <f>AL318-AL319-AL320-AL321</f>
        <v>29168.444444444467</v>
      </c>
      <c r="AM322" s="196">
        <f>AM318-AM319-AM320-AM321</f>
        <v>-79248</v>
      </c>
      <c r="AO322" s="196">
        <f>AO318-AO319-AO320-AO321</f>
        <v>341675.22222222225</v>
      </c>
      <c r="AP322" s="196">
        <f>AP318-AP319-AP320-AP321</f>
        <v>347827.77777777787</v>
      </c>
      <c r="AQ322" s="196">
        <f>AQ318-AQ319-AQ320-AQ321</f>
        <v>330638.88888888888</v>
      </c>
      <c r="AR322" s="196">
        <f>AR318-AR319-AR320-AR321</f>
        <v>269622.11111111107</v>
      </c>
      <c r="AS322" s="196">
        <f>AR322+AQ322+AP322+AO322</f>
        <v>1289764</v>
      </c>
      <c r="AU322" s="196">
        <f>AU318-AU319-AU320-AU321</f>
        <v>503966.77777777781</v>
      </c>
      <c r="AV322" s="196">
        <f>AV318-AV319-AV320-AV321</f>
        <v>-88444.444444444438</v>
      </c>
      <c r="AW322" s="196">
        <f>AW318-AW319-AW320-AW321</f>
        <v>-364683.33333333337</v>
      </c>
      <c r="AX322" s="196">
        <f>AX318-AX319-AX320-AX321</f>
        <v>8519</v>
      </c>
      <c r="AY322" s="196">
        <f>AX322+AW322+AV322+AU322</f>
        <v>59358</v>
      </c>
      <c r="BA322" s="196">
        <f>BA318-BA321-BA320-BA319</f>
        <v>-566323.92777777778</v>
      </c>
      <c r="BB322" s="196">
        <f>BB318-BB321-BB320-BB319</f>
        <v>-351457.68333333335</v>
      </c>
      <c r="BC322" s="196">
        <f>BC318-BC319-BC320-BC321</f>
        <v>7561.5111111111109</v>
      </c>
      <c r="BD322" s="196">
        <f>BD318-BD319-BD320-BD321</f>
        <v>-2749197.639</v>
      </c>
      <c r="BE322" s="196">
        <f>BD322+BC322+BB322+BA322</f>
        <v>-3659417.7390000005</v>
      </c>
      <c r="BG322" s="196">
        <f>BG318-SUM(BG319:BG321)</f>
        <v>-233.93900000000005</v>
      </c>
      <c r="BH322" s="196">
        <f>BH318-SUM(BH319:BH321)</f>
        <v>332.69999999999987</v>
      </c>
      <c r="BI322" s="196">
        <f>BI318-SUM(BI319:BI321)</f>
        <v>-286.59999999999957</v>
      </c>
      <c r="BJ322" s="196">
        <f>BJ318-SUM(BJ319:BJ321)</f>
        <v>158.29999999999978</v>
      </c>
      <c r="BK322" s="77">
        <f>SUM(BG322:BJ322)</f>
        <v>-29.538999999999959</v>
      </c>
      <c r="BM322" s="196">
        <f>BM318-SUM(BM319:BM321)</f>
        <v>-144.30000000000013</v>
      </c>
      <c r="BN322" s="196">
        <f>BN318-SUM(BN319:BN321)</f>
        <v>36.899999999999977</v>
      </c>
      <c r="BO322" s="196">
        <f>BO318-SUM(BO319:BO321)</f>
        <v>-211.9999999999996</v>
      </c>
      <c r="BP322" s="196">
        <f>BP318-SUM(BP319:BP321)</f>
        <v>172.89999999999992</v>
      </c>
      <c r="BQ322" s="77">
        <f>SUM(BM322:BP322)</f>
        <v>-146.49999999999983</v>
      </c>
      <c r="BS322" s="196">
        <f>BS318-SUM(BS319:BS321)</f>
        <v>-164.30000000000024</v>
      </c>
      <c r="BT322" s="196">
        <f>BT318-SUM(BT319:BT321)</f>
        <v>-217.40000000000015</v>
      </c>
      <c r="BU322" s="196">
        <f>BU318-SUM(BU319:BU321)</f>
        <v>-123.39999999999974</v>
      </c>
      <c r="BV322" s="196">
        <f>BV318-SUM(BV319:BV321)</f>
        <v>374.89999999999981</v>
      </c>
      <c r="BW322" s="77">
        <f>SUM(BS322:BV322)</f>
        <v>-130.20000000000033</v>
      </c>
      <c r="BY322" s="196">
        <f>BY318-SUM(BY319:BY321)</f>
        <v>-433.49999999999983</v>
      </c>
      <c r="BZ322" s="196">
        <f>BZ318-SUM(BZ319:BZ321)</f>
        <v>-130.89999999999992</v>
      </c>
      <c r="CA322" s="196">
        <f>CA318-SUM(CA319:CA321)</f>
        <v>-331.29999999999995</v>
      </c>
      <c r="CB322" s="196">
        <f>CB318-SUM(CB319:CB321)</f>
        <v>530.19999999999993</v>
      </c>
      <c r="CC322" s="77">
        <f>SUM(BY322:CB322)</f>
        <v>-365.49999999999977</v>
      </c>
      <c r="CE322" s="196">
        <f>CE318-SUM(CE319:CE321)</f>
        <v>-584.10000000000025</v>
      </c>
      <c r="CF322" s="196">
        <f>CF318-SUM(CF319:CF321)</f>
        <v>194.50000000000023</v>
      </c>
      <c r="CG322" s="196">
        <f>CG318-SUM(CG319:CG321)</f>
        <v>137.39999999999998</v>
      </c>
      <c r="CH322" s="196">
        <f>CH318-SUM(CH319:CH321)</f>
        <v>283.59999999999991</v>
      </c>
      <c r="CI322" s="77">
        <f>SUM(CE322:CH322)</f>
        <v>31.399999999999864</v>
      </c>
      <c r="CK322" s="196">
        <f>CK318-SUM(CK319:CK321)</f>
        <v>-556.69999999999982</v>
      </c>
      <c r="CL322" s="196">
        <f>CL318-SUM(CL319:CL321)</f>
        <v>-804.69308578745199</v>
      </c>
      <c r="CM322" s="196">
        <f>CM318-SUM(CM319:CM321)</f>
        <v>499.03098591549258</v>
      </c>
      <c r="CN322" s="196">
        <f>CN318-SUM(CN319:CN321)</f>
        <v>926.86209987195934</v>
      </c>
      <c r="CO322" s="77">
        <f>SUM(CK322:CN322)</f>
        <v>64.500000000000114</v>
      </c>
      <c r="CQ322" s="196">
        <f>CQ318-SUM(CQ319:CQ321)</f>
        <v>-274.28408779149504</v>
      </c>
      <c r="CR322" s="196">
        <f>CR318-SUM(CR319:CR321)</f>
        <v>-358.83886602652058</v>
      </c>
      <c r="CS322" s="196">
        <f>CS318-SUM(CS319:CS321)</f>
        <v>-415.98372199359869</v>
      </c>
      <c r="CT322" s="196">
        <f>CT318-SUM(CT319:CT321)</f>
        <v>1684.0066758116138</v>
      </c>
      <c r="CU322" s="77">
        <f>SUM(CQ322:CT322)</f>
        <v>634.89999999999941</v>
      </c>
      <c r="CW322" s="196">
        <f>CW318-SUM(CW319:CW321)</f>
        <v>-215.37570004293229</v>
      </c>
      <c r="CX322" s="196">
        <f>CX318-SUM(CX319:CX321)</f>
        <v>-363.4189858321804</v>
      </c>
      <c r="CY322" s="196">
        <f>CY318-SUM(CY319:CY321)</f>
        <v>-477.8232791108145</v>
      </c>
      <c r="CZ322" s="196">
        <f>CZ318-SUM(CZ319:CZ321)</f>
        <v>1556.2179649859268</v>
      </c>
      <c r="DA322" s="77">
        <f>SUM(CW322:CZ322)</f>
        <v>499.59999999999945</v>
      </c>
      <c r="DC322" s="196">
        <f>DC318-SUM(DC319:DC321)</f>
        <v>-1266.4548458149777</v>
      </c>
      <c r="DD322" s="196">
        <f>DD318-SUM(DD319:DD321)</f>
        <v>3280.0127312775335</v>
      </c>
      <c r="DE322" s="196">
        <f>DE318-SUM(DE319:DE321)</f>
        <v>350.85273127753271</v>
      </c>
      <c r="DF322" s="196">
        <f>DF318-SUM(DF319:DF321)</f>
        <v>4117.1893832599117</v>
      </c>
      <c r="DG322" s="77">
        <f>SUM(DC322:DF322)</f>
        <v>6481.6</v>
      </c>
      <c r="DI322" s="196">
        <f>DI318-SUM(DI319:DI321)</f>
        <v>407.94379868708961</v>
      </c>
      <c r="DJ322" s="196">
        <f>DJ318-SUM(DJ319:DJ321)</f>
        <v>2321.1681050328225</v>
      </c>
      <c r="DK322" s="196">
        <f>DK318-SUM(DK319:DK321)</f>
        <v>553.37322538293188</v>
      </c>
      <c r="DL322" s="196">
        <f>DL318-SUM(DL319:DL321)</f>
        <v>3026.1148708971564</v>
      </c>
      <c r="DM322" s="77">
        <f>SUM(DI322:DL322)</f>
        <v>6308.6</v>
      </c>
      <c r="DO322" s="196">
        <f>DO318-SUM(DO319:DO321)</f>
        <v>-3314.139185073574</v>
      </c>
      <c r="DP322" s="196">
        <f>DP318-SUM(DP319:DP321)</f>
        <v>932.99890073148458</v>
      </c>
      <c r="DQ322" s="196">
        <f>DQ318-SUM(DQ319:DQ321)</f>
        <v>-286.02013882921278</v>
      </c>
      <c r="DR322" s="196">
        <f>DR318-SUM(DR319:DR321)</f>
        <v>-117.23957682869673</v>
      </c>
      <c r="DS322" s="77">
        <f>SUM(DO322:DR322)</f>
        <v>-2784.3999999999987</v>
      </c>
      <c r="DT322" s="196"/>
      <c r="DU322" s="196">
        <f>DU318-SUM(DU319:DU321)</f>
        <v>-916.04735346762618</v>
      </c>
      <c r="DV322" s="196">
        <f>DV318-SUM(DV319:DV321)</f>
        <v>2194.5581279937901</v>
      </c>
      <c r="DW322" s="196">
        <f>DW318-SUM(DW319:DW321)</f>
        <v>-367.09985770055937</v>
      </c>
      <c r="DX322" s="196">
        <f>DX318-SUM(DX319:DX321)</f>
        <v>2172.9890831743946</v>
      </c>
      <c r="DY322" s="77">
        <f>SUM(DU322:DX322)</f>
        <v>3084.3999999999992</v>
      </c>
      <c r="EA322" s="196">
        <f>EA318-SUM(EA319:EA321)</f>
        <v>-1834.5294701542584</v>
      </c>
      <c r="EB322" s="196">
        <f>EB318-SUM(EB319:EB321)</f>
        <v>922.26033741783476</v>
      </c>
      <c r="EC322" s="196">
        <f>EC318-SUM(EC319:EC321)</f>
        <v>-1367.5828311875034</v>
      </c>
      <c r="ED322" s="196">
        <f>ED318-SUM(ED319:ED321)</f>
        <v>2368.2519639239263</v>
      </c>
      <c r="EE322" s="77">
        <f>SUM(EA322:ED322)</f>
        <v>88.399999999999181</v>
      </c>
      <c r="EG322" s="249">
        <f>-(EG243-ED243)+(EG253-ED253)</f>
        <v>1778.4004191848589</v>
      </c>
      <c r="EH322" s="249">
        <f>-(EH243-EG243)+(EH253-EG253)</f>
        <v>0</v>
      </c>
      <c r="EI322" s="249">
        <f>-(EI243-EH243)+(EI253-EH253)</f>
        <v>0</v>
      </c>
      <c r="EJ322" s="249">
        <f>-(EJ243-EI243)+(EJ253-EI253)</f>
        <v>0</v>
      </c>
      <c r="EK322" s="77">
        <f>SUM(EG322:EJ322)</f>
        <v>1778.4004191848589</v>
      </c>
      <c r="EM322" s="180" t="s">
        <v>661</v>
      </c>
      <c r="EQ322" s="198"/>
      <c r="ER322" s="198"/>
      <c r="ES322" s="198"/>
      <c r="EU322" s="114"/>
      <c r="EV322" s="77">
        <f>31365-41683-25759</f>
        <v>-36077</v>
      </c>
      <c r="EW322" s="77">
        <f>44945+-8948+164826</f>
        <v>200823</v>
      </c>
      <c r="EX322" s="77">
        <f>I322</f>
        <v>-3543</v>
      </c>
      <c r="EY322" s="77">
        <f>O322</f>
        <v>106157</v>
      </c>
      <c r="EZ322" s="77">
        <f>U322</f>
        <v>219910</v>
      </c>
      <c r="FA322" s="77">
        <f>AA322</f>
        <v>69124</v>
      </c>
      <c r="FB322" s="77">
        <f>AG322</f>
        <v>-259344</v>
      </c>
      <c r="FC322" s="77">
        <f>AM322</f>
        <v>-79248</v>
      </c>
      <c r="FD322" s="77">
        <f>AS322</f>
        <v>1289764</v>
      </c>
      <c r="FE322" s="77">
        <f>AY322</f>
        <v>59358</v>
      </c>
      <c r="FF322" s="77">
        <f>BE322</f>
        <v>-3659417.7390000005</v>
      </c>
      <c r="FG322" s="196">
        <f>BK322</f>
        <v>-29.538999999999959</v>
      </c>
      <c r="FH322" s="196">
        <f>BQ322</f>
        <v>-146.49999999999983</v>
      </c>
      <c r="FI322" s="196">
        <f>BW322</f>
        <v>-130.20000000000033</v>
      </c>
      <c r="FJ322" s="196">
        <f>CC322</f>
        <v>-365.49999999999977</v>
      </c>
      <c r="FK322" s="196">
        <f>CI322</f>
        <v>31.399999999999864</v>
      </c>
      <c r="FL322" s="196">
        <f>CO322</f>
        <v>64.500000000000114</v>
      </c>
      <c r="FM322" s="77">
        <f>CU322</f>
        <v>634.89999999999941</v>
      </c>
      <c r="FN322" s="77">
        <f>DA322</f>
        <v>499.59999999999945</v>
      </c>
      <c r="FO322" s="77">
        <f>DG322</f>
        <v>6481.6</v>
      </c>
      <c r="FP322" s="77">
        <f>DM322</f>
        <v>6308.6</v>
      </c>
      <c r="FQ322" s="77">
        <f>DS322</f>
        <v>-2784.3999999999987</v>
      </c>
      <c r="FR322" s="77">
        <f>DY322</f>
        <v>3084.3999999999992</v>
      </c>
      <c r="FS322" s="77">
        <f>EE322</f>
        <v>88.399999999999181</v>
      </c>
      <c r="FT322" s="77">
        <f>EK322</f>
        <v>1778.4004191848589</v>
      </c>
      <c r="FU322" s="196">
        <f>-(FU243-FT243)+(FU253-FT253)</f>
        <v>0</v>
      </c>
      <c r="FV322" s="196">
        <f>-(FV243-FU243)+(FV253-FU253)</f>
        <v>0</v>
      </c>
      <c r="FW322" s="196">
        <f>-(FW243-FV243)+(FW253-FV253)</f>
        <v>0</v>
      </c>
      <c r="FX322" s="196">
        <f>-(FX243-FW243)+(FX253-FW253)</f>
        <v>0</v>
      </c>
    </row>
    <row r="323" spans="2:180" x14ac:dyDescent="0.25">
      <c r="B323" s="74" t="s">
        <v>310</v>
      </c>
      <c r="C323" s="74"/>
      <c r="D323" s="74"/>
      <c r="E323" s="87"/>
      <c r="F323" s="87"/>
      <c r="G323" s="87"/>
      <c r="H323" s="87"/>
      <c r="I323" s="87">
        <f>I306+I316+I318</f>
        <v>257147</v>
      </c>
      <c r="J323" s="74"/>
      <c r="K323" s="87">
        <f>K306+K316+K318</f>
        <v>-580133.32000000007</v>
      </c>
      <c r="L323" s="87">
        <f>L306+L316+L318</f>
        <v>-537700.73499999999</v>
      </c>
      <c r="M323" s="87">
        <f>M306+M316+M318</f>
        <v>-359304.84700000001</v>
      </c>
      <c r="N323" s="87">
        <f>N306+N316+N318</f>
        <v>2190649.9019999998</v>
      </c>
      <c r="O323" s="87">
        <f>O306+O316+O318</f>
        <v>713511</v>
      </c>
      <c r="P323" s="74"/>
      <c r="Q323" s="87">
        <f>Q306+Q316+Q318</f>
        <v>-847796.61</v>
      </c>
      <c r="R323" s="87">
        <f>R306+R316+R318</f>
        <v>-610807.24600000004</v>
      </c>
      <c r="S323" s="87">
        <f>S306+S316+S318</f>
        <v>-955281.56700000004</v>
      </c>
      <c r="T323" s="87">
        <f>T306+T316+T318</f>
        <v>2891392.423</v>
      </c>
      <c r="U323" s="87">
        <f>U306+U316+U318</f>
        <v>477507</v>
      </c>
      <c r="W323" s="87">
        <f>W306+W316+W318</f>
        <v>-783633.75699999998</v>
      </c>
      <c r="X323" s="87">
        <f>X306+X316+X318</f>
        <v>-657553.77800000005</v>
      </c>
      <c r="Y323" s="87">
        <f>Y306+Y316+Y318</f>
        <v>-759109.62600000005</v>
      </c>
      <c r="Z323" s="87">
        <f>Z306+Z316+Z318</f>
        <v>-899797.11300000001</v>
      </c>
      <c r="AA323" s="87">
        <f>AA306+AA316+AA318</f>
        <v>-3108339.2740000002</v>
      </c>
      <c r="AC323" s="87">
        <f>AC306+AC316+AC318</f>
        <v>-650936.79200000002</v>
      </c>
      <c r="AD323" s="87">
        <f>AD306+AD316+AD318</f>
        <v>-713335.84299999999</v>
      </c>
      <c r="AE323" s="87">
        <f>AE306+AE316+AE318</f>
        <v>-650586.50699999998</v>
      </c>
      <c r="AF323" s="87">
        <f>AF306+AF316+AF318</f>
        <v>-655119.17999999993</v>
      </c>
      <c r="AG323" s="87">
        <f>AG306+AG316+AG318</f>
        <v>-2669978.3219999997</v>
      </c>
      <c r="AI323" s="87">
        <f>AI306+AI316+AI318</f>
        <v>-101200.375</v>
      </c>
      <c r="AJ323" s="87">
        <f>AJ306+AJ316+AJ318</f>
        <v>-205288.40000000002</v>
      </c>
      <c r="AK323" s="87">
        <f>AK306+AK316+AK318</f>
        <v>-620117.728</v>
      </c>
      <c r="AL323" s="87">
        <f>AL306+AL316+AL318</f>
        <v>-560936.43400000001</v>
      </c>
      <c r="AM323" s="87">
        <f>AM306+AM316+AM318</f>
        <v>-1496702.9369999999</v>
      </c>
      <c r="AO323" s="87">
        <f>AO306+AO316+AO318</f>
        <v>-699958.2</v>
      </c>
      <c r="AP323" s="87">
        <f>AP306+AP316+AP318</f>
        <v>-874631.3</v>
      </c>
      <c r="AQ323" s="87">
        <f>AQ306+AQ316+AQ318</f>
        <v>-771324</v>
      </c>
      <c r="AR323" s="87">
        <f>AR306+AR316+AR318</f>
        <v>-1217478.6000000001</v>
      </c>
      <c r="AS323" s="87">
        <f>AS306+AS316+AS318</f>
        <v>-3563392.1</v>
      </c>
      <c r="AU323" s="87">
        <f>AU306+AU316+AU318</f>
        <v>-350147.80000000005</v>
      </c>
      <c r="AV323" s="87">
        <f>AV306+AV316+AV318</f>
        <v>-1028570.6000000001</v>
      </c>
      <c r="AW323" s="87">
        <f>AW306+AW316+AW318</f>
        <v>-1118841.5</v>
      </c>
      <c r="AX323" s="87">
        <f>AX306+AX316+AX318</f>
        <v>-1077289.1000000001</v>
      </c>
      <c r="AY323" s="87">
        <f>AY306+AY316+AY318</f>
        <v>-3574849.0000000005</v>
      </c>
      <c r="BA323" s="87">
        <f>BA306+BA316+BA318</f>
        <v>113882</v>
      </c>
      <c r="BB323" s="87">
        <f>BB306+BB316+BB318</f>
        <v>-217508.1</v>
      </c>
      <c r="BC323" s="87">
        <f>BC306+BC316+BC318</f>
        <v>214874.7</v>
      </c>
      <c r="BD323" s="87">
        <f>BD306+BD316+BD318</f>
        <v>-552902.30000000005</v>
      </c>
      <c r="BE323" s="87">
        <f>BE306+BE316+BE318</f>
        <v>-441653.7</v>
      </c>
      <c r="BG323" s="87">
        <f>BG306+BG316+BG318</f>
        <v>-56.300000000000097</v>
      </c>
      <c r="BH323" s="87">
        <f>BH306+BH316+BH318</f>
        <v>481.29999999999995</v>
      </c>
      <c r="BI323" s="87">
        <f>BI306+BI316+BI318</f>
        <v>107.40000000000012</v>
      </c>
      <c r="BJ323" s="87">
        <f>BJ306+BJ316+BJ318</f>
        <v>521.80000000000041</v>
      </c>
      <c r="BK323" s="87">
        <f>BK306+BK316+BK318</f>
        <v>1054.2000000000003</v>
      </c>
      <c r="BM323" s="87">
        <f>BM306+BM316+BM318</f>
        <v>203.40000000000003</v>
      </c>
      <c r="BN323" s="87">
        <f>BN306+BN316+BN318</f>
        <v>198.39999999999986</v>
      </c>
      <c r="BO323" s="87">
        <f>BO306+BO316+BO318</f>
        <v>214.2</v>
      </c>
      <c r="BP323" s="87">
        <f>BP306+BP316+BP318</f>
        <v>409.2</v>
      </c>
      <c r="BQ323" s="87">
        <f>BQ306+BQ316+BQ318</f>
        <v>1025.1999999999998</v>
      </c>
      <c r="BS323" s="87">
        <f>BS306+BS316+BS318</f>
        <v>337.20000000000005</v>
      </c>
      <c r="BT323" s="87">
        <f>BT306+BT316+BT318</f>
        <v>283.7999999999999</v>
      </c>
      <c r="BU323" s="87">
        <f>BU306+BU316+BU318</f>
        <v>419.79999999999967</v>
      </c>
      <c r="BV323" s="87">
        <f>BV306+BV316+BV318</f>
        <v>984.69999999999982</v>
      </c>
      <c r="BW323" s="87">
        <f>BW306+BW316+BW318</f>
        <v>2025.4999999999995</v>
      </c>
      <c r="BY323" s="87">
        <f>BY306+BY316+BY318</f>
        <v>-5.8000000000002387</v>
      </c>
      <c r="BZ323" s="87">
        <f>BZ306+BZ316+BZ318</f>
        <v>481.1</v>
      </c>
      <c r="CA323" s="87">
        <f>CA306+CA316+CA318</f>
        <v>-2.6999999999999318</v>
      </c>
      <c r="CB323" s="87">
        <f>CB306+CB316+CB318</f>
        <v>1043.6999999999998</v>
      </c>
      <c r="CC323" s="87">
        <f>CC306+CC316+CC318</f>
        <v>1516.2999999999997</v>
      </c>
      <c r="CE323" s="87">
        <f>CE306+CE316+CE318</f>
        <v>-168.39999999999998</v>
      </c>
      <c r="CF323" s="87">
        <f>CF306+CF316+CF318</f>
        <v>530.29999999999995</v>
      </c>
      <c r="CG323" s="87">
        <f>CG306+CG316+CG318</f>
        <v>400</v>
      </c>
      <c r="CH323" s="87">
        <f>CH306+CH316+CH318</f>
        <v>1056.4000000000001</v>
      </c>
      <c r="CI323" s="87">
        <f>CI306+CI316+CI318</f>
        <v>1818.3</v>
      </c>
      <c r="CK323" s="87">
        <f>CK306+CK316+CK318</f>
        <v>185.09999999999991</v>
      </c>
      <c r="CL323" s="87">
        <f>CL306+CL316+CL318</f>
        <v>754.5</v>
      </c>
      <c r="CM323" s="87">
        <f>CM306+CM316+CM318</f>
        <v>486.6999999999997</v>
      </c>
      <c r="CN323" s="87">
        <f>CN306+CN316+CN318</f>
        <v>1646.4</v>
      </c>
      <c r="CO323" s="87">
        <f>CO306+CO316+CO318</f>
        <v>3072.6999999999994</v>
      </c>
      <c r="CQ323" s="87">
        <f>CQ306+CQ316+CQ318</f>
        <v>-480.79999999999995</v>
      </c>
      <c r="CR323" s="87">
        <f>CR306+CR316+CR318</f>
        <v>99.500000000000114</v>
      </c>
      <c r="CS323" s="87">
        <f>CS306+CS316+CS318</f>
        <v>69.400000000000205</v>
      </c>
      <c r="CT323" s="87">
        <f>CT306+CT316+CT318</f>
        <v>3588.1999999999994</v>
      </c>
      <c r="CU323" s="87">
        <f>CU306+CU316+CU318</f>
        <v>3276.2999999999997</v>
      </c>
      <c r="CW323" s="87">
        <f>CW306+CW316+CW318</f>
        <v>-605.80000000000018</v>
      </c>
      <c r="CX323" s="87">
        <f>CX306+CX316+CX318</f>
        <v>371.89999999999986</v>
      </c>
      <c r="CY323" s="87">
        <f>CY306+CY316+CY318</f>
        <v>191.10000000000014</v>
      </c>
      <c r="CZ323" s="87">
        <f>CZ306+CZ316+CZ318</f>
        <v>4670.3</v>
      </c>
      <c r="DA323" s="87">
        <f>DA306+DA316+DA318</f>
        <v>4627.4999999999991</v>
      </c>
      <c r="DC323" s="87">
        <f>DC306+DC316+DC318</f>
        <v>-941.70000000000027</v>
      </c>
      <c r="DD323" s="87">
        <f>DD306+DD316+DD318</f>
        <v>3568.9000000000005</v>
      </c>
      <c r="DE323" s="87">
        <f>DE306+DE316+DE318</f>
        <v>1801.6</v>
      </c>
      <c r="DF323" s="87">
        <f>DF306+DF316+DF318</f>
        <v>6417</v>
      </c>
      <c r="DG323" s="87">
        <f>DG306+DG316+DG318</f>
        <v>10845.800000000001</v>
      </c>
      <c r="DI323" s="87">
        <f>DI306+DI316+DI318</f>
        <v>-586.10000000000048</v>
      </c>
      <c r="DJ323" s="87">
        <f>DJ306+DJ316+DJ318</f>
        <v>2552.9</v>
      </c>
      <c r="DK323" s="87">
        <f>DK306+DK316+DK318</f>
        <v>1169.4999999999993</v>
      </c>
      <c r="DL323" s="87">
        <f>DL306+DL316+DL318</f>
        <v>5350.5</v>
      </c>
      <c r="DM323" s="87">
        <f>DM306+DM316+DM318</f>
        <v>8486.7999999999993</v>
      </c>
      <c r="DO323" s="87">
        <f>DO306+DO316+DO318</f>
        <v>733.60000000000082</v>
      </c>
      <c r="DP323" s="87">
        <f>DP306+DP316+DP318</f>
        <v>384.69999999999959</v>
      </c>
      <c r="DQ323" s="87">
        <f>DQ306+DQ316+DQ318</f>
        <v>1128.0999999999995</v>
      </c>
      <c r="DR323" s="87">
        <f>DR306+DR316+DR318</f>
        <v>3197</v>
      </c>
      <c r="DS323" s="87">
        <f>DS306+DS316+DS318</f>
        <v>5443.4000000000005</v>
      </c>
      <c r="DT323" s="87"/>
      <c r="DU323" s="87">
        <f>DU306+DU316+DU318</f>
        <v>-251.90000000000009</v>
      </c>
      <c r="DV323" s="87">
        <f>DV306+DV316+DV318</f>
        <v>923.3999999999993</v>
      </c>
      <c r="DW323" s="87">
        <f>DW306+DW316+DW318</f>
        <v>949.90000000000009</v>
      </c>
      <c r="DX323" s="87">
        <f>DX306+DX316+DX318</f>
        <v>9544.7999999999993</v>
      </c>
      <c r="DY323" s="87">
        <f>DY306+DY316+DY318</f>
        <v>11166.199999999997</v>
      </c>
      <c r="EA323" s="87">
        <f>EA306+EA316+EA318</f>
        <v>-58.600000000000364</v>
      </c>
      <c r="EB323" s="87">
        <f>EB306+EB316+EB318</f>
        <v>747.70000000000118</v>
      </c>
      <c r="EC323" s="87">
        <f>EC306+EC316+EC318</f>
        <v>559.10000000000014</v>
      </c>
      <c r="ED323" s="87">
        <f>ED306+ED316+ED318</f>
        <v>11410.3</v>
      </c>
      <c r="EE323" s="87">
        <f>EE306+EE316+EE318</f>
        <v>12658.500000000002</v>
      </c>
      <c r="EG323" s="87">
        <f>EG306+EG316+EG318</f>
        <v>-2185.6000000000004</v>
      </c>
      <c r="EH323" s="87">
        <f>EH306+EH316+EH318</f>
        <v>-1634.869849152708</v>
      </c>
      <c r="EI323" s="87">
        <f>EI306+EI316+EI318</f>
        <v>1119.6076922540578</v>
      </c>
      <c r="EJ323" s="87">
        <f>EJ306+EJ316+EJ318</f>
        <v>7260.0026723074534</v>
      </c>
      <c r="EK323" s="87">
        <f>EK306+EK316+EK318</f>
        <v>9434.2062039774646</v>
      </c>
      <c r="EQ323" s="74"/>
      <c r="ER323" s="74"/>
      <c r="ES323" s="74"/>
      <c r="ET323" s="74"/>
      <c r="EU323" s="114"/>
      <c r="EV323" s="87">
        <f t="shared" ref="EV323:FE323" si="333">EV306+EV316+EV318</f>
        <v>-61127</v>
      </c>
      <c r="EW323" s="87">
        <f t="shared" si="333"/>
        <v>532659</v>
      </c>
      <c r="EX323" s="87">
        <f t="shared" si="333"/>
        <v>257147</v>
      </c>
      <c r="EY323" s="87">
        <f t="shared" si="333"/>
        <v>713511</v>
      </c>
      <c r="EZ323" s="87">
        <f t="shared" si="333"/>
        <v>477507</v>
      </c>
      <c r="FA323" s="87">
        <f t="shared" si="333"/>
        <v>-3108339.2740000002</v>
      </c>
      <c r="FB323" s="87">
        <f t="shared" si="333"/>
        <v>-2669978.3219999997</v>
      </c>
      <c r="FC323" s="87">
        <f t="shared" si="333"/>
        <v>-1496702.9369999999</v>
      </c>
      <c r="FD323" s="87">
        <f t="shared" si="333"/>
        <v>-3563392.1</v>
      </c>
      <c r="FE323" s="87">
        <f t="shared" si="333"/>
        <v>-3574849.0000000005</v>
      </c>
      <c r="FF323" s="87">
        <f t="shared" ref="FF323:FS323" si="334">FF306+FF316+FF318</f>
        <v>-441653.7</v>
      </c>
      <c r="FG323" s="87">
        <f t="shared" si="334"/>
        <v>1054.2000000000003</v>
      </c>
      <c r="FH323" s="87">
        <f t="shared" si="334"/>
        <v>1025.1999999999998</v>
      </c>
      <c r="FI323" s="87">
        <f t="shared" si="334"/>
        <v>2025.4999999999995</v>
      </c>
      <c r="FJ323" s="87">
        <f t="shared" si="334"/>
        <v>1516.2999999999997</v>
      </c>
      <c r="FK323" s="87">
        <f t="shared" si="334"/>
        <v>1818.3</v>
      </c>
      <c r="FL323" s="87">
        <f t="shared" si="334"/>
        <v>3072.6999999999994</v>
      </c>
      <c r="FM323" s="87">
        <f t="shared" si="334"/>
        <v>3276.2999999999997</v>
      </c>
      <c r="FN323" s="87">
        <f t="shared" si="334"/>
        <v>4627.4999999999991</v>
      </c>
      <c r="FO323" s="87">
        <f t="shared" si="334"/>
        <v>10845.800000000001</v>
      </c>
      <c r="FP323" s="87">
        <f t="shared" si="334"/>
        <v>8486.7999999999993</v>
      </c>
      <c r="FQ323" s="87">
        <f>FQ306+FQ316+FQ318</f>
        <v>5443.4000000000005</v>
      </c>
      <c r="FR323" s="87">
        <f>FR306+FR316+FR318</f>
        <v>11166.199999999997</v>
      </c>
      <c r="FS323" s="87">
        <f t="shared" si="334"/>
        <v>12658.500000000002</v>
      </c>
      <c r="FT323" s="87">
        <f>FT306+FT316+FT318</f>
        <v>9434.2062039774646</v>
      </c>
      <c r="FU323" s="87">
        <f>FU306+FU316+FU318</f>
        <v>13780.575404455603</v>
      </c>
      <c r="FV323" s="87">
        <f>FV306+FV316+FV318</f>
        <v>22192.686674522938</v>
      </c>
      <c r="FW323" s="87">
        <f ca="1">FW306+FW316+FW318</f>
        <v>10550.662475199601</v>
      </c>
      <c r="FX323" s="87">
        <f ca="1">FX306+FX316+FX318</f>
        <v>4598.2729483317253</v>
      </c>
    </row>
    <row r="324" spans="2:180" x14ac:dyDescent="0.25">
      <c r="B324" s="144"/>
      <c r="BG324" s="201"/>
      <c r="BH324" s="201"/>
      <c r="BI324" s="201"/>
      <c r="BJ324" s="201"/>
      <c r="BK324" s="201"/>
      <c r="BM324" s="201"/>
      <c r="BN324" s="201"/>
      <c r="BO324" s="201"/>
      <c r="BP324" s="201"/>
      <c r="BQ324" s="201"/>
      <c r="BS324" s="201"/>
      <c r="BT324" s="201"/>
      <c r="BU324" s="201"/>
      <c r="BV324" s="201"/>
      <c r="BW324" s="201"/>
      <c r="BY324" s="201"/>
      <c r="BZ324" s="201"/>
      <c r="CA324" s="201"/>
      <c r="CB324" s="201"/>
      <c r="CC324" s="201"/>
      <c r="CE324" s="201"/>
      <c r="CF324" s="201"/>
      <c r="CG324" s="201"/>
      <c r="CH324" s="201"/>
      <c r="CI324" s="201"/>
      <c r="CK324" s="201"/>
      <c r="CL324" s="201"/>
      <c r="CM324" s="201"/>
      <c r="CN324" s="201"/>
      <c r="CO324" s="201"/>
      <c r="CQ324" s="201"/>
      <c r="CR324" s="201"/>
      <c r="CS324" s="201"/>
      <c r="CT324" s="201"/>
      <c r="CU324" s="201"/>
      <c r="CW324" s="201"/>
      <c r="CX324" s="201"/>
      <c r="CY324" s="201"/>
      <c r="CZ324" s="201"/>
      <c r="DA324" s="201"/>
      <c r="DC324" s="201"/>
      <c r="DD324" s="201"/>
      <c r="DE324" s="201"/>
      <c r="DF324" s="201"/>
      <c r="DG324" s="201"/>
      <c r="DI324" s="201"/>
      <c r="DJ324" s="201"/>
      <c r="DK324" s="201"/>
      <c r="DL324" s="201"/>
      <c r="DM324" s="201"/>
      <c r="DQ324" s="201"/>
      <c r="DR324" s="201"/>
      <c r="DS324" s="201"/>
      <c r="DT324" s="201"/>
      <c r="DW324" s="201"/>
      <c r="DX324" s="201"/>
      <c r="EQ324" s="144"/>
      <c r="ER324" s="144"/>
      <c r="ES324" s="144"/>
      <c r="EV324" s="74"/>
      <c r="EW324" s="74"/>
      <c r="EX324" s="140"/>
      <c r="EY324" s="140"/>
      <c r="EZ324" s="140"/>
      <c r="FA324" s="140"/>
      <c r="FB324" s="140"/>
      <c r="FC324" s="140"/>
      <c r="FD324" s="140"/>
      <c r="FE324" s="140"/>
      <c r="FF324" s="140"/>
      <c r="FG324" s="140"/>
      <c r="FH324" s="140"/>
      <c r="FI324" s="140"/>
      <c r="FJ324" s="140"/>
      <c r="FK324" s="140"/>
      <c r="FL324" s="140"/>
    </row>
    <row r="325" spans="2:180" x14ac:dyDescent="0.25">
      <c r="B325" s="198" t="s">
        <v>156</v>
      </c>
      <c r="C325" s="74"/>
      <c r="D325" s="74"/>
      <c r="E325" s="196"/>
      <c r="F325" s="196"/>
      <c r="G325" s="196"/>
      <c r="H325" s="196"/>
      <c r="I325" s="196">
        <v>-74979</v>
      </c>
      <c r="J325" s="74"/>
      <c r="K325" s="196">
        <v>-22756</v>
      </c>
      <c r="L325" s="196">
        <v>-18053</v>
      </c>
      <c r="M325" s="196">
        <v>-9217</v>
      </c>
      <c r="N325" s="196">
        <f>O325-M325-L325-K325</f>
        <v>-22634</v>
      </c>
      <c r="O325" s="196">
        <v>-72660</v>
      </c>
      <c r="P325" s="74"/>
      <c r="Q325" s="196">
        <v>-16919</v>
      </c>
      <c r="R325" s="196">
        <v>-14021</v>
      </c>
      <c r="S325" s="196">
        <v>-16615</v>
      </c>
      <c r="T325" s="196">
        <f>U325-S325-R325-Q325</f>
        <v>-23064</v>
      </c>
      <c r="U325" s="196">
        <v>-70619</v>
      </c>
      <c r="W325" s="196">
        <v>-35789</v>
      </c>
      <c r="X325" s="196">
        <v>-39723</v>
      </c>
      <c r="Y325" s="196">
        <v>-49676</v>
      </c>
      <c r="Z325" s="196">
        <v>-53964</v>
      </c>
      <c r="AA325" s="196">
        <f>Z325+Y325+X325+W325</f>
        <v>-179152</v>
      </c>
      <c r="AC325" s="196">
        <v>-55032</v>
      </c>
      <c r="AD325" s="196">
        <v>-65441</v>
      </c>
      <c r="AE325" s="196">
        <v>-68237</v>
      </c>
      <c r="AF325" s="196">
        <v>-71060</v>
      </c>
      <c r="AG325" s="196">
        <f>AC325+AD325+AE325+AF325</f>
        <v>-259770</v>
      </c>
      <c r="AI325" s="196">
        <v>-43903</v>
      </c>
      <c r="AJ325" s="196">
        <v>-43336</v>
      </c>
      <c r="AK325" s="196">
        <v>-13511</v>
      </c>
      <c r="AL325" s="196">
        <v>-7692</v>
      </c>
      <c r="AM325" s="196">
        <v>-104959</v>
      </c>
      <c r="AO325" s="196">
        <v>-7200</v>
      </c>
      <c r="AP325" s="196">
        <v>-18000</v>
      </c>
      <c r="AQ325" s="196">
        <v>-34600</v>
      </c>
      <c r="AR325" s="196">
        <v>-68900</v>
      </c>
      <c r="AS325" s="196">
        <f>AO325+AP325+AQ325+AR325</f>
        <v>-128700</v>
      </c>
      <c r="AU325" s="196">
        <v>-66700</v>
      </c>
      <c r="AV325" s="196">
        <v>-60700</v>
      </c>
      <c r="AW325" s="196">
        <v>-79800</v>
      </c>
      <c r="AX325" s="196">
        <v>-93800</v>
      </c>
      <c r="AY325" s="196">
        <f>AU325+AV325+AW325+AX325</f>
        <v>-301000</v>
      </c>
      <c r="BA325" s="196">
        <v>-47200</v>
      </c>
      <c r="BB325" s="196">
        <v>-38800</v>
      </c>
      <c r="BC325" s="196">
        <v>-50200</v>
      </c>
      <c r="BD325" s="196">
        <v>-35700</v>
      </c>
      <c r="BE325" s="196">
        <f>BA325+BB325+BC325+BD325</f>
        <v>-171900</v>
      </c>
      <c r="BG325" s="77">
        <v>-27.3</v>
      </c>
      <c r="BH325" s="77">
        <v>-50.5</v>
      </c>
      <c r="BI325" s="77">
        <v>-55.3</v>
      </c>
      <c r="BJ325" s="77">
        <v>-77.7</v>
      </c>
      <c r="BK325" s="77">
        <f>SUM(BG325:BJ325)</f>
        <v>-210.8</v>
      </c>
      <c r="BM325" s="77">
        <v>-75.5</v>
      </c>
      <c r="BN325" s="77">
        <v>-70.7</v>
      </c>
      <c r="BO325" s="77">
        <v>-84.2</v>
      </c>
      <c r="BP325" s="77">
        <v>-127.9</v>
      </c>
      <c r="BQ325" s="77">
        <f>SUM(BM325:BP325)</f>
        <v>-358.29999999999995</v>
      </c>
      <c r="BS325" s="77">
        <v>-85.6</v>
      </c>
      <c r="BT325" s="77">
        <v>-79.2</v>
      </c>
      <c r="BU325" s="77">
        <v>-86.5</v>
      </c>
      <c r="BV325" s="77">
        <v>-120.5</v>
      </c>
      <c r="BW325" s="77">
        <f>SUM(BS325:BV325)</f>
        <v>-371.8</v>
      </c>
      <c r="BY325" s="77">
        <v>-55.2</v>
      </c>
      <c r="BZ325" s="77">
        <v>-98.9</v>
      </c>
      <c r="CA325" s="77">
        <v>-66.3</v>
      </c>
      <c r="CB325" s="77">
        <v>-95.9</v>
      </c>
      <c r="CC325" s="77">
        <f>SUM(BY325:CB325)</f>
        <v>-316.30000000000007</v>
      </c>
      <c r="CE325" s="77">
        <v>-38.6</v>
      </c>
      <c r="CF325" s="77">
        <v>-56.3</v>
      </c>
      <c r="CG325" s="77">
        <v>-95.7</v>
      </c>
      <c r="CH325" s="77">
        <v>-148.30000000000001</v>
      </c>
      <c r="CI325" s="77">
        <f>SUM(CE325:CH325)</f>
        <v>-338.90000000000003</v>
      </c>
      <c r="CK325" s="77">
        <v>-129.19999999999999</v>
      </c>
      <c r="CL325" s="77">
        <v>-125.6</v>
      </c>
      <c r="CM325" s="77">
        <v>-129.1</v>
      </c>
      <c r="CN325" s="77">
        <v>-190.1</v>
      </c>
      <c r="CO325" s="77">
        <f>SUM(CK325:CN325)</f>
        <v>-574</v>
      </c>
      <c r="CQ325" s="77">
        <v>-147</v>
      </c>
      <c r="CR325" s="77">
        <v>-128.30000000000001</v>
      </c>
      <c r="CS325" s="77">
        <v>-185.8</v>
      </c>
      <c r="CT325" s="77">
        <v>-305.5</v>
      </c>
      <c r="CU325" s="77">
        <f>SUM(CQ325:CT325)</f>
        <v>-766.6</v>
      </c>
      <c r="CW325" s="77">
        <v>-231.5</v>
      </c>
      <c r="CX325" s="77">
        <v>-225.1</v>
      </c>
      <c r="CY325" s="77">
        <v>-212.5</v>
      </c>
      <c r="CZ325" s="77">
        <v>-292.89999999999998</v>
      </c>
      <c r="DA325" s="77">
        <f>SUM(CW325:CZ325)</f>
        <v>-962</v>
      </c>
      <c r="DC325" s="77">
        <v>-189.4</v>
      </c>
      <c r="DD325" s="77">
        <v>-241.1</v>
      </c>
      <c r="DE325" s="77">
        <v>-197</v>
      </c>
      <c r="DF325" s="77">
        <v>-273.2</v>
      </c>
      <c r="DG325" s="77">
        <f>SUM(DC325:DF325)</f>
        <v>-900.7</v>
      </c>
      <c r="DI325" s="77">
        <v>-240.1</v>
      </c>
      <c r="DJ325" s="77">
        <v>-231.5</v>
      </c>
      <c r="DK325" s="77">
        <v>-356.6</v>
      </c>
      <c r="DL325" s="77">
        <v>-453.6</v>
      </c>
      <c r="DM325" s="77">
        <f>SUM(DI325:DL325)</f>
        <v>-1281.8000000000002</v>
      </c>
      <c r="DO325" s="77">
        <v>-532</v>
      </c>
      <c r="DP325" s="77">
        <v>-537.79999999999995</v>
      </c>
      <c r="DQ325" s="77">
        <v>-501.8</v>
      </c>
      <c r="DR325" s="77">
        <v>-584</v>
      </c>
      <c r="DS325" s="77">
        <f>SUM(DO325:DR325)</f>
        <v>-2155.6</v>
      </c>
      <c r="DT325" s="77"/>
      <c r="DU325" s="77">
        <v>-417.3</v>
      </c>
      <c r="DV325" s="77">
        <v>-531</v>
      </c>
      <c r="DW325" s="77">
        <v>-414.9</v>
      </c>
      <c r="DX325" s="77">
        <v>-704</v>
      </c>
      <c r="DY325" s="77">
        <f>SUM(DU325:DX325)</f>
        <v>-2067.1999999999998</v>
      </c>
      <c r="EA325" s="77">
        <v>-415</v>
      </c>
      <c r="EB325" s="77">
        <v>-414.8</v>
      </c>
      <c r="EC325" s="77">
        <v>-295.89999999999998</v>
      </c>
      <c r="ED325" s="77">
        <v>-447.9</v>
      </c>
      <c r="EE325" s="77">
        <f>SUM(EA325:ED325)</f>
        <v>-1573.6</v>
      </c>
      <c r="EG325" s="77">
        <v>-402.4</v>
      </c>
      <c r="EH325" s="77">
        <v>-583.75800000000004</v>
      </c>
      <c r="EI325" s="77">
        <v>-811.4</v>
      </c>
      <c r="EJ325" s="77">
        <v>-521.25974999999983</v>
      </c>
      <c r="EK325" s="77">
        <f>SUM(EG325:EJ325)</f>
        <v>-2318.8177499999997</v>
      </c>
      <c r="EQ325" s="198"/>
      <c r="ER325" s="198"/>
      <c r="ES325" s="198"/>
      <c r="EU325" s="114"/>
      <c r="EV325" s="77">
        <v>-89282</v>
      </c>
      <c r="EW325" s="77">
        <v>-48567</v>
      </c>
      <c r="EX325" s="77">
        <f>I325</f>
        <v>-74979</v>
      </c>
      <c r="EY325" s="77">
        <f>O325</f>
        <v>-72660</v>
      </c>
      <c r="EZ325" s="77">
        <f>U325</f>
        <v>-70619</v>
      </c>
      <c r="FA325" s="77">
        <f>AA325</f>
        <v>-179152</v>
      </c>
      <c r="FB325" s="77">
        <f>AG325</f>
        <v>-259770</v>
      </c>
      <c r="FC325" s="77">
        <f>AM325</f>
        <v>-104959</v>
      </c>
      <c r="FD325" s="77">
        <f>AS325</f>
        <v>-128700</v>
      </c>
      <c r="FE325" s="77">
        <f>AY325</f>
        <v>-301000</v>
      </c>
      <c r="FF325" s="77">
        <f>BE325</f>
        <v>-171900</v>
      </c>
      <c r="FG325" s="196">
        <f t="shared" ref="FG325:FG333" si="335">BK325</f>
        <v>-210.8</v>
      </c>
      <c r="FH325" s="196">
        <f t="shared" ref="FH325:FH333" si="336">BQ325</f>
        <v>-358.29999999999995</v>
      </c>
      <c r="FI325" s="196">
        <f t="shared" ref="FI325:FI333" si="337">BW325</f>
        <v>-371.8</v>
      </c>
      <c r="FJ325" s="196">
        <f t="shared" ref="FJ325:FJ333" si="338">CC325</f>
        <v>-316.30000000000007</v>
      </c>
      <c r="FK325" s="196">
        <f t="shared" ref="FK325:FK333" si="339">CI325</f>
        <v>-338.90000000000003</v>
      </c>
      <c r="FL325" s="196">
        <f t="shared" ref="FL325:FL333" si="340">CO325</f>
        <v>-574</v>
      </c>
      <c r="FM325" s="77">
        <f t="shared" ref="FM325:FM333" si="341">CU325</f>
        <v>-766.6</v>
      </c>
      <c r="FN325" s="77">
        <f t="shared" ref="FN325:FN333" si="342">DA325</f>
        <v>-962</v>
      </c>
      <c r="FO325" s="77">
        <f t="shared" ref="FO325:FO333" si="343">DG325</f>
        <v>-900.7</v>
      </c>
      <c r="FP325" s="77">
        <f t="shared" ref="FP325:FP333" si="344">DM325</f>
        <v>-1281.8000000000002</v>
      </c>
      <c r="FQ325" s="77">
        <f t="shared" ref="FQ325:FQ333" si="345">DS325</f>
        <v>-2155.6</v>
      </c>
      <c r="FR325" s="77">
        <f t="shared" ref="FR325:FR333" si="346">DY325</f>
        <v>-2067.1999999999998</v>
      </c>
      <c r="FS325" s="77">
        <f t="shared" ref="FS325:FS333" si="347">EE325</f>
        <v>-1573.6</v>
      </c>
      <c r="FT325" s="77">
        <f t="shared" ref="FT325:FT333" si="348">EK325</f>
        <v>-2318.8177499999997</v>
      </c>
      <c r="FU325" s="77">
        <f>FU371</f>
        <v>-2400.5973774999998</v>
      </c>
      <c r="FV325" s="77">
        <f>FV371</f>
        <v>-2064.821057695</v>
      </c>
      <c r="FW325" s="77">
        <f ca="1">FW371</f>
        <v>-1106.875</v>
      </c>
      <c r="FX325" s="77">
        <f>FX371</f>
        <v>-1297</v>
      </c>
    </row>
    <row r="326" spans="2:180" x14ac:dyDescent="0.25">
      <c r="B326" s="84" t="s">
        <v>309</v>
      </c>
      <c r="C326" s="74"/>
      <c r="D326" s="74"/>
      <c r="E326" s="77"/>
      <c r="F326" s="77"/>
      <c r="G326" s="77"/>
      <c r="H326" s="77"/>
      <c r="I326" s="77">
        <v>-556</v>
      </c>
      <c r="J326" s="74"/>
      <c r="K326" s="77">
        <v>0</v>
      </c>
      <c r="L326" s="77">
        <v>0</v>
      </c>
      <c r="M326" s="77">
        <v>0</v>
      </c>
      <c r="N326" s="77">
        <f>O326-M326-L326-K326</f>
        <v>-1378</v>
      </c>
      <c r="O326" s="77">
        <v>-1378</v>
      </c>
      <c r="P326" s="74"/>
      <c r="Q326" s="77">
        <v>0</v>
      </c>
      <c r="R326" s="77">
        <v>0</v>
      </c>
      <c r="S326" s="77">
        <v>0</v>
      </c>
      <c r="T326" s="77">
        <f>U326-S326-R326-Q326</f>
        <v>-120</v>
      </c>
      <c r="U326" s="77">
        <v>-120</v>
      </c>
      <c r="V326" s="74"/>
      <c r="W326" s="77">
        <v>0</v>
      </c>
      <c r="X326" s="77">
        <v>0</v>
      </c>
      <c r="Y326" s="77">
        <v>0</v>
      </c>
      <c r="Z326" s="77">
        <v>0</v>
      </c>
      <c r="AA326" s="77">
        <f>Z326+Y326+X326+W326</f>
        <v>0</v>
      </c>
      <c r="AB326" s="74"/>
      <c r="AC326" s="77">
        <v>0</v>
      </c>
      <c r="AD326" s="77">
        <v>0</v>
      </c>
      <c r="AE326" s="77">
        <v>-35</v>
      </c>
      <c r="AF326" s="77">
        <v>0</v>
      </c>
      <c r="AG326" s="77">
        <f>AF326+AE326+AD326+AC326</f>
        <v>-35</v>
      </c>
      <c r="AI326" s="96">
        <v>0</v>
      </c>
      <c r="AJ326" s="96">
        <v>0</v>
      </c>
      <c r="AK326" s="96">
        <v>0</v>
      </c>
      <c r="AL326" s="77">
        <v>0</v>
      </c>
      <c r="AM326" s="77">
        <f>AL326+AK326+AJ326+AI326</f>
        <v>0</v>
      </c>
      <c r="AO326" s="77">
        <v>0</v>
      </c>
      <c r="AP326" s="77">
        <v>0</v>
      </c>
      <c r="AQ326" s="77">
        <v>0</v>
      </c>
      <c r="AR326" s="77">
        <v>0</v>
      </c>
      <c r="AS326" s="77">
        <f>AR326+AQ326+AP326+AO326</f>
        <v>0</v>
      </c>
      <c r="AU326" s="77">
        <v>0</v>
      </c>
      <c r="AV326" s="77">
        <v>0</v>
      </c>
      <c r="AW326" s="196">
        <v>0</v>
      </c>
      <c r="AX326" s="196">
        <v>0</v>
      </c>
      <c r="AY326" s="77">
        <f>AX326+AW326+AV326+AU326</f>
        <v>0</v>
      </c>
      <c r="BA326" s="77">
        <v>-3300</v>
      </c>
      <c r="BB326" s="196">
        <v>0</v>
      </c>
      <c r="BC326" s="196">
        <v>0</v>
      </c>
      <c r="BD326" s="196">
        <v>-4300</v>
      </c>
      <c r="BE326" s="77">
        <f>BD326+BC326+BB326+BA326</f>
        <v>-7600</v>
      </c>
      <c r="BG326" s="77">
        <v>-4</v>
      </c>
      <c r="BH326" s="77">
        <v>0</v>
      </c>
      <c r="BI326" s="77">
        <v>0</v>
      </c>
      <c r="BJ326" s="77">
        <v>0</v>
      </c>
      <c r="BK326" s="77">
        <f>SUM(BG326:BJ326)</f>
        <v>-4</v>
      </c>
      <c r="BM326" s="77">
        <v>0</v>
      </c>
      <c r="BN326" s="77">
        <v>-3</v>
      </c>
      <c r="BO326" s="77">
        <v>0</v>
      </c>
      <c r="BP326" s="77">
        <v>0</v>
      </c>
      <c r="BQ326" s="77">
        <f>SUM(BM326:BP326)</f>
        <v>-3</v>
      </c>
      <c r="BS326" s="77">
        <v>-1.1000000000000001</v>
      </c>
      <c r="BT326" s="77">
        <v>0</v>
      </c>
      <c r="BU326" s="77">
        <v>0</v>
      </c>
      <c r="BV326" s="77">
        <v>0</v>
      </c>
      <c r="BW326" s="77">
        <f>SUM(BS326:BV326)</f>
        <v>-1.1000000000000001</v>
      </c>
      <c r="BY326" s="77">
        <v>-3.6</v>
      </c>
      <c r="BZ326" s="77">
        <v>-1.3</v>
      </c>
      <c r="CA326" s="77">
        <v>-2.6</v>
      </c>
      <c r="CB326" s="77">
        <v>-0.9</v>
      </c>
      <c r="CC326" s="77">
        <f>SUM(BY326:CB326)</f>
        <v>-8.4</v>
      </c>
      <c r="CE326" s="77">
        <v>-5.2</v>
      </c>
      <c r="CF326" s="77">
        <v>-5</v>
      </c>
      <c r="CG326" s="77">
        <v>-2.1</v>
      </c>
      <c r="CH326" s="77">
        <v>-6.8</v>
      </c>
      <c r="CI326" s="77">
        <f>SUM(CE326:CH326)</f>
        <v>-19.099999999999998</v>
      </c>
      <c r="CK326" s="77">
        <v>-6.1</v>
      </c>
      <c r="CL326" s="77">
        <v>-9.8000000000000007</v>
      </c>
      <c r="CM326" s="77">
        <v>-5.2</v>
      </c>
      <c r="CN326" s="77">
        <v>-14.4</v>
      </c>
      <c r="CO326" s="77">
        <f t="shared" ref="CO326:CO333" si="349">SUM(CK326:CN326)</f>
        <v>-35.5</v>
      </c>
      <c r="CQ326" s="77">
        <v>-86.7</v>
      </c>
      <c r="CR326" s="77">
        <v>-11.7</v>
      </c>
      <c r="CS326" s="77">
        <v>-11.2</v>
      </c>
      <c r="CT326" s="77">
        <v>-9.6999999999999993</v>
      </c>
      <c r="CU326" s="77">
        <f>SUM(CQ326:CT326)</f>
        <v>-119.30000000000001</v>
      </c>
      <c r="CW326" s="77">
        <v>-10.8</v>
      </c>
      <c r="CX326" s="77">
        <v>-6.7</v>
      </c>
      <c r="CY326" s="77">
        <v>-9.1</v>
      </c>
      <c r="CZ326" s="77">
        <v>-12.2</v>
      </c>
      <c r="DA326" s="77">
        <f>SUM(CW326:CZ326)</f>
        <v>-38.799999999999997</v>
      </c>
      <c r="DC326" s="77">
        <v>-7.9</v>
      </c>
      <c r="DD326" s="77">
        <v>-6.3</v>
      </c>
      <c r="DE326" s="77">
        <v>-7.9</v>
      </c>
      <c r="DF326" s="77">
        <v>-17.5</v>
      </c>
      <c r="DG326" s="77">
        <f>SUM(DC326:DF326)</f>
        <v>-39.6</v>
      </c>
      <c r="DI326" s="77">
        <v>-11.5</v>
      </c>
      <c r="DJ326" s="77">
        <v>-6</v>
      </c>
      <c r="DK326" s="77">
        <v>-7.7</v>
      </c>
      <c r="DL326" s="77">
        <v>-12.3</v>
      </c>
      <c r="DM326" s="77">
        <f t="shared" ref="DM326:DM333" si="350">SUM(DI326:DL326)</f>
        <v>-37.5</v>
      </c>
      <c r="DO326" s="77">
        <v>-7.4</v>
      </c>
      <c r="DP326" s="77">
        <v>-6.6</v>
      </c>
      <c r="DQ326" s="77">
        <v>-8.3000000000000007</v>
      </c>
      <c r="DR326" s="77">
        <v>-18.3</v>
      </c>
      <c r="DS326" s="77">
        <f t="shared" ref="DS326:DS333" si="351">SUM(DO326:DR326)</f>
        <v>-40.6</v>
      </c>
      <c r="DT326" s="77"/>
      <c r="DU326" s="77">
        <v>-6.5</v>
      </c>
      <c r="DV326" s="77">
        <v>-7</v>
      </c>
      <c r="DW326" s="77">
        <v>-0.9</v>
      </c>
      <c r="DX326" s="77">
        <v>-1.5</v>
      </c>
      <c r="DY326" s="77">
        <f>SUM(DU326:DX326)</f>
        <v>-15.9</v>
      </c>
      <c r="EA326" s="77">
        <v>-1.5</v>
      </c>
      <c r="EB326" s="77">
        <v>-14.1</v>
      </c>
      <c r="EC326" s="77">
        <v>-19.5</v>
      </c>
      <c r="ED326" s="77">
        <v>-22.5</v>
      </c>
      <c r="EE326" s="77">
        <f>SUM(EA326:ED326)</f>
        <v>-57.6</v>
      </c>
      <c r="EG326" s="77">
        <v>-19.899999999999999</v>
      </c>
      <c r="EH326" s="77">
        <v>-9.2333333333333343</v>
      </c>
      <c r="EI326" s="77">
        <v>-9.5666666666666664</v>
      </c>
      <c r="EJ326" s="77">
        <v>-14.1</v>
      </c>
      <c r="EK326" s="77">
        <f>SUM(EG326:EJ326)</f>
        <v>-52.800000000000004</v>
      </c>
      <c r="EQ326" s="84"/>
      <c r="ER326" s="84"/>
      <c r="ES326" s="84"/>
      <c r="EU326" s="114"/>
      <c r="EV326" s="77">
        <v>0</v>
      </c>
      <c r="EW326" s="77">
        <v>-3099</v>
      </c>
      <c r="EX326" s="77">
        <f>I326</f>
        <v>-556</v>
      </c>
      <c r="EY326" s="77">
        <f>O326</f>
        <v>-1378</v>
      </c>
      <c r="EZ326" s="77">
        <f>U326</f>
        <v>-120</v>
      </c>
      <c r="FA326" s="77">
        <f>AA326</f>
        <v>0</v>
      </c>
      <c r="FB326" s="77">
        <f>AG326</f>
        <v>-35</v>
      </c>
      <c r="FC326" s="77">
        <f>AM326</f>
        <v>0</v>
      </c>
      <c r="FD326" s="77">
        <f>AS326</f>
        <v>0</v>
      </c>
      <c r="FE326" s="77">
        <f>AY326</f>
        <v>0</v>
      </c>
      <c r="FF326" s="77">
        <f>BE326</f>
        <v>-7600</v>
      </c>
      <c r="FG326" s="196">
        <f t="shared" si="335"/>
        <v>-4</v>
      </c>
      <c r="FH326" s="196">
        <f t="shared" si="336"/>
        <v>-3</v>
      </c>
      <c r="FI326" s="196">
        <f t="shared" si="337"/>
        <v>-1.1000000000000001</v>
      </c>
      <c r="FJ326" s="196">
        <f t="shared" si="338"/>
        <v>-8.4</v>
      </c>
      <c r="FK326" s="196">
        <f t="shared" si="339"/>
        <v>-19.099999999999998</v>
      </c>
      <c r="FL326" s="196">
        <f t="shared" si="340"/>
        <v>-35.5</v>
      </c>
      <c r="FM326" s="77">
        <f t="shared" si="341"/>
        <v>-119.30000000000001</v>
      </c>
      <c r="FN326" s="77">
        <f t="shared" si="342"/>
        <v>-38.799999999999997</v>
      </c>
      <c r="FO326" s="77">
        <f t="shared" si="343"/>
        <v>-39.6</v>
      </c>
      <c r="FP326" s="77">
        <f t="shared" si="344"/>
        <v>-37.5</v>
      </c>
      <c r="FQ326" s="77">
        <f t="shared" si="345"/>
        <v>-40.6</v>
      </c>
      <c r="FR326" s="77">
        <f t="shared" si="346"/>
        <v>-15.9</v>
      </c>
      <c r="FS326" s="77">
        <f t="shared" si="347"/>
        <v>-57.6</v>
      </c>
      <c r="FT326" s="77">
        <f t="shared" si="348"/>
        <v>-52.800000000000004</v>
      </c>
      <c r="FU326" s="77">
        <f>FT326</f>
        <v>-52.800000000000004</v>
      </c>
      <c r="FV326" s="77">
        <f>FU326</f>
        <v>-52.800000000000004</v>
      </c>
      <c r="FW326" s="77">
        <f>FV326</f>
        <v>-52.800000000000004</v>
      </c>
      <c r="FX326" s="77">
        <f>FW326</f>
        <v>-52.800000000000004</v>
      </c>
    </row>
    <row r="327" spans="2:180" x14ac:dyDescent="0.25">
      <c r="B327" s="180" t="s">
        <v>308</v>
      </c>
      <c r="C327" s="74"/>
      <c r="D327" s="74"/>
      <c r="E327" s="196"/>
      <c r="F327" s="196"/>
      <c r="G327" s="196"/>
      <c r="H327" s="196"/>
      <c r="I327" s="196"/>
      <c r="J327" s="74"/>
      <c r="K327" s="196"/>
      <c r="L327" s="196"/>
      <c r="M327" s="196"/>
      <c r="N327" s="196"/>
      <c r="O327" s="196"/>
      <c r="P327" s="74"/>
      <c r="Q327" s="196"/>
      <c r="R327" s="96"/>
      <c r="S327" s="196"/>
      <c r="T327" s="196"/>
      <c r="U327" s="196"/>
      <c r="W327" s="196"/>
      <c r="X327" s="96"/>
      <c r="Y327" s="196"/>
      <c r="Z327" s="96"/>
      <c r="AA327" s="196"/>
      <c r="AC327" s="196"/>
      <c r="AD327" s="96"/>
      <c r="AE327" s="196"/>
      <c r="AF327" s="96"/>
      <c r="AG327" s="196"/>
      <c r="AI327" s="96"/>
      <c r="AJ327" s="96"/>
      <c r="AK327" s="96"/>
      <c r="AL327" s="96"/>
      <c r="AM327" s="196"/>
      <c r="AO327" s="96"/>
      <c r="AP327" s="96"/>
      <c r="AQ327" s="96"/>
      <c r="AR327" s="96"/>
      <c r="AS327" s="196"/>
      <c r="AU327" s="96"/>
      <c r="AV327" s="96"/>
      <c r="AW327" s="96"/>
      <c r="AX327" s="96"/>
      <c r="AY327" s="196"/>
      <c r="BA327" s="96"/>
      <c r="BB327" s="196">
        <v>-850000</v>
      </c>
      <c r="BC327" s="77">
        <v>-440000</v>
      </c>
      <c r="BD327" s="77">
        <v>-90000</v>
      </c>
      <c r="BE327" s="196">
        <f>BD327+BC327+BB327+BA327</f>
        <v>-1380000</v>
      </c>
      <c r="BG327" s="77">
        <v>-350</v>
      </c>
      <c r="BH327" s="77">
        <v>-125</v>
      </c>
      <c r="BI327" s="77">
        <v>-174.9</v>
      </c>
      <c r="BJ327" s="77">
        <v>-255</v>
      </c>
      <c r="BK327" s="77">
        <f>SUM(BG327:BJ327)</f>
        <v>-904.9</v>
      </c>
      <c r="BM327" s="77">
        <v>-194.8</v>
      </c>
      <c r="BN327" s="77">
        <v>-174.9</v>
      </c>
      <c r="BO327" s="77">
        <v>-110</v>
      </c>
      <c r="BP327" s="77">
        <v>-25</v>
      </c>
      <c r="BQ327" s="77">
        <f>SUM(BM327:BP327)</f>
        <v>-504.70000000000005</v>
      </c>
      <c r="BS327" s="77">
        <v>0</v>
      </c>
      <c r="BT327" s="77">
        <v>0</v>
      </c>
      <c r="BU327" s="77">
        <v>0</v>
      </c>
      <c r="BV327" s="77">
        <v>-950</v>
      </c>
      <c r="BW327" s="77">
        <f>SUM(BS327:BV327)</f>
        <v>-950</v>
      </c>
      <c r="BY327" s="77">
        <v>-350</v>
      </c>
      <c r="BZ327" s="77">
        <v>-350</v>
      </c>
      <c r="CA327" s="77">
        <v>-770</v>
      </c>
      <c r="CB327" s="77">
        <v>-1050</v>
      </c>
      <c r="CC327" s="77">
        <f>SUM(BY327:CB327)</f>
        <v>-2520</v>
      </c>
      <c r="CE327" s="77">
        <v>-75</v>
      </c>
      <c r="CF327" s="77">
        <v>-275</v>
      </c>
      <c r="CG327" s="77">
        <v>-100</v>
      </c>
      <c r="CH327" s="77">
        <v>-679.3</v>
      </c>
      <c r="CI327" s="77">
        <f>SUM(CE327:CH327)</f>
        <v>-1129.3</v>
      </c>
      <c r="CK327" s="77">
        <v>-79.3</v>
      </c>
      <c r="CL327" s="77">
        <v>-104.5</v>
      </c>
      <c r="CM327" s="77">
        <v>-214.8</v>
      </c>
      <c r="CN327" s="77">
        <v>-519.5</v>
      </c>
      <c r="CO327" s="77">
        <f t="shared" si="349"/>
        <v>-918.1</v>
      </c>
      <c r="CQ327" s="77">
        <v>-288.10000000000002</v>
      </c>
      <c r="CR327" s="77">
        <v>-0.7</v>
      </c>
      <c r="CS327" s="77">
        <v>-100.3</v>
      </c>
      <c r="CT327" s="77">
        <v>-902.4</v>
      </c>
      <c r="CU327" s="77">
        <f>SUM(CQ327:CT327)</f>
        <v>-1291.5</v>
      </c>
      <c r="CW327" s="77">
        <v>-310.5</v>
      </c>
      <c r="CX327" s="77">
        <v>-0.5</v>
      </c>
      <c r="CY327" s="77">
        <v>-343.7</v>
      </c>
      <c r="CZ327" s="77">
        <v>-820.8</v>
      </c>
      <c r="DA327" s="77">
        <f>SUM(CW327:CZ327)</f>
        <v>-1475.5</v>
      </c>
      <c r="DC327" s="77">
        <v>-608.5</v>
      </c>
      <c r="DD327" s="77">
        <v>0</v>
      </c>
      <c r="DE327" s="77">
        <v>-50</v>
      </c>
      <c r="DF327" s="77">
        <v>-504.2</v>
      </c>
      <c r="DG327" s="77">
        <f>SUM(DC327:DF327)</f>
        <v>-1162.7</v>
      </c>
      <c r="DI327" s="77">
        <v>-19.600000000000001</v>
      </c>
      <c r="DJ327" s="77">
        <v>-206.4</v>
      </c>
      <c r="DK327" s="77">
        <v>-104.1</v>
      </c>
      <c r="DL327" s="77">
        <v>-4.2</v>
      </c>
      <c r="DM327" s="77">
        <f t="shared" si="350"/>
        <v>-334.3</v>
      </c>
      <c r="DO327" s="77">
        <v>-18.2</v>
      </c>
      <c r="DP327" s="77">
        <v>-0.5</v>
      </c>
      <c r="DQ327" s="77">
        <v>-3.9</v>
      </c>
      <c r="DR327" s="77">
        <v>-1</v>
      </c>
      <c r="DS327" s="77">
        <f t="shared" si="351"/>
        <v>-23.599999999999998</v>
      </c>
      <c r="DT327" s="77"/>
      <c r="DU327" s="77">
        <v>-300</v>
      </c>
      <c r="DV327" s="77">
        <v>-0.5</v>
      </c>
      <c r="DW327" s="77">
        <v>-3.8</v>
      </c>
      <c r="DX327" s="77">
        <v>-0.9</v>
      </c>
      <c r="DY327" s="77">
        <f>SUM(DU327:DX327)</f>
        <v>-305.2</v>
      </c>
      <c r="EA327" s="77">
        <v>0</v>
      </c>
      <c r="EB327" s="77">
        <v>0</v>
      </c>
      <c r="EC327" s="77">
        <v>3.5</v>
      </c>
      <c r="ED327" s="77">
        <v>-409.7</v>
      </c>
      <c r="EE327" s="77">
        <f>SUM(EA327:ED327)</f>
        <v>-406.2</v>
      </c>
      <c r="EG327" s="77">
        <v>-1.8</v>
      </c>
      <c r="EH327" s="77">
        <v>-0.33333333333333331</v>
      </c>
      <c r="EI327" s="77">
        <v>-1.3999999999999997</v>
      </c>
      <c r="EJ327" s="77">
        <v>-137.19999999999999</v>
      </c>
      <c r="EK327" s="77">
        <f>SUM(EG327:EJ327)</f>
        <v>-140.73333333333332</v>
      </c>
      <c r="EU327" s="114"/>
      <c r="EX327" s="77">
        <f>I327</f>
        <v>0</v>
      </c>
      <c r="EY327" s="77">
        <f>O327</f>
        <v>0</v>
      </c>
      <c r="EZ327" s="77">
        <f>U327</f>
        <v>0</v>
      </c>
      <c r="FA327" s="77">
        <f>AA327</f>
        <v>0</v>
      </c>
      <c r="FB327" s="77">
        <f>AG327</f>
        <v>0</v>
      </c>
      <c r="FC327" s="77">
        <f>AM327</f>
        <v>0</v>
      </c>
      <c r="FD327" s="77">
        <f>AS327</f>
        <v>0</v>
      </c>
      <c r="FE327" s="77">
        <f>AY327</f>
        <v>0</v>
      </c>
      <c r="FF327" s="77">
        <f>BE327</f>
        <v>-1380000</v>
      </c>
      <c r="FG327" s="196">
        <f t="shared" si="335"/>
        <v>-904.9</v>
      </c>
      <c r="FH327" s="196">
        <f t="shared" si="336"/>
        <v>-504.70000000000005</v>
      </c>
      <c r="FI327" s="196">
        <f t="shared" si="337"/>
        <v>-950</v>
      </c>
      <c r="FJ327" s="196">
        <f t="shared" si="338"/>
        <v>-2520</v>
      </c>
      <c r="FK327" s="196">
        <f t="shared" si="339"/>
        <v>-1129.3</v>
      </c>
      <c r="FL327" s="196">
        <f t="shared" si="340"/>
        <v>-918.1</v>
      </c>
      <c r="FM327" s="77">
        <f t="shared" si="341"/>
        <v>-1291.5</v>
      </c>
      <c r="FN327" s="77">
        <f t="shared" si="342"/>
        <v>-1475.5</v>
      </c>
      <c r="FO327" s="77">
        <f t="shared" si="343"/>
        <v>-1162.7</v>
      </c>
      <c r="FP327" s="77">
        <f t="shared" si="344"/>
        <v>-334.3</v>
      </c>
      <c r="FQ327" s="77">
        <f t="shared" si="345"/>
        <v>-23.599999999999998</v>
      </c>
      <c r="FR327" s="77">
        <f t="shared" si="346"/>
        <v>-305.2</v>
      </c>
      <c r="FS327" s="77">
        <f t="shared" si="347"/>
        <v>-406.2</v>
      </c>
      <c r="FT327" s="77">
        <f t="shared" si="348"/>
        <v>-140.73333333333332</v>
      </c>
      <c r="FU327" s="77">
        <f t="shared" ref="FU327:FX328" si="352">AVERAGE(FP327:FT327)</f>
        <v>-242.00666666666666</v>
      </c>
      <c r="FV327" s="77">
        <f t="shared" si="352"/>
        <v>-223.548</v>
      </c>
      <c r="FW327" s="77">
        <f t="shared" si="352"/>
        <v>-263.5376</v>
      </c>
      <c r="FX327" s="77">
        <f t="shared" si="352"/>
        <v>-255.20511999999999</v>
      </c>
    </row>
    <row r="328" spans="2:180" x14ac:dyDescent="0.25">
      <c r="B328" s="180" t="s">
        <v>307</v>
      </c>
      <c r="C328" s="74"/>
      <c r="D328" s="74"/>
      <c r="E328" s="196"/>
      <c r="F328" s="196"/>
      <c r="G328" s="196"/>
      <c r="H328" s="196"/>
      <c r="I328" s="196">
        <v>0</v>
      </c>
      <c r="J328" s="74"/>
      <c r="K328" s="196">
        <v>0</v>
      </c>
      <c r="L328" s="196">
        <v>0</v>
      </c>
      <c r="M328" s="196">
        <v>0</v>
      </c>
      <c r="N328" s="196">
        <v>0</v>
      </c>
      <c r="O328" s="196">
        <v>0</v>
      </c>
      <c r="P328" s="74"/>
      <c r="Q328" s="196">
        <v>0</v>
      </c>
      <c r="R328" s="196">
        <v>0</v>
      </c>
      <c r="S328" s="196">
        <v>0</v>
      </c>
      <c r="T328" s="196">
        <v>0</v>
      </c>
      <c r="U328" s="196">
        <v>0</v>
      </c>
      <c r="W328" s="196">
        <v>0</v>
      </c>
      <c r="X328" s="196">
        <v>0</v>
      </c>
      <c r="Y328" s="196">
        <v>0</v>
      </c>
      <c r="Z328" s="196">
        <v>0</v>
      </c>
      <c r="AA328" s="196">
        <f>Z328+Y328+X328+W328</f>
        <v>0</v>
      </c>
      <c r="AC328" s="196">
        <v>0</v>
      </c>
      <c r="AD328" s="196">
        <v>0</v>
      </c>
      <c r="AE328" s="196">
        <v>0</v>
      </c>
      <c r="AF328" s="196">
        <v>0</v>
      </c>
      <c r="AG328" s="196">
        <f>AF328+AE328+AD328+AC328</f>
        <v>0</v>
      </c>
      <c r="AI328" s="196">
        <v>0</v>
      </c>
      <c r="AJ328" s="196">
        <v>0</v>
      </c>
      <c r="AK328" s="196">
        <v>0</v>
      </c>
      <c r="AL328" s="196">
        <v>0</v>
      </c>
      <c r="AM328" s="196">
        <f>AL328+AK328+AJ328+AI328</f>
        <v>0</v>
      </c>
      <c r="AO328" s="196">
        <v>0</v>
      </c>
      <c r="AP328" s="196">
        <v>0</v>
      </c>
      <c r="AQ328" s="196">
        <v>0</v>
      </c>
      <c r="AR328" s="196">
        <v>0</v>
      </c>
      <c r="AS328" s="196">
        <f>AR328+AQ328+AP328+AO328</f>
        <v>0</v>
      </c>
      <c r="AU328" s="196">
        <v>0</v>
      </c>
      <c r="AV328" s="196">
        <v>0</v>
      </c>
      <c r="AW328" s="196">
        <v>0</v>
      </c>
      <c r="AX328" s="196">
        <v>0</v>
      </c>
      <c r="AY328" s="196">
        <f>AX328+AW328+AV328+AU328</f>
        <v>0</v>
      </c>
      <c r="BA328" s="196">
        <v>0</v>
      </c>
      <c r="BB328" s="196">
        <v>0</v>
      </c>
      <c r="BC328" s="196">
        <v>250000</v>
      </c>
      <c r="BD328" s="196">
        <v>200000</v>
      </c>
      <c r="BE328" s="196">
        <f>BD328+BC328+BB328+BA328</f>
        <v>450000</v>
      </c>
      <c r="BG328" s="77">
        <v>440</v>
      </c>
      <c r="BH328" s="77">
        <v>246.7</v>
      </c>
      <c r="BI328" s="77">
        <v>270.7</v>
      </c>
      <c r="BJ328" s="77">
        <v>237.6</v>
      </c>
      <c r="BK328" s="77">
        <f>SUM(BG328:BJ328)</f>
        <v>1195</v>
      </c>
      <c r="BM328" s="77">
        <v>275</v>
      </c>
      <c r="BN328" s="77">
        <v>175</v>
      </c>
      <c r="BO328" s="77">
        <v>169.9</v>
      </c>
      <c r="BP328" s="77">
        <v>229.9</v>
      </c>
      <c r="BQ328" s="77">
        <f>SUM(BM328:BP328)</f>
        <v>849.8</v>
      </c>
      <c r="BS328" s="77">
        <v>274.89999999999998</v>
      </c>
      <c r="BT328" s="77">
        <v>35</v>
      </c>
      <c r="BU328" s="77">
        <v>25</v>
      </c>
      <c r="BV328" s="77">
        <v>0</v>
      </c>
      <c r="BW328" s="77">
        <f>SUM(BS328:BV328)</f>
        <v>334.9</v>
      </c>
      <c r="BY328" s="77">
        <v>225</v>
      </c>
      <c r="BZ328" s="77">
        <v>425</v>
      </c>
      <c r="CA328" s="77">
        <v>370</v>
      </c>
      <c r="CB328" s="77">
        <v>1300</v>
      </c>
      <c r="CC328" s="77">
        <f>SUM(BY328:CB328)</f>
        <v>2320</v>
      </c>
      <c r="CE328" s="77">
        <v>300</v>
      </c>
      <c r="CF328" s="77">
        <v>600</v>
      </c>
      <c r="CG328" s="77">
        <v>100</v>
      </c>
      <c r="CH328" s="77">
        <v>250</v>
      </c>
      <c r="CI328" s="77">
        <f>SUM(CE328:CH328)</f>
        <v>1250</v>
      </c>
      <c r="CK328" s="77">
        <v>379.3</v>
      </c>
      <c r="CL328" s="77">
        <v>179.5</v>
      </c>
      <c r="CM328" s="77">
        <v>124.9</v>
      </c>
      <c r="CN328" s="77">
        <v>350.4</v>
      </c>
      <c r="CO328" s="77">
        <f t="shared" si="349"/>
        <v>1034.0999999999999</v>
      </c>
      <c r="CQ328" s="77">
        <v>179.4</v>
      </c>
      <c r="CR328" s="77">
        <v>349.3</v>
      </c>
      <c r="CS328" s="77">
        <v>290</v>
      </c>
      <c r="CT328" s="77">
        <v>200.3</v>
      </c>
      <c r="CU328" s="77">
        <f>SUM(CQ328:CT328)</f>
        <v>1019</v>
      </c>
      <c r="CW328" s="77">
        <v>108.2</v>
      </c>
      <c r="CX328" s="77">
        <v>447.4</v>
      </c>
      <c r="CY328" s="77">
        <v>408.7</v>
      </c>
      <c r="CZ328" s="77">
        <v>394.8</v>
      </c>
      <c r="DA328" s="77">
        <f>SUM(CW328:CZ328)</f>
        <v>1359.1</v>
      </c>
      <c r="DC328" s="77">
        <v>499.1</v>
      </c>
      <c r="DD328" s="77">
        <v>1224.9000000000001</v>
      </c>
      <c r="DE328" s="77">
        <v>99.7</v>
      </c>
      <c r="DF328" s="77">
        <v>2.7</v>
      </c>
      <c r="DG328" s="77">
        <f>SUM(DC328:DF328)</f>
        <v>1826.4</v>
      </c>
      <c r="DI328" s="77">
        <v>259.5</v>
      </c>
      <c r="DJ328" s="77">
        <v>299.60000000000002</v>
      </c>
      <c r="DK328" s="77">
        <v>199.5</v>
      </c>
      <c r="DL328" s="77">
        <v>106.1</v>
      </c>
      <c r="DM328" s="77">
        <f t="shared" si="350"/>
        <v>864.7</v>
      </c>
      <c r="DO328" s="77">
        <v>121.1</v>
      </c>
      <c r="DP328" s="77">
        <v>0</v>
      </c>
      <c r="DQ328" s="77">
        <v>3.6</v>
      </c>
      <c r="DR328" s="77">
        <v>0.9</v>
      </c>
      <c r="DS328" s="77">
        <f t="shared" si="351"/>
        <v>125.6</v>
      </c>
      <c r="DT328" s="77"/>
      <c r="DU328" s="77">
        <v>0</v>
      </c>
      <c r="DV328" s="77">
        <v>100.4</v>
      </c>
      <c r="DW328" s="77">
        <v>203.9</v>
      </c>
      <c r="DX328" s="77">
        <v>0.9</v>
      </c>
      <c r="DY328" s="77">
        <f>SUM(DU328:DX328)</f>
        <v>305.2</v>
      </c>
      <c r="EA328" s="77">
        <v>0</v>
      </c>
      <c r="EB328" s="77">
        <v>0</v>
      </c>
      <c r="EC328" s="77">
        <v>0</v>
      </c>
      <c r="ED328" s="77">
        <v>5.3</v>
      </c>
      <c r="EE328" s="77">
        <f>SUM(EA328:ED328)</f>
        <v>5.3</v>
      </c>
      <c r="EG328" s="77">
        <v>0</v>
      </c>
      <c r="EH328" s="77">
        <v>33.466666666666669</v>
      </c>
      <c r="EI328" s="77">
        <v>69.166666666666671</v>
      </c>
      <c r="EJ328" s="77">
        <v>2.3666666666666667</v>
      </c>
      <c r="EK328" s="77">
        <f>SUM(EG328:EJ328)</f>
        <v>105</v>
      </c>
      <c r="EU328" s="114"/>
      <c r="EV328" s="77"/>
      <c r="EW328" s="77"/>
      <c r="EX328" s="77">
        <f>I328</f>
        <v>0</v>
      </c>
      <c r="EY328" s="77">
        <f>O328</f>
        <v>0</v>
      </c>
      <c r="EZ328" s="77">
        <f>U328</f>
        <v>0</v>
      </c>
      <c r="FA328" s="77">
        <f>AA328</f>
        <v>0</v>
      </c>
      <c r="FB328" s="77">
        <f>AG328</f>
        <v>0</v>
      </c>
      <c r="FC328" s="77">
        <f>AM328</f>
        <v>0</v>
      </c>
      <c r="FD328" s="77">
        <f>AS328</f>
        <v>0</v>
      </c>
      <c r="FE328" s="77">
        <f>AY328</f>
        <v>0</v>
      </c>
      <c r="FF328" s="77">
        <f>BE328</f>
        <v>450000</v>
      </c>
      <c r="FG328" s="196">
        <f t="shared" si="335"/>
        <v>1195</v>
      </c>
      <c r="FH328" s="196">
        <f t="shared" si="336"/>
        <v>849.8</v>
      </c>
      <c r="FI328" s="196">
        <f t="shared" si="337"/>
        <v>334.9</v>
      </c>
      <c r="FJ328" s="196">
        <f t="shared" si="338"/>
        <v>2320</v>
      </c>
      <c r="FK328" s="196">
        <f t="shared" si="339"/>
        <v>1250</v>
      </c>
      <c r="FL328" s="196">
        <f t="shared" si="340"/>
        <v>1034.0999999999999</v>
      </c>
      <c r="FM328" s="77">
        <f t="shared" si="341"/>
        <v>1019</v>
      </c>
      <c r="FN328" s="77">
        <f t="shared" si="342"/>
        <v>1359.1</v>
      </c>
      <c r="FO328" s="77">
        <f t="shared" si="343"/>
        <v>1826.4</v>
      </c>
      <c r="FP328" s="77">
        <f t="shared" si="344"/>
        <v>864.7</v>
      </c>
      <c r="FQ328" s="77">
        <f t="shared" si="345"/>
        <v>125.6</v>
      </c>
      <c r="FR328" s="77">
        <f t="shared" si="346"/>
        <v>305.2</v>
      </c>
      <c r="FS328" s="77">
        <f t="shared" si="347"/>
        <v>5.3</v>
      </c>
      <c r="FT328" s="77">
        <f t="shared" si="348"/>
        <v>105</v>
      </c>
      <c r="FU328" s="77">
        <f t="shared" si="352"/>
        <v>281.15999999999997</v>
      </c>
      <c r="FV328" s="77">
        <f t="shared" si="352"/>
        <v>164.45199999999997</v>
      </c>
      <c r="FW328" s="77">
        <f t="shared" si="352"/>
        <v>172.22239999999999</v>
      </c>
      <c r="FX328" s="77">
        <f t="shared" si="352"/>
        <v>145.62687999999997</v>
      </c>
    </row>
    <row r="329" spans="2:180" x14ac:dyDescent="0.25">
      <c r="B329" s="80" t="s">
        <v>68</v>
      </c>
      <c r="C329" s="74"/>
      <c r="D329" s="74"/>
      <c r="E329" s="196"/>
      <c r="F329" s="196"/>
      <c r="G329" s="196"/>
      <c r="H329" s="196"/>
      <c r="I329" s="196"/>
      <c r="J329" s="74"/>
      <c r="K329" s="196"/>
      <c r="L329" s="196"/>
      <c r="M329" s="196"/>
      <c r="N329" s="196"/>
      <c r="O329" s="196"/>
      <c r="P329" s="74"/>
      <c r="Q329" s="196"/>
      <c r="R329" s="196"/>
      <c r="S329" s="196"/>
      <c r="T329" s="196"/>
      <c r="U329" s="196"/>
      <c r="W329" s="196"/>
      <c r="X329" s="196"/>
      <c r="Y329" s="196"/>
      <c r="Z329" s="196"/>
      <c r="AA329" s="196"/>
      <c r="AC329" s="196"/>
      <c r="AD329" s="196"/>
      <c r="AE329" s="196"/>
      <c r="AF329" s="196"/>
      <c r="AG329" s="196"/>
      <c r="AI329" s="196"/>
      <c r="AJ329" s="196"/>
      <c r="AK329" s="196"/>
      <c r="AL329" s="196"/>
      <c r="AM329" s="196"/>
      <c r="AO329" s="196"/>
      <c r="AP329" s="196"/>
      <c r="AQ329" s="196"/>
      <c r="AR329" s="196"/>
      <c r="AS329" s="196"/>
      <c r="AU329" s="196"/>
      <c r="AV329" s="196"/>
      <c r="AW329" s="196"/>
      <c r="AX329" s="196"/>
      <c r="AY329" s="196"/>
      <c r="BA329" s="196"/>
      <c r="BB329" s="196"/>
      <c r="BC329" s="196"/>
      <c r="BD329" s="196"/>
      <c r="BE329" s="196"/>
      <c r="BG329" s="77"/>
      <c r="BH329" s="77"/>
      <c r="BI329" s="77"/>
      <c r="BJ329" s="77"/>
      <c r="BK329" s="77"/>
      <c r="BM329" s="77"/>
      <c r="BN329" s="77"/>
      <c r="BO329" s="77"/>
      <c r="BP329" s="77"/>
      <c r="BQ329" s="77"/>
      <c r="BS329" s="77">
        <v>-64</v>
      </c>
      <c r="BT329" s="77">
        <v>-63</v>
      </c>
      <c r="BU329" s="77">
        <v>-37.799999999999997</v>
      </c>
      <c r="BV329" s="77">
        <v>-7.1</v>
      </c>
      <c r="BW329" s="77">
        <f>BS329+BT329+BU329+BV329</f>
        <v>-171.9</v>
      </c>
      <c r="BY329" s="77">
        <v>1.1000000000000001</v>
      </c>
      <c r="BZ329" s="77">
        <v>1.7000000000000002</v>
      </c>
      <c r="CA329" s="77">
        <v>-14.4</v>
      </c>
      <c r="CB329" s="77">
        <v>-9.6</v>
      </c>
      <c r="CC329" s="77">
        <f>BY329+BZ329+CA329+CB329</f>
        <v>-21.2</v>
      </c>
      <c r="CE329" s="77">
        <v>-30.7</v>
      </c>
      <c r="CF329" s="77">
        <v>-16.5</v>
      </c>
      <c r="CG329" s="77">
        <v>32</v>
      </c>
      <c r="CH329" s="77">
        <v>41.6</v>
      </c>
      <c r="CI329" s="77">
        <f>CE329+CF329+CG329+CH329</f>
        <v>26.4</v>
      </c>
      <c r="CK329" s="77">
        <v>23.6</v>
      </c>
      <c r="CL329" s="77">
        <v>3.5</v>
      </c>
      <c r="CM329" s="77">
        <v>-20.2</v>
      </c>
      <c r="CN329" s="77">
        <v>-9.3000000000000007</v>
      </c>
      <c r="CO329" s="77">
        <f t="shared" si="349"/>
        <v>-2.3999999999999986</v>
      </c>
      <c r="CQ329" s="77">
        <v>0</v>
      </c>
      <c r="CR329" s="77">
        <v>0</v>
      </c>
      <c r="CS329" s="77">
        <v>0</v>
      </c>
      <c r="CT329" s="77">
        <v>0</v>
      </c>
      <c r="CU329" s="77">
        <f>CQ329+CR329+CS329+CT329</f>
        <v>0</v>
      </c>
      <c r="CW329" s="77">
        <v>0</v>
      </c>
      <c r="CX329" s="77">
        <v>0</v>
      </c>
      <c r="CY329" s="77">
        <v>0</v>
      </c>
      <c r="CZ329" s="77">
        <v>0</v>
      </c>
      <c r="DA329" s="77">
        <f>CW329+CX329+CY329+CZ329</f>
        <v>0</v>
      </c>
      <c r="DC329" s="77">
        <v>0</v>
      </c>
      <c r="DD329" s="77">
        <v>0</v>
      </c>
      <c r="DE329" s="77">
        <v>0</v>
      </c>
      <c r="DF329" s="77">
        <v>0</v>
      </c>
      <c r="DG329" s="77">
        <f>DC329+DD329+DE329+DF329</f>
        <v>0</v>
      </c>
      <c r="DI329" s="77">
        <v>0</v>
      </c>
      <c r="DJ329" s="77">
        <v>0</v>
      </c>
      <c r="DK329" s="77">
        <v>0</v>
      </c>
      <c r="DL329" s="77">
        <v>0</v>
      </c>
      <c r="DM329" s="77">
        <f t="shared" si="350"/>
        <v>0</v>
      </c>
      <c r="DO329" s="77">
        <v>0</v>
      </c>
      <c r="DP329" s="77">
        <v>0</v>
      </c>
      <c r="DQ329" s="77">
        <v>0</v>
      </c>
      <c r="DR329" s="77">
        <v>0</v>
      </c>
      <c r="DS329" s="77">
        <f t="shared" si="351"/>
        <v>0</v>
      </c>
      <c r="DT329" s="77"/>
      <c r="DU329" s="77">
        <v>0</v>
      </c>
      <c r="DV329" s="77">
        <v>0</v>
      </c>
      <c r="DW329" s="77">
        <v>0</v>
      </c>
      <c r="DX329" s="77">
        <v>0</v>
      </c>
      <c r="DY329" s="77">
        <f>DU329+DV329+DW329+DX329</f>
        <v>0</v>
      </c>
      <c r="EA329" s="77">
        <v>0</v>
      </c>
      <c r="EB329" s="77">
        <v>0</v>
      </c>
      <c r="EC329" s="77">
        <v>0</v>
      </c>
      <c r="ED329" s="77">
        <v>0</v>
      </c>
      <c r="EE329" s="77">
        <f>EA329+EB329+EC329+ED329</f>
        <v>0</v>
      </c>
      <c r="EG329" s="77">
        <v>0</v>
      </c>
      <c r="EH329" s="77">
        <v>0</v>
      </c>
      <c r="EI329" s="77">
        <v>0</v>
      </c>
      <c r="EJ329" s="77">
        <v>0</v>
      </c>
      <c r="EK329" s="77">
        <f>EG329+EH329+EI329+EJ329</f>
        <v>0</v>
      </c>
      <c r="EU329" s="114"/>
      <c r="EV329" s="77">
        <v>16406</v>
      </c>
      <c r="EW329" s="77">
        <v>2638</v>
      </c>
      <c r="EX329" s="77"/>
      <c r="EY329" s="77"/>
      <c r="EZ329" s="77"/>
      <c r="FA329" s="77"/>
      <c r="FB329" s="77"/>
      <c r="FC329" s="77"/>
      <c r="FD329" s="77"/>
      <c r="FE329" s="77"/>
      <c r="FF329" s="77">
        <f>BE329</f>
        <v>0</v>
      </c>
      <c r="FG329" s="196">
        <f t="shared" si="335"/>
        <v>0</v>
      </c>
      <c r="FH329" s="196">
        <f t="shared" si="336"/>
        <v>0</v>
      </c>
      <c r="FI329" s="196">
        <f t="shared" si="337"/>
        <v>-171.9</v>
      </c>
      <c r="FJ329" s="196">
        <f t="shared" si="338"/>
        <v>-21.2</v>
      </c>
      <c r="FK329" s="196">
        <f t="shared" si="339"/>
        <v>26.4</v>
      </c>
      <c r="FL329" s="196">
        <f t="shared" si="340"/>
        <v>-2.3999999999999986</v>
      </c>
      <c r="FM329" s="77">
        <f t="shared" si="341"/>
        <v>0</v>
      </c>
      <c r="FN329" s="77">
        <f t="shared" si="342"/>
        <v>0</v>
      </c>
      <c r="FO329" s="77">
        <f t="shared" si="343"/>
        <v>0</v>
      </c>
      <c r="FP329" s="77">
        <f t="shared" si="344"/>
        <v>0</v>
      </c>
      <c r="FQ329" s="77">
        <f t="shared" si="345"/>
        <v>0</v>
      </c>
      <c r="FR329" s="77">
        <f t="shared" si="346"/>
        <v>0</v>
      </c>
      <c r="FS329" s="77">
        <f t="shared" si="347"/>
        <v>0</v>
      </c>
      <c r="FT329" s="77">
        <f t="shared" si="348"/>
        <v>0</v>
      </c>
      <c r="FU329" s="77">
        <v>0</v>
      </c>
      <c r="FV329" s="77">
        <v>0</v>
      </c>
      <c r="FW329" s="77">
        <v>0</v>
      </c>
      <c r="FX329" s="77">
        <v>0</v>
      </c>
    </row>
    <row r="330" spans="2:180" x14ac:dyDescent="0.25">
      <c r="B330" s="80" t="s">
        <v>67</v>
      </c>
      <c r="C330" s="74"/>
      <c r="D330" s="74"/>
      <c r="E330" s="196"/>
      <c r="F330" s="196"/>
      <c r="G330" s="196"/>
      <c r="H330" s="196"/>
      <c r="I330" s="196"/>
      <c r="J330" s="74"/>
      <c r="K330" s="196"/>
      <c r="L330" s="196"/>
      <c r="M330" s="196"/>
      <c r="N330" s="196"/>
      <c r="O330" s="196"/>
      <c r="P330" s="74"/>
      <c r="Q330" s="196"/>
      <c r="R330" s="196"/>
      <c r="S330" s="196"/>
      <c r="T330" s="196"/>
      <c r="U330" s="196"/>
      <c r="W330" s="196"/>
      <c r="X330" s="196"/>
      <c r="Y330" s="196"/>
      <c r="Z330" s="196"/>
      <c r="AA330" s="196"/>
      <c r="AC330" s="196"/>
      <c r="AD330" s="196"/>
      <c r="AE330" s="196"/>
      <c r="AF330" s="196"/>
      <c r="AG330" s="196"/>
      <c r="AI330" s="196"/>
      <c r="AJ330" s="196"/>
      <c r="AK330" s="196"/>
      <c r="AL330" s="196"/>
      <c r="AM330" s="196"/>
      <c r="AO330" s="196"/>
      <c r="AP330" s="196"/>
      <c r="AQ330" s="196"/>
      <c r="AR330" s="196"/>
      <c r="AS330" s="196"/>
      <c r="AU330" s="196"/>
      <c r="AV330" s="196"/>
      <c r="AW330" s="196"/>
      <c r="AX330" s="196"/>
      <c r="AY330" s="196"/>
      <c r="BA330" s="196"/>
      <c r="BB330" s="196"/>
      <c r="BC330" s="196"/>
      <c r="BD330" s="196"/>
      <c r="BE330" s="196"/>
      <c r="BG330" s="77"/>
      <c r="BH330" s="77"/>
      <c r="BI330" s="77"/>
      <c r="BJ330" s="77"/>
      <c r="BK330" s="77"/>
      <c r="BM330" s="77"/>
      <c r="BN330" s="77"/>
      <c r="BO330" s="77"/>
      <c r="BP330" s="77"/>
      <c r="BQ330" s="77"/>
      <c r="BS330" s="77"/>
      <c r="BT330" s="77"/>
      <c r="BU330" s="77"/>
      <c r="BV330" s="77"/>
      <c r="BW330" s="77"/>
      <c r="BY330" s="77"/>
      <c r="BZ330" s="77"/>
      <c r="CA330" s="77"/>
      <c r="CB330" s="77"/>
      <c r="CC330" s="77"/>
      <c r="CE330" s="77">
        <v>0</v>
      </c>
      <c r="CF330" s="77">
        <v>0</v>
      </c>
      <c r="CG330" s="77">
        <v>0</v>
      </c>
      <c r="CH330" s="77">
        <v>-0.6</v>
      </c>
      <c r="CI330" s="77">
        <f>SUM(CE330:CH330)</f>
        <v>-0.6</v>
      </c>
      <c r="CK330" s="77">
        <v>-0.2</v>
      </c>
      <c r="CL330" s="77">
        <v>-0.4</v>
      </c>
      <c r="CM330" s="77">
        <v>-0.3</v>
      </c>
      <c r="CN330" s="77">
        <v>-0.1</v>
      </c>
      <c r="CO330" s="77">
        <f t="shared" si="349"/>
        <v>-1.0000000000000002</v>
      </c>
      <c r="CQ330" s="77">
        <v>0</v>
      </c>
      <c r="CR330" s="77">
        <v>0</v>
      </c>
      <c r="CS330" s="77">
        <v>0</v>
      </c>
      <c r="CT330" s="77">
        <v>0.9</v>
      </c>
      <c r="CU330" s="77">
        <f>SUM(CQ330:CT330)</f>
        <v>0.9</v>
      </c>
      <c r="CW330" s="77">
        <v>0.3</v>
      </c>
      <c r="CX330" s="77">
        <v>-0.3</v>
      </c>
      <c r="CY330" s="77">
        <v>-10</v>
      </c>
      <c r="CZ330" s="77">
        <v>-2.2000000000000002</v>
      </c>
      <c r="DA330" s="77">
        <f>SUM(CW330:CZ330)</f>
        <v>-12.2</v>
      </c>
      <c r="DC330" s="77">
        <v>0</v>
      </c>
      <c r="DD330" s="77">
        <v>0</v>
      </c>
      <c r="DE330" s="77">
        <v>-124.4</v>
      </c>
      <c r="DF330" s="77">
        <v>0</v>
      </c>
      <c r="DG330" s="77">
        <f>SUM(DC330:DF330)</f>
        <v>-124.4</v>
      </c>
      <c r="DI330" s="77">
        <v>0</v>
      </c>
      <c r="DJ330" s="77">
        <v>0</v>
      </c>
      <c r="DK330" s="77">
        <v>-240</v>
      </c>
      <c r="DL330" s="77">
        <v>0</v>
      </c>
      <c r="DM330" s="77">
        <f t="shared" si="350"/>
        <v>-240</v>
      </c>
      <c r="DO330" s="77">
        <v>0</v>
      </c>
      <c r="DP330" s="77">
        <v>0</v>
      </c>
      <c r="DQ330" s="279">
        <v>-553</v>
      </c>
      <c r="DR330" s="279">
        <v>-8.5</v>
      </c>
      <c r="DS330" s="77">
        <f t="shared" si="351"/>
        <v>-561.5</v>
      </c>
      <c r="DT330" s="77"/>
      <c r="DU330" s="77">
        <v>0.2</v>
      </c>
      <c r="DV330" s="77">
        <v>0.3</v>
      </c>
      <c r="DW330" s="77">
        <v>0.7</v>
      </c>
      <c r="DX330" s="77">
        <v>-527.4</v>
      </c>
      <c r="DY330" s="77">
        <f>SUM(DU330:DX330)</f>
        <v>-526.19999999999993</v>
      </c>
      <c r="EA330" s="77">
        <v>0.8</v>
      </c>
      <c r="EB330" s="77">
        <v>0.9</v>
      </c>
      <c r="EC330" s="77">
        <v>-1210</v>
      </c>
      <c r="ED330" s="77">
        <v>-92.2</v>
      </c>
      <c r="EE330" s="77">
        <f>SUM(EA330:ED330)</f>
        <v>-1300.5</v>
      </c>
      <c r="EG330" s="77">
        <v>-64.2</v>
      </c>
      <c r="EH330" s="77">
        <v>0</v>
      </c>
      <c r="EI330" s="77">
        <v>0</v>
      </c>
      <c r="EJ330" s="77">
        <v>0</v>
      </c>
      <c r="EK330" s="77">
        <f>SUM(EG330:EJ330)</f>
        <v>-64.2</v>
      </c>
      <c r="EM330" s="84"/>
      <c r="EU330" s="114"/>
      <c r="EV330" s="77"/>
      <c r="EW330" s="77"/>
      <c r="EX330" s="77"/>
      <c r="EY330" s="77"/>
      <c r="EZ330" s="77"/>
      <c r="FA330" s="77"/>
      <c r="FB330" s="77"/>
      <c r="FC330" s="77"/>
      <c r="FD330" s="77"/>
      <c r="FE330" s="77"/>
      <c r="FF330" s="77"/>
      <c r="FG330" s="196">
        <f t="shared" si="335"/>
        <v>0</v>
      </c>
      <c r="FH330" s="196">
        <f t="shared" si="336"/>
        <v>0</v>
      </c>
      <c r="FI330" s="196">
        <f t="shared" si="337"/>
        <v>0</v>
      </c>
      <c r="FJ330" s="196">
        <f t="shared" si="338"/>
        <v>0</v>
      </c>
      <c r="FK330" s="196">
        <f t="shared" si="339"/>
        <v>-0.6</v>
      </c>
      <c r="FL330" s="196">
        <f t="shared" si="340"/>
        <v>-1.0000000000000002</v>
      </c>
      <c r="FM330" s="77">
        <f t="shared" si="341"/>
        <v>0.9</v>
      </c>
      <c r="FN330" s="77">
        <f t="shared" si="342"/>
        <v>-12.2</v>
      </c>
      <c r="FO330" s="77">
        <f t="shared" si="343"/>
        <v>-124.4</v>
      </c>
      <c r="FP330" s="77">
        <f t="shared" si="344"/>
        <v>-240</v>
      </c>
      <c r="FQ330" s="77">
        <f t="shared" si="345"/>
        <v>-561.5</v>
      </c>
      <c r="FR330" s="77">
        <f t="shared" si="346"/>
        <v>-526.19999999999993</v>
      </c>
      <c r="FS330" s="77">
        <f t="shared" si="347"/>
        <v>-1300.5</v>
      </c>
      <c r="FT330" s="77">
        <f t="shared" si="348"/>
        <v>-64.2</v>
      </c>
      <c r="FU330" s="77">
        <v>0</v>
      </c>
      <c r="FV330" s="77">
        <v>0</v>
      </c>
      <c r="FW330" s="77">
        <v>0</v>
      </c>
      <c r="FX330" s="77">
        <v>0</v>
      </c>
    </row>
    <row r="331" spans="2:180" x14ac:dyDescent="0.25">
      <c r="B331" s="80" t="s">
        <v>66</v>
      </c>
      <c r="C331" s="74"/>
      <c r="D331" s="74"/>
      <c r="E331" s="196"/>
      <c r="F331" s="196"/>
      <c r="G331" s="196"/>
      <c r="H331" s="196"/>
      <c r="I331" s="196"/>
      <c r="J331" s="74"/>
      <c r="K331" s="196"/>
      <c r="L331" s="196"/>
      <c r="M331" s="196"/>
      <c r="N331" s="196"/>
      <c r="O331" s="196"/>
      <c r="P331" s="74"/>
      <c r="Q331" s="196"/>
      <c r="R331" s="196"/>
      <c r="S331" s="196"/>
      <c r="T331" s="196"/>
      <c r="U331" s="196"/>
      <c r="W331" s="196"/>
      <c r="X331" s="196"/>
      <c r="Y331" s="196"/>
      <c r="Z331" s="196"/>
      <c r="AA331" s="196"/>
      <c r="AC331" s="196"/>
      <c r="AD331" s="196"/>
      <c r="AE331" s="196"/>
      <c r="AF331" s="196"/>
      <c r="AG331" s="196"/>
      <c r="AI331" s="196"/>
      <c r="AJ331" s="196"/>
      <c r="AK331" s="196"/>
      <c r="AL331" s="196"/>
      <c r="AM331" s="196"/>
      <c r="AO331" s="196"/>
      <c r="AP331" s="196"/>
      <c r="AQ331" s="196"/>
      <c r="AR331" s="196"/>
      <c r="AS331" s="196"/>
      <c r="AU331" s="196"/>
      <c r="AV331" s="196"/>
      <c r="AW331" s="196"/>
      <c r="AX331" s="196"/>
      <c r="AY331" s="196"/>
      <c r="BA331" s="196"/>
      <c r="BB331" s="196"/>
      <c r="BC331" s="196"/>
      <c r="BD331" s="196"/>
      <c r="BE331" s="196"/>
      <c r="BG331" s="77"/>
      <c r="BH331" s="77"/>
      <c r="BI331" s="77"/>
      <c r="BJ331" s="77"/>
      <c r="BK331" s="77"/>
      <c r="BM331" s="77"/>
      <c r="BN331" s="77"/>
      <c r="BO331" s="77"/>
      <c r="BP331" s="77"/>
      <c r="BQ331" s="77"/>
      <c r="BS331" s="77"/>
      <c r="BT331" s="77"/>
      <c r="BU331" s="77"/>
      <c r="BV331" s="77"/>
      <c r="BW331" s="77"/>
      <c r="BY331" s="77"/>
      <c r="BZ331" s="77"/>
      <c r="CA331" s="77"/>
      <c r="CB331" s="77"/>
      <c r="CC331" s="77"/>
      <c r="CE331" s="77">
        <v>0</v>
      </c>
      <c r="CF331" s="77">
        <v>0</v>
      </c>
      <c r="CG331" s="77">
        <v>0</v>
      </c>
      <c r="CH331" s="77">
        <v>0</v>
      </c>
      <c r="CI331" s="77">
        <f>SUM(CE331:CH331)</f>
        <v>0</v>
      </c>
      <c r="CK331" s="77">
        <v>0</v>
      </c>
      <c r="CL331" s="77">
        <v>0</v>
      </c>
      <c r="CM331" s="77">
        <v>0</v>
      </c>
      <c r="CN331" s="77">
        <v>0</v>
      </c>
      <c r="CO331" s="77">
        <f t="shared" si="349"/>
        <v>0</v>
      </c>
      <c r="CQ331" s="77">
        <v>0</v>
      </c>
      <c r="CR331" s="77">
        <v>0</v>
      </c>
      <c r="CS331" s="77">
        <v>0</v>
      </c>
      <c r="CT331" s="77">
        <v>0</v>
      </c>
      <c r="CU331" s="77">
        <f>SUM(CQ331:CT331)</f>
        <v>0</v>
      </c>
      <c r="CW331" s="77">
        <v>0</v>
      </c>
      <c r="CX331" s="77">
        <v>0</v>
      </c>
      <c r="CY331" s="77">
        <v>0</v>
      </c>
      <c r="CZ331" s="77">
        <v>0</v>
      </c>
      <c r="DA331" s="77">
        <f>SUM(CW331:CZ331)</f>
        <v>0</v>
      </c>
      <c r="DC331" s="77">
        <v>0</v>
      </c>
      <c r="DD331" s="77">
        <v>12.9</v>
      </c>
      <c r="DE331" s="77">
        <v>0</v>
      </c>
      <c r="DF331" s="77">
        <v>316.10000000000002</v>
      </c>
      <c r="DG331" s="77">
        <f>SUM(DC331:DF331)</f>
        <v>329</v>
      </c>
      <c r="DI331" s="77">
        <v>0</v>
      </c>
      <c r="DJ331" s="77">
        <v>0</v>
      </c>
      <c r="DK331" s="77">
        <v>0</v>
      </c>
      <c r="DL331" s="77">
        <v>0</v>
      </c>
      <c r="DM331" s="77">
        <f t="shared" si="350"/>
        <v>0</v>
      </c>
      <c r="DO331" s="77">
        <v>0</v>
      </c>
      <c r="DP331" s="77">
        <v>0</v>
      </c>
      <c r="DQ331" s="77">
        <v>0</v>
      </c>
      <c r="DR331" s="77">
        <v>0</v>
      </c>
      <c r="DS331" s="77">
        <f t="shared" si="351"/>
        <v>0</v>
      </c>
      <c r="DT331" s="77"/>
      <c r="DU331" s="77">
        <v>0</v>
      </c>
      <c r="DV331" s="77">
        <v>0</v>
      </c>
      <c r="DW331" s="77">
        <v>0</v>
      </c>
      <c r="DX331" s="77">
        <v>0</v>
      </c>
      <c r="DY331" s="77">
        <f>SUM(DU331:DX331)</f>
        <v>0</v>
      </c>
      <c r="EA331" s="77">
        <v>0</v>
      </c>
      <c r="EB331" s="77">
        <v>0</v>
      </c>
      <c r="EC331" s="77">
        <v>0</v>
      </c>
      <c r="ED331" s="77">
        <v>0</v>
      </c>
      <c r="EE331" s="77">
        <f>SUM(EA331:ED331)</f>
        <v>0</v>
      </c>
      <c r="EG331" s="77">
        <v>0</v>
      </c>
      <c r="EH331" s="77">
        <v>0</v>
      </c>
      <c r="EI331" s="77">
        <v>0</v>
      </c>
      <c r="EJ331" s="77">
        <v>0</v>
      </c>
      <c r="EK331" s="77">
        <f>SUM(EG331:EJ331)</f>
        <v>0</v>
      </c>
      <c r="EU331" s="114"/>
      <c r="EV331" s="77"/>
      <c r="EW331" s="77"/>
      <c r="EX331" s="77"/>
      <c r="EY331" s="77"/>
      <c r="EZ331" s="77"/>
      <c r="FA331" s="77"/>
      <c r="FB331" s="77"/>
      <c r="FC331" s="77"/>
      <c r="FD331" s="77"/>
      <c r="FE331" s="77"/>
      <c r="FF331" s="77"/>
      <c r="FG331" s="196">
        <f t="shared" si="335"/>
        <v>0</v>
      </c>
      <c r="FH331" s="196">
        <f t="shared" si="336"/>
        <v>0</v>
      </c>
      <c r="FI331" s="196">
        <f t="shared" si="337"/>
        <v>0</v>
      </c>
      <c r="FJ331" s="196">
        <f t="shared" si="338"/>
        <v>0</v>
      </c>
      <c r="FK331" s="196">
        <f t="shared" si="339"/>
        <v>0</v>
      </c>
      <c r="FL331" s="196">
        <f t="shared" si="340"/>
        <v>0</v>
      </c>
      <c r="FM331" s="77">
        <f t="shared" si="341"/>
        <v>0</v>
      </c>
      <c r="FN331" s="77">
        <f t="shared" si="342"/>
        <v>0</v>
      </c>
      <c r="FO331" s="77">
        <f t="shared" si="343"/>
        <v>329</v>
      </c>
      <c r="FP331" s="77">
        <f t="shared" si="344"/>
        <v>0</v>
      </c>
      <c r="FQ331" s="77">
        <f t="shared" si="345"/>
        <v>0</v>
      </c>
      <c r="FR331" s="77">
        <f t="shared" si="346"/>
        <v>0</v>
      </c>
      <c r="FS331" s="77">
        <f t="shared" si="347"/>
        <v>0</v>
      </c>
      <c r="FT331" s="77">
        <f t="shared" si="348"/>
        <v>0</v>
      </c>
      <c r="FU331" s="77">
        <v>0</v>
      </c>
      <c r="FV331" s="77">
        <v>0</v>
      </c>
      <c r="FW331" s="77">
        <v>0</v>
      </c>
      <c r="FX331" s="77">
        <v>0</v>
      </c>
    </row>
    <row r="332" spans="2:180" x14ac:dyDescent="0.25">
      <c r="B332" s="180" t="s">
        <v>65</v>
      </c>
      <c r="C332" s="74"/>
      <c r="D332" s="74"/>
      <c r="E332" s="196"/>
      <c r="F332" s="196"/>
      <c r="G332" s="196"/>
      <c r="H332" s="196"/>
      <c r="I332" s="196"/>
      <c r="J332" s="74"/>
      <c r="K332" s="196"/>
      <c r="L332" s="196"/>
      <c r="M332" s="196"/>
      <c r="N332" s="196"/>
      <c r="O332" s="196"/>
      <c r="P332" s="74"/>
      <c r="Q332" s="196"/>
      <c r="R332" s="196"/>
      <c r="S332" s="196"/>
      <c r="T332" s="196"/>
      <c r="U332" s="196"/>
      <c r="W332" s="196"/>
      <c r="X332" s="196"/>
      <c r="Y332" s="196"/>
      <c r="Z332" s="196"/>
      <c r="AA332" s="196"/>
      <c r="AC332" s="196"/>
      <c r="AD332" s="196"/>
      <c r="AE332" s="196"/>
      <c r="AF332" s="196"/>
      <c r="AG332" s="196"/>
      <c r="AI332" s="196"/>
      <c r="AJ332" s="196"/>
      <c r="AK332" s="196"/>
      <c r="AL332" s="196"/>
      <c r="AM332" s="196"/>
      <c r="AO332" s="196"/>
      <c r="AP332" s="196"/>
      <c r="AQ332" s="196"/>
      <c r="AR332" s="196"/>
      <c r="AS332" s="196"/>
      <c r="AU332" s="196"/>
      <c r="AV332" s="196"/>
      <c r="AW332" s="196"/>
      <c r="AX332" s="196"/>
      <c r="AY332" s="196"/>
      <c r="BA332" s="196"/>
      <c r="BB332" s="196"/>
      <c r="BC332" s="196"/>
      <c r="BD332" s="196"/>
      <c r="BE332" s="196"/>
      <c r="BG332" s="77"/>
      <c r="BH332" s="77"/>
      <c r="BI332" s="77"/>
      <c r="BJ332" s="77"/>
      <c r="BK332" s="77"/>
      <c r="BM332" s="77"/>
      <c r="BN332" s="77"/>
      <c r="BO332" s="77"/>
      <c r="BP332" s="77"/>
      <c r="BQ332" s="77"/>
      <c r="BS332" s="77"/>
      <c r="BT332" s="77"/>
      <c r="BU332" s="77"/>
      <c r="BV332" s="77"/>
      <c r="BW332" s="77"/>
      <c r="BY332" s="77"/>
      <c r="BZ332" s="77"/>
      <c r="CA332" s="77"/>
      <c r="CB332" s="77"/>
      <c r="CC332" s="77"/>
      <c r="CE332" s="77">
        <v>0</v>
      </c>
      <c r="CF332" s="77">
        <v>0</v>
      </c>
      <c r="CG332" s="77">
        <v>0</v>
      </c>
      <c r="CH332" s="77">
        <v>1.6</v>
      </c>
      <c r="CI332" s="77">
        <f>SUM(CE332:CH332)</f>
        <v>1.6</v>
      </c>
      <c r="CK332" s="77">
        <v>0</v>
      </c>
      <c r="CL332" s="77">
        <v>0</v>
      </c>
      <c r="CM332" s="77">
        <v>5.4</v>
      </c>
      <c r="CN332" s="77">
        <v>0</v>
      </c>
      <c r="CO332" s="77">
        <f t="shared" si="349"/>
        <v>5.4</v>
      </c>
      <c r="CQ332" s="77">
        <v>0</v>
      </c>
      <c r="CR332" s="77">
        <v>0</v>
      </c>
      <c r="CS332" s="77">
        <v>0</v>
      </c>
      <c r="CT332" s="77">
        <v>0</v>
      </c>
      <c r="CU332" s="77">
        <f>SUM(CQ332:CT332)</f>
        <v>0</v>
      </c>
      <c r="CW332" s="77">
        <v>0</v>
      </c>
      <c r="CX332" s="77">
        <v>0</v>
      </c>
      <c r="CY332" s="77">
        <v>0</v>
      </c>
      <c r="CZ332" s="77">
        <v>0</v>
      </c>
      <c r="DA332" s="77">
        <f>SUM(CW332:CZ332)</f>
        <v>0</v>
      </c>
      <c r="DC332" s="77">
        <v>0</v>
      </c>
      <c r="DD332" s="77">
        <v>0</v>
      </c>
      <c r="DE332" s="77">
        <v>0</v>
      </c>
      <c r="DF332" s="77">
        <v>0</v>
      </c>
      <c r="DG332" s="77">
        <f>SUM(DC332:DF332)</f>
        <v>0</v>
      </c>
      <c r="DI332" s="77">
        <v>0</v>
      </c>
      <c r="DJ332" s="77">
        <v>0</v>
      </c>
      <c r="DK332" s="77">
        <v>0</v>
      </c>
      <c r="DL332" s="77">
        <v>0</v>
      </c>
      <c r="DM332" s="77">
        <f t="shared" si="350"/>
        <v>0</v>
      </c>
      <c r="DO332" s="77">
        <v>0</v>
      </c>
      <c r="DP332" s="77">
        <v>0</v>
      </c>
      <c r="DQ332" s="77">
        <v>0</v>
      </c>
      <c r="DR332" s="77">
        <v>0</v>
      </c>
      <c r="DS332" s="77">
        <f t="shared" si="351"/>
        <v>0</v>
      </c>
      <c r="DT332" s="77"/>
      <c r="DU332" s="77">
        <v>0</v>
      </c>
      <c r="DV332" s="77">
        <v>0</v>
      </c>
      <c r="DW332" s="77">
        <v>0</v>
      </c>
      <c r="DX332" s="77">
        <v>0</v>
      </c>
      <c r="DY332" s="77">
        <f>SUM(DU332:DX332)</f>
        <v>0</v>
      </c>
      <c r="EA332" s="77">
        <v>0</v>
      </c>
      <c r="EB332" s="77">
        <v>0</v>
      </c>
      <c r="EC332" s="77">
        <v>-405.9</v>
      </c>
      <c r="ED332" s="77">
        <v>-39.299999999999955</v>
      </c>
      <c r="EE332" s="77">
        <f>SUM(EA332:ED332)</f>
        <v>-445.19999999999993</v>
      </c>
      <c r="EG332" s="77">
        <v>0</v>
      </c>
      <c r="EH332" s="77">
        <v>0</v>
      </c>
      <c r="EI332" s="77">
        <v>0</v>
      </c>
      <c r="EJ332" s="77">
        <v>0</v>
      </c>
      <c r="EK332" s="77">
        <f>SUM(EG332:EJ332)</f>
        <v>0</v>
      </c>
      <c r="EU332" s="114"/>
      <c r="EV332" s="77"/>
      <c r="EW332" s="77"/>
      <c r="EX332" s="77"/>
      <c r="EY332" s="77"/>
      <c r="EZ332" s="77"/>
      <c r="FA332" s="77"/>
      <c r="FB332" s="77"/>
      <c r="FC332" s="77"/>
      <c r="FD332" s="77"/>
      <c r="FE332" s="77"/>
      <c r="FF332" s="77"/>
      <c r="FG332" s="196">
        <f t="shared" si="335"/>
        <v>0</v>
      </c>
      <c r="FH332" s="196">
        <f t="shared" si="336"/>
        <v>0</v>
      </c>
      <c r="FI332" s="196">
        <f t="shared" si="337"/>
        <v>0</v>
      </c>
      <c r="FJ332" s="196">
        <f t="shared" si="338"/>
        <v>0</v>
      </c>
      <c r="FK332" s="196">
        <f t="shared" si="339"/>
        <v>1.6</v>
      </c>
      <c r="FL332" s="196">
        <f t="shared" si="340"/>
        <v>5.4</v>
      </c>
      <c r="FM332" s="77">
        <f t="shared" si="341"/>
        <v>0</v>
      </c>
      <c r="FN332" s="77">
        <f t="shared" si="342"/>
        <v>0</v>
      </c>
      <c r="FO332" s="77">
        <f t="shared" si="343"/>
        <v>0</v>
      </c>
      <c r="FP332" s="77">
        <f t="shared" si="344"/>
        <v>0</v>
      </c>
      <c r="FQ332" s="77">
        <f t="shared" si="345"/>
        <v>0</v>
      </c>
      <c r="FR332" s="77">
        <f t="shared" si="346"/>
        <v>0</v>
      </c>
      <c r="FS332" s="77">
        <f t="shared" si="347"/>
        <v>-445.19999999999993</v>
      </c>
      <c r="FT332" s="77">
        <f t="shared" si="348"/>
        <v>0</v>
      </c>
      <c r="FU332" s="77">
        <v>0</v>
      </c>
      <c r="FV332" s="77">
        <v>0</v>
      </c>
      <c r="FW332" s="77">
        <v>0</v>
      </c>
      <c r="FX332" s="77">
        <v>0</v>
      </c>
    </row>
    <row r="333" spans="2:180" x14ac:dyDescent="0.25">
      <c r="B333" s="180" t="s">
        <v>306</v>
      </c>
      <c r="C333" s="74"/>
      <c r="D333" s="74"/>
      <c r="E333" s="96"/>
      <c r="F333" s="196"/>
      <c r="G333" s="196"/>
      <c r="H333" s="196"/>
      <c r="I333" s="196">
        <v>0</v>
      </c>
      <c r="J333" s="74"/>
      <c r="K333" s="196">
        <v>0</v>
      </c>
      <c r="L333" s="196">
        <v>0</v>
      </c>
      <c r="M333" s="196">
        <v>0</v>
      </c>
      <c r="N333" s="196">
        <v>0</v>
      </c>
      <c r="O333" s="196">
        <v>0</v>
      </c>
      <c r="P333" s="74"/>
      <c r="Q333" s="196">
        <v>0</v>
      </c>
      <c r="R333" s="196">
        <v>0</v>
      </c>
      <c r="S333" s="196">
        <v>0</v>
      </c>
      <c r="T333" s="196">
        <v>0</v>
      </c>
      <c r="U333" s="196">
        <v>0</v>
      </c>
      <c r="W333" s="196">
        <v>-188011</v>
      </c>
      <c r="X333" s="196">
        <v>0</v>
      </c>
      <c r="Y333" s="196">
        <v>0</v>
      </c>
      <c r="Z333" s="196">
        <v>0</v>
      </c>
      <c r="AA333" s="196">
        <f>Z333+Y333+X333+W333</f>
        <v>-188011</v>
      </c>
      <c r="AC333" s="196">
        <v>0</v>
      </c>
      <c r="AD333" s="196">
        <v>0</v>
      </c>
      <c r="AE333" s="196">
        <v>0</v>
      </c>
      <c r="AF333" s="196">
        <v>0</v>
      </c>
      <c r="AG333" s="196">
        <f>AF333+AE333+AD333+AC333</f>
        <v>0</v>
      </c>
      <c r="AI333" s="196">
        <v>0</v>
      </c>
      <c r="AJ333" s="196">
        <v>0</v>
      </c>
      <c r="AK333" s="196">
        <v>0</v>
      </c>
      <c r="AL333" s="196">
        <v>0</v>
      </c>
      <c r="AM333" s="196">
        <f>AL333+AK333+AJ333+AI333</f>
        <v>0</v>
      </c>
      <c r="AO333" s="196">
        <v>0</v>
      </c>
      <c r="AP333" s="196">
        <v>0</v>
      </c>
      <c r="AQ333" s="196">
        <v>0</v>
      </c>
      <c r="AR333" s="196">
        <v>0</v>
      </c>
      <c r="AS333" s="196">
        <f>AR333+AQ333+AP333+AO333</f>
        <v>0</v>
      </c>
      <c r="AU333" s="196">
        <v>0</v>
      </c>
      <c r="AV333" s="196">
        <v>0</v>
      </c>
      <c r="AW333" s="196">
        <v>0</v>
      </c>
      <c r="AX333" s="196">
        <v>0</v>
      </c>
      <c r="AY333" s="196">
        <f>AX333+AW333+AV333+AU333</f>
        <v>0</v>
      </c>
      <c r="BA333" s="196">
        <v>0</v>
      </c>
      <c r="BB333" s="196">
        <v>0</v>
      </c>
      <c r="BC333" s="196">
        <v>0</v>
      </c>
      <c r="BD333" s="196">
        <v>-10300</v>
      </c>
      <c r="BE333" s="196">
        <f>BD333+BC333+BB333+BA333</f>
        <v>-10300</v>
      </c>
      <c r="BG333" s="77">
        <v>0</v>
      </c>
      <c r="BH333" s="77">
        <v>-443.7</v>
      </c>
      <c r="BI333" s="77">
        <v>0</v>
      </c>
      <c r="BJ333" s="77">
        <v>0</v>
      </c>
      <c r="BK333" s="77">
        <f>BG333+BH333+BI333+BJ333</f>
        <v>-443.7</v>
      </c>
      <c r="BM333" s="77">
        <v>0</v>
      </c>
      <c r="BN333" s="77">
        <v>0</v>
      </c>
      <c r="BO333" s="77">
        <v>0</v>
      </c>
      <c r="BP333" s="77">
        <v>0</v>
      </c>
      <c r="BQ333" s="77">
        <f>BM333+BN333+BO333+BP333</f>
        <v>0</v>
      </c>
      <c r="BS333" s="77">
        <v>0</v>
      </c>
      <c r="BT333" s="77">
        <v>0</v>
      </c>
      <c r="BU333" s="77">
        <v>0</v>
      </c>
      <c r="BV333" s="77">
        <v>0</v>
      </c>
      <c r="BW333" s="77">
        <f>BS333+BT333+BU333+BV333</f>
        <v>0</v>
      </c>
      <c r="BY333" s="77">
        <v>0</v>
      </c>
      <c r="BZ333" s="77">
        <v>0</v>
      </c>
      <c r="CA333" s="77">
        <v>-1.2</v>
      </c>
      <c r="CB333" s="77">
        <v>-2641.3</v>
      </c>
      <c r="CC333" s="77">
        <f>BY333+BZ333+CA333+CB333</f>
        <v>-2642.5</v>
      </c>
      <c r="CE333" s="77">
        <v>0</v>
      </c>
      <c r="CF333" s="77">
        <v>-1002.1</v>
      </c>
      <c r="CG333" s="77">
        <v>-5.8</v>
      </c>
      <c r="CH333" s="77">
        <v>-11.8</v>
      </c>
      <c r="CI333" s="77">
        <f>CE333+CF333+CG333+CH333</f>
        <v>-1019.6999999999999</v>
      </c>
      <c r="CK333" s="77">
        <v>0</v>
      </c>
      <c r="CL333" s="77">
        <v>0</v>
      </c>
      <c r="CM333" s="77">
        <v>0</v>
      </c>
      <c r="CN333" s="77">
        <v>0</v>
      </c>
      <c r="CO333" s="77">
        <f t="shared" si="349"/>
        <v>0</v>
      </c>
      <c r="CQ333" s="77">
        <v>0</v>
      </c>
      <c r="CR333" s="77">
        <v>0</v>
      </c>
      <c r="CS333" s="77">
        <v>0</v>
      </c>
      <c r="CT333" s="77">
        <v>0</v>
      </c>
      <c r="CU333" s="77">
        <f>CQ333+CR333+CS333+CT333</f>
        <v>0</v>
      </c>
      <c r="CW333" s="77">
        <v>0</v>
      </c>
      <c r="CX333" s="77">
        <v>0</v>
      </c>
      <c r="CY333" s="77">
        <v>0</v>
      </c>
      <c r="CZ333" s="77">
        <v>-222.8</v>
      </c>
      <c r="DA333" s="77">
        <f>CW333+CX333+CY333+CZ333</f>
        <v>-222.8</v>
      </c>
      <c r="DC333" s="77">
        <v>0</v>
      </c>
      <c r="DD333" s="77">
        <v>0</v>
      </c>
      <c r="DE333" s="77">
        <v>0</v>
      </c>
      <c r="DF333" s="77">
        <v>0</v>
      </c>
      <c r="DG333" s="77">
        <f>DC333+DD333+DE333+DF333</f>
        <v>0</v>
      </c>
      <c r="DI333" s="77">
        <v>0</v>
      </c>
      <c r="DJ333" s="77">
        <v>0</v>
      </c>
      <c r="DK333" s="77">
        <v>0</v>
      </c>
      <c r="DL333" s="77">
        <v>0</v>
      </c>
      <c r="DM333" s="77">
        <f t="shared" si="350"/>
        <v>0</v>
      </c>
      <c r="DO333" s="77">
        <v>0</v>
      </c>
      <c r="DP333" s="77">
        <v>0</v>
      </c>
      <c r="DQ333" s="77">
        <v>-27.6</v>
      </c>
      <c r="DR333" s="77">
        <v>-6</v>
      </c>
      <c r="DS333" s="77">
        <f t="shared" si="351"/>
        <v>-33.6</v>
      </c>
      <c r="DT333" s="77"/>
      <c r="DU333" s="77">
        <v>0</v>
      </c>
      <c r="DV333" s="77">
        <v>0</v>
      </c>
      <c r="DW333" s="77">
        <v>0</v>
      </c>
      <c r="DX333" s="77">
        <v>0</v>
      </c>
      <c r="DY333" s="77">
        <f>DU333+DV333+DW333+DX333</f>
        <v>0</v>
      </c>
      <c r="EA333" s="77">
        <v>0</v>
      </c>
      <c r="EB333" s="77">
        <v>0</v>
      </c>
      <c r="EC333" s="77">
        <v>0</v>
      </c>
      <c r="ED333" s="77">
        <v>0</v>
      </c>
      <c r="EE333" s="77">
        <f>EA333+EB333+EC333+ED333</f>
        <v>0</v>
      </c>
      <c r="EG333" s="77">
        <v>0</v>
      </c>
      <c r="EH333" s="77">
        <v>0</v>
      </c>
      <c r="EI333" s="77">
        <v>0</v>
      </c>
      <c r="EJ333" s="77">
        <v>0</v>
      </c>
      <c r="EK333" s="77">
        <f>EG333+EH333+EI333+EJ333</f>
        <v>0</v>
      </c>
      <c r="EU333" s="114"/>
      <c r="EX333" s="77">
        <f>I333</f>
        <v>0</v>
      </c>
      <c r="EY333" s="77">
        <f>O333</f>
        <v>0</v>
      </c>
      <c r="EZ333" s="77">
        <f>U333</f>
        <v>0</v>
      </c>
      <c r="FA333" s="77">
        <f>AA333</f>
        <v>-188011</v>
      </c>
      <c r="FB333" s="77">
        <f>AG333</f>
        <v>0</v>
      </c>
      <c r="FC333" s="77">
        <f>AM333</f>
        <v>0</v>
      </c>
      <c r="FD333" s="77">
        <f>AS333</f>
        <v>0</v>
      </c>
      <c r="FE333" s="77">
        <f>AY333</f>
        <v>0</v>
      </c>
      <c r="FF333" s="77">
        <f>BE333</f>
        <v>-10300</v>
      </c>
      <c r="FG333" s="196">
        <f t="shared" si="335"/>
        <v>-443.7</v>
      </c>
      <c r="FH333" s="196">
        <f t="shared" si="336"/>
        <v>0</v>
      </c>
      <c r="FI333" s="196">
        <f t="shared" si="337"/>
        <v>0</v>
      </c>
      <c r="FJ333" s="196">
        <f t="shared" si="338"/>
        <v>-2642.5</v>
      </c>
      <c r="FK333" s="196">
        <f t="shared" si="339"/>
        <v>-1019.6999999999999</v>
      </c>
      <c r="FL333" s="196">
        <f t="shared" si="340"/>
        <v>0</v>
      </c>
      <c r="FM333" s="77">
        <f t="shared" si="341"/>
        <v>0</v>
      </c>
      <c r="FN333" s="77">
        <f t="shared" si="342"/>
        <v>-222.8</v>
      </c>
      <c r="FO333" s="77">
        <f t="shared" si="343"/>
        <v>0</v>
      </c>
      <c r="FP333" s="77">
        <f t="shared" si="344"/>
        <v>0</v>
      </c>
      <c r="FQ333" s="77">
        <f t="shared" si="345"/>
        <v>-33.6</v>
      </c>
      <c r="FR333" s="77">
        <f t="shared" si="346"/>
        <v>0</v>
      </c>
      <c r="FS333" s="77">
        <f t="shared" si="347"/>
        <v>0</v>
      </c>
      <c r="FT333" s="77">
        <f t="shared" si="348"/>
        <v>0</v>
      </c>
      <c r="FU333" s="77">
        <v>0</v>
      </c>
      <c r="FV333" s="77">
        <v>0</v>
      </c>
      <c r="FW333" s="77">
        <v>0</v>
      </c>
      <c r="FX333" s="77">
        <v>0</v>
      </c>
    </row>
    <row r="334" spans="2:180" x14ac:dyDescent="0.25">
      <c r="B334" s="74" t="s">
        <v>305</v>
      </c>
      <c r="C334" s="74"/>
      <c r="D334" s="74"/>
      <c r="E334" s="96"/>
      <c r="F334" s="196"/>
      <c r="G334" s="196"/>
      <c r="H334" s="196"/>
      <c r="I334" s="196"/>
      <c r="J334" s="74"/>
      <c r="K334" s="196"/>
      <c r="L334" s="196"/>
      <c r="M334" s="196"/>
      <c r="N334" s="196"/>
      <c r="O334" s="196"/>
      <c r="P334" s="74"/>
      <c r="Q334" s="196"/>
      <c r="R334" s="196"/>
      <c r="S334" s="196"/>
      <c r="T334" s="196"/>
      <c r="U334" s="196"/>
      <c r="W334" s="196"/>
      <c r="X334" s="196"/>
      <c r="Y334" s="196"/>
      <c r="Z334" s="196"/>
      <c r="AA334" s="196"/>
      <c r="AC334" s="196"/>
      <c r="AD334" s="196"/>
      <c r="AE334" s="196"/>
      <c r="AF334" s="196"/>
      <c r="AG334" s="196"/>
      <c r="AI334" s="196"/>
      <c r="AJ334" s="196"/>
      <c r="AK334" s="196"/>
      <c r="AL334" s="196"/>
      <c r="AM334" s="196"/>
      <c r="AO334" s="196"/>
      <c r="AP334" s="196"/>
      <c r="AQ334" s="196"/>
      <c r="AR334" s="196"/>
      <c r="AS334" s="196"/>
      <c r="AU334" s="196"/>
      <c r="AV334" s="196"/>
      <c r="AW334" s="196"/>
      <c r="AX334" s="196"/>
      <c r="AY334" s="196"/>
      <c r="BA334" s="196"/>
      <c r="BB334" s="196"/>
      <c r="BC334" s="196"/>
      <c r="BD334" s="196"/>
      <c r="BE334" s="196"/>
      <c r="BG334" s="87">
        <f>SUM(BG325:BG333)</f>
        <v>58.699999999999989</v>
      </c>
      <c r="BH334" s="87">
        <f>SUM(BH325:BH333)</f>
        <v>-372.5</v>
      </c>
      <c r="BI334" s="87">
        <f>SUM(BI325:BI333)</f>
        <v>40.5</v>
      </c>
      <c r="BJ334" s="87">
        <f>SUM(BJ325:BJ333)</f>
        <v>-95.1</v>
      </c>
      <c r="BK334" s="87">
        <f>SUM(BK325:BK333)</f>
        <v>-368.40000000000003</v>
      </c>
      <c r="BM334" s="87">
        <f>SUM(BM325:BM333)</f>
        <v>4.6999999999999886</v>
      </c>
      <c r="BN334" s="87">
        <f>SUM(BN325:BN333)</f>
        <v>-73.600000000000023</v>
      </c>
      <c r="BO334" s="87">
        <f>SUM(BO325:BO333)</f>
        <v>-24.299999999999983</v>
      </c>
      <c r="BP334" s="87">
        <f>SUM(BP325:BP333)</f>
        <v>77</v>
      </c>
      <c r="BQ334" s="87">
        <f>SUM(BQ325:BQ333)</f>
        <v>-16.200000000000045</v>
      </c>
      <c r="BS334" s="87">
        <f>SUM(BS325:BS333)</f>
        <v>124.19999999999999</v>
      </c>
      <c r="BT334" s="87">
        <f>SUM(BT325:BT333)</f>
        <v>-107.2</v>
      </c>
      <c r="BU334" s="87">
        <f>SUM(BU325:BU333)</f>
        <v>-99.3</v>
      </c>
      <c r="BV334" s="87">
        <f>SUM(BV325:BV333)</f>
        <v>-1077.5999999999999</v>
      </c>
      <c r="BW334" s="87">
        <f>SUM(BW325:BW333)</f>
        <v>-1159.9000000000001</v>
      </c>
      <c r="BY334" s="87">
        <f>SUM(BY325:BY333)</f>
        <v>-182.70000000000002</v>
      </c>
      <c r="BZ334" s="87">
        <f>SUM(BZ325:BZ333)</f>
        <v>-23.499999999999989</v>
      </c>
      <c r="CA334" s="87">
        <f>SUM(CA325:CA333)</f>
        <v>-484.49999999999994</v>
      </c>
      <c r="CB334" s="87">
        <f>SUM(CB325:CB333)</f>
        <v>-2497.7000000000003</v>
      </c>
      <c r="CC334" s="87">
        <f>SUM(CC325:CC333)</f>
        <v>-3188.3999999999996</v>
      </c>
      <c r="CE334" s="87">
        <f>SUM(CE325:CE333)</f>
        <v>150.5</v>
      </c>
      <c r="CF334" s="87">
        <f>SUM(CF325:CF333)</f>
        <v>-754.90000000000009</v>
      </c>
      <c r="CG334" s="87">
        <f>SUM(CG325:CG333)</f>
        <v>-71.600000000000009</v>
      </c>
      <c r="CH334" s="87">
        <f>SUM(CH325:CH333)</f>
        <v>-553.59999999999991</v>
      </c>
      <c r="CI334" s="87">
        <f>SUM(CI325:CI333)</f>
        <v>-1229.5999999999999</v>
      </c>
      <c r="CK334" s="87">
        <f>SUM(CK325:CK333)</f>
        <v>188.10000000000005</v>
      </c>
      <c r="CL334" s="87">
        <f>SUM(CL325:CL333)</f>
        <v>-57.300000000000004</v>
      </c>
      <c r="CM334" s="87">
        <f>SUM(CM325:CM333)</f>
        <v>-239.3</v>
      </c>
      <c r="CN334" s="87">
        <f>SUM(CN325:CN333)</f>
        <v>-383.00000000000006</v>
      </c>
      <c r="CO334" s="87">
        <f>SUM(CO325:CO333)</f>
        <v>-491.5</v>
      </c>
      <c r="CQ334" s="87">
        <f>SUM(CQ325:CQ333)</f>
        <v>-342.4</v>
      </c>
      <c r="CR334" s="87">
        <f>SUM(CR325:CR333)</f>
        <v>208.60000000000002</v>
      </c>
      <c r="CS334" s="87">
        <f>SUM(CS325:CS333)</f>
        <v>-7.3000000000000114</v>
      </c>
      <c r="CT334" s="87">
        <f>SUM(CT325:CT333)</f>
        <v>-1016.4</v>
      </c>
      <c r="CU334" s="87">
        <f>SUM(CU325:CU333)</f>
        <v>-1157.5</v>
      </c>
      <c r="CW334" s="87">
        <f>SUM(CW325:CW333)</f>
        <v>-444.29999999999995</v>
      </c>
      <c r="CX334" s="87">
        <f>SUM(CX325:CX333)</f>
        <v>214.79999999999998</v>
      </c>
      <c r="CY334" s="87">
        <f>SUM(CY325:CY333)</f>
        <v>-166.59999999999997</v>
      </c>
      <c r="CZ334" s="87">
        <f>SUM(CZ325:CZ333)</f>
        <v>-956.09999999999991</v>
      </c>
      <c r="DA334" s="87">
        <f>SUM(DA325:DA333)</f>
        <v>-1352.2000000000003</v>
      </c>
      <c r="DC334" s="87">
        <f>SUM(DC325:DC333)</f>
        <v>-306.69999999999993</v>
      </c>
      <c r="DD334" s="87">
        <f>SUM(DD325:DD333)</f>
        <v>990.40000000000009</v>
      </c>
      <c r="DE334" s="87">
        <f>SUM(DE325:DE333)</f>
        <v>-279.60000000000002</v>
      </c>
      <c r="DF334" s="87">
        <f>SUM(DF325:DF333)</f>
        <v>-476.09999999999991</v>
      </c>
      <c r="DG334" s="87">
        <f>SUM(DG325:DG333)</f>
        <v>-71.999999999999886</v>
      </c>
      <c r="DI334" s="87">
        <f>SUM(DI325:DI333)</f>
        <v>-11.699999999999989</v>
      </c>
      <c r="DJ334" s="87">
        <f>SUM(DJ325:DJ333)</f>
        <v>-144.29999999999995</v>
      </c>
      <c r="DK334" s="87">
        <f>SUM(DK325:DK333)</f>
        <v>-508.9</v>
      </c>
      <c r="DL334" s="87">
        <f>SUM(DL325:DL333)</f>
        <v>-364</v>
      </c>
      <c r="DM334" s="87">
        <f>SUM(DM325:DM333)</f>
        <v>-1028.9000000000001</v>
      </c>
      <c r="DO334" s="87">
        <f>SUM(DO325:DO333)</f>
        <v>-436.5</v>
      </c>
      <c r="DP334" s="87">
        <f>SUM(DP325:DP333)</f>
        <v>-544.9</v>
      </c>
      <c r="DQ334" s="87">
        <f>SUM(DQ325:DQ333)</f>
        <v>-1091</v>
      </c>
      <c r="DR334" s="87">
        <f>SUM(DR325:DR333)</f>
        <v>-616.9</v>
      </c>
      <c r="DS334" s="87">
        <f>SUM(DS325:DS333)</f>
        <v>-2689.2999999999997</v>
      </c>
      <c r="DT334" s="77"/>
      <c r="DU334" s="87">
        <f>SUM(DU325:DU333)</f>
        <v>-723.59999999999991</v>
      </c>
      <c r="DV334" s="87">
        <f>SUM(DV325:DV333)</f>
        <v>-437.8</v>
      </c>
      <c r="DW334" s="87">
        <f>SUM(DW325:DW333)</f>
        <v>-214.99999999999997</v>
      </c>
      <c r="DX334" s="87">
        <f>SUM(DX325:DX333)</f>
        <v>-1232.9000000000001</v>
      </c>
      <c r="DY334" s="87">
        <f>SUM(DY325:DY333)</f>
        <v>-2609.2999999999997</v>
      </c>
      <c r="EA334" s="87">
        <f>SUM(EA325:EA333)</f>
        <v>-415.7</v>
      </c>
      <c r="EB334" s="87">
        <f>SUM(EB325:EB333)</f>
        <v>-428.00000000000006</v>
      </c>
      <c r="EC334" s="87">
        <f>SUM(EC325:EC333)</f>
        <v>-1927.8000000000002</v>
      </c>
      <c r="ED334" s="87">
        <f>SUM(ED325:ED333)</f>
        <v>-1006.3</v>
      </c>
      <c r="EE334" s="87">
        <f>SUM(EE325:EE333)</f>
        <v>-3777.7999999999997</v>
      </c>
      <c r="EG334" s="87">
        <f>SUM(EG325:EG333)</f>
        <v>-488.29999999999995</v>
      </c>
      <c r="EH334" s="87">
        <f>SUM(EH325:EH333)</f>
        <v>-559.85800000000006</v>
      </c>
      <c r="EI334" s="87">
        <f>SUM(EI325:EI333)</f>
        <v>-753.2</v>
      </c>
      <c r="EJ334" s="87">
        <f>SUM(EJ325:EJ333)</f>
        <v>-670.19308333333322</v>
      </c>
      <c r="EK334" s="87">
        <f>SUM(EK325:EK333)</f>
        <v>-2471.5510833333328</v>
      </c>
      <c r="EQ334" s="74"/>
      <c r="ER334" s="198"/>
      <c r="ES334" s="198"/>
      <c r="EU334" s="114"/>
      <c r="FG334" s="87">
        <f>SUM(FG325:FG333)</f>
        <v>-368.40000000000003</v>
      </c>
      <c r="FH334" s="87">
        <f t="shared" ref="FH334:FO334" si="353">SUM(FH325:FH333)</f>
        <v>-16.200000000000045</v>
      </c>
      <c r="FI334" s="87">
        <f t="shared" si="353"/>
        <v>-1159.9000000000001</v>
      </c>
      <c r="FJ334" s="87">
        <f t="shared" si="353"/>
        <v>-3188.3999999999996</v>
      </c>
      <c r="FK334" s="87">
        <f t="shared" si="353"/>
        <v>-1229.5999999999999</v>
      </c>
      <c r="FL334" s="87">
        <f>SUM(FL325:FL333)</f>
        <v>-491.5</v>
      </c>
      <c r="FM334" s="87">
        <f t="shared" si="353"/>
        <v>-1157.5</v>
      </c>
      <c r="FN334" s="87">
        <f t="shared" si="353"/>
        <v>-1352.2000000000003</v>
      </c>
      <c r="FO334" s="87">
        <f t="shared" si="353"/>
        <v>-71.999999999999886</v>
      </c>
      <c r="FP334" s="87">
        <f>SUM(FP325:FP333)</f>
        <v>-1028.9000000000001</v>
      </c>
      <c r="FQ334" s="87">
        <f>SUM(FQ325:FQ333)</f>
        <v>-2689.2999999999997</v>
      </c>
      <c r="FR334" s="87">
        <f>SUM(FR325:FR333)</f>
        <v>-2609.2999999999997</v>
      </c>
      <c r="FS334" s="87">
        <f t="shared" ref="FS334:FX334" si="354">SUM(FS325:FS333)</f>
        <v>-3777.7999999999997</v>
      </c>
      <c r="FT334" s="87">
        <f>SUM(FT325:FT333)</f>
        <v>-2471.5510833333328</v>
      </c>
      <c r="FU334" s="87">
        <f t="shared" si="354"/>
        <v>-2414.2440441666668</v>
      </c>
      <c r="FV334" s="87">
        <f t="shared" si="354"/>
        <v>-2176.7170576950007</v>
      </c>
      <c r="FW334" s="87">
        <f t="shared" ca="1" si="354"/>
        <v>-1250.9901999999997</v>
      </c>
      <c r="FX334" s="87">
        <f t="shared" si="354"/>
        <v>-1459.37824</v>
      </c>
    </row>
    <row r="335" spans="2:180" x14ac:dyDescent="0.25">
      <c r="DQ335" s="201"/>
      <c r="DR335" s="201"/>
      <c r="DT335" s="77"/>
      <c r="DW335" s="201"/>
      <c r="DX335" s="201"/>
      <c r="ET335" s="74"/>
      <c r="EU335" s="114"/>
      <c r="FO335" s="74"/>
      <c r="FP335" s="74"/>
      <c r="FQ335" s="74"/>
    </row>
    <row r="336" spans="2:180" x14ac:dyDescent="0.25">
      <c r="B336" s="180" t="s">
        <v>64</v>
      </c>
      <c r="E336" s="196"/>
      <c r="F336" s="196"/>
      <c r="G336" s="196"/>
      <c r="H336" s="196"/>
      <c r="I336" s="196">
        <v>20031</v>
      </c>
      <c r="K336" s="196">
        <v>2250</v>
      </c>
      <c r="L336" s="196">
        <v>4660</v>
      </c>
      <c r="M336" s="196">
        <v>3388</v>
      </c>
      <c r="N336" s="196">
        <f>O336-M336-L336-K336</f>
        <v>5530</v>
      </c>
      <c r="O336" s="196">
        <v>15828</v>
      </c>
      <c r="Q336" s="196">
        <v>7858</v>
      </c>
      <c r="R336" s="196">
        <v>6851</v>
      </c>
      <c r="S336" s="196">
        <v>9442</v>
      </c>
      <c r="T336" s="196">
        <f>U336-S336-R336-Q336</f>
        <v>13479</v>
      </c>
      <c r="U336" s="196">
        <v>37630</v>
      </c>
      <c r="W336" s="196">
        <v>10495</v>
      </c>
      <c r="X336" s="196">
        <v>10546</v>
      </c>
      <c r="Y336" s="196">
        <v>19464</v>
      </c>
      <c r="Z336" s="196">
        <v>30722</v>
      </c>
      <c r="AA336" s="196">
        <v>92889</v>
      </c>
      <c r="AC336" s="196">
        <f>3528-AD336</f>
        <v>2976</v>
      </c>
      <c r="AD336" s="196">
        <v>552</v>
      </c>
      <c r="AE336" s="196">
        <v>1439</v>
      </c>
      <c r="AF336" s="196">
        <v>6508</v>
      </c>
      <c r="AG336" s="196">
        <f>AF336+AE336+AD336+AC336</f>
        <v>11475</v>
      </c>
      <c r="AI336" s="196">
        <v>102</v>
      </c>
      <c r="AJ336" s="196">
        <v>429</v>
      </c>
      <c r="AK336" s="196">
        <v>4183</v>
      </c>
      <c r="AL336" s="196">
        <v>6359</v>
      </c>
      <c r="AM336" s="196">
        <f>AL336+AK336+AJ336+AI336</f>
        <v>11073</v>
      </c>
      <c r="AO336" s="196">
        <v>10400</v>
      </c>
      <c r="AP336" s="196">
        <v>7800</v>
      </c>
      <c r="AQ336" s="196">
        <v>2300</v>
      </c>
      <c r="AR336" s="196">
        <v>10500</v>
      </c>
      <c r="AS336" s="196">
        <f>AR336+AQ336+AP336+AO336</f>
        <v>31000</v>
      </c>
      <c r="AU336" s="196">
        <v>21100</v>
      </c>
      <c r="AV336" s="196">
        <v>2500</v>
      </c>
      <c r="AW336" s="196">
        <v>2500</v>
      </c>
      <c r="AX336" s="196">
        <v>8000</v>
      </c>
      <c r="AY336" s="196">
        <f>AX336+AW336+AV336+AU336</f>
        <v>34100</v>
      </c>
      <c r="BA336" s="196">
        <v>16300</v>
      </c>
      <c r="BB336" s="196">
        <v>4200</v>
      </c>
      <c r="BC336" s="196">
        <v>3046500</v>
      </c>
      <c r="BD336" s="196">
        <v>840700</v>
      </c>
      <c r="BE336" s="196">
        <f>BD336+BC336+BB336+BA336</f>
        <v>3907700</v>
      </c>
      <c r="BG336" s="77">
        <v>0</v>
      </c>
      <c r="BH336" s="77">
        <v>-216.1</v>
      </c>
      <c r="BI336" s="77">
        <v>0</v>
      </c>
      <c r="BJ336" s="77">
        <v>0</v>
      </c>
      <c r="BK336" s="77">
        <f t="shared" ref="BK336:BK343" si="355">SUM(BG336:BJ336)</f>
        <v>-216.1</v>
      </c>
      <c r="BL336" s="74"/>
      <c r="BM336" s="77">
        <v>0</v>
      </c>
      <c r="BN336" s="77">
        <v>-268</v>
      </c>
      <c r="BO336" s="77">
        <v>0</v>
      </c>
      <c r="BP336" s="77">
        <v>0</v>
      </c>
      <c r="BQ336" s="77">
        <f t="shared" ref="BQ336:BQ343" si="356">SUM(BM336:BP336)</f>
        <v>-268</v>
      </c>
      <c r="BR336" s="74"/>
      <c r="BS336" s="77">
        <v>0</v>
      </c>
      <c r="BT336" s="77">
        <v>-302.3</v>
      </c>
      <c r="BU336" s="77">
        <v>0</v>
      </c>
      <c r="BV336" s="77">
        <v>0</v>
      </c>
      <c r="BW336" s="77">
        <f t="shared" ref="BW336:BW343" si="357">SUM(BS336:BV336)</f>
        <v>-302.3</v>
      </c>
      <c r="BY336" s="77">
        <v>0</v>
      </c>
      <c r="BZ336" s="77">
        <v>-445.9</v>
      </c>
      <c r="CA336" s="77">
        <v>0</v>
      </c>
      <c r="CB336" s="77">
        <v>0</v>
      </c>
      <c r="CC336" s="77">
        <f t="shared" ref="CC336:CC343" si="358">SUM(BY336:CB336)</f>
        <v>-445.9</v>
      </c>
      <c r="CE336" s="77">
        <v>0</v>
      </c>
      <c r="CF336" s="77">
        <v>-516.70000000000005</v>
      </c>
      <c r="CG336" s="77">
        <v>0</v>
      </c>
      <c r="CH336" s="77">
        <v>0</v>
      </c>
      <c r="CI336" s="77">
        <f t="shared" ref="CI336:CI343" si="359">SUM(CE336:CH336)</f>
        <v>-516.70000000000005</v>
      </c>
      <c r="CK336" s="77">
        <v>0</v>
      </c>
      <c r="CL336" s="77">
        <v>-597.1</v>
      </c>
      <c r="CM336" s="77">
        <v>0</v>
      </c>
      <c r="CN336" s="77">
        <v>0</v>
      </c>
      <c r="CO336" s="77">
        <f t="shared" ref="CO336:CO343" si="360">SUM(CK336:CN336)</f>
        <v>-597.1</v>
      </c>
      <c r="CQ336" s="77">
        <v>0</v>
      </c>
      <c r="CR336" s="77">
        <v>-884.4</v>
      </c>
      <c r="CS336" s="77">
        <v>0</v>
      </c>
      <c r="CT336" s="77">
        <v>-441.3</v>
      </c>
      <c r="CU336" s="77">
        <f t="shared" ref="CU336:CU343" si="361">SUM(CQ336:CT336)</f>
        <v>-1325.7</v>
      </c>
      <c r="CW336" s="77">
        <v>0</v>
      </c>
      <c r="CX336" s="77">
        <v>-564.79999999999995</v>
      </c>
      <c r="CY336" s="77">
        <v>0</v>
      </c>
      <c r="CZ336" s="77">
        <v>-501.6</v>
      </c>
      <c r="DA336" s="77">
        <f t="shared" ref="DA336:DA343" si="362">SUM(CW336:CZ336)</f>
        <v>-1066.4000000000001</v>
      </c>
      <c r="DC336" s="77">
        <v>0</v>
      </c>
      <c r="DD336" s="77">
        <v>-639.1</v>
      </c>
      <c r="DE336" s="77">
        <v>0</v>
      </c>
      <c r="DF336" s="77">
        <v>-729.2</v>
      </c>
      <c r="DG336" s="77">
        <f t="shared" ref="DG336:DG343" si="363">SUM(DC336:DF336)</f>
        <v>-1368.3000000000002</v>
      </c>
      <c r="DI336" s="77">
        <v>0</v>
      </c>
      <c r="DJ336" s="77">
        <v>-1475.3</v>
      </c>
      <c r="DK336" s="77">
        <v>-543.5</v>
      </c>
      <c r="DL336" s="77">
        <v>-541.1</v>
      </c>
      <c r="DM336" s="77">
        <f t="shared" ref="DM336:DM343" si="364">SUM(DI336:DL336)</f>
        <v>-2559.9</v>
      </c>
      <c r="DO336" s="77">
        <v>-541.1</v>
      </c>
      <c r="DP336" s="77">
        <v>-666.1</v>
      </c>
      <c r="DQ336" s="77">
        <v>-570.4</v>
      </c>
      <c r="DR336" s="77">
        <v>-570.79999999999995</v>
      </c>
      <c r="DS336" s="77">
        <f t="shared" ref="DS336:DS343" si="365">SUM(DO336:DR336)</f>
        <v>-2348.3999999999996</v>
      </c>
      <c r="DT336" s="77"/>
      <c r="DU336" s="77">
        <v>-571</v>
      </c>
      <c r="DV336" s="77">
        <v>-688.3</v>
      </c>
      <c r="DW336" s="77">
        <v>-595.79999999999995</v>
      </c>
      <c r="DX336" s="77">
        <v>-597.79999999999995</v>
      </c>
      <c r="DY336" s="77">
        <f t="shared" ref="DY336:DY343" si="366">SUM(DU336:DX336)</f>
        <v>-2452.8999999999996</v>
      </c>
      <c r="EA336" s="77">
        <v>-597.20000000000005</v>
      </c>
      <c r="EB336" s="77">
        <v>-714.4</v>
      </c>
      <c r="EC336" s="77">
        <v>-619.6</v>
      </c>
      <c r="ED336" s="77">
        <v>-619.20000000000005</v>
      </c>
      <c r="EE336" s="77">
        <f t="shared" ref="EE336:EE343" si="367">SUM(EA336:ED336)</f>
        <v>-2550.3999999999996</v>
      </c>
      <c r="EG336" s="77">
        <v>-617</v>
      </c>
      <c r="EH336" s="77">
        <v>-1038.4429096089916</v>
      </c>
      <c r="EI336" s="77">
        <v>-1036.3058192179831</v>
      </c>
      <c r="EJ336" s="77">
        <v>-1034.1687288269745</v>
      </c>
      <c r="EK336" s="77">
        <f t="shared" ref="EK336:EK343" si="368">SUM(EG336:EJ336)</f>
        <v>-3725.9174576539494</v>
      </c>
      <c r="EQ336" s="198"/>
      <c r="ER336" s="198"/>
      <c r="ES336" s="198"/>
      <c r="EU336" s="114"/>
      <c r="EV336" s="77">
        <v>26630</v>
      </c>
      <c r="EW336" s="77">
        <v>6360</v>
      </c>
      <c r="EX336" s="77">
        <f>I336</f>
        <v>20031</v>
      </c>
      <c r="EY336" s="77">
        <f>O336</f>
        <v>15828</v>
      </c>
      <c r="EZ336" s="77">
        <f>U336</f>
        <v>37630</v>
      </c>
      <c r="FA336" s="77">
        <f>AA336</f>
        <v>92889</v>
      </c>
      <c r="FB336" s="77">
        <f>AG336</f>
        <v>11475</v>
      </c>
      <c r="FC336" s="77">
        <f>AM336</f>
        <v>11073</v>
      </c>
      <c r="FD336" s="77">
        <f>AS336</f>
        <v>31000</v>
      </c>
      <c r="FE336" s="77">
        <f>AY336</f>
        <v>34100</v>
      </c>
      <c r="FF336" s="77">
        <f>BE336</f>
        <v>3907700</v>
      </c>
      <c r="FG336" s="196">
        <f t="shared" ref="FG336:FG343" si="369">BK336</f>
        <v>-216.1</v>
      </c>
      <c r="FH336" s="196">
        <f t="shared" ref="FH336:FH343" si="370">BQ336</f>
        <v>-268</v>
      </c>
      <c r="FI336" s="196">
        <f t="shared" ref="FI336:FI343" si="371">BW336</f>
        <v>-302.3</v>
      </c>
      <c r="FJ336" s="196">
        <f t="shared" ref="FJ336:FJ343" si="372">CC336</f>
        <v>-445.9</v>
      </c>
      <c r="FK336" s="196">
        <f t="shared" ref="FK336:FK343" si="373">CI336</f>
        <v>-516.70000000000005</v>
      </c>
      <c r="FL336" s="196">
        <f t="shared" ref="FL336:FL343" si="374">CO336</f>
        <v>-597.1</v>
      </c>
      <c r="FM336" s="77">
        <f t="shared" ref="FM336:FM343" si="375">CU336</f>
        <v>-1325.7</v>
      </c>
      <c r="FN336" s="77">
        <f t="shared" ref="FN336:FN343" si="376">DA336</f>
        <v>-1066.4000000000001</v>
      </c>
      <c r="FO336" s="77">
        <f t="shared" ref="FO336:FO343" si="377">DG336</f>
        <v>-1368.3000000000002</v>
      </c>
      <c r="FP336" s="77">
        <f t="shared" ref="FP336:FP343" si="378">DM336</f>
        <v>-2559.9</v>
      </c>
      <c r="FQ336" s="77">
        <f t="shared" ref="FQ336:FQ343" si="379">DS336</f>
        <v>-2348.3999999999996</v>
      </c>
      <c r="FR336" s="77">
        <f t="shared" ref="FR336:FR343" si="380">DY336</f>
        <v>-2452.8999999999996</v>
      </c>
      <c r="FS336" s="77">
        <f t="shared" ref="FS336:FS343" si="381">EE336</f>
        <v>-2550.3999999999996</v>
      </c>
      <c r="FT336" s="77">
        <f t="shared" ref="FT336:FT343" si="382">EK336</f>
        <v>-3725.9174576539494</v>
      </c>
      <c r="FU336" s="77">
        <f>FU374</f>
        <v>-3664.5114875849313</v>
      </c>
      <c r="FV336" s="77">
        <f>FV374</f>
        <v>-3633.8085025504224</v>
      </c>
      <c r="FW336" s="77">
        <f>FW374</f>
        <v>-3603.1055175159136</v>
      </c>
      <c r="FX336" s="77">
        <f>FX374</f>
        <v>-3572.4025324814043</v>
      </c>
    </row>
    <row r="337" spans="2:184" x14ac:dyDescent="0.25">
      <c r="B337" s="180" t="s">
        <v>63</v>
      </c>
      <c r="E337" s="196"/>
      <c r="F337" s="196"/>
      <c r="G337" s="196"/>
      <c r="H337" s="196"/>
      <c r="I337" s="196">
        <v>0</v>
      </c>
      <c r="K337" s="196">
        <v>0</v>
      </c>
      <c r="L337" s="196">
        <v>0</v>
      </c>
      <c r="M337" s="196">
        <v>0</v>
      </c>
      <c r="N337" s="196">
        <f>O337-M337-L337-K337</f>
        <v>0</v>
      </c>
      <c r="O337" s="196">
        <v>0</v>
      </c>
      <c r="Q337" s="196">
        <v>0</v>
      </c>
      <c r="R337" s="196">
        <v>-252604</v>
      </c>
      <c r="S337" s="196">
        <v>-148146</v>
      </c>
      <c r="T337" s="196">
        <f>U337-S337-R337-Q337</f>
        <v>-277635</v>
      </c>
      <c r="U337" s="196">
        <v>-678385</v>
      </c>
      <c r="W337" s="196">
        <v>-156253</v>
      </c>
      <c r="X337" s="196">
        <v>0</v>
      </c>
      <c r="Y337" s="196">
        <v>0</v>
      </c>
      <c r="Z337" s="196">
        <v>-1215459</v>
      </c>
      <c r="AA337" s="196">
        <f>W337+X337+Y337+Z337</f>
        <v>-1371712</v>
      </c>
      <c r="AC337" s="196">
        <v>-87603</v>
      </c>
      <c r="AD337" s="196">
        <v>0</v>
      </c>
      <c r="AE337" s="196">
        <v>0</v>
      </c>
      <c r="AF337" s="196">
        <v>-2</v>
      </c>
      <c r="AG337" s="196">
        <f>AF337+AE337+AD337+AC337</f>
        <v>-87605</v>
      </c>
      <c r="AI337" s="196">
        <v>0</v>
      </c>
      <c r="AJ337" s="196">
        <v>0</v>
      </c>
      <c r="AK337" s="196">
        <v>0</v>
      </c>
      <c r="AL337" s="196">
        <v>0</v>
      </c>
      <c r="AM337" s="196">
        <f>AL337+AK337+AJ337+AI337</f>
        <v>0</v>
      </c>
      <c r="AO337" s="196">
        <v>0</v>
      </c>
      <c r="AP337" s="196">
        <v>0</v>
      </c>
      <c r="AQ337" s="196">
        <v>0</v>
      </c>
      <c r="AR337" s="196">
        <v>0</v>
      </c>
      <c r="AS337" s="196">
        <f>AR337+AQ337+AP337+AO337</f>
        <v>0</v>
      </c>
      <c r="AU337" s="196">
        <v>-142500</v>
      </c>
      <c r="AV337" s="196">
        <v>-223200</v>
      </c>
      <c r="AW337" s="196">
        <v>-173700</v>
      </c>
      <c r="AX337" s="196">
        <v>-161100</v>
      </c>
      <c r="AY337" s="196">
        <f>AX337+AW337+AV337+AU337</f>
        <v>-700500</v>
      </c>
      <c r="BA337" s="196">
        <v>-135700</v>
      </c>
      <c r="BB337" s="196">
        <v>-108800</v>
      </c>
      <c r="BC337" s="196">
        <v>-25200</v>
      </c>
      <c r="BD337" s="196">
        <v>-265700</v>
      </c>
      <c r="BE337" s="196">
        <f>BD337+BC337+BB337+BA337</f>
        <v>-535400</v>
      </c>
      <c r="BG337" s="77">
        <v>0</v>
      </c>
      <c r="BH337" s="77">
        <v>-84.7</v>
      </c>
      <c r="BI337" s="77">
        <v>-51.6</v>
      </c>
      <c r="BJ337" s="77">
        <v>-163.69999999999999</v>
      </c>
      <c r="BK337" s="77">
        <f t="shared" si="355"/>
        <v>-300</v>
      </c>
      <c r="BL337" s="74"/>
      <c r="BM337" s="77">
        <v>-145</v>
      </c>
      <c r="BN337" s="77">
        <v>-154.9</v>
      </c>
      <c r="BO337" s="77">
        <v>-171.1</v>
      </c>
      <c r="BP337" s="77">
        <v>-229</v>
      </c>
      <c r="BQ337" s="77">
        <f t="shared" si="356"/>
        <v>-700</v>
      </c>
      <c r="BR337" s="74"/>
      <c r="BS337" s="77">
        <v>-117.1</v>
      </c>
      <c r="BT337" s="77">
        <v>-165.6</v>
      </c>
      <c r="BU337" s="77">
        <v>-141.5</v>
      </c>
      <c r="BV337" s="77">
        <v>-140.69999999999999</v>
      </c>
      <c r="BW337" s="77">
        <f t="shared" si="357"/>
        <v>-564.9</v>
      </c>
      <c r="BY337" s="77">
        <v>-213.5</v>
      </c>
      <c r="BZ337" s="77">
        <v>-171.9</v>
      </c>
      <c r="CA337" s="77">
        <v>-14.6</v>
      </c>
      <c r="CB337" s="77">
        <v>0</v>
      </c>
      <c r="CC337" s="77">
        <f t="shared" si="358"/>
        <v>-400</v>
      </c>
      <c r="CE337" s="77">
        <v>0</v>
      </c>
      <c r="CF337" s="77">
        <v>0</v>
      </c>
      <c r="CG337" s="77">
        <v>-165.5</v>
      </c>
      <c r="CH337" s="77">
        <v>-334.5</v>
      </c>
      <c r="CI337" s="77">
        <f t="shared" si="359"/>
        <v>-500</v>
      </c>
      <c r="CK337" s="77">
        <v>-166.9</v>
      </c>
      <c r="CL337" s="77">
        <v>-252.9</v>
      </c>
      <c r="CM337" s="77">
        <v>-370</v>
      </c>
      <c r="CN337" s="77">
        <v>-356.4</v>
      </c>
      <c r="CO337" s="77">
        <f t="shared" si="360"/>
        <v>-1146.1999999999998</v>
      </c>
      <c r="CQ337" s="77">
        <v>-52.6</v>
      </c>
      <c r="CR337" s="77">
        <v>-17.399999999999999</v>
      </c>
      <c r="CS337" s="77">
        <v>-148.4</v>
      </c>
      <c r="CT337" s="77">
        <v>-191.6</v>
      </c>
      <c r="CU337" s="77">
        <f t="shared" si="361"/>
        <v>-410</v>
      </c>
      <c r="CW337" s="77">
        <v>-507.5</v>
      </c>
      <c r="CX337" s="77">
        <v>0</v>
      </c>
      <c r="CY337" s="77">
        <v>0</v>
      </c>
      <c r="CZ337" s="77">
        <v>-700</v>
      </c>
      <c r="DA337" s="77">
        <f t="shared" si="362"/>
        <v>-1207.5</v>
      </c>
      <c r="DC337" s="77">
        <v>-1567.6</v>
      </c>
      <c r="DD337" s="77">
        <v>-1983.9</v>
      </c>
      <c r="DE337" s="77">
        <v>-2401.6</v>
      </c>
      <c r="DF337" s="77">
        <v>-2607.1999999999998</v>
      </c>
      <c r="DG337" s="77">
        <f t="shared" si="363"/>
        <v>-8560.2999999999993</v>
      </c>
      <c r="DI337" s="77">
        <v>-2038.2</v>
      </c>
      <c r="DJ337" s="77">
        <v>-1178.5</v>
      </c>
      <c r="DK337" s="77">
        <v>-1087.9000000000001</v>
      </c>
      <c r="DL337" s="189">
        <v>-335</v>
      </c>
      <c r="DM337" s="77">
        <f t="shared" si="364"/>
        <v>-4639.6000000000004</v>
      </c>
      <c r="DO337" s="77">
        <v>-396.2</v>
      </c>
      <c r="DP337" s="77">
        <v>-492.6</v>
      </c>
      <c r="DQ337" s="77">
        <v>-111.1</v>
      </c>
      <c r="DR337" s="77">
        <v>0</v>
      </c>
      <c r="DS337" s="77">
        <f t="shared" si="365"/>
        <v>-999.9</v>
      </c>
      <c r="DT337" s="77"/>
      <c r="DU337" s="77">
        <v>-385.1</v>
      </c>
      <c r="DV337" s="77">
        <v>-114.9</v>
      </c>
      <c r="DW337" s="77">
        <v>0</v>
      </c>
      <c r="DX337" s="77">
        <v>0</v>
      </c>
      <c r="DY337" s="77">
        <f t="shared" si="366"/>
        <v>-500</v>
      </c>
      <c r="EA337" s="77">
        <v>-2592.6</v>
      </c>
      <c r="EB337" s="77">
        <v>-1485.2</v>
      </c>
      <c r="EC337" s="77">
        <v>-172.2</v>
      </c>
      <c r="ED337" s="77">
        <v>-1700</v>
      </c>
      <c r="EE337" s="77">
        <f t="shared" si="367"/>
        <v>-5950</v>
      </c>
      <c r="EG337" s="77">
        <v>-1000</v>
      </c>
      <c r="EH337" s="77">
        <v>-1000</v>
      </c>
      <c r="EI337" s="77">
        <v>-1000</v>
      </c>
      <c r="EJ337" s="77">
        <v>-1000</v>
      </c>
      <c r="EK337" s="77">
        <f t="shared" si="368"/>
        <v>-4000</v>
      </c>
      <c r="EM337" s="180" t="s">
        <v>580</v>
      </c>
      <c r="EQ337" s="198"/>
      <c r="ER337" s="198"/>
      <c r="ES337" s="198"/>
      <c r="EU337" s="114"/>
      <c r="EV337" s="77">
        <v>0</v>
      </c>
      <c r="EW337" s="77">
        <v>0</v>
      </c>
      <c r="EX337" s="77">
        <f>I337</f>
        <v>0</v>
      </c>
      <c r="EY337" s="77">
        <f>O337</f>
        <v>0</v>
      </c>
      <c r="EZ337" s="77">
        <f>U337</f>
        <v>-678385</v>
      </c>
      <c r="FA337" s="77">
        <f>AA337</f>
        <v>-1371712</v>
      </c>
      <c r="FB337" s="77">
        <f>AG337</f>
        <v>-87605</v>
      </c>
      <c r="FC337" s="77">
        <f>AM337</f>
        <v>0</v>
      </c>
      <c r="FD337" s="77">
        <f>AS337</f>
        <v>0</v>
      </c>
      <c r="FE337" s="77">
        <f>AY337</f>
        <v>-700500</v>
      </c>
      <c r="FF337" s="77">
        <f>BE337</f>
        <v>-535400</v>
      </c>
      <c r="FG337" s="196">
        <f t="shared" si="369"/>
        <v>-300</v>
      </c>
      <c r="FH337" s="196">
        <f t="shared" si="370"/>
        <v>-700</v>
      </c>
      <c r="FI337" s="196">
        <f t="shared" si="371"/>
        <v>-564.9</v>
      </c>
      <c r="FJ337" s="196">
        <f t="shared" si="372"/>
        <v>-400</v>
      </c>
      <c r="FK337" s="196">
        <f t="shared" si="373"/>
        <v>-500</v>
      </c>
      <c r="FL337" s="196">
        <f t="shared" si="374"/>
        <v>-1146.1999999999998</v>
      </c>
      <c r="FM337" s="77">
        <f t="shared" si="375"/>
        <v>-410</v>
      </c>
      <c r="FN337" s="77">
        <f t="shared" si="376"/>
        <v>-1207.5</v>
      </c>
      <c r="FO337" s="77">
        <f t="shared" si="377"/>
        <v>-8560.2999999999993</v>
      </c>
      <c r="FP337" s="77">
        <f t="shared" si="378"/>
        <v>-4639.6000000000004</v>
      </c>
      <c r="FQ337" s="77">
        <f t="shared" si="379"/>
        <v>-999.9</v>
      </c>
      <c r="FR337" s="77">
        <f t="shared" si="380"/>
        <v>-500</v>
      </c>
      <c r="FS337" s="77">
        <f t="shared" si="381"/>
        <v>-5950</v>
      </c>
      <c r="FT337" s="77">
        <f t="shared" si="382"/>
        <v>-4000</v>
      </c>
      <c r="FU337" s="242">
        <v>-8000</v>
      </c>
      <c r="FV337" s="189">
        <f>FV377</f>
        <v>-4000</v>
      </c>
      <c r="FW337" s="189">
        <f>FW377</f>
        <v>-4000</v>
      </c>
      <c r="FX337" s="189">
        <f>FX377</f>
        <v>-4000</v>
      </c>
      <c r="GB337" s="309" t="s">
        <v>520</v>
      </c>
    </row>
    <row r="338" spans="2:184" x14ac:dyDescent="0.25">
      <c r="B338" s="180" t="s">
        <v>62</v>
      </c>
      <c r="E338" s="76"/>
      <c r="F338" s="76"/>
      <c r="G338" s="76"/>
      <c r="H338" s="76"/>
      <c r="I338" s="76">
        <v>0</v>
      </c>
      <c r="K338" s="76">
        <v>0</v>
      </c>
      <c r="L338" s="76">
        <v>0</v>
      </c>
      <c r="M338" s="76">
        <v>0</v>
      </c>
      <c r="N338" s="76">
        <f>O338-M338-L338-K338</f>
        <v>0</v>
      </c>
      <c r="O338" s="76">
        <v>0</v>
      </c>
      <c r="Q338" s="76">
        <v>0</v>
      </c>
      <c r="R338" s="76">
        <v>0</v>
      </c>
      <c r="S338" s="76">
        <v>0</v>
      </c>
      <c r="T338" s="76">
        <f>U338-S338-R338-Q338</f>
        <v>1116</v>
      </c>
      <c r="U338" s="76">
        <v>1116</v>
      </c>
      <c r="W338" s="76">
        <v>642</v>
      </c>
      <c r="X338" s="76">
        <v>194</v>
      </c>
      <c r="Y338" s="76">
        <v>6226</v>
      </c>
      <c r="Z338" s="76">
        <v>187</v>
      </c>
      <c r="AA338" s="76">
        <v>1187</v>
      </c>
      <c r="AC338" s="76">
        <v>2</v>
      </c>
      <c r="AD338" s="76">
        <v>5969</v>
      </c>
      <c r="AE338" s="76">
        <v>-1943</v>
      </c>
      <c r="AF338" s="76">
        <f>-1883-1131</f>
        <v>-3014</v>
      </c>
      <c r="AG338" s="76">
        <f>AF338+AE338+AD338+AC338</f>
        <v>1014</v>
      </c>
      <c r="AI338" s="76">
        <v>-221</v>
      </c>
      <c r="AJ338" s="76">
        <v>469</v>
      </c>
      <c r="AK338" s="76">
        <v>715</v>
      </c>
      <c r="AL338" s="76">
        <v>991</v>
      </c>
      <c r="AM338" s="76">
        <f>AL338+AK338+AJ338+AI338</f>
        <v>1954</v>
      </c>
      <c r="AO338" s="76">
        <v>0</v>
      </c>
      <c r="AP338" s="76">
        <v>0</v>
      </c>
      <c r="AQ338" s="76">
        <v>400</v>
      </c>
      <c r="AR338" s="76">
        <v>-300</v>
      </c>
      <c r="AS338" s="76">
        <f>AR338+AQ338+AP338+AO338</f>
        <v>100</v>
      </c>
      <c r="AU338" s="76">
        <v>0</v>
      </c>
      <c r="AV338" s="76">
        <v>0</v>
      </c>
      <c r="AW338" s="76">
        <v>0</v>
      </c>
      <c r="AX338" s="76">
        <v>0</v>
      </c>
      <c r="AY338" s="76">
        <f>AX338+AW338+AV338+AU338</f>
        <v>0</v>
      </c>
      <c r="BA338" s="76">
        <v>100</v>
      </c>
      <c r="BB338" s="76">
        <v>0</v>
      </c>
      <c r="BC338" s="76">
        <v>1500</v>
      </c>
      <c r="BD338" s="76">
        <f>-3728300+600</f>
        <v>-3727700</v>
      </c>
      <c r="BE338" s="76">
        <f>BD338+BC338+BB338+BA338</f>
        <v>-3726100</v>
      </c>
      <c r="BG338" s="77">
        <v>10.4</v>
      </c>
      <c r="BH338" s="77">
        <v>7.2</v>
      </c>
      <c r="BI338" s="77">
        <v>4</v>
      </c>
      <c r="BJ338" s="77">
        <v>10.199999999999999</v>
      </c>
      <c r="BK338" s="77">
        <f t="shared" si="355"/>
        <v>31.8</v>
      </c>
      <c r="BL338" s="104"/>
      <c r="BM338" s="77">
        <v>5.5</v>
      </c>
      <c r="BN338" s="77">
        <v>8.1</v>
      </c>
      <c r="BO338" s="77">
        <v>10.6</v>
      </c>
      <c r="BP338" s="77">
        <v>15.5</v>
      </c>
      <c r="BQ338" s="77">
        <f t="shared" si="356"/>
        <v>39.700000000000003</v>
      </c>
      <c r="BR338" s="104"/>
      <c r="BS338" s="77">
        <v>4.4000000000000004</v>
      </c>
      <c r="BT338" s="77">
        <v>10.1</v>
      </c>
      <c r="BU338" s="77">
        <v>9</v>
      </c>
      <c r="BV338" s="77">
        <v>9.6999999999999993</v>
      </c>
      <c r="BW338" s="77">
        <f t="shared" si="357"/>
        <v>33.200000000000003</v>
      </c>
      <c r="BY338" s="77">
        <v>10.6</v>
      </c>
      <c r="BZ338" s="77">
        <v>12.1</v>
      </c>
      <c r="CA338" s="77">
        <v>11.7</v>
      </c>
      <c r="CB338" s="77">
        <v>548.29999999999995</v>
      </c>
      <c r="CC338" s="77">
        <f t="shared" si="358"/>
        <v>582.69999999999993</v>
      </c>
      <c r="CE338" s="77">
        <v>13</v>
      </c>
      <c r="CF338" s="77">
        <v>11.9</v>
      </c>
      <c r="CG338" s="77">
        <v>12.7</v>
      </c>
      <c r="CH338" s="77">
        <v>13</v>
      </c>
      <c r="CI338" s="77">
        <f t="shared" si="359"/>
        <v>50.599999999999994</v>
      </c>
      <c r="CK338" s="77">
        <v>7</v>
      </c>
      <c r="CL338" s="77">
        <v>6.1</v>
      </c>
      <c r="CM338" s="77">
        <v>4.3</v>
      </c>
      <c r="CN338" s="77">
        <v>4.4000000000000004</v>
      </c>
      <c r="CO338" s="77">
        <f t="shared" si="360"/>
        <v>21.799999999999997</v>
      </c>
      <c r="CQ338" s="77">
        <v>5.2</v>
      </c>
      <c r="CR338" s="77">
        <v>7.4</v>
      </c>
      <c r="CS338" s="77">
        <v>7.4</v>
      </c>
      <c r="CT338" s="77">
        <v>7.2</v>
      </c>
      <c r="CU338" s="77">
        <f t="shared" si="361"/>
        <v>27.2</v>
      </c>
      <c r="CW338" s="77">
        <v>8.6</v>
      </c>
      <c r="CX338" s="77">
        <v>11</v>
      </c>
      <c r="CY338" s="77">
        <v>10.4</v>
      </c>
      <c r="CZ338" s="77">
        <v>7.9</v>
      </c>
      <c r="DA338" s="77">
        <f t="shared" si="362"/>
        <v>37.9</v>
      </c>
      <c r="DC338" s="77">
        <v>11</v>
      </c>
      <c r="DD338" s="77">
        <v>13.6</v>
      </c>
      <c r="DE338" s="77">
        <v>12.3</v>
      </c>
      <c r="DF338" s="77">
        <v>12</v>
      </c>
      <c r="DG338" s="77">
        <f t="shared" si="363"/>
        <v>48.900000000000006</v>
      </c>
      <c r="DI338" s="77">
        <v>21.5</v>
      </c>
      <c r="DJ338" s="77">
        <v>21.5</v>
      </c>
      <c r="DK338" s="77">
        <v>19.899999999999999</v>
      </c>
      <c r="DL338" s="77">
        <v>18.899999999999999</v>
      </c>
      <c r="DM338" s="77">
        <f t="shared" si="364"/>
        <v>81.8</v>
      </c>
      <c r="DO338" s="77">
        <v>22.7</v>
      </c>
      <c r="DP338" s="77">
        <v>25.1</v>
      </c>
      <c r="DQ338" s="77">
        <v>25.7</v>
      </c>
      <c r="DR338" s="77">
        <v>25.9</v>
      </c>
      <c r="DS338" s="77">
        <f t="shared" si="365"/>
        <v>99.4</v>
      </c>
      <c r="DT338" s="77"/>
      <c r="DU338" s="77">
        <v>29.3</v>
      </c>
      <c r="DV338" s="77">
        <v>31.2</v>
      </c>
      <c r="DW338" s="77">
        <v>31.5</v>
      </c>
      <c r="DX338" s="77">
        <v>32</v>
      </c>
      <c r="DY338" s="77">
        <f t="shared" si="366"/>
        <v>124</v>
      </c>
      <c r="EA338" s="77">
        <v>38</v>
      </c>
      <c r="EB338" s="77">
        <v>36.4</v>
      </c>
      <c r="EC338" s="77">
        <v>35.299999999999997</v>
      </c>
      <c r="ED338" s="77">
        <v>32.700000000000003</v>
      </c>
      <c r="EE338" s="77">
        <f t="shared" si="367"/>
        <v>142.4</v>
      </c>
      <c r="EG338" s="77">
        <v>35</v>
      </c>
      <c r="EH338" s="77">
        <v>35</v>
      </c>
      <c r="EI338" s="77">
        <v>35</v>
      </c>
      <c r="EJ338" s="77">
        <v>35</v>
      </c>
      <c r="EK338" s="77">
        <f t="shared" si="368"/>
        <v>140</v>
      </c>
      <c r="EQ338" s="83"/>
      <c r="ER338" s="83"/>
      <c r="ES338" s="83"/>
      <c r="ET338" s="74"/>
      <c r="EU338" s="114"/>
      <c r="EV338" s="152">
        <v>0</v>
      </c>
      <c r="EW338" s="152">
        <v>0</v>
      </c>
      <c r="EX338" s="76">
        <f>I338</f>
        <v>0</v>
      </c>
      <c r="EY338" s="76">
        <f>O338</f>
        <v>0</v>
      </c>
      <c r="EZ338" s="76">
        <f>U338</f>
        <v>1116</v>
      </c>
      <c r="FA338" s="76">
        <f>AA338</f>
        <v>1187</v>
      </c>
      <c r="FB338" s="76">
        <f>AG338</f>
        <v>1014</v>
      </c>
      <c r="FC338" s="76">
        <f>AM338</f>
        <v>1954</v>
      </c>
      <c r="FD338" s="76">
        <f>AS338</f>
        <v>100</v>
      </c>
      <c r="FE338" s="76">
        <f>AY338</f>
        <v>0</v>
      </c>
      <c r="FF338" s="76">
        <f>BE338</f>
        <v>-3726100</v>
      </c>
      <c r="FG338" s="196">
        <f t="shared" si="369"/>
        <v>31.8</v>
      </c>
      <c r="FH338" s="196">
        <f t="shared" si="370"/>
        <v>39.700000000000003</v>
      </c>
      <c r="FI338" s="196">
        <f t="shared" si="371"/>
        <v>33.200000000000003</v>
      </c>
      <c r="FJ338" s="196">
        <f t="shared" si="372"/>
        <v>582.69999999999993</v>
      </c>
      <c r="FK338" s="196">
        <f t="shared" si="373"/>
        <v>50.599999999999994</v>
      </c>
      <c r="FL338" s="196">
        <f t="shared" si="374"/>
        <v>21.799999999999997</v>
      </c>
      <c r="FM338" s="77">
        <f t="shared" si="375"/>
        <v>27.2</v>
      </c>
      <c r="FN338" s="77">
        <f t="shared" si="376"/>
        <v>37.9</v>
      </c>
      <c r="FO338" s="77">
        <f t="shared" si="377"/>
        <v>48.900000000000006</v>
      </c>
      <c r="FP338" s="77">
        <f t="shared" si="378"/>
        <v>81.8</v>
      </c>
      <c r="FQ338" s="77">
        <f t="shared" si="379"/>
        <v>99.4</v>
      </c>
      <c r="FR338" s="77">
        <f t="shared" si="380"/>
        <v>124</v>
      </c>
      <c r="FS338" s="77">
        <f t="shared" si="381"/>
        <v>142.4</v>
      </c>
      <c r="FT338" s="77">
        <f t="shared" si="382"/>
        <v>140</v>
      </c>
      <c r="FU338" s="77">
        <f>FT338</f>
        <v>140</v>
      </c>
      <c r="FV338" s="77">
        <f>FU338</f>
        <v>140</v>
      </c>
      <c r="FW338" s="77">
        <f>FV338</f>
        <v>140</v>
      </c>
      <c r="FX338" s="77">
        <f>FW338</f>
        <v>140</v>
      </c>
    </row>
    <row r="339" spans="2:184" x14ac:dyDescent="0.25">
      <c r="B339" s="180" t="s">
        <v>61</v>
      </c>
      <c r="E339" s="196"/>
      <c r="F339" s="196"/>
      <c r="G339" s="196"/>
      <c r="H339" s="196"/>
      <c r="I339" s="196">
        <v>20031</v>
      </c>
      <c r="K339" s="196">
        <f>K338+K337+K336</f>
        <v>2250</v>
      </c>
      <c r="L339" s="196">
        <f>L338+L337+L336</f>
        <v>4660</v>
      </c>
      <c r="M339" s="196">
        <f>M338+M337+M336</f>
        <v>3388</v>
      </c>
      <c r="N339" s="196">
        <f>N338+N337+N336</f>
        <v>5530</v>
      </c>
      <c r="O339" s="196">
        <v>15828</v>
      </c>
      <c r="Q339" s="196">
        <f>Q338+Q337+Q336</f>
        <v>7858</v>
      </c>
      <c r="R339" s="196">
        <f>R338+R337+R336</f>
        <v>-245753</v>
      </c>
      <c r="S339" s="196">
        <f>S338+S337+S336</f>
        <v>-138704</v>
      </c>
      <c r="T339" s="196">
        <f>T338+T337+T336</f>
        <v>-263040</v>
      </c>
      <c r="U339" s="196">
        <v>-639639</v>
      </c>
      <c r="W339" s="196">
        <f>W338+W337+W336</f>
        <v>-145116</v>
      </c>
      <c r="X339" s="196">
        <f>X338+X337+X336</f>
        <v>10740</v>
      </c>
      <c r="Y339" s="196">
        <f>Y338+Y337+Y336</f>
        <v>25690</v>
      </c>
      <c r="Z339" s="196">
        <f>Z338+Z337+Z336</f>
        <v>-1184550</v>
      </c>
      <c r="AA339" s="196">
        <f>AA338+AA337+AA336</f>
        <v>-1277636</v>
      </c>
      <c r="AC339" s="196">
        <f>AC338+AC337+AC336</f>
        <v>-84625</v>
      </c>
      <c r="AD339" s="196">
        <f>AD338+AD337+AD336</f>
        <v>6521</v>
      </c>
      <c r="AE339" s="196">
        <f>AE338+AE337+AE336</f>
        <v>-504</v>
      </c>
      <c r="AF339" s="196">
        <f>AF338+AF337+AF336</f>
        <v>3492</v>
      </c>
      <c r="AG339" s="196">
        <f>AG338+AG337+AG336</f>
        <v>-75116</v>
      </c>
      <c r="AI339" s="196">
        <f>AI338+AI337+AI336</f>
        <v>-119</v>
      </c>
      <c r="AJ339" s="196">
        <f>AJ338+AJ337+AJ336</f>
        <v>898</v>
      </c>
      <c r="AK339" s="196">
        <f>AK338+AK337+AK336</f>
        <v>4898</v>
      </c>
      <c r="AL339" s="196">
        <f>AL338+AL337+AL336</f>
        <v>7350</v>
      </c>
      <c r="AM339" s="196">
        <f>AM338+AM337+AM336</f>
        <v>13027</v>
      </c>
      <c r="AO339" s="196">
        <f>AO338+AO337+AO336</f>
        <v>10400</v>
      </c>
      <c r="AP339" s="196">
        <f>AP338+AP337+AP336</f>
        <v>7800</v>
      </c>
      <c r="AQ339" s="196">
        <f>AQ338+AQ337+AQ336</f>
        <v>2700</v>
      </c>
      <c r="AR339" s="196">
        <f>AR338+AR337+AR336</f>
        <v>10200</v>
      </c>
      <c r="AS339" s="196">
        <f>AS338+AS337+AS336</f>
        <v>31100</v>
      </c>
      <c r="AU339" s="196">
        <f>AU338+AU337+AU336</f>
        <v>-121400</v>
      </c>
      <c r="AV339" s="196">
        <f>AV338+AV337+AV336</f>
        <v>-220700</v>
      </c>
      <c r="AW339" s="196">
        <f>AW338+AW337+AW336</f>
        <v>-171200</v>
      </c>
      <c r="AX339" s="196">
        <f>AX338+AX337+AX336</f>
        <v>-153100</v>
      </c>
      <c r="AY339" s="196">
        <f>AY338+AY337+AY336</f>
        <v>-666400</v>
      </c>
      <c r="BA339" s="196">
        <f>BA338+BA337+BA336</f>
        <v>-119300</v>
      </c>
      <c r="BB339" s="196">
        <f>BB338+BB337+BB336</f>
        <v>-104600</v>
      </c>
      <c r="BC339" s="196">
        <f>BC338+BC337+BC336</f>
        <v>3022800</v>
      </c>
      <c r="BD339" s="196">
        <f>BD338+BD337+BD336</f>
        <v>-3152700</v>
      </c>
      <c r="BE339" s="196">
        <f>BE338+BE337+BE336</f>
        <v>-353800</v>
      </c>
      <c r="BG339" s="77">
        <v>0</v>
      </c>
      <c r="BH339" s="77">
        <v>0</v>
      </c>
      <c r="BI339" s="77">
        <v>740.4</v>
      </c>
      <c r="BJ339" s="77">
        <v>0</v>
      </c>
      <c r="BK339" s="77">
        <f t="shared" si="355"/>
        <v>740.4</v>
      </c>
      <c r="BL339" s="74"/>
      <c r="BM339" s="77">
        <v>0</v>
      </c>
      <c r="BN339" s="77">
        <v>0</v>
      </c>
      <c r="BO339" s="77">
        <v>0</v>
      </c>
      <c r="BP339" s="77">
        <v>0</v>
      </c>
      <c r="BQ339" s="77">
        <f t="shared" si="356"/>
        <v>0</v>
      </c>
      <c r="BR339" s="74"/>
      <c r="BS339" s="77">
        <v>0</v>
      </c>
      <c r="BT339" s="77">
        <v>0</v>
      </c>
      <c r="BU339" s="77">
        <v>0</v>
      </c>
      <c r="BV339" s="77">
        <v>0</v>
      </c>
      <c r="BW339" s="77">
        <f t="shared" si="357"/>
        <v>0</v>
      </c>
      <c r="BY339" s="77">
        <v>0</v>
      </c>
      <c r="BZ339" s="77">
        <v>0</v>
      </c>
      <c r="CA339" s="77">
        <v>1484.7</v>
      </c>
      <c r="CB339" s="77">
        <v>745.9</v>
      </c>
      <c r="CC339" s="77">
        <f t="shared" si="358"/>
        <v>2230.6</v>
      </c>
      <c r="CE339" s="77">
        <v>0</v>
      </c>
      <c r="CF339" s="77">
        <v>0</v>
      </c>
      <c r="CG339" s="77">
        <v>0</v>
      </c>
      <c r="CH339" s="77">
        <v>0</v>
      </c>
      <c r="CI339" s="77">
        <f t="shared" si="359"/>
        <v>0</v>
      </c>
      <c r="CK339" s="77">
        <v>0</v>
      </c>
      <c r="CL339" s="77">
        <v>-1.3</v>
      </c>
      <c r="CM339" s="77">
        <v>-0.2</v>
      </c>
      <c r="CN339" s="77">
        <v>0</v>
      </c>
      <c r="CO339" s="77">
        <f t="shared" si="360"/>
        <v>-1.5</v>
      </c>
      <c r="CQ339" s="77">
        <v>0</v>
      </c>
      <c r="CR339" s="77">
        <v>0</v>
      </c>
      <c r="CS339" s="77">
        <v>0</v>
      </c>
      <c r="CT339" s="77">
        <v>0</v>
      </c>
      <c r="CU339" s="77">
        <f t="shared" si="361"/>
        <v>0</v>
      </c>
      <c r="CW339" s="77">
        <v>739.8</v>
      </c>
      <c r="CX339" s="77">
        <v>746.5</v>
      </c>
      <c r="CY339" s="77">
        <v>0</v>
      </c>
      <c r="CZ339" s="77">
        <v>0</v>
      </c>
      <c r="DA339" s="77">
        <f t="shared" si="362"/>
        <v>1486.3</v>
      </c>
      <c r="DC339" s="77">
        <v>0</v>
      </c>
      <c r="DD339" s="77">
        <v>0</v>
      </c>
      <c r="DE339" s="77">
        <v>0</v>
      </c>
      <c r="DF339" s="77">
        <v>0</v>
      </c>
      <c r="DG339" s="77">
        <f t="shared" si="363"/>
        <v>0</v>
      </c>
      <c r="DI339" s="77">
        <v>0</v>
      </c>
      <c r="DJ339" s="77">
        <v>495.6</v>
      </c>
      <c r="DK339" s="77">
        <v>0</v>
      </c>
      <c r="DL339" s="77">
        <v>0</v>
      </c>
      <c r="DM339" s="77">
        <f t="shared" si="364"/>
        <v>495.6</v>
      </c>
      <c r="DO339" s="77">
        <v>0</v>
      </c>
      <c r="DP339" s="77">
        <v>997.8</v>
      </c>
      <c r="DQ339" s="77">
        <v>0</v>
      </c>
      <c r="DR339" s="77">
        <v>0</v>
      </c>
      <c r="DS339" s="77">
        <f t="shared" si="365"/>
        <v>997.8</v>
      </c>
      <c r="DT339" s="77"/>
      <c r="DU339" s="77">
        <v>0</v>
      </c>
      <c r="DV339" s="77">
        <v>0</v>
      </c>
      <c r="DW339" s="77">
        <v>0</v>
      </c>
      <c r="DX339" s="77">
        <v>22.5</v>
      </c>
      <c r="DY339" s="77">
        <f t="shared" si="366"/>
        <v>22.5</v>
      </c>
      <c r="EA339" s="77">
        <v>0</v>
      </c>
      <c r="EB339" s="77">
        <v>0</v>
      </c>
      <c r="EC339" s="77">
        <v>15</v>
      </c>
      <c r="ED339" s="77">
        <v>739.2</v>
      </c>
      <c r="EE339" s="77">
        <f t="shared" si="367"/>
        <v>754.2</v>
      </c>
      <c r="EG339" s="77">
        <v>0</v>
      </c>
      <c r="EH339" s="77">
        <v>0</v>
      </c>
      <c r="EI339" s="77">
        <v>0</v>
      </c>
      <c r="EJ339" s="77">
        <v>0</v>
      </c>
      <c r="EK339" s="77">
        <f t="shared" si="368"/>
        <v>0</v>
      </c>
      <c r="EQ339" s="198"/>
      <c r="ER339" s="198"/>
      <c r="ES339" s="198"/>
      <c r="ET339" s="74"/>
      <c r="EU339" s="114"/>
      <c r="EV339" s="77">
        <f>EV336+EV337+EV338</f>
        <v>26630</v>
      </c>
      <c r="EW339" s="77">
        <f>EW336+EW337+EW338</f>
        <v>6360</v>
      </c>
      <c r="EX339" s="77">
        <f>I339</f>
        <v>20031</v>
      </c>
      <c r="EY339" s="77">
        <f>O339</f>
        <v>15828</v>
      </c>
      <c r="EZ339" s="77">
        <f>U339</f>
        <v>-639639</v>
      </c>
      <c r="FA339" s="77">
        <f>AA339</f>
        <v>-1277636</v>
      </c>
      <c r="FB339" s="77">
        <f>AG339</f>
        <v>-75116</v>
      </c>
      <c r="FC339" s="77">
        <f>AM339</f>
        <v>13027</v>
      </c>
      <c r="FD339" s="77">
        <f>AS339</f>
        <v>31100</v>
      </c>
      <c r="FE339" s="77">
        <f>AY339</f>
        <v>-666400</v>
      </c>
      <c r="FF339" s="77">
        <f>BE339</f>
        <v>-353800</v>
      </c>
      <c r="FG339" s="196">
        <f t="shared" si="369"/>
        <v>740.4</v>
      </c>
      <c r="FH339" s="196">
        <f t="shared" si="370"/>
        <v>0</v>
      </c>
      <c r="FI339" s="196">
        <f t="shared" si="371"/>
        <v>0</v>
      </c>
      <c r="FJ339" s="196">
        <f t="shared" si="372"/>
        <v>2230.6</v>
      </c>
      <c r="FK339" s="196">
        <f t="shared" si="373"/>
        <v>0</v>
      </c>
      <c r="FL339" s="196">
        <f t="shared" si="374"/>
        <v>-1.5</v>
      </c>
      <c r="FM339" s="77">
        <f t="shared" si="375"/>
        <v>0</v>
      </c>
      <c r="FN339" s="77">
        <f t="shared" si="376"/>
        <v>1486.3</v>
      </c>
      <c r="FO339" s="77">
        <f t="shared" si="377"/>
        <v>0</v>
      </c>
      <c r="FP339" s="77">
        <f t="shared" si="378"/>
        <v>495.6</v>
      </c>
      <c r="FQ339" s="77">
        <f t="shared" si="379"/>
        <v>997.8</v>
      </c>
      <c r="FR339" s="77">
        <f t="shared" si="380"/>
        <v>22.5</v>
      </c>
      <c r="FS339" s="77">
        <f t="shared" si="381"/>
        <v>754.2</v>
      </c>
      <c r="FT339" s="77">
        <f t="shared" si="382"/>
        <v>0</v>
      </c>
      <c r="FU339" s="77">
        <v>0</v>
      </c>
      <c r="FV339" s="77">
        <v>0</v>
      </c>
      <c r="FW339" s="77">
        <v>0</v>
      </c>
      <c r="FX339" s="77">
        <v>0</v>
      </c>
    </row>
    <row r="340" spans="2:184" x14ac:dyDescent="0.25">
      <c r="B340" s="180" t="s">
        <v>60</v>
      </c>
      <c r="E340" s="196"/>
      <c r="F340" s="196"/>
      <c r="G340" s="196"/>
      <c r="H340" s="196"/>
      <c r="I340" s="196"/>
      <c r="K340" s="196"/>
      <c r="L340" s="196"/>
      <c r="M340" s="196"/>
      <c r="N340" s="196"/>
      <c r="O340" s="196"/>
      <c r="Q340" s="196"/>
      <c r="R340" s="196"/>
      <c r="S340" s="196"/>
      <c r="T340" s="196"/>
      <c r="U340" s="196"/>
      <c r="W340" s="196"/>
      <c r="X340" s="196"/>
      <c r="Y340" s="196"/>
      <c r="Z340" s="196"/>
      <c r="AA340" s="196"/>
      <c r="AC340" s="196"/>
      <c r="AD340" s="196"/>
      <c r="AE340" s="196"/>
      <c r="AF340" s="196"/>
      <c r="AG340" s="196"/>
      <c r="AI340" s="196"/>
      <c r="AJ340" s="196"/>
      <c r="AK340" s="196"/>
      <c r="AL340" s="196"/>
      <c r="AM340" s="196"/>
      <c r="AO340" s="196"/>
      <c r="AP340" s="196"/>
      <c r="AQ340" s="196"/>
      <c r="AR340" s="196"/>
      <c r="AS340" s="196"/>
      <c r="AU340" s="196"/>
      <c r="AV340" s="196"/>
      <c r="AW340" s="196"/>
      <c r="AX340" s="196"/>
      <c r="AY340" s="196"/>
      <c r="BA340" s="196"/>
      <c r="BB340" s="196"/>
      <c r="BC340" s="196"/>
      <c r="BD340" s="196"/>
      <c r="BE340" s="196"/>
      <c r="BG340" s="77">
        <v>0</v>
      </c>
      <c r="BH340" s="77">
        <v>0</v>
      </c>
      <c r="BI340" s="77">
        <v>-368.3</v>
      </c>
      <c r="BJ340" s="77">
        <v>0</v>
      </c>
      <c r="BK340" s="77">
        <f t="shared" si="355"/>
        <v>-368.3</v>
      </c>
      <c r="BL340" s="74"/>
      <c r="BM340" s="77">
        <v>0</v>
      </c>
      <c r="BN340" s="77">
        <v>0</v>
      </c>
      <c r="BO340" s="77">
        <v>0</v>
      </c>
      <c r="BP340" s="77">
        <v>0</v>
      </c>
      <c r="BQ340" s="77">
        <f t="shared" si="356"/>
        <v>0</v>
      </c>
      <c r="BR340" s="74"/>
      <c r="BS340" s="77">
        <v>0</v>
      </c>
      <c r="BT340" s="77">
        <v>0</v>
      </c>
      <c r="BU340" s="77">
        <v>0</v>
      </c>
      <c r="BV340" s="77">
        <v>0</v>
      </c>
      <c r="BW340" s="77">
        <f t="shared" si="357"/>
        <v>0</v>
      </c>
      <c r="BY340" s="77">
        <v>0</v>
      </c>
      <c r="BZ340" s="77">
        <v>0</v>
      </c>
      <c r="CA340" s="77">
        <v>0</v>
      </c>
      <c r="CB340" s="77">
        <v>0</v>
      </c>
      <c r="CC340" s="77">
        <f t="shared" si="358"/>
        <v>0</v>
      </c>
      <c r="CE340" s="77">
        <v>-1.2</v>
      </c>
      <c r="CF340" s="77">
        <v>-239.5</v>
      </c>
      <c r="CG340" s="77">
        <v>-1.2</v>
      </c>
      <c r="CH340" s="77">
        <v>-1.1000000000000001</v>
      </c>
      <c r="CI340" s="77">
        <f t="shared" si="359"/>
        <v>-242.99999999999997</v>
      </c>
      <c r="CK340" s="77">
        <v>-0.3</v>
      </c>
      <c r="CL340" s="77">
        <v>0</v>
      </c>
      <c r="CM340" s="77">
        <v>0</v>
      </c>
      <c r="CN340" s="77">
        <v>0</v>
      </c>
      <c r="CO340" s="77">
        <f t="shared" si="360"/>
        <v>-0.3</v>
      </c>
      <c r="CQ340" s="77">
        <v>0</v>
      </c>
      <c r="CR340" s="77">
        <v>0</v>
      </c>
      <c r="CS340" s="77">
        <v>0</v>
      </c>
      <c r="CT340" s="77">
        <v>0</v>
      </c>
      <c r="CU340" s="77">
        <f t="shared" si="361"/>
        <v>0</v>
      </c>
      <c r="CW340" s="77">
        <v>0</v>
      </c>
      <c r="CX340" s="77">
        <v>0</v>
      </c>
      <c r="CY340" s="77">
        <v>0</v>
      </c>
      <c r="CZ340" s="77">
        <v>0</v>
      </c>
      <c r="DA340" s="77">
        <f t="shared" si="362"/>
        <v>0</v>
      </c>
      <c r="DC340" s="77">
        <v>0</v>
      </c>
      <c r="DD340" s="77">
        <v>0</v>
      </c>
      <c r="DE340" s="77">
        <v>0</v>
      </c>
      <c r="DF340" s="77">
        <v>0</v>
      </c>
      <c r="DG340" s="77">
        <f t="shared" si="363"/>
        <v>0</v>
      </c>
      <c r="DI340" s="77">
        <v>0</v>
      </c>
      <c r="DJ340" s="77">
        <v>0</v>
      </c>
      <c r="DK340" s="77">
        <v>0</v>
      </c>
      <c r="DL340" s="77">
        <v>0</v>
      </c>
      <c r="DM340" s="77">
        <f t="shared" si="364"/>
        <v>0</v>
      </c>
      <c r="DO340" s="77">
        <v>0</v>
      </c>
      <c r="DP340" s="77">
        <v>-0.7</v>
      </c>
      <c r="DQ340" s="279">
        <v>-750.4</v>
      </c>
      <c r="DR340" s="279">
        <v>-0.2</v>
      </c>
      <c r="DS340" s="77">
        <f t="shared" si="365"/>
        <v>-751.30000000000007</v>
      </c>
      <c r="DT340" s="77"/>
      <c r="DU340" s="77">
        <v>-0.6</v>
      </c>
      <c r="DV340" s="77">
        <v>-0.3</v>
      </c>
      <c r="DW340" s="77">
        <v>-0.7</v>
      </c>
      <c r="DX340" s="77">
        <v>-24.1</v>
      </c>
      <c r="DY340" s="77">
        <f t="shared" si="366"/>
        <v>-25.700000000000003</v>
      </c>
      <c r="EA340" s="77">
        <v>0.4</v>
      </c>
      <c r="EB340" s="77">
        <v>-0.6</v>
      </c>
      <c r="EC340" s="77">
        <v>0</v>
      </c>
      <c r="ED340" s="77">
        <v>0</v>
      </c>
      <c r="EE340" s="77">
        <f t="shared" si="367"/>
        <v>-0.19999999999999996</v>
      </c>
      <c r="EG340" s="77">
        <v>0</v>
      </c>
      <c r="EH340" s="77">
        <v>0</v>
      </c>
      <c r="EI340" s="77">
        <v>0</v>
      </c>
      <c r="EJ340" s="77">
        <v>0</v>
      </c>
      <c r="EK340" s="77">
        <f t="shared" si="368"/>
        <v>0</v>
      </c>
      <c r="EQ340" s="198"/>
      <c r="ER340" s="198"/>
      <c r="ES340" s="198"/>
      <c r="EU340" s="114"/>
      <c r="EV340" s="77"/>
      <c r="EW340" s="77"/>
      <c r="EX340" s="196"/>
      <c r="EY340" s="196"/>
      <c r="EZ340" s="196"/>
      <c r="FA340" s="196"/>
      <c r="FB340" s="196"/>
      <c r="FC340" s="196"/>
      <c r="FD340" s="196"/>
      <c r="FE340" s="196"/>
      <c r="FF340" s="196"/>
      <c r="FG340" s="196">
        <f t="shared" si="369"/>
        <v>-368.3</v>
      </c>
      <c r="FH340" s="196">
        <f t="shared" si="370"/>
        <v>0</v>
      </c>
      <c r="FI340" s="196">
        <f t="shared" si="371"/>
        <v>0</v>
      </c>
      <c r="FJ340" s="196">
        <f t="shared" si="372"/>
        <v>0</v>
      </c>
      <c r="FK340" s="196">
        <f t="shared" si="373"/>
        <v>-242.99999999999997</v>
      </c>
      <c r="FL340" s="196">
        <f t="shared" si="374"/>
        <v>-0.3</v>
      </c>
      <c r="FM340" s="77">
        <f t="shared" si="375"/>
        <v>0</v>
      </c>
      <c r="FN340" s="77">
        <f t="shared" si="376"/>
        <v>0</v>
      </c>
      <c r="FO340" s="77">
        <f t="shared" si="377"/>
        <v>0</v>
      </c>
      <c r="FP340" s="77">
        <f t="shared" si="378"/>
        <v>0</v>
      </c>
      <c r="FQ340" s="77">
        <f t="shared" si="379"/>
        <v>-751.30000000000007</v>
      </c>
      <c r="FR340" s="77">
        <f t="shared" si="380"/>
        <v>-25.700000000000003</v>
      </c>
      <c r="FS340" s="77">
        <f t="shared" si="381"/>
        <v>-0.19999999999999996</v>
      </c>
      <c r="FT340" s="77">
        <f t="shared" si="382"/>
        <v>0</v>
      </c>
      <c r="FU340" s="77">
        <v>0</v>
      </c>
      <c r="FV340" s="77">
        <v>0</v>
      </c>
      <c r="FW340" s="77">
        <v>0</v>
      </c>
      <c r="FX340" s="77">
        <v>0</v>
      </c>
    </row>
    <row r="341" spans="2:184" x14ac:dyDescent="0.25">
      <c r="B341" s="180" t="s">
        <v>59</v>
      </c>
      <c r="E341" s="196"/>
      <c r="F341" s="196"/>
      <c r="G341" s="196"/>
      <c r="H341" s="196"/>
      <c r="I341" s="196">
        <v>0</v>
      </c>
      <c r="K341" s="196">
        <v>0</v>
      </c>
      <c r="L341" s="196">
        <v>0</v>
      </c>
      <c r="M341" s="196">
        <v>0</v>
      </c>
      <c r="N341" s="196">
        <f>O341-M341-L341-K341</f>
        <v>0</v>
      </c>
      <c r="O341" s="196">
        <v>0</v>
      </c>
      <c r="Q341" s="196">
        <v>0</v>
      </c>
      <c r="R341" s="196">
        <v>0</v>
      </c>
      <c r="S341" s="196">
        <v>0</v>
      </c>
      <c r="T341" s="196">
        <f>U341-S341-R341-Q341</f>
        <v>0</v>
      </c>
      <c r="U341" s="196">
        <v>0</v>
      </c>
      <c r="W341" s="196">
        <v>0</v>
      </c>
      <c r="X341" s="196">
        <v>593790</v>
      </c>
      <c r="Y341" s="196">
        <v>0</v>
      </c>
      <c r="Z341" s="196">
        <v>-35</v>
      </c>
      <c r="AA341" s="196">
        <f>W341+X341+Y341+Z341</f>
        <v>593755</v>
      </c>
      <c r="AC341" s="196">
        <v>0</v>
      </c>
      <c r="AD341" s="196">
        <v>0</v>
      </c>
      <c r="AE341" s="196">
        <v>0</v>
      </c>
      <c r="AF341" s="196">
        <v>0</v>
      </c>
      <c r="AG341" s="196">
        <f>AF341+AE341+AD341+AC341</f>
        <v>0</v>
      </c>
      <c r="AI341" s="196">
        <v>0</v>
      </c>
      <c r="AJ341" s="196">
        <v>32</v>
      </c>
      <c r="AK341" s="196">
        <v>0</v>
      </c>
      <c r="AL341" s="196">
        <v>0</v>
      </c>
      <c r="AM341" s="196">
        <f>AL341+AK341+AJ341+AI341</f>
        <v>32</v>
      </c>
      <c r="AO341" s="196">
        <v>0</v>
      </c>
      <c r="AP341" s="196">
        <v>0</v>
      </c>
      <c r="AQ341" s="196">
        <v>0</v>
      </c>
      <c r="AR341" s="196">
        <v>150000</v>
      </c>
      <c r="AS341" s="196">
        <f>AR341+AQ341+AP341+AO341</f>
        <v>150000</v>
      </c>
      <c r="AU341" s="196">
        <v>-150000</v>
      </c>
      <c r="AV341" s="196">
        <v>0</v>
      </c>
      <c r="AW341" s="196">
        <v>0</v>
      </c>
      <c r="AX341" s="196">
        <v>0</v>
      </c>
      <c r="AY341" s="196">
        <f>AX341+AW341+AV341+AU341</f>
        <v>-150000</v>
      </c>
      <c r="BA341" s="196">
        <v>0</v>
      </c>
      <c r="BB341" s="196">
        <v>0</v>
      </c>
      <c r="BC341" s="196">
        <v>0</v>
      </c>
      <c r="BD341" s="196">
        <v>0</v>
      </c>
      <c r="BE341" s="196">
        <f>BD341+BC341+BB341+BA341</f>
        <v>0</v>
      </c>
      <c r="BG341" s="77">
        <v>0</v>
      </c>
      <c r="BH341" s="77">
        <v>0</v>
      </c>
      <c r="BI341" s="77">
        <v>0</v>
      </c>
      <c r="BJ341" s="77">
        <v>0</v>
      </c>
      <c r="BK341" s="77">
        <f t="shared" si="355"/>
        <v>0</v>
      </c>
      <c r="BL341" s="74"/>
      <c r="BM341" s="77">
        <v>0</v>
      </c>
      <c r="BN341" s="77">
        <v>0</v>
      </c>
      <c r="BO341" s="77">
        <v>0</v>
      </c>
      <c r="BP341" s="77">
        <v>0</v>
      </c>
      <c r="BQ341" s="77">
        <f t="shared" si="356"/>
        <v>0</v>
      </c>
      <c r="BR341" s="74"/>
      <c r="BS341" s="77">
        <v>0</v>
      </c>
      <c r="BT341" s="77">
        <v>0</v>
      </c>
      <c r="BU341" s="77">
        <v>0</v>
      </c>
      <c r="BV341" s="77">
        <v>0</v>
      </c>
      <c r="BW341" s="77">
        <f t="shared" si="357"/>
        <v>0</v>
      </c>
      <c r="BY341" s="77">
        <v>0</v>
      </c>
      <c r="BZ341" s="77">
        <v>0</v>
      </c>
      <c r="CA341" s="77">
        <v>0</v>
      </c>
      <c r="CB341" s="77">
        <v>0</v>
      </c>
      <c r="CC341" s="77">
        <f t="shared" si="358"/>
        <v>0</v>
      </c>
      <c r="CE341" s="77">
        <v>0</v>
      </c>
      <c r="CF341" s="77">
        <v>0</v>
      </c>
      <c r="CG341" s="77">
        <v>0</v>
      </c>
      <c r="CH341" s="77">
        <v>0</v>
      </c>
      <c r="CI341" s="77">
        <f t="shared" si="359"/>
        <v>0</v>
      </c>
      <c r="CK341" s="77">
        <v>0</v>
      </c>
      <c r="CL341" s="77">
        <v>0</v>
      </c>
      <c r="CM341" s="77">
        <v>0</v>
      </c>
      <c r="CN341" s="77">
        <v>0</v>
      </c>
      <c r="CO341" s="77">
        <f t="shared" si="360"/>
        <v>0</v>
      </c>
      <c r="CQ341" s="77">
        <v>0</v>
      </c>
      <c r="CR341" s="77">
        <v>0</v>
      </c>
      <c r="CS341" s="77">
        <v>0</v>
      </c>
      <c r="CT341" s="77">
        <v>0</v>
      </c>
      <c r="CU341" s="77">
        <f t="shared" si="361"/>
        <v>0</v>
      </c>
      <c r="CW341" s="77">
        <v>0</v>
      </c>
      <c r="CX341" s="77">
        <v>0</v>
      </c>
      <c r="CY341" s="77">
        <v>0</v>
      </c>
      <c r="CZ341" s="77">
        <v>0</v>
      </c>
      <c r="DA341" s="77">
        <f t="shared" si="362"/>
        <v>0</v>
      </c>
      <c r="DC341" s="77">
        <v>0</v>
      </c>
      <c r="DD341" s="77">
        <v>0</v>
      </c>
      <c r="DE341" s="77">
        <v>0</v>
      </c>
      <c r="DF341" s="77">
        <v>0</v>
      </c>
      <c r="DG341" s="77">
        <f t="shared" si="363"/>
        <v>0</v>
      </c>
      <c r="DI341" s="77">
        <v>0</v>
      </c>
      <c r="DJ341" s="77">
        <v>0</v>
      </c>
      <c r="DK341" s="77">
        <v>0</v>
      </c>
      <c r="DL341" s="77">
        <v>0</v>
      </c>
      <c r="DM341" s="77">
        <f t="shared" si="364"/>
        <v>0</v>
      </c>
      <c r="DO341" s="77">
        <v>0</v>
      </c>
      <c r="DP341" s="77">
        <v>0</v>
      </c>
      <c r="DQ341" s="77">
        <v>0</v>
      </c>
      <c r="DR341" s="77">
        <v>0</v>
      </c>
      <c r="DS341" s="77">
        <f t="shared" si="365"/>
        <v>0</v>
      </c>
      <c r="DT341" s="77"/>
      <c r="DU341" s="77">
        <v>0</v>
      </c>
      <c r="DV341" s="77">
        <v>0</v>
      </c>
      <c r="DW341" s="77">
        <v>0</v>
      </c>
      <c r="DX341" s="77">
        <v>0</v>
      </c>
      <c r="DY341" s="77">
        <f t="shared" si="366"/>
        <v>0</v>
      </c>
      <c r="EA341" s="77">
        <v>0</v>
      </c>
      <c r="EB341" s="77">
        <v>0</v>
      </c>
      <c r="EC341" s="77">
        <v>0</v>
      </c>
      <c r="ED341" s="77">
        <v>0</v>
      </c>
      <c r="EE341" s="77">
        <f t="shared" si="367"/>
        <v>0</v>
      </c>
      <c r="EG341" s="77">
        <v>0</v>
      </c>
      <c r="EH341" s="77">
        <v>0</v>
      </c>
      <c r="EI341" s="77">
        <v>0</v>
      </c>
      <c r="EJ341" s="77">
        <v>0</v>
      </c>
      <c r="EK341" s="77">
        <f t="shared" si="368"/>
        <v>0</v>
      </c>
      <c r="EQ341" s="198"/>
      <c r="ER341" s="198"/>
      <c r="ES341" s="198"/>
      <c r="EU341" s="114"/>
      <c r="EV341" s="77">
        <v>0</v>
      </c>
      <c r="EW341" s="77">
        <f>380000-8550</f>
        <v>371450</v>
      </c>
      <c r="EX341" s="77">
        <f>I341</f>
        <v>0</v>
      </c>
      <c r="EY341" s="77">
        <f>O341</f>
        <v>0</v>
      </c>
      <c r="EZ341" s="77">
        <f>U341</f>
        <v>0</v>
      </c>
      <c r="FA341" s="77">
        <f>AA341</f>
        <v>593755</v>
      </c>
      <c r="FB341" s="77">
        <f>AG341</f>
        <v>0</v>
      </c>
      <c r="FC341" s="77">
        <f>AM341</f>
        <v>32</v>
      </c>
      <c r="FD341" s="77">
        <f>AS341</f>
        <v>150000</v>
      </c>
      <c r="FE341" s="77">
        <f>AY341</f>
        <v>-150000</v>
      </c>
      <c r="FF341" s="77">
        <f>BE341</f>
        <v>0</v>
      </c>
      <c r="FG341" s="196">
        <f t="shared" si="369"/>
        <v>0</v>
      </c>
      <c r="FH341" s="196">
        <f t="shared" si="370"/>
        <v>0</v>
      </c>
      <c r="FI341" s="196">
        <f t="shared" si="371"/>
        <v>0</v>
      </c>
      <c r="FJ341" s="196">
        <f t="shared" si="372"/>
        <v>0</v>
      </c>
      <c r="FK341" s="196">
        <f t="shared" si="373"/>
        <v>0</v>
      </c>
      <c r="FL341" s="196">
        <f t="shared" si="374"/>
        <v>0</v>
      </c>
      <c r="FM341" s="77">
        <f t="shared" si="375"/>
        <v>0</v>
      </c>
      <c r="FN341" s="77">
        <f t="shared" si="376"/>
        <v>0</v>
      </c>
      <c r="FO341" s="77">
        <f t="shared" si="377"/>
        <v>0</v>
      </c>
      <c r="FP341" s="77">
        <f t="shared" si="378"/>
        <v>0</v>
      </c>
      <c r="FQ341" s="77">
        <f t="shared" si="379"/>
        <v>0</v>
      </c>
      <c r="FR341" s="77">
        <f t="shared" si="380"/>
        <v>0</v>
      </c>
      <c r="FS341" s="77">
        <f t="shared" si="381"/>
        <v>0</v>
      </c>
      <c r="FT341" s="77">
        <f t="shared" si="382"/>
        <v>0</v>
      </c>
      <c r="FU341" s="77">
        <v>0</v>
      </c>
      <c r="FV341" s="77">
        <v>0</v>
      </c>
      <c r="FW341" s="77">
        <v>0</v>
      </c>
      <c r="FX341" s="77">
        <v>0</v>
      </c>
    </row>
    <row r="342" spans="2:184" x14ac:dyDescent="0.25">
      <c r="B342" s="180" t="s">
        <v>58</v>
      </c>
      <c r="E342" s="196"/>
      <c r="F342" s="196"/>
      <c r="G342" s="196"/>
      <c r="H342" s="196"/>
      <c r="I342" s="196">
        <v>-1160</v>
      </c>
      <c r="K342" s="196">
        <v>-282</v>
      </c>
      <c r="L342" s="196">
        <v>-291</v>
      </c>
      <c r="M342" s="196">
        <v>-12069</v>
      </c>
      <c r="N342" s="196">
        <f>O342-M342-L342-K342</f>
        <v>-307</v>
      </c>
      <c r="O342" s="196">
        <v>-12949</v>
      </c>
      <c r="Q342" s="196">
        <v>-310</v>
      </c>
      <c r="R342" s="196">
        <v>-303</v>
      </c>
      <c r="S342" s="196">
        <v>-310</v>
      </c>
      <c r="T342" s="196">
        <f>U342-S342-R342-Q342</f>
        <v>-7395</v>
      </c>
      <c r="U342" s="196">
        <v>-8318</v>
      </c>
      <c r="W342" s="196">
        <v>-234</v>
      </c>
      <c r="X342" s="196">
        <v>-111</v>
      </c>
      <c r="Y342" s="196">
        <v>-1530</v>
      </c>
      <c r="Z342" s="196">
        <v>-7843</v>
      </c>
      <c r="AA342" s="196">
        <f>W342+X342+Y342+Z342</f>
        <v>-9718</v>
      </c>
      <c r="AC342" s="196">
        <v>0</v>
      </c>
      <c r="AD342" s="196">
        <v>0</v>
      </c>
      <c r="AE342" s="196">
        <v>-1281</v>
      </c>
      <c r="AF342" s="196">
        <v>0</v>
      </c>
      <c r="AG342" s="196">
        <f>AF342+AE342+AD342+AC342</f>
        <v>-1281</v>
      </c>
      <c r="AI342" s="196">
        <v>0</v>
      </c>
      <c r="AJ342" s="196">
        <v>-9</v>
      </c>
      <c r="AK342" s="196">
        <v>-4</v>
      </c>
      <c r="AL342" s="196">
        <v>-4</v>
      </c>
      <c r="AM342" s="196">
        <f>AL342+AK342+AJ342+AI342</f>
        <v>-17</v>
      </c>
      <c r="AO342" s="196">
        <v>-400</v>
      </c>
      <c r="AP342" s="196">
        <v>-300</v>
      </c>
      <c r="AQ342" s="196">
        <v>-400</v>
      </c>
      <c r="AR342" s="196">
        <v>-300</v>
      </c>
      <c r="AS342" s="196">
        <f>AR342+AQ342+AP342+AO342</f>
        <v>-1400</v>
      </c>
      <c r="AU342" s="196">
        <v>-600</v>
      </c>
      <c r="AV342" s="196">
        <v>-700</v>
      </c>
      <c r="AW342" s="196">
        <v>-600</v>
      </c>
      <c r="AX342" s="196">
        <v>-700</v>
      </c>
      <c r="AY342" s="196">
        <f>AX342+AW342+AV342+AU342</f>
        <v>-2600</v>
      </c>
      <c r="BA342" s="196">
        <v>-700</v>
      </c>
      <c r="BB342" s="196">
        <v>-700</v>
      </c>
      <c r="BC342" s="196">
        <v>-700</v>
      </c>
      <c r="BD342" s="196">
        <v>-800</v>
      </c>
      <c r="BE342" s="196">
        <f>BD342+BC342+BB342+BA342</f>
        <v>-2900</v>
      </c>
      <c r="BG342" s="77">
        <v>-0.8</v>
      </c>
      <c r="BH342" s="77">
        <v>-0.9</v>
      </c>
      <c r="BI342" s="77">
        <v>-1.2</v>
      </c>
      <c r="BJ342" s="77">
        <v>-1.2</v>
      </c>
      <c r="BK342" s="77">
        <f t="shared" si="355"/>
        <v>-4.1000000000000005</v>
      </c>
      <c r="BL342" s="74"/>
      <c r="BM342" s="77">
        <v>-1.1000000000000001</v>
      </c>
      <c r="BN342" s="77">
        <v>-1</v>
      </c>
      <c r="BO342" s="77">
        <v>-1.2</v>
      </c>
      <c r="BP342" s="77">
        <v>-0.8</v>
      </c>
      <c r="BQ342" s="77">
        <f t="shared" si="356"/>
        <v>-4.0999999999999996</v>
      </c>
      <c r="BR342" s="74"/>
      <c r="BS342" s="77">
        <v>-0.8</v>
      </c>
      <c r="BT342" s="77">
        <v>-0.7</v>
      </c>
      <c r="BU342" s="77">
        <v>-1</v>
      </c>
      <c r="BV342" s="77">
        <v>-1.1000000000000001</v>
      </c>
      <c r="BW342" s="77">
        <f t="shared" si="357"/>
        <v>-3.6</v>
      </c>
      <c r="BY342" s="77">
        <v>-1.2</v>
      </c>
      <c r="BZ342" s="77">
        <v>-1.2</v>
      </c>
      <c r="CA342" s="77">
        <v>-1.1000000000000001</v>
      </c>
      <c r="CB342" s="77">
        <v>-1.2</v>
      </c>
      <c r="CC342" s="77">
        <f t="shared" si="358"/>
        <v>-4.7</v>
      </c>
      <c r="CE342" s="77">
        <v>0</v>
      </c>
      <c r="CF342" s="77">
        <v>0</v>
      </c>
      <c r="CG342" s="77">
        <v>0</v>
      </c>
      <c r="CH342" s="77">
        <v>0</v>
      </c>
      <c r="CI342" s="77">
        <f t="shared" si="359"/>
        <v>0</v>
      </c>
      <c r="CK342" s="77">
        <v>0</v>
      </c>
      <c r="CL342" s="77">
        <v>0</v>
      </c>
      <c r="CM342" s="77">
        <v>0</v>
      </c>
      <c r="CN342" s="77">
        <v>-1</v>
      </c>
      <c r="CO342" s="77">
        <f t="shared" si="360"/>
        <v>-1</v>
      </c>
      <c r="CQ342" s="77">
        <v>-0.7</v>
      </c>
      <c r="CR342" s="77">
        <v>-1.2</v>
      </c>
      <c r="CS342" s="77">
        <v>-1</v>
      </c>
      <c r="CT342" s="77">
        <v>-0.9</v>
      </c>
      <c r="CU342" s="77">
        <f t="shared" si="361"/>
        <v>-3.8</v>
      </c>
      <c r="CW342" s="77">
        <v>-0.9</v>
      </c>
      <c r="CX342" s="77">
        <v>-0.8</v>
      </c>
      <c r="CY342" s="77">
        <v>-0.9</v>
      </c>
      <c r="CZ342" s="77">
        <v>-0.7</v>
      </c>
      <c r="DA342" s="77">
        <f t="shared" si="362"/>
        <v>-3.3</v>
      </c>
      <c r="DC342" s="77">
        <v>-3.6</v>
      </c>
      <c r="DD342" s="77">
        <v>-3.2</v>
      </c>
      <c r="DE342" s="77">
        <v>-2.6</v>
      </c>
      <c r="DF342" s="77">
        <v>-2.6</v>
      </c>
      <c r="DG342" s="77">
        <f t="shared" si="363"/>
        <v>-12</v>
      </c>
      <c r="DI342" s="77">
        <v>-13.5</v>
      </c>
      <c r="DJ342" s="77">
        <v>-500.7</v>
      </c>
      <c r="DK342" s="77">
        <v>-1.2</v>
      </c>
      <c r="DL342" s="77">
        <v>-0.8</v>
      </c>
      <c r="DM342" s="77">
        <f t="shared" si="364"/>
        <v>-516.20000000000005</v>
      </c>
      <c r="DO342" s="77">
        <v>-1.5</v>
      </c>
      <c r="DP342" s="77">
        <v>0</v>
      </c>
      <c r="DQ342" s="77">
        <v>0</v>
      </c>
      <c r="DR342" s="77">
        <v>0</v>
      </c>
      <c r="DS342" s="77">
        <f t="shared" si="365"/>
        <v>-1.5</v>
      </c>
      <c r="DT342" s="77"/>
      <c r="DU342" s="77">
        <v>0</v>
      </c>
      <c r="DV342" s="77">
        <v>0</v>
      </c>
      <c r="DW342" s="77">
        <v>0</v>
      </c>
      <c r="DX342" s="77">
        <v>0</v>
      </c>
      <c r="DY342" s="77">
        <f t="shared" si="366"/>
        <v>0</v>
      </c>
      <c r="EA342" s="77">
        <v>0</v>
      </c>
      <c r="EB342" s="77">
        <v>0</v>
      </c>
      <c r="EC342" s="77">
        <v>-0.5</v>
      </c>
      <c r="ED342" s="77">
        <v>-1066</v>
      </c>
      <c r="EE342" s="77">
        <f t="shared" si="367"/>
        <v>-1066.5</v>
      </c>
      <c r="EG342" s="77">
        <v>-692.9</v>
      </c>
      <c r="EH342" s="77">
        <v>0</v>
      </c>
      <c r="EI342" s="77">
        <v>0</v>
      </c>
      <c r="EJ342" s="77">
        <v>0</v>
      </c>
      <c r="EK342" s="77">
        <f t="shared" si="368"/>
        <v>-692.9</v>
      </c>
      <c r="EM342" s="177" t="s">
        <v>375</v>
      </c>
      <c r="EQ342" s="198"/>
      <c r="ER342" s="198"/>
      <c r="ES342" s="198"/>
      <c r="EU342" s="114"/>
      <c r="EV342" s="77">
        <v>-5203</v>
      </c>
      <c r="EW342" s="77">
        <v>-445966</v>
      </c>
      <c r="EX342" s="77">
        <f>I342</f>
        <v>-1160</v>
      </c>
      <c r="EY342" s="77">
        <f>O342</f>
        <v>-12949</v>
      </c>
      <c r="EZ342" s="77">
        <f>U342</f>
        <v>-8318</v>
      </c>
      <c r="FA342" s="77">
        <f>AA342</f>
        <v>-9718</v>
      </c>
      <c r="FB342" s="77">
        <f>AG342</f>
        <v>-1281</v>
      </c>
      <c r="FC342" s="77">
        <f>AM342</f>
        <v>-17</v>
      </c>
      <c r="FD342" s="77">
        <f>AS342</f>
        <v>-1400</v>
      </c>
      <c r="FE342" s="77">
        <f>AY342</f>
        <v>-2600</v>
      </c>
      <c r="FF342" s="77">
        <f>BE342</f>
        <v>-2900</v>
      </c>
      <c r="FG342" s="196">
        <f t="shared" si="369"/>
        <v>-4.1000000000000005</v>
      </c>
      <c r="FH342" s="196">
        <f t="shared" si="370"/>
        <v>-4.0999999999999996</v>
      </c>
      <c r="FI342" s="196">
        <f t="shared" si="371"/>
        <v>-3.6</v>
      </c>
      <c r="FJ342" s="196">
        <f t="shared" si="372"/>
        <v>-4.7</v>
      </c>
      <c r="FK342" s="196">
        <f t="shared" si="373"/>
        <v>0</v>
      </c>
      <c r="FL342" s="196">
        <f t="shared" si="374"/>
        <v>-1</v>
      </c>
      <c r="FM342" s="77">
        <f t="shared" si="375"/>
        <v>-3.8</v>
      </c>
      <c r="FN342" s="77">
        <f t="shared" si="376"/>
        <v>-3.3</v>
      </c>
      <c r="FO342" s="77">
        <f t="shared" si="377"/>
        <v>-12</v>
      </c>
      <c r="FP342" s="77">
        <f t="shared" si="378"/>
        <v>-516.20000000000005</v>
      </c>
      <c r="FQ342" s="77">
        <f t="shared" si="379"/>
        <v>-1.5</v>
      </c>
      <c r="FR342" s="77">
        <f t="shared" si="380"/>
        <v>0</v>
      </c>
      <c r="FS342" s="77">
        <f t="shared" si="381"/>
        <v>-1066.5</v>
      </c>
      <c r="FT342" s="77">
        <f t="shared" si="382"/>
        <v>-692.9</v>
      </c>
      <c r="FU342" s="242">
        <v>0</v>
      </c>
      <c r="FV342" s="242">
        <v>0</v>
      </c>
      <c r="FW342" s="242">
        <v>0</v>
      </c>
      <c r="FX342" s="242">
        <v>0</v>
      </c>
      <c r="GB342" s="309" t="s">
        <v>375</v>
      </c>
    </row>
    <row r="343" spans="2:184" x14ac:dyDescent="0.25">
      <c r="B343" s="28" t="s">
        <v>57</v>
      </c>
      <c r="C343" s="74"/>
      <c r="D343" s="74"/>
      <c r="E343" s="196"/>
      <c r="F343" s="196"/>
      <c r="G343" s="196"/>
      <c r="H343" s="196"/>
      <c r="I343" s="196">
        <v>0</v>
      </c>
      <c r="J343" s="74"/>
      <c r="K343" s="196">
        <v>0</v>
      </c>
      <c r="L343" s="196">
        <v>0</v>
      </c>
      <c r="M343" s="196">
        <v>0</v>
      </c>
      <c r="N343" s="196">
        <v>0</v>
      </c>
      <c r="O343" s="196">
        <v>0</v>
      </c>
      <c r="P343" s="74"/>
      <c r="Q343" s="196">
        <v>0</v>
      </c>
      <c r="R343" s="196">
        <v>0</v>
      </c>
      <c r="S343" s="196">
        <v>0</v>
      </c>
      <c r="T343" s="196">
        <v>0</v>
      </c>
      <c r="U343" s="196">
        <v>0</v>
      </c>
      <c r="W343" s="196">
        <v>0</v>
      </c>
      <c r="X343" s="196">
        <v>0</v>
      </c>
      <c r="Y343" s="196">
        <f>-60%*Financials!Y190</f>
        <v>0</v>
      </c>
      <c r="Z343" s="196">
        <f>-60%*Financials!Z190</f>
        <v>-26828.399999999998</v>
      </c>
      <c r="AA343" s="196">
        <f>W343+X343+Y343+Z343</f>
        <v>-26828.399999999998</v>
      </c>
      <c r="AC343" s="196">
        <f>-60%*Financials!AC190</f>
        <v>0</v>
      </c>
      <c r="AD343" s="196">
        <v>-107447</v>
      </c>
      <c r="AE343" s="196">
        <v>-394</v>
      </c>
      <c r="AF343" s="196">
        <f>-60%*Financials!AF190</f>
        <v>-29938.799999999999</v>
      </c>
      <c r="AG343" s="196">
        <f>AF343+AE343+AD343+AC343</f>
        <v>-137779.79999999999</v>
      </c>
      <c r="AI343" s="196"/>
      <c r="AJ343" s="196">
        <v>-86486</v>
      </c>
      <c r="AK343" s="196">
        <v>0</v>
      </c>
      <c r="AL343" s="196"/>
      <c r="AM343" s="196">
        <f>AL343+AK343+AJ343+AI343</f>
        <v>-86486</v>
      </c>
      <c r="AO343" s="95"/>
      <c r="AP343" s="196">
        <v>-87000</v>
      </c>
      <c r="AQ343" s="196"/>
      <c r="AR343" s="95"/>
      <c r="AS343" s="196">
        <f>AR343+AQ343+AP343+AO343</f>
        <v>-87000</v>
      </c>
      <c r="AU343" s="95"/>
      <c r="AV343" s="196">
        <v>-172600</v>
      </c>
      <c r="AW343" s="196">
        <v>0</v>
      </c>
      <c r="AX343" s="196">
        <v>0</v>
      </c>
      <c r="AY343" s="196">
        <f>AX343+AW343+AV343+AU343</f>
        <v>-172600</v>
      </c>
      <c r="BA343" s="196">
        <v>0</v>
      </c>
      <c r="BB343" s="196">
        <v>-188900</v>
      </c>
      <c r="BC343" s="196">
        <v>0</v>
      </c>
      <c r="BD343" s="196">
        <v>0</v>
      </c>
      <c r="BE343" s="196">
        <f>BD343+BC343+BB343+BA343</f>
        <v>-188900</v>
      </c>
      <c r="BG343" s="77">
        <v>0</v>
      </c>
      <c r="BH343" s="77">
        <v>0</v>
      </c>
      <c r="BI343" s="77">
        <v>1.9</v>
      </c>
      <c r="BJ343" s="77">
        <v>1.3</v>
      </c>
      <c r="BK343" s="77">
        <f t="shared" si="355"/>
        <v>3.2</v>
      </c>
      <c r="BL343" s="74"/>
      <c r="BM343" s="77">
        <v>0</v>
      </c>
      <c r="BN343" s="77">
        <v>1.9</v>
      </c>
      <c r="BO343" s="77">
        <v>0.9</v>
      </c>
      <c r="BP343" s="77">
        <v>1.2</v>
      </c>
      <c r="BQ343" s="77">
        <f t="shared" si="356"/>
        <v>4</v>
      </c>
      <c r="BR343" s="74"/>
      <c r="BS343" s="77">
        <v>1.8</v>
      </c>
      <c r="BT343" s="77">
        <v>0.6</v>
      </c>
      <c r="BU343" s="77">
        <v>0.5</v>
      </c>
      <c r="BV343" s="77">
        <v>0.8</v>
      </c>
      <c r="BW343" s="77">
        <f t="shared" si="357"/>
        <v>3.7</v>
      </c>
      <c r="BY343" s="77">
        <v>0</v>
      </c>
      <c r="BZ343" s="77">
        <v>0.1</v>
      </c>
      <c r="CA343" s="77">
        <v>0.5</v>
      </c>
      <c r="CB343" s="77">
        <v>0.8</v>
      </c>
      <c r="CC343" s="77">
        <f t="shared" si="358"/>
        <v>1.4</v>
      </c>
      <c r="CE343" s="77">
        <v>0</v>
      </c>
      <c r="CF343" s="77">
        <v>0</v>
      </c>
      <c r="CG343" s="77">
        <v>0</v>
      </c>
      <c r="CH343" s="77">
        <v>0</v>
      </c>
      <c r="CI343" s="77">
        <f t="shared" si="359"/>
        <v>0</v>
      </c>
      <c r="CK343" s="77">
        <v>0</v>
      </c>
      <c r="CL343" s="77">
        <v>0</v>
      </c>
      <c r="CM343" s="77">
        <v>0</v>
      </c>
      <c r="CN343" s="77">
        <v>0</v>
      </c>
      <c r="CO343" s="77">
        <f t="shared" si="360"/>
        <v>0</v>
      </c>
      <c r="CQ343" s="77">
        <v>0</v>
      </c>
      <c r="CR343" s="77">
        <v>0</v>
      </c>
      <c r="CS343" s="77">
        <v>0</v>
      </c>
      <c r="CT343" s="77">
        <v>0</v>
      </c>
      <c r="CU343" s="77">
        <f t="shared" si="361"/>
        <v>0</v>
      </c>
      <c r="CW343" s="77">
        <v>0</v>
      </c>
      <c r="CX343" s="77">
        <v>0</v>
      </c>
      <c r="CY343" s="77">
        <v>0</v>
      </c>
      <c r="CZ343" s="77">
        <v>0</v>
      </c>
      <c r="DA343" s="77">
        <f t="shared" si="362"/>
        <v>0</v>
      </c>
      <c r="DC343" s="77">
        <v>0</v>
      </c>
      <c r="DD343" s="77">
        <v>0</v>
      </c>
      <c r="DE343" s="77">
        <v>0</v>
      </c>
      <c r="DF343" s="77">
        <v>0</v>
      </c>
      <c r="DG343" s="77">
        <f t="shared" si="363"/>
        <v>0</v>
      </c>
      <c r="DI343" s="77">
        <v>0</v>
      </c>
      <c r="DJ343" s="77">
        <v>0</v>
      </c>
      <c r="DK343" s="77">
        <v>0</v>
      </c>
      <c r="DL343" s="77">
        <v>0</v>
      </c>
      <c r="DM343" s="77">
        <f t="shared" si="364"/>
        <v>0</v>
      </c>
      <c r="DO343" s="77">
        <v>0</v>
      </c>
      <c r="DP343" s="77">
        <v>0</v>
      </c>
      <c r="DQ343" s="77">
        <v>0</v>
      </c>
      <c r="DR343" s="77">
        <v>0</v>
      </c>
      <c r="DS343" s="77">
        <f t="shared" si="365"/>
        <v>0</v>
      </c>
      <c r="DT343" s="77"/>
      <c r="DU343" s="77">
        <v>0</v>
      </c>
      <c r="DV343" s="77">
        <v>0</v>
      </c>
      <c r="DW343" s="77">
        <v>0</v>
      </c>
      <c r="DX343" s="77">
        <v>0</v>
      </c>
      <c r="DY343" s="77">
        <f t="shared" si="366"/>
        <v>0</v>
      </c>
      <c r="EA343" s="77">
        <v>0</v>
      </c>
      <c r="EB343" s="77">
        <v>0</v>
      </c>
      <c r="EC343" s="77">
        <v>0</v>
      </c>
      <c r="ED343" s="77">
        <v>0</v>
      </c>
      <c r="EE343" s="77">
        <f t="shared" si="367"/>
        <v>0</v>
      </c>
      <c r="EG343" s="77">
        <v>3.1100000000000003</v>
      </c>
      <c r="EH343" s="77">
        <v>0</v>
      </c>
      <c r="EI343" s="77">
        <v>0</v>
      </c>
      <c r="EJ343" s="77">
        <v>0</v>
      </c>
      <c r="EK343" s="77">
        <f t="shared" si="368"/>
        <v>3.1100000000000003</v>
      </c>
      <c r="EQ343" s="198"/>
      <c r="ER343" s="198"/>
      <c r="ES343" s="198"/>
      <c r="EU343" s="114"/>
      <c r="EV343" s="77">
        <v>0</v>
      </c>
      <c r="EW343" s="77">
        <v>0</v>
      </c>
      <c r="EX343" s="77">
        <f>I343</f>
        <v>0</v>
      </c>
      <c r="EY343" s="77">
        <f>O343</f>
        <v>0</v>
      </c>
      <c r="EZ343" s="77">
        <f>U343</f>
        <v>0</v>
      </c>
      <c r="FA343" s="77">
        <f>AA343</f>
        <v>-26828.399999999998</v>
      </c>
      <c r="FB343" s="77">
        <f>AG343</f>
        <v>-137779.79999999999</v>
      </c>
      <c r="FC343" s="77">
        <f>AM343</f>
        <v>-86486</v>
      </c>
      <c r="FD343" s="77">
        <f>AS343</f>
        <v>-87000</v>
      </c>
      <c r="FE343" s="77">
        <f>AY343</f>
        <v>-172600</v>
      </c>
      <c r="FF343" s="77">
        <f>BE343</f>
        <v>-188900</v>
      </c>
      <c r="FG343" s="196">
        <f t="shared" si="369"/>
        <v>3.2</v>
      </c>
      <c r="FH343" s="196">
        <f t="shared" si="370"/>
        <v>4</v>
      </c>
      <c r="FI343" s="196">
        <f t="shared" si="371"/>
        <v>3.7</v>
      </c>
      <c r="FJ343" s="196">
        <f t="shared" si="372"/>
        <v>1.4</v>
      </c>
      <c r="FK343" s="196">
        <f t="shared" si="373"/>
        <v>0</v>
      </c>
      <c r="FL343" s="196">
        <f t="shared" si="374"/>
        <v>0</v>
      </c>
      <c r="FM343" s="77">
        <f t="shared" si="375"/>
        <v>0</v>
      </c>
      <c r="FN343" s="77">
        <f t="shared" si="376"/>
        <v>0</v>
      </c>
      <c r="FO343" s="77">
        <f t="shared" si="377"/>
        <v>0</v>
      </c>
      <c r="FP343" s="77">
        <f t="shared" si="378"/>
        <v>0</v>
      </c>
      <c r="FQ343" s="77">
        <f t="shared" si="379"/>
        <v>0</v>
      </c>
      <c r="FR343" s="77">
        <f t="shared" si="380"/>
        <v>0</v>
      </c>
      <c r="FS343" s="77">
        <f t="shared" si="381"/>
        <v>0</v>
      </c>
      <c r="FT343" s="77">
        <f t="shared" si="382"/>
        <v>3.1100000000000003</v>
      </c>
      <c r="FU343" s="77">
        <f>10%*FU365</f>
        <v>3.2966000000000002</v>
      </c>
      <c r="FV343" s="77">
        <f>10%*FV365</f>
        <v>3.4943960000000005</v>
      </c>
      <c r="FW343" s="77">
        <f>10%*FW365</f>
        <v>3.7040597600000007</v>
      </c>
      <c r="FX343" s="77">
        <f>10%*FX365</f>
        <v>3.9263033456000009</v>
      </c>
    </row>
    <row r="344" spans="2:184" x14ac:dyDescent="0.25">
      <c r="B344" s="74" t="s">
        <v>304</v>
      </c>
      <c r="C344" s="74"/>
      <c r="D344" s="74"/>
      <c r="E344" s="196"/>
      <c r="F344" s="196"/>
      <c r="G344" s="196"/>
      <c r="H344" s="196"/>
      <c r="I344" s="196"/>
      <c r="J344" s="74"/>
      <c r="K344" s="96"/>
      <c r="L344" s="196"/>
      <c r="M344" s="196"/>
      <c r="N344" s="196"/>
      <c r="O344" s="196"/>
      <c r="P344" s="74"/>
      <c r="Q344" s="96"/>
      <c r="R344" s="196"/>
      <c r="S344" s="196"/>
      <c r="T344" s="196"/>
      <c r="U344" s="196"/>
      <c r="W344" s="196"/>
      <c r="X344" s="196"/>
      <c r="Y344" s="196"/>
      <c r="Z344" s="196"/>
      <c r="AA344" s="196"/>
      <c r="AC344" s="196"/>
      <c r="AD344" s="240"/>
      <c r="AE344" s="196"/>
      <c r="AF344" s="196"/>
      <c r="AG344" s="196"/>
      <c r="AI344" s="196"/>
      <c r="AJ344" s="196"/>
      <c r="AK344" s="196"/>
      <c r="AL344" s="196"/>
      <c r="AM344" s="196"/>
      <c r="AO344" s="196"/>
      <c r="AP344" s="196"/>
      <c r="AQ344" s="196"/>
      <c r="AR344" s="196"/>
      <c r="AS344" s="196"/>
      <c r="AU344" s="196"/>
      <c r="AV344" s="196"/>
      <c r="AW344" s="196"/>
      <c r="AX344" s="196"/>
      <c r="AY344" s="196"/>
      <c r="BA344" s="196"/>
      <c r="BB344" s="196"/>
      <c r="BC344" s="196"/>
      <c r="BD344" s="196"/>
      <c r="BE344" s="196"/>
      <c r="BG344" s="250">
        <f>SUM(BG336:BG343)</f>
        <v>9.6</v>
      </c>
      <c r="BH344" s="250">
        <f>SUM(BH336:BH343)</f>
        <v>-294.5</v>
      </c>
      <c r="BI344" s="250">
        <f>SUM(BI336:BI343)</f>
        <v>325.19999999999993</v>
      </c>
      <c r="BJ344" s="250">
        <f>SUM(BJ336:BJ343)</f>
        <v>-153.39999999999998</v>
      </c>
      <c r="BK344" s="250">
        <f>SUM(BK336:BK343)</f>
        <v>-113.10000000000004</v>
      </c>
      <c r="BM344" s="250">
        <f>SUM(BM336:BM343)</f>
        <v>-140.6</v>
      </c>
      <c r="BN344" s="250">
        <f>SUM(BN336:BN343)</f>
        <v>-413.9</v>
      </c>
      <c r="BO344" s="250">
        <f>SUM(BO336:BO343)</f>
        <v>-160.79999999999998</v>
      </c>
      <c r="BP344" s="250">
        <f>SUM(BP336:BP343)</f>
        <v>-213.10000000000002</v>
      </c>
      <c r="BQ344" s="250">
        <f>SUM(BQ336:BQ343)</f>
        <v>-928.4</v>
      </c>
      <c r="BS344" s="250">
        <f>SUM(BS336:BS343)</f>
        <v>-111.69999999999999</v>
      </c>
      <c r="BT344" s="250">
        <f>SUM(BT336:BT343)</f>
        <v>-457.89999999999992</v>
      </c>
      <c r="BU344" s="250">
        <f>SUM(BU336:BU343)</f>
        <v>-133</v>
      </c>
      <c r="BV344" s="250">
        <f>SUM(BV336:BV343)</f>
        <v>-131.29999999999998</v>
      </c>
      <c r="BW344" s="250">
        <f>SUM(BW336:BW343)</f>
        <v>-833.9</v>
      </c>
      <c r="BY344" s="250">
        <f>SUM(BY336:BY343)</f>
        <v>-204.1</v>
      </c>
      <c r="BZ344" s="250">
        <f>SUM(BZ336:BZ343)</f>
        <v>-606.79999999999995</v>
      </c>
      <c r="CA344" s="250">
        <f>SUM(CA336:CA343)</f>
        <v>1481.2</v>
      </c>
      <c r="CB344" s="250">
        <f>SUM(CB336:CB343)</f>
        <v>1293.7999999999997</v>
      </c>
      <c r="CC344" s="250">
        <f>SUM(CC336:CC343)</f>
        <v>1964.1</v>
      </c>
      <c r="CE344" s="250">
        <f>SUM(CE336:CE343)</f>
        <v>11.8</v>
      </c>
      <c r="CF344" s="250">
        <f>SUM(CF336:CF343)</f>
        <v>-744.30000000000007</v>
      </c>
      <c r="CG344" s="250">
        <f>SUM(CG336:CG343)</f>
        <v>-154</v>
      </c>
      <c r="CH344" s="250">
        <f>SUM(CH336:CH343)</f>
        <v>-322.60000000000002</v>
      </c>
      <c r="CI344" s="250">
        <f>SUM(CI336:CI343)</f>
        <v>-1209.0999999999999</v>
      </c>
      <c r="CK344" s="250">
        <f>SUM(CK336:CK343)</f>
        <v>-160.20000000000002</v>
      </c>
      <c r="CL344" s="250">
        <f>SUM(CL336:CL343)</f>
        <v>-845.19999999999993</v>
      </c>
      <c r="CM344" s="250">
        <f>SUM(CM336:CM343)</f>
        <v>-365.9</v>
      </c>
      <c r="CN344" s="250">
        <f>SUM(CN336:CN343)</f>
        <v>-353</v>
      </c>
      <c r="CO344" s="250">
        <f>SUM(CO336:CO343)</f>
        <v>-1724.2999999999997</v>
      </c>
      <c r="CQ344" s="250">
        <f>SUM(CQ336:CQ343)</f>
        <v>-48.1</v>
      </c>
      <c r="CR344" s="250">
        <f>SUM(CR336:CR343)</f>
        <v>-895.6</v>
      </c>
      <c r="CS344" s="250">
        <f>SUM(CS336:CS343)</f>
        <v>-142</v>
      </c>
      <c r="CT344" s="250">
        <f>SUM(CT336:CT343)</f>
        <v>-626.59999999999991</v>
      </c>
      <c r="CU344" s="250">
        <f>SUM(CU336:CU343)</f>
        <v>-1712.3</v>
      </c>
      <c r="CW344" s="250">
        <f>SUM(CW336:CW343)</f>
        <v>239.99999999999997</v>
      </c>
      <c r="CX344" s="250">
        <f>SUM(CX336:CX343)</f>
        <v>191.90000000000003</v>
      </c>
      <c r="CY344" s="250">
        <f>SUM(CY336:CY343)</f>
        <v>9.5</v>
      </c>
      <c r="CZ344" s="250">
        <f>SUM(CZ336:CZ343)</f>
        <v>-1194.3999999999999</v>
      </c>
      <c r="DA344" s="250">
        <f>SUM(DA336:DA343)</f>
        <v>-753</v>
      </c>
      <c r="DC344" s="250">
        <f>SUM(DC336:DC343)</f>
        <v>-1560.1999999999998</v>
      </c>
      <c r="DD344" s="250">
        <f>SUM(DD336:DD343)</f>
        <v>-2612.6</v>
      </c>
      <c r="DE344" s="250">
        <f>SUM(DE336:DE343)</f>
        <v>-2391.8999999999996</v>
      </c>
      <c r="DF344" s="250">
        <f>SUM(DF336:DF343)</f>
        <v>-3326.9999999999995</v>
      </c>
      <c r="DG344" s="250">
        <f>SUM(DG336:DG343)</f>
        <v>-9891.6999999999989</v>
      </c>
      <c r="DI344" s="250">
        <f>SUM(DI336:DI343)</f>
        <v>-2030.2</v>
      </c>
      <c r="DJ344" s="250">
        <f>SUM(DJ336:DJ343)</f>
        <v>-2637.4</v>
      </c>
      <c r="DK344" s="250">
        <f>SUM(DK336:DK343)</f>
        <v>-1612.7</v>
      </c>
      <c r="DL344" s="250">
        <f>SUM(DL336:DL343)</f>
        <v>-858</v>
      </c>
      <c r="DM344" s="250">
        <f>SUM(DM336:DM343)</f>
        <v>-7138.2999999999993</v>
      </c>
      <c r="DO344" s="250">
        <f>SUM(DO336:DO343)</f>
        <v>-916.09999999999991</v>
      </c>
      <c r="DP344" s="250">
        <f>SUM(DP336:DP343)</f>
        <v>-136.50000000000017</v>
      </c>
      <c r="DQ344" s="250">
        <f>SUM(DQ336:DQ343)</f>
        <v>-1406.1999999999998</v>
      </c>
      <c r="DR344" s="250">
        <f>SUM(DR336:DR343)</f>
        <v>-545.1</v>
      </c>
      <c r="DS344" s="250">
        <f>SUM(DS336:DS343)</f>
        <v>-3003.8999999999996</v>
      </c>
      <c r="DT344" s="250"/>
      <c r="DU344" s="250">
        <f>SUM(DU336:DU343)</f>
        <v>-927.40000000000009</v>
      </c>
      <c r="DV344" s="250">
        <f>SUM(DV336:DV343)</f>
        <v>-772.29999999999984</v>
      </c>
      <c r="DW344" s="250">
        <f>SUM(DW336:DW343)</f>
        <v>-565</v>
      </c>
      <c r="DX344" s="250">
        <f>SUM(DX336:DX343)</f>
        <v>-567.4</v>
      </c>
      <c r="DY344" s="250">
        <f>SUM(DY336:DY343)</f>
        <v>-2832.0999999999995</v>
      </c>
      <c r="EA344" s="250">
        <f>SUM(EA336:EA343)</f>
        <v>-3151.4</v>
      </c>
      <c r="EB344" s="250">
        <f>SUM(EB336:EB343)</f>
        <v>-2163.7999999999997</v>
      </c>
      <c r="EC344" s="250">
        <f>SUM(EC336:EC343)</f>
        <v>-742</v>
      </c>
      <c r="ED344" s="250">
        <f>SUM(ED336:ED343)</f>
        <v>-2613.3000000000002</v>
      </c>
      <c r="EE344" s="250">
        <f>SUM(EE336:EE343)</f>
        <v>-8670.5</v>
      </c>
      <c r="EG344" s="250">
        <f>SUM(EG336:EG343)</f>
        <v>-2271.79</v>
      </c>
      <c r="EH344" s="250">
        <f>SUM(EH336:EH343)</f>
        <v>-2003.4429096089916</v>
      </c>
      <c r="EI344" s="250">
        <f>SUM(EI336:EI343)</f>
        <v>-2001.3058192179831</v>
      </c>
      <c r="EJ344" s="250">
        <f>SUM(EJ336:EJ343)</f>
        <v>-1999.1687288269745</v>
      </c>
      <c r="EK344" s="250">
        <f>SUM(EK336:EK343)</f>
        <v>-8275.7074576539489</v>
      </c>
      <c r="EQ344" s="198"/>
      <c r="ER344" s="198"/>
      <c r="ES344" s="198"/>
      <c r="EU344" s="114"/>
      <c r="EX344" s="196"/>
      <c r="EY344" s="196"/>
      <c r="EZ344" s="196"/>
      <c r="FA344" s="196"/>
      <c r="FB344" s="196"/>
      <c r="FC344" s="196"/>
      <c r="FD344" s="196"/>
      <c r="FE344" s="196"/>
      <c r="FF344" s="196"/>
      <c r="FG344" s="250">
        <f t="shared" ref="FG344:FP344" si="383">SUM(FG336:FG343)</f>
        <v>-113.10000000000004</v>
      </c>
      <c r="FH344" s="250">
        <f t="shared" si="383"/>
        <v>-928.4</v>
      </c>
      <c r="FI344" s="250">
        <f t="shared" si="383"/>
        <v>-833.9</v>
      </c>
      <c r="FJ344" s="250">
        <f t="shared" si="383"/>
        <v>1964.1</v>
      </c>
      <c r="FK344" s="250">
        <f t="shared" si="383"/>
        <v>-1209.0999999999999</v>
      </c>
      <c r="FL344" s="250">
        <f t="shared" si="383"/>
        <v>-1724.2999999999997</v>
      </c>
      <c r="FM344" s="250">
        <f t="shared" si="383"/>
        <v>-1712.3</v>
      </c>
      <c r="FN344" s="250">
        <f t="shared" si="383"/>
        <v>-753</v>
      </c>
      <c r="FO344" s="250">
        <f t="shared" si="383"/>
        <v>-9891.6999999999989</v>
      </c>
      <c r="FP344" s="250">
        <f t="shared" si="383"/>
        <v>-7138.2999999999993</v>
      </c>
      <c r="FQ344" s="250">
        <f>SUM(FQ336:FQ343)</f>
        <v>-3003.8999999999996</v>
      </c>
      <c r="FR344" s="250">
        <f>SUM(FR336:FR343)</f>
        <v>-2832.0999999999995</v>
      </c>
      <c r="FS344" s="250">
        <f t="shared" ref="FS344:FX344" si="384">SUM(FS336:FS343)</f>
        <v>-8670.5</v>
      </c>
      <c r="FT344" s="250">
        <f>SUM(FT336:FT343)</f>
        <v>-8275.7074576539489</v>
      </c>
      <c r="FU344" s="250">
        <f t="shared" si="384"/>
        <v>-11521.214887584933</v>
      </c>
      <c r="FV344" s="250">
        <f t="shared" si="384"/>
        <v>-7490.3141065504224</v>
      </c>
      <c r="FW344" s="250">
        <f t="shared" si="384"/>
        <v>-7459.4014577559137</v>
      </c>
      <c r="FX344" s="250">
        <f t="shared" si="384"/>
        <v>-7428.4762291358047</v>
      </c>
    </row>
    <row r="345" spans="2:184" x14ac:dyDescent="0.25">
      <c r="C345" s="74"/>
      <c r="D345" s="74"/>
      <c r="J345" s="74"/>
      <c r="K345" s="74"/>
      <c r="P345" s="74"/>
      <c r="Q345" s="74"/>
      <c r="DQ345" s="201"/>
      <c r="DR345" s="201"/>
      <c r="DT345" s="201"/>
      <c r="DW345" s="201"/>
      <c r="DX345" s="201"/>
      <c r="EQ345" s="198"/>
      <c r="ER345" s="198"/>
      <c r="ES345" s="198"/>
      <c r="EU345" s="114"/>
    </row>
    <row r="346" spans="2:184" x14ac:dyDescent="0.25">
      <c r="B346" s="198" t="s">
        <v>303</v>
      </c>
      <c r="C346" s="74"/>
      <c r="D346" s="74"/>
      <c r="E346" s="196"/>
      <c r="F346" s="196"/>
      <c r="I346" s="196">
        <v>-9416</v>
      </c>
      <c r="J346" s="74"/>
      <c r="K346" s="196">
        <v>6937</v>
      </c>
      <c r="L346" s="196">
        <v>10805</v>
      </c>
      <c r="M346" s="196">
        <v>-158</v>
      </c>
      <c r="N346" s="196">
        <f>O346-M346-L346-K346</f>
        <v>5326</v>
      </c>
      <c r="O346" s="196">
        <v>22910</v>
      </c>
      <c r="P346" s="74"/>
      <c r="Q346" s="196">
        <v>-5830</v>
      </c>
      <c r="R346" s="196">
        <v>-10199</v>
      </c>
      <c r="S346" s="196">
        <v>1482</v>
      </c>
      <c r="T346" s="196">
        <f>U346-S346-R346-Q346</f>
        <v>1768</v>
      </c>
      <c r="U346" s="196">
        <v>-12779</v>
      </c>
      <c r="W346" s="196">
        <v>-1874</v>
      </c>
      <c r="X346" s="196">
        <v>-387</v>
      </c>
      <c r="Y346" s="196">
        <v>-2846</v>
      </c>
      <c r="Z346" s="196">
        <v>-2610</v>
      </c>
      <c r="AA346" s="196">
        <v>-7717</v>
      </c>
      <c r="AC346" s="196">
        <v>-2186</v>
      </c>
      <c r="AD346" s="196">
        <v>144</v>
      </c>
      <c r="AE346" s="196">
        <v>1691</v>
      </c>
      <c r="AF346" s="196">
        <v>1196</v>
      </c>
      <c r="AG346" s="196">
        <f>AF346+AE346+AD346+AC346</f>
        <v>845</v>
      </c>
      <c r="AI346" s="196">
        <v>2407</v>
      </c>
      <c r="AJ346" s="196">
        <v>-484</v>
      </c>
      <c r="AK346" s="196">
        <v>-614</v>
      </c>
      <c r="AL346" s="196">
        <v>343</v>
      </c>
      <c r="AM346" s="196">
        <f>AL346+AK346+AJ346+AI346</f>
        <v>1652</v>
      </c>
      <c r="AO346" s="196">
        <v>6300</v>
      </c>
      <c r="AP346" s="196">
        <v>5800</v>
      </c>
      <c r="AQ346" s="196">
        <v>-11800</v>
      </c>
      <c r="AR346" s="196">
        <v>4600</v>
      </c>
      <c r="AS346" s="196">
        <f>AR346+AQ346+AP346+AO346</f>
        <v>4900</v>
      </c>
      <c r="AU346" s="196">
        <v>-12200</v>
      </c>
      <c r="AV346" s="196">
        <v>-2000</v>
      </c>
      <c r="AW346" s="196">
        <v>9400</v>
      </c>
      <c r="AX346" s="196">
        <v>8900</v>
      </c>
      <c r="AY346" s="196">
        <f>AX346+AW346+AV346+AU346</f>
        <v>4100</v>
      </c>
      <c r="BA346" s="196">
        <v>-3500</v>
      </c>
      <c r="BB346" s="196">
        <v>7300</v>
      </c>
      <c r="BC346" s="196">
        <v>-4200</v>
      </c>
      <c r="BD346" s="196">
        <v>-1900</v>
      </c>
      <c r="BE346" s="196">
        <f>BD346+BC346+BB346+BA346</f>
        <v>-2300</v>
      </c>
      <c r="BG346" s="196">
        <v>0.5</v>
      </c>
      <c r="BH346" s="196">
        <v>-2.1</v>
      </c>
      <c r="BI346" s="196">
        <v>-4.2</v>
      </c>
      <c r="BJ346" s="196">
        <v>-3.8</v>
      </c>
      <c r="BK346" s="77">
        <f>SUM(BG346:BJ346)</f>
        <v>-9.6000000000000014</v>
      </c>
      <c r="BM346" s="196">
        <v>-0.1</v>
      </c>
      <c r="BN346" s="196">
        <v>2</v>
      </c>
      <c r="BO346" s="196">
        <v>4.7</v>
      </c>
      <c r="BP346" s="196">
        <v>1.6</v>
      </c>
      <c r="BQ346" s="77">
        <f>SUM(BM346:BP346)</f>
        <v>8.1999999999999993</v>
      </c>
      <c r="BS346" s="196">
        <v>9.3000000000000007</v>
      </c>
      <c r="BT346" s="196">
        <v>-2.2000000000000002</v>
      </c>
      <c r="BU346" s="196">
        <v>-1.6</v>
      </c>
      <c r="BV346" s="196">
        <v>2</v>
      </c>
      <c r="BW346" s="77">
        <f>SUM(BS346:BV346)</f>
        <v>7.5</v>
      </c>
      <c r="BY346" s="196">
        <v>-2.7</v>
      </c>
      <c r="BZ346" s="196">
        <v>11.9</v>
      </c>
      <c r="CA346" s="196">
        <v>-7.1</v>
      </c>
      <c r="CB346" s="196">
        <v>5</v>
      </c>
      <c r="CC346" s="77">
        <f>SUM(BY346:CB346)</f>
        <v>7.1</v>
      </c>
      <c r="CE346" s="196">
        <v>9.8000000000000007</v>
      </c>
      <c r="CF346" s="196">
        <v>-27.5</v>
      </c>
      <c r="CG346" s="196">
        <v>-11</v>
      </c>
      <c r="CH346" s="196">
        <v>0.6</v>
      </c>
      <c r="CI346" s="77">
        <f>SUM(CE346:CH346)</f>
        <v>-28.099999999999998</v>
      </c>
      <c r="CK346" s="196">
        <v>-7.2</v>
      </c>
      <c r="CL346" s="196">
        <v>8.9</v>
      </c>
      <c r="CM346" s="196">
        <v>-4</v>
      </c>
      <c r="CN346" s="196">
        <v>7.5</v>
      </c>
      <c r="CO346" s="77">
        <f>SUM(CK346:CN346)</f>
        <v>5.2</v>
      </c>
      <c r="CQ346" s="196">
        <v>3.2</v>
      </c>
      <c r="CR346" s="196">
        <v>-4.4000000000000004</v>
      </c>
      <c r="CS346" s="196">
        <v>4.9000000000000004</v>
      </c>
      <c r="CT346" s="196">
        <v>0.9</v>
      </c>
      <c r="CU346" s="77">
        <f>SUM(CQ346:CT346)</f>
        <v>4.6000000000000005</v>
      </c>
      <c r="CW346" s="196">
        <v>1.5</v>
      </c>
      <c r="CX346" s="196">
        <v>-3.2</v>
      </c>
      <c r="CY346" s="196">
        <v>-1.6</v>
      </c>
      <c r="CZ346" s="196">
        <v>-2</v>
      </c>
      <c r="DA346" s="77">
        <f>SUM(CW346:CZ346)</f>
        <v>-5.3000000000000007</v>
      </c>
      <c r="DC346" s="196">
        <v>3</v>
      </c>
      <c r="DD346" s="196">
        <v>-3.9</v>
      </c>
      <c r="DE346" s="196">
        <v>2</v>
      </c>
      <c r="DF346" s="196">
        <v>19.2</v>
      </c>
      <c r="DG346" s="77">
        <f>SUM(DC346:DF346)</f>
        <v>20.3</v>
      </c>
      <c r="DI346" s="196">
        <v>0.3</v>
      </c>
      <c r="DJ346" s="196">
        <v>1.2</v>
      </c>
      <c r="DK346" s="196">
        <v>8.4</v>
      </c>
      <c r="DL346" s="196">
        <v>-13</v>
      </c>
      <c r="DM346" s="77">
        <f>SUM(DI346:DL346)</f>
        <v>-3.0999999999999996</v>
      </c>
      <c r="DO346" s="196">
        <v>-1.8</v>
      </c>
      <c r="DP346" s="196">
        <v>-9.6999999999999993</v>
      </c>
      <c r="DQ346" s="196">
        <v>3.3</v>
      </c>
      <c r="DR346" s="196">
        <v>-5.8</v>
      </c>
      <c r="DS346" s="77">
        <f>SUM(DO346:DR346)</f>
        <v>-14</v>
      </c>
      <c r="DT346" s="196"/>
      <c r="DU346" s="196">
        <v>-1</v>
      </c>
      <c r="DV346" s="196">
        <v>-0.5</v>
      </c>
      <c r="DW346" s="196">
        <v>-4.2</v>
      </c>
      <c r="DX346" s="196">
        <v>12.1</v>
      </c>
      <c r="DY346" s="77">
        <f>SUM(DU346:DX346)</f>
        <v>6.3999999999999995</v>
      </c>
      <c r="EA346" s="196">
        <v>-11.8</v>
      </c>
      <c r="EB346" s="196">
        <v>-10.8</v>
      </c>
      <c r="EC346" s="196">
        <v>-6.3</v>
      </c>
      <c r="ED346" s="196">
        <v>-1.2</v>
      </c>
      <c r="EE346" s="77">
        <f>SUM(EA346:ED346)</f>
        <v>-30.1</v>
      </c>
      <c r="EG346" s="196">
        <v>2.5</v>
      </c>
      <c r="EH346" s="196">
        <v>0</v>
      </c>
      <c r="EI346" s="196">
        <v>0</v>
      </c>
      <c r="EJ346" s="196">
        <v>0</v>
      </c>
      <c r="EK346" s="77">
        <f>SUM(EG346:EJ346)</f>
        <v>2.5</v>
      </c>
      <c r="EQ346" s="198"/>
      <c r="ER346" s="198"/>
      <c r="ES346" s="198"/>
      <c r="EU346" s="114"/>
      <c r="EV346" s="77">
        <f>-1869-127473</f>
        <v>-129342</v>
      </c>
      <c r="EW346" s="77">
        <v>-69165</v>
      </c>
      <c r="EX346" s="77">
        <f>I346</f>
        <v>-9416</v>
      </c>
      <c r="EY346" s="77">
        <f>O346</f>
        <v>22910</v>
      </c>
      <c r="EZ346" s="77">
        <f>U346</f>
        <v>-12779</v>
      </c>
      <c r="FA346" s="77">
        <f>AA346</f>
        <v>-7717</v>
      </c>
      <c r="FB346" s="77">
        <f>AG346</f>
        <v>845</v>
      </c>
      <c r="FC346" s="77">
        <f>AM346</f>
        <v>1652</v>
      </c>
      <c r="FD346" s="77">
        <f>AS346</f>
        <v>4900</v>
      </c>
      <c r="FE346" s="77">
        <f>AY346</f>
        <v>4100</v>
      </c>
      <c r="FF346" s="77">
        <f>BE346</f>
        <v>-2300</v>
      </c>
      <c r="FG346" s="196">
        <f>BK346</f>
        <v>-9.6000000000000014</v>
      </c>
      <c r="FH346" s="196">
        <f>BQ346</f>
        <v>8.1999999999999993</v>
      </c>
      <c r="FI346" s="196">
        <f>BW346</f>
        <v>7.5</v>
      </c>
      <c r="FJ346" s="196">
        <f>CC346</f>
        <v>7.1</v>
      </c>
      <c r="FK346" s="196">
        <f>CI346</f>
        <v>-28.099999999999998</v>
      </c>
      <c r="FL346" s="196">
        <f>CO346</f>
        <v>5.2</v>
      </c>
      <c r="FM346" s="77">
        <f>CU346</f>
        <v>4.6000000000000005</v>
      </c>
      <c r="FN346" s="77">
        <f>DA346</f>
        <v>-5.3000000000000007</v>
      </c>
      <c r="FO346" s="77">
        <f>DG346</f>
        <v>20.3</v>
      </c>
      <c r="FP346" s="77">
        <f>DM346</f>
        <v>-3.0999999999999996</v>
      </c>
      <c r="FQ346" s="77">
        <f>DS346</f>
        <v>-14</v>
      </c>
      <c r="FR346" s="77">
        <f>DY346</f>
        <v>6.3999999999999995</v>
      </c>
      <c r="FS346" s="77">
        <f>EE346</f>
        <v>-30.1</v>
      </c>
      <c r="FT346" s="77">
        <f>EK346</f>
        <v>2.5</v>
      </c>
      <c r="FU346" s="196">
        <v>2</v>
      </c>
      <c r="FV346" s="196">
        <v>3</v>
      </c>
      <c r="FW346" s="196">
        <v>4</v>
      </c>
      <c r="FX346" s="196">
        <v>5</v>
      </c>
    </row>
    <row r="347" spans="2:184" x14ac:dyDescent="0.25">
      <c r="B347" s="74" t="s">
        <v>302</v>
      </c>
      <c r="C347" s="74"/>
      <c r="D347" s="74"/>
      <c r="E347" s="87"/>
      <c r="F347" s="87"/>
      <c r="G347" s="87"/>
      <c r="H347" s="87"/>
      <c r="I347" s="87"/>
      <c r="J347" s="74"/>
      <c r="K347" s="87"/>
      <c r="L347" s="87"/>
      <c r="M347" s="87"/>
      <c r="N347" s="87"/>
      <c r="O347" s="87"/>
      <c r="P347" s="74"/>
      <c r="Q347" s="87"/>
      <c r="R347" s="87"/>
      <c r="S347" s="87"/>
      <c r="T347" s="87"/>
      <c r="U347" s="87"/>
      <c r="W347" s="87"/>
      <c r="X347" s="87"/>
      <c r="Y347" s="87"/>
      <c r="Z347" s="87"/>
      <c r="AA347" s="87"/>
      <c r="AC347" s="87"/>
      <c r="AD347" s="87"/>
      <c r="AE347" s="87"/>
      <c r="AF347" s="87"/>
      <c r="AG347" s="87"/>
      <c r="AI347" s="87"/>
      <c r="AJ347" s="87"/>
      <c r="AK347" s="87"/>
      <c r="AL347" s="87"/>
      <c r="AM347" s="87"/>
      <c r="AO347" s="87"/>
      <c r="AP347" s="87"/>
      <c r="AQ347" s="87"/>
      <c r="AR347" s="87"/>
      <c r="AS347" s="87"/>
      <c r="AU347" s="87"/>
      <c r="AV347" s="87"/>
      <c r="AW347" s="87"/>
      <c r="AX347" s="87"/>
      <c r="AY347" s="87"/>
      <c r="BA347" s="87"/>
      <c r="BB347" s="87"/>
      <c r="BC347" s="87"/>
      <c r="BD347" s="87"/>
      <c r="BE347" s="87"/>
      <c r="BG347" s="87">
        <f>BG323+BG334+BG344+BG346</f>
        <v>12.499999999999892</v>
      </c>
      <c r="BH347" s="87">
        <f>BH323+BH334+BH344+BH346</f>
        <v>-187.80000000000004</v>
      </c>
      <c r="BI347" s="87">
        <f>BI323+BI334+BI344+BI346</f>
        <v>468.90000000000003</v>
      </c>
      <c r="BJ347" s="87">
        <f>BJ323+BJ334+BJ344+BJ346</f>
        <v>269.5000000000004</v>
      </c>
      <c r="BK347" s="87">
        <f>BK323+BK334+BK344+BK346</f>
        <v>563.10000000000014</v>
      </c>
      <c r="BM347" s="87">
        <f>BM323+BM334+BM344+BM346</f>
        <v>67.400000000000034</v>
      </c>
      <c r="BN347" s="87">
        <f>BN323+BN334+BN344+BN346</f>
        <v>-287.10000000000014</v>
      </c>
      <c r="BO347" s="87">
        <f>BO323+BO334+BO344+BO346</f>
        <v>33.800000000000026</v>
      </c>
      <c r="BP347" s="87">
        <f>BP323+BP334+BP344+BP346</f>
        <v>274.7</v>
      </c>
      <c r="BQ347" s="87">
        <f>BQ323+BQ334+BQ344+BQ346</f>
        <v>88.799999999999798</v>
      </c>
      <c r="BS347" s="87">
        <f>BS323+BS334+BS344+BS346</f>
        <v>359.00000000000006</v>
      </c>
      <c r="BT347" s="87">
        <f>BT323+BT334+BT344+BT346</f>
        <v>-283.5</v>
      </c>
      <c r="BU347" s="87">
        <f>BU323+BU334+BU344+BU346</f>
        <v>185.89999999999966</v>
      </c>
      <c r="BV347" s="87">
        <f>BV323+BV334+BV344+BV346</f>
        <v>-222.20000000000007</v>
      </c>
      <c r="BW347" s="87">
        <f>BW323+BW334+BW344+BW346</f>
        <v>39.199999999999477</v>
      </c>
      <c r="BY347" s="87">
        <f>BY323+BY334+BY344+BY346</f>
        <v>-395.30000000000024</v>
      </c>
      <c r="BZ347" s="87">
        <f>BZ323+BZ334+BZ344+BZ346</f>
        <v>-137.29999999999993</v>
      </c>
      <c r="CA347" s="87">
        <f>CA323+CA334+CA344+CA346</f>
        <v>986.9000000000002</v>
      </c>
      <c r="CB347" s="87">
        <f>CB323+CB334+CB344+CB346</f>
        <v>-155.20000000000073</v>
      </c>
      <c r="CC347" s="87">
        <f>CC323+CC334+CC344+CC346</f>
        <v>299.10000000000002</v>
      </c>
      <c r="CE347" s="87">
        <f>CE323+CE334+CE344+CE346</f>
        <v>3.7000000000000242</v>
      </c>
      <c r="CF347" s="87">
        <f>CF323+CF334+CF344+CF346</f>
        <v>-996.4000000000002</v>
      </c>
      <c r="CG347" s="87">
        <f>CG323+CG334+CG344+CG346</f>
        <v>163.39999999999998</v>
      </c>
      <c r="CH347" s="87">
        <f>CH323+CH334+CH344+CH346</f>
        <v>180.80000000000015</v>
      </c>
      <c r="CI347" s="87">
        <f>CI323+CI334+CI344+CI346</f>
        <v>-648.49999999999989</v>
      </c>
      <c r="CK347" s="87">
        <f>CK323+CK334+CK344+CK346</f>
        <v>205.79999999999993</v>
      </c>
      <c r="CL347" s="87">
        <f>CL323+CL334+CL344+CL346</f>
        <v>-139.09999999999988</v>
      </c>
      <c r="CM347" s="87">
        <f>CM323+CM334+CM344+CM346</f>
        <v>-122.50000000000028</v>
      </c>
      <c r="CN347" s="87">
        <f>CN323+CN334+CN344+CN346</f>
        <v>917.90000000000009</v>
      </c>
      <c r="CO347" s="87">
        <f>CO323+CO334+CO344+CO346</f>
        <v>862.09999999999968</v>
      </c>
      <c r="CQ347" s="87">
        <f>CQ323+CQ334+CQ344+CQ346</f>
        <v>-868.09999999999991</v>
      </c>
      <c r="CR347" s="87">
        <f>CR323+CR334+CR344+CR346</f>
        <v>-591.89999999999986</v>
      </c>
      <c r="CS347" s="87">
        <f>CS323+CS334+CS344+CS346</f>
        <v>-74.999999999999801</v>
      </c>
      <c r="CT347" s="87">
        <f>CT323+CT334+CT344+CT346</f>
        <v>1946.0999999999995</v>
      </c>
      <c r="CU347" s="87">
        <f>CU323+CU334+CU344+CU346</f>
        <v>411.0999999999998</v>
      </c>
      <c r="CW347" s="87">
        <f>CW323+CW334+CW344+CW346</f>
        <v>-808.60000000000014</v>
      </c>
      <c r="CX347" s="87">
        <f>CX323+CX334+CX344+CX346</f>
        <v>775.39999999999986</v>
      </c>
      <c r="CY347" s="87">
        <f>CY323+CY334+CY344+CY346</f>
        <v>32.400000000000169</v>
      </c>
      <c r="CZ347" s="87">
        <f>CZ323+CZ334+CZ344+CZ346</f>
        <v>2517.8000000000002</v>
      </c>
      <c r="DA347" s="87">
        <f>DA323+DA334+DA344+DA346</f>
        <v>2516.9999999999986</v>
      </c>
      <c r="DC347" s="87">
        <f>DC323+DC334+DC344+DC346</f>
        <v>-2805.6</v>
      </c>
      <c r="DD347" s="87">
        <f>DD323+DD334+DD344+DD346</f>
        <v>1942.8000000000011</v>
      </c>
      <c r="DE347" s="87">
        <f>DE323+DE334+DE344+DE346</f>
        <v>-867.89999999999964</v>
      </c>
      <c r="DF347" s="87">
        <f>DF323+DF334+DF344+DF346</f>
        <v>2633.1</v>
      </c>
      <c r="DG347" s="87">
        <f>DG323+DG334+DG344+DG346</f>
        <v>902.40000000000214</v>
      </c>
      <c r="DI347" s="87">
        <f>DI323+DI334+DI344+DI346</f>
        <v>-2627.7000000000003</v>
      </c>
      <c r="DJ347" s="87">
        <f>DJ323+DJ334+DJ344+DJ346</f>
        <v>-227.59999999999974</v>
      </c>
      <c r="DK347" s="87">
        <f>DK323+DK334+DK344+DK346</f>
        <v>-943.70000000000073</v>
      </c>
      <c r="DL347" s="87">
        <f>DL323+DL334+DL344+DL346</f>
        <v>4115.5</v>
      </c>
      <c r="DM347" s="87">
        <f>DM323+DM334+DM344+DM346</f>
        <v>316.50000000000034</v>
      </c>
      <c r="DO347" s="141">
        <f>DO323+DO334+DO344+DO346</f>
        <v>-620.79999999999905</v>
      </c>
      <c r="DP347" s="87">
        <f>DP323+DP334+DP344+DP346</f>
        <v>-306.40000000000055</v>
      </c>
      <c r="DQ347" s="87">
        <f>DQ323+DQ334+DQ344+DQ346</f>
        <v>-1365.8000000000004</v>
      </c>
      <c r="DR347" s="87">
        <f>DR323+DR334+DR344+DR346</f>
        <v>2029.2</v>
      </c>
      <c r="DS347" s="87">
        <f>DS323+DS334+DS344+DS346</f>
        <v>-263.79999999999882</v>
      </c>
      <c r="DT347" s="87"/>
      <c r="DU347" s="141">
        <f>DU323+DU334+DU344+DU346</f>
        <v>-1903.9</v>
      </c>
      <c r="DV347" s="87">
        <f>DV323+DV334+DV344+DV346</f>
        <v>-287.20000000000056</v>
      </c>
      <c r="DW347" s="87">
        <f>DW323+DW334+DW344+DW346</f>
        <v>165.7000000000001</v>
      </c>
      <c r="DX347" s="87">
        <f>DX323+DX334+DX344+DX346</f>
        <v>7756.6</v>
      </c>
      <c r="DY347" s="87">
        <f>DY323+DY334+DY344+DY346</f>
        <v>5731.199999999998</v>
      </c>
      <c r="EA347" s="141">
        <f>EA323+EA334+EA344+EA346</f>
        <v>-3637.5000000000005</v>
      </c>
      <c r="EB347" s="87">
        <f>EB323+EB334+EB344+EB346</f>
        <v>-1854.8999999999985</v>
      </c>
      <c r="EC347" s="87">
        <f>EC323+EC334+EC344+EC346</f>
        <v>-2117</v>
      </c>
      <c r="ED347" s="87">
        <f>ED323+ED334+ED344+ED346</f>
        <v>7789.5</v>
      </c>
      <c r="EE347" s="87">
        <f>EE323+EE334+EE344+EE346</f>
        <v>180.10000000000255</v>
      </c>
      <c r="EG347" s="87">
        <f>EG323+EG334+EG344+EG346</f>
        <v>-4943.1900000000005</v>
      </c>
      <c r="EH347" s="87">
        <f>EH323+EH334+EH344+EH346</f>
        <v>-4198.1707587617002</v>
      </c>
      <c r="EI347" s="87">
        <f>EI323+EI334+EI344+EI346</f>
        <v>-1634.8981269639253</v>
      </c>
      <c r="EJ347" s="87">
        <f>EJ323+EJ334+EJ344+EJ346</f>
        <v>4590.6408601471448</v>
      </c>
      <c r="EK347" s="87">
        <f>EK323+EK334+EK344+EK346</f>
        <v>-1310.5523370098172</v>
      </c>
      <c r="EQ347" s="74"/>
      <c r="ER347" s="74"/>
      <c r="ES347" s="74"/>
      <c r="EU347" s="114"/>
      <c r="EV347" s="87">
        <f t="shared" ref="EV347:FE347" si="385">EV323+EV334+EV344+EV346</f>
        <v>-190469</v>
      </c>
      <c r="EW347" s="87">
        <f t="shared" si="385"/>
        <v>463494</v>
      </c>
      <c r="EX347" s="87">
        <f t="shared" si="385"/>
        <v>247731</v>
      </c>
      <c r="EY347" s="87">
        <f t="shared" si="385"/>
        <v>736421</v>
      </c>
      <c r="EZ347" s="87">
        <f t="shared" si="385"/>
        <v>464728</v>
      </c>
      <c r="FA347" s="87">
        <f t="shared" si="385"/>
        <v>-3116056.2740000002</v>
      </c>
      <c r="FB347" s="87">
        <f t="shared" si="385"/>
        <v>-2669133.3219999997</v>
      </c>
      <c r="FC347" s="87">
        <f t="shared" si="385"/>
        <v>-1495050.9369999999</v>
      </c>
      <c r="FD347" s="87">
        <f t="shared" si="385"/>
        <v>-3558492.1</v>
      </c>
      <c r="FE347" s="87">
        <f t="shared" si="385"/>
        <v>-3570749.0000000005</v>
      </c>
      <c r="FF347" s="87">
        <f t="shared" ref="FF347:FX347" si="386">FF323+FF334+FF344+FF346</f>
        <v>-443953.7</v>
      </c>
      <c r="FG347" s="87">
        <f t="shared" si="386"/>
        <v>563.10000000000014</v>
      </c>
      <c r="FH347" s="87">
        <f t="shared" si="386"/>
        <v>88.799999999999798</v>
      </c>
      <c r="FI347" s="87">
        <f t="shared" si="386"/>
        <v>39.199999999999477</v>
      </c>
      <c r="FJ347" s="87">
        <f t="shared" si="386"/>
        <v>299.10000000000002</v>
      </c>
      <c r="FK347" s="87">
        <f t="shared" si="386"/>
        <v>-648.49999999999989</v>
      </c>
      <c r="FL347" s="87">
        <f t="shared" si="386"/>
        <v>862.09999999999968</v>
      </c>
      <c r="FM347" s="87">
        <f t="shared" si="386"/>
        <v>411.0999999999998</v>
      </c>
      <c r="FN347" s="87">
        <f t="shared" si="386"/>
        <v>2516.9999999999986</v>
      </c>
      <c r="FO347" s="87">
        <f t="shared" si="386"/>
        <v>902.40000000000214</v>
      </c>
      <c r="FP347" s="87">
        <f t="shared" si="386"/>
        <v>316.50000000000034</v>
      </c>
      <c r="FQ347" s="87">
        <f>FQ323+FQ334+FQ344+FQ346</f>
        <v>-263.79999999999882</v>
      </c>
      <c r="FR347" s="87">
        <f>FR323+FR334+FR344+FR346</f>
        <v>5731.199999999998</v>
      </c>
      <c r="FS347" s="87">
        <f t="shared" si="386"/>
        <v>180.10000000000255</v>
      </c>
      <c r="FT347" s="87">
        <f>FT323+FT334+FT344+FT346</f>
        <v>-1310.5523370098172</v>
      </c>
      <c r="FU347" s="87">
        <f t="shared" si="386"/>
        <v>-152.88352729599683</v>
      </c>
      <c r="FV347" s="87">
        <f t="shared" si="386"/>
        <v>12528.655510277515</v>
      </c>
      <c r="FW347" s="87">
        <f ca="1">FW323+FW334+FW344+FW346</f>
        <v>1844.2708174436866</v>
      </c>
      <c r="FX347" s="87">
        <f t="shared" ca="1" si="386"/>
        <v>-4284.5815208040794</v>
      </c>
    </row>
    <row r="348" spans="2:184" x14ac:dyDescent="0.25">
      <c r="B348" s="144" t="s">
        <v>301</v>
      </c>
      <c r="C348" s="74"/>
      <c r="D348" s="74"/>
      <c r="J348" s="74"/>
      <c r="P348" s="74"/>
      <c r="BG348" s="251">
        <v>-2.8421709430404007E-14</v>
      </c>
      <c r="BH348" s="251">
        <v>0</v>
      </c>
      <c r="BI348" s="251">
        <v>0</v>
      </c>
      <c r="BJ348" s="251">
        <v>0</v>
      </c>
      <c r="BK348" s="251">
        <v>0</v>
      </c>
      <c r="BM348" s="251">
        <v>0</v>
      </c>
      <c r="BN348" s="251">
        <v>0</v>
      </c>
      <c r="BO348" s="251">
        <v>0</v>
      </c>
      <c r="BP348" s="251">
        <v>0</v>
      </c>
      <c r="BQ348" s="251">
        <v>-4.5474735088646412E-13</v>
      </c>
      <c r="BS348" s="251">
        <v>0</v>
      </c>
      <c r="BT348" s="251">
        <v>0</v>
      </c>
      <c r="BU348" s="251">
        <v>0</v>
      </c>
      <c r="BV348" s="251">
        <v>0</v>
      </c>
      <c r="BW348" s="251">
        <v>9.0949470177292824E-13</v>
      </c>
      <c r="BY348" s="251">
        <v>0</v>
      </c>
      <c r="BZ348" s="251">
        <v>0</v>
      </c>
      <c r="CA348" s="251">
        <v>0</v>
      </c>
      <c r="CB348" s="251">
        <v>-149.10000000000073</v>
      </c>
      <c r="CC348" s="251">
        <v>-9.0949470177292824E-13</v>
      </c>
      <c r="CE348" s="251">
        <v>2.3980817331903381E-14</v>
      </c>
      <c r="CF348" s="251">
        <v>0</v>
      </c>
      <c r="CG348" s="251">
        <v>0</v>
      </c>
      <c r="CH348" s="251">
        <v>-0.60000000000002274</v>
      </c>
      <c r="CI348" s="251">
        <v>-0.5999999999994543</v>
      </c>
      <c r="CK348" s="251">
        <v>0</v>
      </c>
      <c r="CL348" s="251">
        <v>-2.2737367544323206E-13</v>
      </c>
      <c r="CM348" s="251">
        <v>-1.1368683772161603E-13</v>
      </c>
      <c r="CN348" s="251">
        <v>0</v>
      </c>
      <c r="CO348" s="251">
        <v>-9.0949470177292824E-13</v>
      </c>
      <c r="CQ348" s="251">
        <v>0</v>
      </c>
      <c r="CR348" s="251">
        <v>0</v>
      </c>
      <c r="CS348" s="251">
        <v>1.1368683772161603E-13</v>
      </c>
      <c r="CT348" s="251">
        <v>0</v>
      </c>
      <c r="CU348" s="251">
        <v>0</v>
      </c>
      <c r="CW348" s="251">
        <v>0</v>
      </c>
      <c r="CX348" s="251">
        <v>0</v>
      </c>
      <c r="CY348" s="251">
        <v>0</v>
      </c>
      <c r="CZ348" s="251">
        <v>0</v>
      </c>
      <c r="DA348" s="251">
        <v>0</v>
      </c>
      <c r="DC348" s="251">
        <v>0</v>
      </c>
      <c r="DD348" s="251">
        <v>0</v>
      </c>
      <c r="DE348" s="251">
        <v>0</v>
      </c>
      <c r="DF348" s="251">
        <v>0</v>
      </c>
      <c r="DG348" s="251">
        <v>0</v>
      </c>
      <c r="DI348" s="251">
        <v>0</v>
      </c>
      <c r="DJ348" s="251">
        <v>0</v>
      </c>
      <c r="DK348" s="251">
        <v>0</v>
      </c>
      <c r="DL348" s="251">
        <v>0</v>
      </c>
      <c r="DM348" s="251">
        <v>0</v>
      </c>
      <c r="DO348" s="251">
        <v>0</v>
      </c>
      <c r="DP348" s="251">
        <v>0</v>
      </c>
      <c r="DQ348" s="251">
        <v>0</v>
      </c>
      <c r="DR348" s="251">
        <v>0</v>
      </c>
      <c r="DS348" s="251">
        <v>2.2737367544323206E-12</v>
      </c>
      <c r="DT348" s="251"/>
      <c r="DU348" s="251">
        <v>0</v>
      </c>
      <c r="DV348" s="251">
        <v>0</v>
      </c>
      <c r="DW348" s="251">
        <v>-4.5474735088646412E-13</v>
      </c>
      <c r="DX348" s="251">
        <v>0</v>
      </c>
      <c r="DY348" s="251">
        <v>0</v>
      </c>
      <c r="EA348" s="251">
        <v>0</v>
      </c>
      <c r="EB348" s="251">
        <v>0</v>
      </c>
      <c r="EC348" s="251">
        <v>0</v>
      </c>
      <c r="ED348" s="251">
        <v>0</v>
      </c>
      <c r="EE348" s="251">
        <v>5.4569682106375694E-12</v>
      </c>
      <c r="EG348" s="251">
        <v>3.1100000000005821</v>
      </c>
      <c r="EH348" s="281"/>
      <c r="EI348" s="281"/>
      <c r="EJ348" s="281"/>
      <c r="EK348" s="281"/>
      <c r="EQ348" s="144"/>
      <c r="ER348" s="144"/>
      <c r="ES348" s="144"/>
      <c r="EU348" s="114"/>
      <c r="EX348" s="140">
        <f>I347</f>
        <v>0</v>
      </c>
      <c r="EY348" s="140">
        <f>O347</f>
        <v>0</v>
      </c>
      <c r="EZ348" s="140">
        <f>U347</f>
        <v>0</v>
      </c>
      <c r="FA348" s="140">
        <f>AA347</f>
        <v>0</v>
      </c>
      <c r="FB348" s="140">
        <f>AG347</f>
        <v>0</v>
      </c>
      <c r="FC348" s="140">
        <f>AM347</f>
        <v>0</v>
      </c>
      <c r="FD348" s="140">
        <f>AS347</f>
        <v>0</v>
      </c>
      <c r="FE348" s="140">
        <f>AY347</f>
        <v>0</v>
      </c>
      <c r="FF348" s="140">
        <f>BE347</f>
        <v>0</v>
      </c>
      <c r="FG348" s="251"/>
      <c r="FH348" s="251"/>
      <c r="FI348" s="251"/>
      <c r="FJ348" s="251"/>
      <c r="FK348" s="251"/>
      <c r="FL348" s="140"/>
      <c r="FM348" s="140"/>
      <c r="FN348" s="140"/>
    </row>
    <row r="349" spans="2:184" x14ac:dyDescent="0.25">
      <c r="B349" s="144"/>
      <c r="C349" s="74"/>
      <c r="D349" s="74"/>
      <c r="J349" s="74"/>
      <c r="P349" s="74"/>
      <c r="EQ349" s="144"/>
      <c r="ER349" s="144"/>
      <c r="ES349" s="144"/>
      <c r="EU349" s="114"/>
      <c r="EX349" s="140">
        <f t="shared" ref="EX349:FF349" si="387">EX348-EX347</f>
        <v>-247731</v>
      </c>
      <c r="EY349" s="140">
        <f t="shared" si="387"/>
        <v>-736421</v>
      </c>
      <c r="EZ349" s="140">
        <f t="shared" si="387"/>
        <v>-464728</v>
      </c>
      <c r="FA349" s="140">
        <f t="shared" si="387"/>
        <v>3116056.2740000002</v>
      </c>
      <c r="FB349" s="140">
        <f t="shared" si="387"/>
        <v>2669133.3219999997</v>
      </c>
      <c r="FC349" s="140">
        <f t="shared" si="387"/>
        <v>1495050.9369999999</v>
      </c>
      <c r="FD349" s="140">
        <f t="shared" si="387"/>
        <v>3558492.1</v>
      </c>
      <c r="FE349" s="140">
        <f t="shared" si="387"/>
        <v>3570749.0000000005</v>
      </c>
      <c r="FF349" s="140">
        <f t="shared" si="387"/>
        <v>443953.7</v>
      </c>
      <c r="FG349" s="140"/>
      <c r="FH349" s="140"/>
      <c r="FI349" s="140"/>
      <c r="FJ349" s="140"/>
      <c r="FK349" s="140"/>
      <c r="FL349" s="140"/>
      <c r="FM349" s="140"/>
      <c r="FN349" s="140"/>
    </row>
    <row r="350" spans="2:184" x14ac:dyDescent="0.25">
      <c r="B350" s="144"/>
      <c r="C350" s="74"/>
      <c r="D350" s="74"/>
      <c r="J350" s="74"/>
      <c r="P350" s="74"/>
      <c r="EQ350" s="144"/>
      <c r="ER350" s="144"/>
      <c r="ES350" s="144"/>
      <c r="EU350" s="114"/>
      <c r="EX350" s="140"/>
      <c r="EY350" s="140"/>
      <c r="EZ350" s="140"/>
      <c r="FA350" s="140"/>
      <c r="FB350" s="140"/>
      <c r="FC350" s="140"/>
      <c r="FD350" s="140"/>
      <c r="FE350" s="140"/>
      <c r="FF350" s="140"/>
      <c r="FG350" s="140"/>
      <c r="FH350" s="140"/>
      <c r="FI350" s="140"/>
      <c r="FJ350" s="140"/>
      <c r="FK350" s="140"/>
      <c r="FL350" s="140"/>
      <c r="FM350" s="140"/>
      <c r="FN350" s="140"/>
    </row>
    <row r="351" spans="2:184" x14ac:dyDescent="0.25">
      <c r="B351" s="198" t="s">
        <v>163</v>
      </c>
      <c r="C351" s="74"/>
      <c r="D351" s="74"/>
      <c r="E351" s="196"/>
      <c r="F351" s="196"/>
      <c r="G351" s="196"/>
      <c r="H351" s="196"/>
      <c r="I351" s="196">
        <v>1027806</v>
      </c>
      <c r="J351" s="74"/>
      <c r="K351" s="196">
        <f>H236</f>
        <v>1228130</v>
      </c>
      <c r="L351" s="196">
        <f>K352</f>
        <v>1228130</v>
      </c>
      <c r="M351" s="196">
        <f>L352</f>
        <v>1228130</v>
      </c>
      <c r="N351" s="196">
        <f>M352</f>
        <v>1228130</v>
      </c>
      <c r="O351" s="196">
        <f>K351</f>
        <v>1228130</v>
      </c>
      <c r="P351" s="74"/>
      <c r="Q351" s="196">
        <v>1904609</v>
      </c>
      <c r="R351" s="196">
        <f>Q352</f>
        <v>1904609</v>
      </c>
      <c r="S351" s="196">
        <f>R352</f>
        <v>1904609</v>
      </c>
      <c r="T351" s="196">
        <f>S352</f>
        <v>1904609</v>
      </c>
      <c r="U351" s="196">
        <f>Q351</f>
        <v>1904609</v>
      </c>
      <c r="W351" s="196">
        <f>W352-W347</f>
        <v>1463212</v>
      </c>
      <c r="X351" s="196">
        <f>W352</f>
        <v>1463212</v>
      </c>
      <c r="Y351" s="196">
        <f>X352</f>
        <v>1463212</v>
      </c>
      <c r="Z351" s="196">
        <f>Y352</f>
        <v>1463212</v>
      </c>
      <c r="AA351" s="196">
        <f>W351</f>
        <v>1463212</v>
      </c>
      <c r="AC351" s="196">
        <f>AC352-AC347</f>
        <v>1397144</v>
      </c>
      <c r="AD351" s="196">
        <f>AC352</f>
        <v>1397144</v>
      </c>
      <c r="AE351" s="196">
        <f>AD352</f>
        <v>1397144</v>
      </c>
      <c r="AF351" s="196">
        <f>AE352</f>
        <v>1397144</v>
      </c>
      <c r="AG351" s="196">
        <f>AC351</f>
        <v>1397144</v>
      </c>
      <c r="AI351" s="196">
        <f>AF352</f>
        <v>1397144</v>
      </c>
      <c r="AJ351" s="196">
        <f>AI352</f>
        <v>1397144</v>
      </c>
      <c r="AK351" s="196">
        <f>AJ352</f>
        <v>1397144</v>
      </c>
      <c r="AL351" s="196">
        <f>AK352</f>
        <v>1397144</v>
      </c>
      <c r="AM351" s="196">
        <f>AI351</f>
        <v>1397144</v>
      </c>
      <c r="AO351" s="196">
        <f>AM352</f>
        <v>1397144</v>
      </c>
      <c r="AP351" s="196">
        <f>AO352</f>
        <v>1397144</v>
      </c>
      <c r="AQ351" s="196">
        <f>AP352</f>
        <v>1397144</v>
      </c>
      <c r="AR351" s="196">
        <f>AQ352</f>
        <v>1397144</v>
      </c>
      <c r="AS351" s="196">
        <f>AO351</f>
        <v>1397144</v>
      </c>
      <c r="AU351" s="196">
        <f>AS352</f>
        <v>1397144</v>
      </c>
      <c r="AV351" s="196">
        <f>AU352</f>
        <v>1397144</v>
      </c>
      <c r="AW351" s="196">
        <f>AV352</f>
        <v>1397144</v>
      </c>
      <c r="AX351" s="196">
        <f>AW352</f>
        <v>1397144</v>
      </c>
      <c r="AY351" s="196">
        <f>AU351</f>
        <v>1397144</v>
      </c>
      <c r="BA351" s="196">
        <f>AY352</f>
        <v>1397144</v>
      </c>
      <c r="BB351" s="196">
        <f>BA352</f>
        <v>1397144</v>
      </c>
      <c r="BC351" s="196">
        <f>BB352</f>
        <v>1397144</v>
      </c>
      <c r="BD351" s="196">
        <f>BC352</f>
        <v>1397144</v>
      </c>
      <c r="BE351" s="196">
        <f>BA351</f>
        <v>1397144</v>
      </c>
      <c r="BG351" s="77">
        <v>1767.6</v>
      </c>
      <c r="BH351" s="196">
        <f>BG352</f>
        <v>1780.1</v>
      </c>
      <c r="BI351" s="196">
        <f>BH352</f>
        <v>1592.3</v>
      </c>
      <c r="BJ351" s="196">
        <f>BI352</f>
        <v>2061.1999999999998</v>
      </c>
      <c r="BK351" s="196">
        <f>BG351</f>
        <v>1767.6</v>
      </c>
      <c r="BM351" s="196">
        <f>BJ352</f>
        <v>2330.7000000000003</v>
      </c>
      <c r="BN351" s="196">
        <f>BM352</f>
        <v>2398.1000000000004</v>
      </c>
      <c r="BO351" s="196">
        <f>BN352</f>
        <v>2111</v>
      </c>
      <c r="BP351" s="196">
        <f>BO352</f>
        <v>2144.8000000000002</v>
      </c>
      <c r="BQ351" s="196">
        <f>BM351</f>
        <v>2330.7000000000003</v>
      </c>
      <c r="BS351" s="196">
        <v>2419.4870000000001</v>
      </c>
      <c r="BT351" s="196">
        <f>BS352</f>
        <v>2778.4870000000001</v>
      </c>
      <c r="BU351" s="196">
        <f>BT352</f>
        <v>2494.9870000000001</v>
      </c>
      <c r="BV351" s="196">
        <f>BU352</f>
        <v>2680.8869999999997</v>
      </c>
      <c r="BW351" s="196">
        <f>BS351</f>
        <v>2419.4870000000001</v>
      </c>
      <c r="BY351" s="196">
        <f>BV352</f>
        <v>2458.6869999999994</v>
      </c>
      <c r="BZ351" s="196">
        <f>BY352</f>
        <v>2063.3869999999993</v>
      </c>
      <c r="CA351" s="196">
        <f>BZ352</f>
        <v>1926.0869999999993</v>
      </c>
      <c r="CB351" s="196">
        <f>CA352</f>
        <v>2912.9869999999996</v>
      </c>
      <c r="CC351" s="196">
        <f>BY351</f>
        <v>2458.6869999999994</v>
      </c>
      <c r="CE351" s="196">
        <f>CC236</f>
        <v>2906.9</v>
      </c>
      <c r="CF351" s="196">
        <f>CE352</f>
        <v>2910.6</v>
      </c>
      <c r="CG351" s="196">
        <f>CF352</f>
        <v>1914.1999999999998</v>
      </c>
      <c r="CH351" s="196">
        <f>CG352</f>
        <v>2077.6</v>
      </c>
      <c r="CI351" s="196">
        <f>CE351</f>
        <v>2906.9</v>
      </c>
      <c r="CK351" s="196">
        <f>CI236</f>
        <v>2259</v>
      </c>
      <c r="CL351" s="196">
        <f>CK352</f>
        <v>2464.7999999999997</v>
      </c>
      <c r="CM351" s="196">
        <f>CL352</f>
        <v>2325.6999999999998</v>
      </c>
      <c r="CN351" s="196">
        <f>CM352</f>
        <v>2203.1999999999994</v>
      </c>
      <c r="CO351" s="196">
        <f>CK351</f>
        <v>2259</v>
      </c>
      <c r="CQ351" s="196">
        <f>CN352</f>
        <v>3121.0999999999995</v>
      </c>
      <c r="CR351" s="196">
        <f>CQ352</f>
        <v>2252.9999999999995</v>
      </c>
      <c r="CS351" s="196">
        <f>CR352</f>
        <v>1661.0999999999997</v>
      </c>
      <c r="CT351" s="196">
        <f>CS352</f>
        <v>1586.1</v>
      </c>
      <c r="CU351" s="196">
        <f>CQ351</f>
        <v>3121.0999999999995</v>
      </c>
      <c r="CW351" s="196">
        <f>CU236</f>
        <v>3532.3</v>
      </c>
      <c r="CX351" s="196">
        <f>CW352</f>
        <v>2723.7</v>
      </c>
      <c r="CY351" s="196">
        <f>CX352</f>
        <v>3499.0999999999995</v>
      </c>
      <c r="CZ351" s="196">
        <f>CY352</f>
        <v>3531.4999999999995</v>
      </c>
      <c r="DA351" s="196">
        <f>CW351</f>
        <v>3532.3</v>
      </c>
      <c r="DC351" s="196">
        <f>DA236</f>
        <v>6049.4</v>
      </c>
      <c r="DD351" s="196">
        <f>DC352</f>
        <v>3243.7999999999997</v>
      </c>
      <c r="DE351" s="196">
        <f>DD352</f>
        <v>5186.6000000000004</v>
      </c>
      <c r="DF351" s="196">
        <f>DE352</f>
        <v>4318.7000000000007</v>
      </c>
      <c r="DG351" s="196">
        <f>DC351</f>
        <v>6049.4</v>
      </c>
      <c r="DI351" s="196">
        <f>DG236</f>
        <v>6951.8</v>
      </c>
      <c r="DJ351" s="196">
        <f>DI352</f>
        <v>4324.1000000000004</v>
      </c>
      <c r="DK351" s="196">
        <f>DJ352</f>
        <v>4096.5000000000009</v>
      </c>
      <c r="DL351" s="196">
        <f>DK352</f>
        <v>3152.8</v>
      </c>
      <c r="DM351" s="196">
        <f>DI351</f>
        <v>6951.8</v>
      </c>
      <c r="DO351" s="196">
        <v>7268.5</v>
      </c>
      <c r="DP351" s="196">
        <f>DO352</f>
        <v>6647.7000000000007</v>
      </c>
      <c r="DQ351" s="196">
        <f>DP352</f>
        <v>6341.3</v>
      </c>
      <c r="DR351" s="196">
        <f>DQ352</f>
        <v>4975.5</v>
      </c>
      <c r="DS351" s="196">
        <f>DO351</f>
        <v>7268.5</v>
      </c>
      <c r="DT351" s="196"/>
      <c r="DU351" s="196">
        <f>DS236</f>
        <v>7004.7</v>
      </c>
      <c r="DV351" s="196">
        <f>DU352</f>
        <v>5100.7999999999993</v>
      </c>
      <c r="DW351" s="196">
        <f>DV352</f>
        <v>4813.5999999999985</v>
      </c>
      <c r="DX351" s="196">
        <f>DW352</f>
        <v>4979.2999999999984</v>
      </c>
      <c r="DY351" s="196">
        <f>DU351</f>
        <v>7004.7</v>
      </c>
      <c r="EA351" s="196">
        <f>DY236</f>
        <v>12735.9</v>
      </c>
      <c r="EB351" s="196">
        <f>EA352</f>
        <v>9098.4</v>
      </c>
      <c r="EC351" s="196">
        <f>EB352</f>
        <v>7243.5000000000009</v>
      </c>
      <c r="ED351" s="196">
        <f>EC352</f>
        <v>5126.5000000000009</v>
      </c>
      <c r="EE351" s="196">
        <f>EA351</f>
        <v>12735.9</v>
      </c>
      <c r="EG351" s="196">
        <f>EE236</f>
        <v>12916</v>
      </c>
      <c r="EH351" s="196">
        <f>EG352</f>
        <v>7972.8099999999995</v>
      </c>
      <c r="EI351" s="196">
        <f>EH352</f>
        <v>3774.6392412382993</v>
      </c>
      <c r="EJ351" s="196">
        <f>EI352</f>
        <v>2139.741114274374</v>
      </c>
      <c r="EK351" s="196">
        <f>EG351</f>
        <v>12916</v>
      </c>
      <c r="EQ351" s="198"/>
      <c r="ER351" s="198"/>
      <c r="ES351" s="198"/>
      <c r="EU351" s="114"/>
      <c r="EV351" s="77">
        <v>910678</v>
      </c>
      <c r="EW351" s="77">
        <f>EV352</f>
        <v>720209</v>
      </c>
      <c r="EX351" s="77">
        <f>I351</f>
        <v>1027806</v>
      </c>
      <c r="EY351" s="77">
        <f>O351</f>
        <v>1228130</v>
      </c>
      <c r="EZ351" s="77">
        <f>U351</f>
        <v>1904609</v>
      </c>
      <c r="FA351" s="77">
        <f>AA351</f>
        <v>1463212</v>
      </c>
      <c r="FB351" s="77">
        <f>AG351</f>
        <v>1397144</v>
      </c>
      <c r="FC351" s="77">
        <f>AM351</f>
        <v>1397144</v>
      </c>
      <c r="FD351" s="77">
        <f>AS351</f>
        <v>1397144</v>
      </c>
      <c r="FE351" s="77">
        <f>AY351</f>
        <v>1397144</v>
      </c>
      <c r="FF351" s="77">
        <f>BE351</f>
        <v>1397144</v>
      </c>
      <c r="FG351" s="77">
        <f>BK351</f>
        <v>1767.6</v>
      </c>
      <c r="FH351" s="77">
        <f>BQ351</f>
        <v>2330.7000000000003</v>
      </c>
      <c r="FI351" s="77">
        <f>BW351</f>
        <v>2419.4870000000001</v>
      </c>
      <c r="FJ351" s="196">
        <f>CC351</f>
        <v>2458.6869999999994</v>
      </c>
      <c r="FK351" s="196">
        <f>CI351</f>
        <v>2906.9</v>
      </c>
      <c r="FL351" s="196">
        <f>CO351</f>
        <v>2259</v>
      </c>
      <c r="FM351" s="77">
        <f>CU351</f>
        <v>3121.0999999999995</v>
      </c>
      <c r="FN351" s="77">
        <f>DA351</f>
        <v>3532.3</v>
      </c>
      <c r="FO351" s="77">
        <f>DG351</f>
        <v>6049.4</v>
      </c>
      <c r="FP351" s="77">
        <f>DM351</f>
        <v>6951.8</v>
      </c>
      <c r="FQ351" s="77">
        <f>DS351</f>
        <v>7268.5</v>
      </c>
      <c r="FR351" s="77">
        <f>DY351</f>
        <v>7004.7</v>
      </c>
      <c r="FS351" s="77">
        <f>EE351</f>
        <v>12735.9</v>
      </c>
      <c r="FT351" s="77">
        <f>EK351</f>
        <v>12916</v>
      </c>
      <c r="FU351" s="196">
        <f>FT352</f>
        <v>11605.447662990184</v>
      </c>
      <c r="FV351" s="196">
        <f>FU352</f>
        <v>11452.564135694187</v>
      </c>
      <c r="FW351" s="196">
        <f>FV352</f>
        <v>23981.219645971702</v>
      </c>
      <c r="FX351" s="196">
        <f ca="1">FW352</f>
        <v>25825.490463415386</v>
      </c>
    </row>
    <row r="352" spans="2:184" x14ac:dyDescent="0.25">
      <c r="B352" s="74" t="s">
        <v>162</v>
      </c>
      <c r="E352" s="87"/>
      <c r="F352" s="87"/>
      <c r="G352" s="87"/>
      <c r="H352" s="87"/>
      <c r="I352" s="87">
        <f>I347+I351</f>
        <v>1027806</v>
      </c>
      <c r="K352" s="87">
        <f>K347+K351</f>
        <v>1228130</v>
      </c>
      <c r="L352" s="87">
        <f>L347+L351</f>
        <v>1228130</v>
      </c>
      <c r="M352" s="87">
        <f>M347+M351</f>
        <v>1228130</v>
      </c>
      <c r="N352" s="87">
        <f>N347+N351</f>
        <v>1228130</v>
      </c>
      <c r="O352" s="87">
        <f>O347+O351</f>
        <v>1228130</v>
      </c>
      <c r="Q352" s="87">
        <f>Q347+Q351</f>
        <v>1904609</v>
      </c>
      <c r="R352" s="87">
        <f>R347+R351</f>
        <v>1904609</v>
      </c>
      <c r="S352" s="87">
        <f>S347+S351</f>
        <v>1904609</v>
      </c>
      <c r="T352" s="87">
        <f>T347+T351</f>
        <v>1904609</v>
      </c>
      <c r="U352" s="87">
        <f>U347+U351</f>
        <v>1904609</v>
      </c>
      <c r="W352" s="87">
        <f>W236</f>
        <v>1463212</v>
      </c>
      <c r="X352" s="87">
        <f>X347+X351</f>
        <v>1463212</v>
      </c>
      <c r="Y352" s="87">
        <f>Y347+Y351</f>
        <v>1463212</v>
      </c>
      <c r="Z352" s="87">
        <f>Z347+Z351</f>
        <v>1463212</v>
      </c>
      <c r="AA352" s="87">
        <f>AA347+AA351</f>
        <v>1463212</v>
      </c>
      <c r="AC352" s="87">
        <f>AC236</f>
        <v>1397144</v>
      </c>
      <c r="AD352" s="87">
        <f>AD347+AD351</f>
        <v>1397144</v>
      </c>
      <c r="AE352" s="87">
        <f>AE347+AE351</f>
        <v>1397144</v>
      </c>
      <c r="AF352" s="87">
        <f>AF347+AF351</f>
        <v>1397144</v>
      </c>
      <c r="AG352" s="87">
        <f>AG347+AG351</f>
        <v>1397144</v>
      </c>
      <c r="AI352" s="87">
        <f>AI347+AI351</f>
        <v>1397144</v>
      </c>
      <c r="AJ352" s="87">
        <f>AJ347+AJ351</f>
        <v>1397144</v>
      </c>
      <c r="AK352" s="87">
        <f>AK347+AK351</f>
        <v>1397144</v>
      </c>
      <c r="AL352" s="87">
        <f>AL347+AL351</f>
        <v>1397144</v>
      </c>
      <c r="AM352" s="87">
        <f>AM347+AM351</f>
        <v>1397144</v>
      </c>
      <c r="AO352" s="87">
        <f>AO347+AO351</f>
        <v>1397144</v>
      </c>
      <c r="AP352" s="87">
        <f>AP347+AP351</f>
        <v>1397144</v>
      </c>
      <c r="AQ352" s="87">
        <f>AQ347+AQ351</f>
        <v>1397144</v>
      </c>
      <c r="AR352" s="87">
        <f>AR347+AR351</f>
        <v>1397144</v>
      </c>
      <c r="AS352" s="87">
        <f>AS347+AS351</f>
        <v>1397144</v>
      </c>
      <c r="AU352" s="87">
        <f>AU347+AU351</f>
        <v>1397144</v>
      </c>
      <c r="AV352" s="87">
        <f>AV347+AV351</f>
        <v>1397144</v>
      </c>
      <c r="AW352" s="87">
        <f>AW347+AW351</f>
        <v>1397144</v>
      </c>
      <c r="AX352" s="87">
        <f>AX347+AX351</f>
        <v>1397144</v>
      </c>
      <c r="AY352" s="87">
        <f>AY347+AY351</f>
        <v>1397144</v>
      </c>
      <c r="BA352" s="87">
        <f>BA347+BA351</f>
        <v>1397144</v>
      </c>
      <c r="BB352" s="87">
        <f>BB347+BB351</f>
        <v>1397144</v>
      </c>
      <c r="BC352" s="87">
        <f>BC347+BC351</f>
        <v>1397144</v>
      </c>
      <c r="BD352" s="87">
        <f>BD347+BD351</f>
        <v>1397144</v>
      </c>
      <c r="BE352" s="87">
        <f>BE347+BE351</f>
        <v>1397144</v>
      </c>
      <c r="BG352" s="87">
        <f>BG347+BG351</f>
        <v>1780.1</v>
      </c>
      <c r="BH352" s="87">
        <f>BH347+BH351</f>
        <v>1592.3</v>
      </c>
      <c r="BI352" s="87">
        <f>BI347+BI351</f>
        <v>2061.1999999999998</v>
      </c>
      <c r="BJ352" s="87">
        <f>BJ347+BJ351</f>
        <v>2330.7000000000003</v>
      </c>
      <c r="BK352" s="87">
        <f>BK347+BK351</f>
        <v>2330.6999999999998</v>
      </c>
      <c r="BM352" s="87">
        <f>BM347+BM351</f>
        <v>2398.1000000000004</v>
      </c>
      <c r="BN352" s="87">
        <f>BN347+BN351</f>
        <v>2111</v>
      </c>
      <c r="BO352" s="87">
        <f>BO347+BO351</f>
        <v>2144.8000000000002</v>
      </c>
      <c r="BP352" s="87">
        <f>BP347+BP351</f>
        <v>2419.5</v>
      </c>
      <c r="BQ352" s="87">
        <f>BQ347+BQ351</f>
        <v>2419.5</v>
      </c>
      <c r="BS352" s="87">
        <f>BS347+BS351</f>
        <v>2778.4870000000001</v>
      </c>
      <c r="BT352" s="87">
        <f>BT347+BT351</f>
        <v>2494.9870000000001</v>
      </c>
      <c r="BU352" s="87">
        <f>BU347+BU351</f>
        <v>2680.8869999999997</v>
      </c>
      <c r="BV352" s="87">
        <f>BV347+BV351</f>
        <v>2458.6869999999994</v>
      </c>
      <c r="BW352" s="87">
        <f>BW347+BW351</f>
        <v>2458.6869999999994</v>
      </c>
      <c r="BY352" s="87">
        <f>BY347+BY351</f>
        <v>2063.3869999999993</v>
      </c>
      <c r="BZ352" s="87">
        <f>BZ347+BZ351</f>
        <v>1926.0869999999993</v>
      </c>
      <c r="CA352" s="87">
        <f>CA347+CA351</f>
        <v>2912.9869999999996</v>
      </c>
      <c r="CB352" s="87">
        <f>CB347+CB351</f>
        <v>2757.7869999999989</v>
      </c>
      <c r="CC352" s="87">
        <f>CC347+CC351</f>
        <v>2757.7869999999994</v>
      </c>
      <c r="CE352" s="87">
        <f>CE347+CE351</f>
        <v>2910.6</v>
      </c>
      <c r="CF352" s="87">
        <f>CF347+CF351</f>
        <v>1914.1999999999998</v>
      </c>
      <c r="CG352" s="87">
        <f>CG347+CG351</f>
        <v>2077.6</v>
      </c>
      <c r="CH352" s="87">
        <f>CH347+CH351</f>
        <v>2258.4</v>
      </c>
      <c r="CI352" s="87">
        <f>CI347+CI351</f>
        <v>2258.4</v>
      </c>
      <c r="CK352" s="87">
        <f>CK347+CK351</f>
        <v>2464.7999999999997</v>
      </c>
      <c r="CL352" s="87">
        <f>CL347+CL351</f>
        <v>2325.6999999999998</v>
      </c>
      <c r="CM352" s="87">
        <f>CM347+CM351</f>
        <v>2203.1999999999994</v>
      </c>
      <c r="CN352" s="87">
        <f>CN347+CN351</f>
        <v>3121.0999999999995</v>
      </c>
      <c r="CO352" s="87">
        <f>CO347+CO351</f>
        <v>3121.0999999999995</v>
      </c>
      <c r="CQ352" s="87">
        <f>CQ347+CQ351</f>
        <v>2252.9999999999995</v>
      </c>
      <c r="CR352" s="87">
        <f>CR347+CR351</f>
        <v>1661.0999999999997</v>
      </c>
      <c r="CS352" s="87">
        <f>CS347+CS351</f>
        <v>1586.1</v>
      </c>
      <c r="CT352" s="87">
        <f>CT347+CT351</f>
        <v>3532.1999999999994</v>
      </c>
      <c r="CU352" s="87">
        <f>CU347+CU351</f>
        <v>3532.1999999999994</v>
      </c>
      <c r="CW352" s="87">
        <f>CW347+CW351</f>
        <v>2723.7</v>
      </c>
      <c r="CX352" s="87">
        <f>CX347+CX351</f>
        <v>3499.0999999999995</v>
      </c>
      <c r="CY352" s="87">
        <f>CY347+CY351</f>
        <v>3531.4999999999995</v>
      </c>
      <c r="CZ352" s="87">
        <f>CZ347+CZ351</f>
        <v>6049.2999999999993</v>
      </c>
      <c r="DA352" s="87">
        <f>DA347+DA351</f>
        <v>6049.2999999999993</v>
      </c>
      <c r="DC352" s="87">
        <f>DC347+DC351</f>
        <v>3243.7999999999997</v>
      </c>
      <c r="DD352" s="87">
        <f>DD347+DD351</f>
        <v>5186.6000000000004</v>
      </c>
      <c r="DE352" s="87">
        <f>DE347+DE351</f>
        <v>4318.7000000000007</v>
      </c>
      <c r="DF352" s="87">
        <f>DF347+DF351</f>
        <v>6951.8000000000011</v>
      </c>
      <c r="DG352" s="87">
        <f>DG347+DG351</f>
        <v>6951.800000000002</v>
      </c>
      <c r="DI352" s="87">
        <f>DI347+DI351</f>
        <v>4324.1000000000004</v>
      </c>
      <c r="DJ352" s="87">
        <f>DJ347+DJ351</f>
        <v>4096.5000000000009</v>
      </c>
      <c r="DK352" s="87">
        <f>DK347+DK351</f>
        <v>3152.8</v>
      </c>
      <c r="DL352" s="87">
        <f>DL347+DL351</f>
        <v>7268.3</v>
      </c>
      <c r="DM352" s="87">
        <f>DM347+DM351</f>
        <v>7268.3</v>
      </c>
      <c r="DO352" s="87">
        <f>DO347+DO351</f>
        <v>6647.7000000000007</v>
      </c>
      <c r="DP352" s="87">
        <f>DP347+DP351</f>
        <v>6341.3</v>
      </c>
      <c r="DQ352" s="87">
        <f>DQ347+DQ351</f>
        <v>4975.5</v>
      </c>
      <c r="DR352" s="87">
        <f>DR347+DR351</f>
        <v>7004.7</v>
      </c>
      <c r="DS352" s="87">
        <f>DS347+DS351</f>
        <v>7004.7000000000007</v>
      </c>
      <c r="DT352" s="87"/>
      <c r="DU352" s="87">
        <f>DU347+DU351</f>
        <v>5100.7999999999993</v>
      </c>
      <c r="DV352" s="87">
        <f>DV347+DV351</f>
        <v>4813.5999999999985</v>
      </c>
      <c r="DW352" s="87">
        <f>DW347+DW351</f>
        <v>4979.2999999999984</v>
      </c>
      <c r="DX352" s="87">
        <f>DX347+DX351</f>
        <v>12735.899999999998</v>
      </c>
      <c r="DY352" s="87">
        <f>DY347+DY351</f>
        <v>12735.899999999998</v>
      </c>
      <c r="EA352" s="87">
        <f>EA347+EA351</f>
        <v>9098.4</v>
      </c>
      <c r="EB352" s="87">
        <f>EB347+EB351</f>
        <v>7243.5000000000009</v>
      </c>
      <c r="EC352" s="87">
        <f>EC347+EC351</f>
        <v>5126.5000000000009</v>
      </c>
      <c r="ED352" s="87">
        <f>ED347+ED351</f>
        <v>12916</v>
      </c>
      <c r="EE352" s="87">
        <f>EE347+EE351</f>
        <v>12916.000000000002</v>
      </c>
      <c r="EG352" s="87">
        <f>EG347+EG351</f>
        <v>7972.8099999999995</v>
      </c>
      <c r="EH352" s="87">
        <f>EH347+EH351</f>
        <v>3774.6392412382993</v>
      </c>
      <c r="EI352" s="87">
        <f>EI347+EI351</f>
        <v>2139.741114274374</v>
      </c>
      <c r="EJ352" s="87">
        <f>EJ347+EJ351</f>
        <v>6730.3819744215189</v>
      </c>
      <c r="EK352" s="87">
        <f>EK347+EK351</f>
        <v>11605.447662990184</v>
      </c>
      <c r="EQ352" s="74"/>
      <c r="ET352" s="74"/>
      <c r="EU352" s="114"/>
      <c r="EV352" s="77">
        <f t="shared" ref="EV352:FF352" si="388">EV347+EV351</f>
        <v>720209</v>
      </c>
      <c r="EW352" s="77">
        <f t="shared" si="388"/>
        <v>1183703</v>
      </c>
      <c r="EX352" s="87">
        <f t="shared" si="388"/>
        <v>1275537</v>
      </c>
      <c r="EY352" s="87">
        <f t="shared" si="388"/>
        <v>1964551</v>
      </c>
      <c r="EZ352" s="87">
        <f t="shared" si="388"/>
        <v>2369337</v>
      </c>
      <c r="FA352" s="87">
        <f t="shared" si="388"/>
        <v>-1652844.2740000002</v>
      </c>
      <c r="FB352" s="87">
        <f t="shared" si="388"/>
        <v>-1271989.3219999997</v>
      </c>
      <c r="FC352" s="87">
        <f t="shared" si="388"/>
        <v>-97906.936999999918</v>
      </c>
      <c r="FD352" s="87">
        <f t="shared" si="388"/>
        <v>-2161348.1</v>
      </c>
      <c r="FE352" s="87">
        <f t="shared" si="388"/>
        <v>-2173605.0000000005</v>
      </c>
      <c r="FF352" s="87">
        <f t="shared" si="388"/>
        <v>953190.3</v>
      </c>
      <c r="FG352" s="87">
        <f>FG347+FG351</f>
        <v>2330.6999999999998</v>
      </c>
      <c r="FH352" s="87">
        <f t="shared" ref="FH352:FO352" si="389">FH347+FH351</f>
        <v>2419.5</v>
      </c>
      <c r="FI352" s="87">
        <f t="shared" si="389"/>
        <v>2458.6869999999994</v>
      </c>
      <c r="FJ352" s="87">
        <f t="shared" si="389"/>
        <v>2757.7869999999994</v>
      </c>
      <c r="FK352" s="87">
        <f t="shared" si="389"/>
        <v>2258.4</v>
      </c>
      <c r="FL352" s="87">
        <f t="shared" si="389"/>
        <v>3121.0999999999995</v>
      </c>
      <c r="FM352" s="87">
        <f t="shared" si="389"/>
        <v>3532.1999999999994</v>
      </c>
      <c r="FN352" s="87">
        <f t="shared" si="389"/>
        <v>6049.2999999999993</v>
      </c>
      <c r="FO352" s="87">
        <f t="shared" si="389"/>
        <v>6951.800000000002</v>
      </c>
      <c r="FP352" s="87">
        <f t="shared" ref="FP352:FX352" si="390">FP347+FP351</f>
        <v>7268.3</v>
      </c>
      <c r="FQ352" s="87">
        <f>FQ347+FQ351</f>
        <v>7004.7000000000007</v>
      </c>
      <c r="FR352" s="87">
        <f>FR347+FR351</f>
        <v>12735.899999999998</v>
      </c>
      <c r="FS352" s="87">
        <f t="shared" si="390"/>
        <v>12916.000000000002</v>
      </c>
      <c r="FT352" s="87">
        <f>FT347+FT351</f>
        <v>11605.447662990184</v>
      </c>
      <c r="FU352" s="87">
        <f t="shared" si="390"/>
        <v>11452.564135694187</v>
      </c>
      <c r="FV352" s="87">
        <f t="shared" si="390"/>
        <v>23981.219645971702</v>
      </c>
      <c r="FW352" s="87">
        <f ca="1">FW347+FW351</f>
        <v>25825.490463415386</v>
      </c>
      <c r="FX352" s="87">
        <f t="shared" ca="1" si="390"/>
        <v>21540.908942611306</v>
      </c>
    </row>
    <row r="353" spans="1:180" x14ac:dyDescent="0.25">
      <c r="C353" s="74"/>
      <c r="D353" s="74"/>
      <c r="J353" s="74"/>
      <c r="K353" s="74"/>
      <c r="L353" s="74"/>
      <c r="BG353" s="251">
        <f>BG352-BG236</f>
        <v>0</v>
      </c>
      <c r="BH353" s="251">
        <f>BH352-BH236</f>
        <v>0</v>
      </c>
      <c r="BI353" s="251">
        <f>BI352-BI236</f>
        <v>0</v>
      </c>
      <c r="BJ353" s="251">
        <f>BJ352-BJ236</f>
        <v>0</v>
      </c>
      <c r="BK353" s="251">
        <f>BK352-BK236</f>
        <v>0</v>
      </c>
      <c r="BM353" s="251">
        <f>BM352-BM236</f>
        <v>0</v>
      </c>
      <c r="BN353" s="251">
        <f>BN352-BN236</f>
        <v>0</v>
      </c>
      <c r="BO353" s="251">
        <f>BO352-BO236</f>
        <v>0</v>
      </c>
      <c r="BP353" s="251">
        <f>BP352-BP236</f>
        <v>0</v>
      </c>
      <c r="BQ353" s="251">
        <f>BQ352-BQ236</f>
        <v>0</v>
      </c>
      <c r="BS353" s="251">
        <f>BS352-BS236</f>
        <v>-1.2999999999919964E-2</v>
      </c>
      <c r="BT353" s="251">
        <f>BT352-BT236</f>
        <v>-1.2999999999919964E-2</v>
      </c>
      <c r="BU353" s="251">
        <f>BU352-BU236</f>
        <v>-1.3000000000374712E-2</v>
      </c>
      <c r="BV353" s="251">
        <f>BV352-BV236</f>
        <v>-1.3000000000374712E-2</v>
      </c>
      <c r="BW353" s="251">
        <f>BW352-BW236</f>
        <v>-1.3000000000374712E-2</v>
      </c>
      <c r="BY353" s="251">
        <f>BY352-BY236</f>
        <v>-1.3000000000829459E-2</v>
      </c>
      <c r="BZ353" s="251">
        <f>BZ352-BZ236</f>
        <v>-1.3000000000602085E-2</v>
      </c>
      <c r="CA353" s="251">
        <f>CA352-CA236</f>
        <v>-1.3000000000374712E-2</v>
      </c>
      <c r="CB353" s="251">
        <f>CB352-CB236</f>
        <v>-149.11300000000119</v>
      </c>
      <c r="CC353" s="251">
        <f>CC352-CC236</f>
        <v>-149.11300000000074</v>
      </c>
      <c r="CE353" s="251">
        <f>CE352-CE236</f>
        <v>0</v>
      </c>
      <c r="CF353" s="251">
        <f>CF352-CF236</f>
        <v>0</v>
      </c>
      <c r="CG353" s="251">
        <f>CG352-CG236</f>
        <v>0</v>
      </c>
      <c r="CH353" s="251">
        <f>CH352-CH236</f>
        <v>-0.59999999999990905</v>
      </c>
      <c r="CI353" s="251">
        <f>CI352-CI236</f>
        <v>-0.59999999999990905</v>
      </c>
      <c r="CK353" s="251">
        <f>CK352-CK236</f>
        <v>0</v>
      </c>
      <c r="CL353" s="251">
        <f>CL352-CL236</f>
        <v>0</v>
      </c>
      <c r="CM353" s="251">
        <f>CM352-CM236</f>
        <v>0</v>
      </c>
      <c r="CN353" s="251">
        <f>CN352-CN236</f>
        <v>0</v>
      </c>
      <c r="CO353" s="251">
        <f>CO352-CO236</f>
        <v>0</v>
      </c>
      <c r="CQ353" s="251">
        <f>CQ352-CQ236</f>
        <v>0</v>
      </c>
      <c r="CR353" s="251">
        <f>CR352-CR236</f>
        <v>0</v>
      </c>
      <c r="CS353" s="251">
        <f>CS352-CS236</f>
        <v>0</v>
      </c>
      <c r="CT353" s="251">
        <f>CT352-CT236</f>
        <v>-0.10000000000081855</v>
      </c>
      <c r="CU353" s="251">
        <f>CU352-CU236</f>
        <v>-0.10000000000081855</v>
      </c>
      <c r="CW353" s="251">
        <f>CW352-CW236</f>
        <v>0</v>
      </c>
      <c r="CX353" s="251">
        <f>CX352-CX236</f>
        <v>0</v>
      </c>
      <c r="CY353" s="251">
        <f>CY352-CY236</f>
        <v>0</v>
      </c>
      <c r="CZ353" s="251">
        <f>CZ352-CZ236</f>
        <v>-0.1000000000003638</v>
      </c>
      <c r="DA353" s="251">
        <f>DA352-DA236</f>
        <v>-0.1000000000003638</v>
      </c>
      <c r="DC353" s="251">
        <f>DC352-DC236</f>
        <v>0</v>
      </c>
      <c r="DD353" s="251">
        <f>DD352-DD236</f>
        <v>0</v>
      </c>
      <c r="DE353" s="251">
        <f>DE352-DE236</f>
        <v>0</v>
      </c>
      <c r="DF353" s="251">
        <f>DF352-DF236</f>
        <v>0</v>
      </c>
      <c r="DG353" s="251">
        <f>DG352-DG236</f>
        <v>0</v>
      </c>
      <c r="DI353" s="251">
        <f>DI352-DI236</f>
        <v>0</v>
      </c>
      <c r="DJ353" s="251">
        <f>DJ352-DJ236</f>
        <v>0</v>
      </c>
      <c r="DK353" s="251">
        <f>DK352-DK236</f>
        <v>0</v>
      </c>
      <c r="DL353" s="251">
        <f>DL352-DL236</f>
        <v>0</v>
      </c>
      <c r="DM353" s="251">
        <f>DM352-DM236</f>
        <v>0</v>
      </c>
      <c r="DO353" s="251">
        <f>DO352-DO236</f>
        <v>0</v>
      </c>
      <c r="DP353" s="251">
        <f>DP352-DP236</f>
        <v>0</v>
      </c>
      <c r="DQ353" s="251">
        <f>DQ352-DQ236</f>
        <v>0</v>
      </c>
      <c r="DR353" s="251">
        <f>DR352-DR236</f>
        <v>0</v>
      </c>
      <c r="DS353" s="251">
        <f>DS352-DS236</f>
        <v>0</v>
      </c>
      <c r="DT353" s="251"/>
      <c r="DU353" s="251">
        <f>DU352-DU236</f>
        <v>0</v>
      </c>
      <c r="DV353" s="251">
        <f>DV352-DV236</f>
        <v>0</v>
      </c>
      <c r="DW353" s="251">
        <f>DW352-DW236</f>
        <v>0</v>
      </c>
      <c r="DX353" s="251">
        <f>DX352-DX236</f>
        <v>0</v>
      </c>
      <c r="DY353" s="251">
        <f>DY352-DY236</f>
        <v>0</v>
      </c>
      <c r="EA353" s="251">
        <f>EA352-EA236</f>
        <v>0</v>
      </c>
      <c r="EB353" s="251">
        <f>EB352-EB236</f>
        <v>0</v>
      </c>
      <c r="EC353" s="251">
        <f>EC352-EC236</f>
        <v>0</v>
      </c>
      <c r="ED353" s="251">
        <f>ED352-ED236</f>
        <v>0</v>
      </c>
      <c r="EE353" s="251">
        <f>EE352-EE236</f>
        <v>0</v>
      </c>
      <c r="EG353" s="251">
        <f>EG352-EG236</f>
        <v>0</v>
      </c>
      <c r="EH353" s="251">
        <f>EH352-EH236</f>
        <v>0</v>
      </c>
      <c r="EI353" s="251">
        <f>EI352-EI236</f>
        <v>0</v>
      </c>
      <c r="EJ353" s="251">
        <f>EJ352-EJ236</f>
        <v>0</v>
      </c>
      <c r="EK353" s="251">
        <f>EK352-EK236</f>
        <v>4875.0656885686649</v>
      </c>
      <c r="EQ353" s="198"/>
      <c r="ER353" s="198"/>
      <c r="ES353" s="198"/>
      <c r="EU353" s="114"/>
      <c r="EV353" s="77"/>
      <c r="EW353" s="77"/>
      <c r="EX353" s="88"/>
      <c r="FR353" s="251">
        <f t="shared" ref="FR353:FX353" si="391">FR352-FR236</f>
        <v>0</v>
      </c>
      <c r="FS353" s="251">
        <f t="shared" si="391"/>
        <v>0</v>
      </c>
      <c r="FT353" s="251">
        <f t="shared" si="391"/>
        <v>4875.0656885686649</v>
      </c>
      <c r="FU353" s="251">
        <f t="shared" si="391"/>
        <v>0</v>
      </c>
      <c r="FV353" s="251">
        <f t="shared" si="391"/>
        <v>0</v>
      </c>
      <c r="FW353" s="251">
        <f t="shared" ca="1" si="391"/>
        <v>0</v>
      </c>
      <c r="FX353" s="251">
        <f t="shared" ca="1" si="391"/>
        <v>0</v>
      </c>
    </row>
    <row r="354" spans="1:180" x14ac:dyDescent="0.25">
      <c r="J354" s="74"/>
      <c r="K354" s="74"/>
      <c r="L354" s="74"/>
      <c r="AC354" s="88"/>
    </row>
    <row r="355" spans="1:180" x14ac:dyDescent="0.25">
      <c r="J355" s="74"/>
      <c r="K355" s="74"/>
      <c r="L355" s="74"/>
      <c r="AC355" s="88"/>
    </row>
    <row r="356" spans="1:180" x14ac:dyDescent="0.25">
      <c r="J356" s="74"/>
      <c r="K356" s="74"/>
      <c r="L356" s="74"/>
      <c r="AC356" s="88"/>
    </row>
    <row r="357" spans="1:180" x14ac:dyDescent="0.25">
      <c r="B357" s="103" t="s">
        <v>300</v>
      </c>
      <c r="C357" s="74"/>
      <c r="D357" s="74"/>
      <c r="E357" s="74"/>
      <c r="F357" s="74"/>
      <c r="G357" s="74"/>
      <c r="H357" s="74"/>
      <c r="I357" s="74"/>
      <c r="J357" s="74"/>
      <c r="K357" s="87"/>
      <c r="L357" s="87"/>
      <c r="M357" s="87"/>
      <c r="N357" s="87"/>
      <c r="O357" s="87"/>
      <c r="P357" s="74"/>
      <c r="Q357" s="87"/>
      <c r="R357" s="87"/>
      <c r="S357" s="87"/>
      <c r="T357" s="87"/>
      <c r="U357" s="87"/>
      <c r="V357" s="74"/>
      <c r="W357" s="87"/>
      <c r="X357" s="87"/>
      <c r="Y357" s="87"/>
      <c r="Z357" s="87"/>
      <c r="AA357" s="87"/>
      <c r="AB357" s="74"/>
      <c r="AC357" s="87"/>
      <c r="AD357" s="87"/>
      <c r="AE357" s="87"/>
      <c r="AF357" s="87"/>
      <c r="AG357" s="87"/>
      <c r="AH357" s="74"/>
      <c r="AI357" s="87"/>
      <c r="AJ357" s="87"/>
      <c r="AK357" s="87"/>
      <c r="AL357" s="87"/>
      <c r="AM357" s="87"/>
      <c r="AN357" s="74"/>
      <c r="AO357" s="87"/>
      <c r="AP357" s="87"/>
      <c r="AQ357" s="87"/>
      <c r="AR357" s="87"/>
      <c r="AS357" s="87"/>
      <c r="AT357" s="74"/>
      <c r="AU357" s="87"/>
      <c r="AV357" s="87"/>
      <c r="AW357" s="87"/>
      <c r="AX357" s="87"/>
      <c r="AY357" s="87"/>
      <c r="AZ357" s="74"/>
      <c r="BA357" s="87"/>
      <c r="BB357" s="87"/>
      <c r="BC357" s="87"/>
      <c r="BD357" s="87"/>
      <c r="BE357" s="87"/>
      <c r="BF357" s="74"/>
      <c r="BG357" s="87">
        <f>BG323+BG325+BG326</f>
        <v>-87.600000000000094</v>
      </c>
      <c r="BH357" s="87">
        <f>BH323+BH325+BH326</f>
        <v>430.79999999999995</v>
      </c>
      <c r="BI357" s="87">
        <f>BI323+BI325+BI326</f>
        <v>52.100000000000122</v>
      </c>
      <c r="BJ357" s="87">
        <f>BJ323+BJ325+BJ326</f>
        <v>444.10000000000042</v>
      </c>
      <c r="BK357" s="87">
        <f>BK323+BK325+BK326</f>
        <v>839.40000000000032</v>
      </c>
      <c r="BL357" s="74"/>
      <c r="BM357" s="87">
        <f>BM323+BM325+BM326</f>
        <v>127.90000000000003</v>
      </c>
      <c r="BN357" s="87">
        <f>BN323+BN325+BN326</f>
        <v>124.69999999999986</v>
      </c>
      <c r="BO357" s="87">
        <f>BO323+BO325+BO326</f>
        <v>130</v>
      </c>
      <c r="BP357" s="87">
        <f>BP323+BP325+BP326</f>
        <v>281.29999999999995</v>
      </c>
      <c r="BQ357" s="87">
        <f>BQ323+BQ325+BQ326</f>
        <v>663.89999999999986</v>
      </c>
      <c r="BR357" s="74"/>
      <c r="BS357" s="87">
        <f>BS323+BS325+BS326</f>
        <v>250.50000000000006</v>
      </c>
      <c r="BT357" s="87">
        <f>BT323+BT325+BT326</f>
        <v>204.59999999999991</v>
      </c>
      <c r="BU357" s="87">
        <f>BU323+BU325+BU326</f>
        <v>333.29999999999967</v>
      </c>
      <c r="BV357" s="87">
        <f>BV323+BV325+BV326</f>
        <v>864.19999999999982</v>
      </c>
      <c r="BW357" s="87">
        <f>BW323+BW325+BW326</f>
        <v>1652.5999999999997</v>
      </c>
      <c r="BY357" s="87">
        <f>BY323+BY325+BY326</f>
        <v>-64.600000000000236</v>
      </c>
      <c r="BZ357" s="87">
        <f>BZ323+BZ325+BZ326</f>
        <v>380.90000000000003</v>
      </c>
      <c r="CA357" s="87">
        <f>CA323+CA325+CA326</f>
        <v>-71.599999999999923</v>
      </c>
      <c r="CB357" s="87">
        <f>CB323+CB325+CB326</f>
        <v>946.89999999999986</v>
      </c>
      <c r="CC357" s="87">
        <f>CC323+CC325+CC326</f>
        <v>1191.5999999999995</v>
      </c>
      <c r="CE357" s="87">
        <f>CE323+CE325+CE326</f>
        <v>-212.19999999999996</v>
      </c>
      <c r="CF357" s="87">
        <f>CF323+CF325+CF326</f>
        <v>468.99999999999994</v>
      </c>
      <c r="CG357" s="87">
        <f>CG323+CG325+CG326</f>
        <v>302.2</v>
      </c>
      <c r="CH357" s="87">
        <f>CH323+CH325+CH326</f>
        <v>901.30000000000018</v>
      </c>
      <c r="CI357" s="87">
        <f>CI323+CI325+CI326</f>
        <v>1460.3</v>
      </c>
      <c r="CK357" s="87">
        <f>CK323+CK325+CK326</f>
        <v>49.799999999999919</v>
      </c>
      <c r="CL357" s="87">
        <f>CL323+CL325+CL326</f>
        <v>619.1</v>
      </c>
      <c r="CM357" s="87">
        <f>CM323+CM325+CM326</f>
        <v>352.39999999999969</v>
      </c>
      <c r="CN357" s="87">
        <f>CN323+CN325+CN326</f>
        <v>1441.9</v>
      </c>
      <c r="CO357" s="87">
        <f>CO323+CO325+CO326</f>
        <v>2463.1999999999994</v>
      </c>
      <c r="CQ357" s="87">
        <f>CQ323+CQ325+CQ326</f>
        <v>-714.5</v>
      </c>
      <c r="CR357" s="87">
        <f>CR323+CR325+CR326</f>
        <v>-40.499999999999901</v>
      </c>
      <c r="CS357" s="87">
        <f>CS323+CS325+CS326</f>
        <v>-127.59999999999981</v>
      </c>
      <c r="CT357" s="87">
        <f>CT323+CT325+CT326</f>
        <v>3272.9999999999995</v>
      </c>
      <c r="CU357" s="87">
        <f>CU323+CU325+CU326</f>
        <v>2390.3999999999996</v>
      </c>
      <c r="CW357" s="87">
        <f>CW323+CW325+CW326</f>
        <v>-848.10000000000014</v>
      </c>
      <c r="CX357" s="87">
        <f>CX323+CX325+CX326</f>
        <v>140.09999999999988</v>
      </c>
      <c r="CY357" s="87">
        <f>CY323+CY325+CY326</f>
        <v>-30.499999999999865</v>
      </c>
      <c r="CZ357" s="87">
        <f>CZ323+CZ325+CZ326</f>
        <v>4365.2000000000007</v>
      </c>
      <c r="DA357" s="87">
        <f>DA323+DA325+DA326</f>
        <v>3626.6999999999989</v>
      </c>
      <c r="DC357" s="87">
        <f>DC323+DC325+DC326</f>
        <v>-1139.0000000000005</v>
      </c>
      <c r="DD357" s="87">
        <f>DD323+DD325+DD326</f>
        <v>3321.5000000000005</v>
      </c>
      <c r="DE357" s="87">
        <f>DE323+DE325+DE326</f>
        <v>1596.6999999999998</v>
      </c>
      <c r="DF357" s="87">
        <f>DF323+DF325+DF326</f>
        <v>6126.3</v>
      </c>
      <c r="DG357" s="87">
        <f>DG323+DG325+DG326</f>
        <v>9905.5</v>
      </c>
      <c r="DI357" s="87">
        <f>DI323+DI325+DI326</f>
        <v>-837.7000000000005</v>
      </c>
      <c r="DJ357" s="87">
        <f>DJ323+DJ325+DJ326</f>
        <v>2315.4</v>
      </c>
      <c r="DK357" s="87">
        <f>DK323+DK325+DK326</f>
        <v>805.19999999999925</v>
      </c>
      <c r="DL357" s="87">
        <f>DL323+DL325+DL326</f>
        <v>4884.5999999999995</v>
      </c>
      <c r="DM357" s="87">
        <f>DM323+DM325+DM326</f>
        <v>7167.4999999999991</v>
      </c>
      <c r="DO357" s="87">
        <f>DO323+DO325+DO326</f>
        <v>194.20000000000081</v>
      </c>
      <c r="DP357" s="87">
        <f>DP323+DP325+DP326</f>
        <v>-159.70000000000036</v>
      </c>
      <c r="DQ357" s="87">
        <f>DQ323+DQ325+DQ326</f>
        <v>617.99999999999955</v>
      </c>
      <c r="DR357" s="87">
        <f>DR323+DR325+DR326</f>
        <v>2594.6999999999998</v>
      </c>
      <c r="DS357" s="87">
        <f>DS323+DS325+DS326</f>
        <v>3247.2000000000007</v>
      </c>
      <c r="DT357" s="87"/>
      <c r="DU357" s="87">
        <f>DU323+DU325+DU326</f>
        <v>-675.7</v>
      </c>
      <c r="DV357" s="87">
        <f>DV323+DV325+DV326</f>
        <v>385.3999999999993</v>
      </c>
      <c r="DW357" s="87">
        <f>DW323+DW325+DW326</f>
        <v>534.10000000000014</v>
      </c>
      <c r="DX357" s="87">
        <f>DX323+DX325+DX326</f>
        <v>8839.2999999999993</v>
      </c>
      <c r="DY357" s="87">
        <f>DY323+DY325+DY326</f>
        <v>9083.0999999999967</v>
      </c>
      <c r="EA357" s="87">
        <f>EA323+EA325+EA326</f>
        <v>-475.10000000000036</v>
      </c>
      <c r="EB357" s="87">
        <f>EB323+EB325+EB326</f>
        <v>318.80000000000115</v>
      </c>
      <c r="EC357" s="87">
        <f>EC323+EC325+EC326</f>
        <v>243.70000000000016</v>
      </c>
      <c r="ED357" s="87">
        <f>ED323+ED325+ED326</f>
        <v>10939.9</v>
      </c>
      <c r="EE357" s="87">
        <f>EE323+EE325+EE326</f>
        <v>11027.300000000001</v>
      </c>
      <c r="EG357" s="87">
        <f>EG323+EG325+EG326</f>
        <v>-2607.9000000000005</v>
      </c>
      <c r="EH357" s="87">
        <f>EH323+EH325+EH326</f>
        <v>-2227.8611824860413</v>
      </c>
      <c r="EI357" s="87">
        <f>EI323+EI325+EI326</f>
        <v>298.6410255873912</v>
      </c>
      <c r="EJ357" s="87">
        <f>EJ323+EJ325+EJ326</f>
        <v>6724.6429223074529</v>
      </c>
      <c r="EK357" s="87">
        <f>EK323+EK325+EK326</f>
        <v>7062.5884539774643</v>
      </c>
      <c r="EQ357" s="74"/>
      <c r="ER357" s="74"/>
      <c r="ES357" s="74"/>
      <c r="ET357" s="74"/>
      <c r="EU357" s="114"/>
      <c r="EV357" s="87">
        <f t="shared" ref="EV357:FE357" si="392">EV323+EV325+EV326</f>
        <v>-150409</v>
      </c>
      <c r="EW357" s="87">
        <f t="shared" si="392"/>
        <v>480993</v>
      </c>
      <c r="EX357" s="87">
        <f t="shared" si="392"/>
        <v>181612</v>
      </c>
      <c r="EY357" s="87">
        <f t="shared" si="392"/>
        <v>639473</v>
      </c>
      <c r="EZ357" s="87">
        <f t="shared" si="392"/>
        <v>406768</v>
      </c>
      <c r="FA357" s="87">
        <f t="shared" si="392"/>
        <v>-3287491.2740000002</v>
      </c>
      <c r="FB357" s="87">
        <f t="shared" si="392"/>
        <v>-2929783.3219999997</v>
      </c>
      <c r="FC357" s="87">
        <f t="shared" si="392"/>
        <v>-1601661.9369999999</v>
      </c>
      <c r="FD357" s="87">
        <f t="shared" si="392"/>
        <v>-3692092.1</v>
      </c>
      <c r="FE357" s="87">
        <f t="shared" si="392"/>
        <v>-3875849.0000000005</v>
      </c>
      <c r="FF357" s="87">
        <f t="shared" ref="FF357:FX357" si="393">FF323+FF325+FF326</f>
        <v>-621153.69999999995</v>
      </c>
      <c r="FG357" s="87">
        <f t="shared" si="393"/>
        <v>839.40000000000032</v>
      </c>
      <c r="FH357" s="87">
        <f t="shared" si="393"/>
        <v>663.89999999999986</v>
      </c>
      <c r="FI357" s="87">
        <f t="shared" si="393"/>
        <v>1652.5999999999997</v>
      </c>
      <c r="FJ357" s="87">
        <f t="shared" si="393"/>
        <v>1191.5999999999995</v>
      </c>
      <c r="FK357" s="87">
        <f t="shared" si="393"/>
        <v>1460.3</v>
      </c>
      <c r="FL357" s="87">
        <f t="shared" si="393"/>
        <v>2463.1999999999994</v>
      </c>
      <c r="FM357" s="87">
        <f t="shared" si="393"/>
        <v>2390.3999999999996</v>
      </c>
      <c r="FN357" s="87">
        <f t="shared" si="393"/>
        <v>3626.6999999999989</v>
      </c>
      <c r="FO357" s="87">
        <f t="shared" si="393"/>
        <v>9905.5</v>
      </c>
      <c r="FP357" s="87">
        <f t="shared" si="393"/>
        <v>7167.4999999999991</v>
      </c>
      <c r="FQ357" s="87">
        <f>FQ323+FQ325+FQ326</f>
        <v>3247.2000000000007</v>
      </c>
      <c r="FR357" s="87">
        <f>FR323+FR325+FR326</f>
        <v>9083.0999999999967</v>
      </c>
      <c r="FS357" s="87">
        <f t="shared" si="393"/>
        <v>11027.300000000001</v>
      </c>
      <c r="FT357" s="87">
        <f>FT323+FT325+FT326</f>
        <v>7062.5884539774643</v>
      </c>
      <c r="FU357" s="87">
        <f t="shared" si="393"/>
        <v>11327.178026955604</v>
      </c>
      <c r="FV357" s="87">
        <f t="shared" si="393"/>
        <v>20075.065616827938</v>
      </c>
      <c r="FW357" s="87">
        <f t="shared" ca="1" si="393"/>
        <v>9390.9874751996012</v>
      </c>
      <c r="FX357" s="87">
        <f t="shared" ca="1" si="393"/>
        <v>3248.4729483317251</v>
      </c>
    </row>
    <row r="358" spans="1:180" x14ac:dyDescent="0.25">
      <c r="J358" s="74"/>
      <c r="K358" s="74"/>
      <c r="L358" s="74"/>
      <c r="AC358" s="88"/>
    </row>
    <row r="359" spans="1:180" x14ac:dyDescent="0.25">
      <c r="J359" s="74"/>
      <c r="K359" s="74"/>
      <c r="L359" s="74"/>
      <c r="AC359" s="88"/>
    </row>
    <row r="360" spans="1:180" x14ac:dyDescent="0.25">
      <c r="A360" s="103" t="s">
        <v>168</v>
      </c>
      <c r="B360" s="103"/>
      <c r="C360" s="103"/>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c r="AE360" s="192"/>
      <c r="AF360" s="192"/>
      <c r="AG360" s="192"/>
      <c r="AH360" s="192"/>
      <c r="AI360" s="192"/>
      <c r="AJ360" s="192"/>
      <c r="AK360" s="192"/>
      <c r="AL360" s="192"/>
      <c r="AM360" s="192"/>
      <c r="AN360" s="192"/>
      <c r="AO360" s="192"/>
      <c r="AP360" s="192"/>
      <c r="AQ360" s="192"/>
      <c r="AR360" s="192"/>
      <c r="AS360" s="192"/>
      <c r="AT360" s="192"/>
      <c r="AU360" s="192"/>
      <c r="AV360" s="192"/>
      <c r="AW360" s="192"/>
      <c r="AX360" s="192"/>
      <c r="AY360" s="192"/>
      <c r="AZ360" s="192"/>
      <c r="BA360" s="192"/>
      <c r="BB360" s="192"/>
      <c r="BC360" s="192"/>
      <c r="BD360" s="192"/>
      <c r="BE360" s="192"/>
      <c r="BF360" s="192"/>
      <c r="BG360" s="252" t="str">
        <f>BG$3</f>
        <v>1Q13</v>
      </c>
      <c r="BH360" s="252" t="str">
        <f t="shared" ref="BH360:DU360" si="394">BH$3</f>
        <v>2Q13</v>
      </c>
      <c r="BI360" s="252" t="str">
        <f t="shared" si="394"/>
        <v>3Q13</v>
      </c>
      <c r="BJ360" s="252" t="str">
        <f t="shared" si="394"/>
        <v>4Q13</v>
      </c>
      <c r="BK360" s="252">
        <f t="shared" si="394"/>
        <v>2013</v>
      </c>
      <c r="BL360" s="252"/>
      <c r="BM360" s="252" t="str">
        <f t="shared" si="394"/>
        <v>1Q14</v>
      </c>
      <c r="BN360" s="252" t="str">
        <f t="shared" si="394"/>
        <v>2Q14</v>
      </c>
      <c r="BO360" s="252" t="str">
        <f t="shared" si="394"/>
        <v>3Q14</v>
      </c>
      <c r="BP360" s="252" t="str">
        <f t="shared" si="394"/>
        <v>4Q14</v>
      </c>
      <c r="BQ360" s="252">
        <f t="shared" si="394"/>
        <v>2014</v>
      </c>
      <c r="BR360" s="252"/>
      <c r="BS360" s="252" t="str">
        <f t="shared" si="394"/>
        <v>1Q15</v>
      </c>
      <c r="BT360" s="252" t="str">
        <f t="shared" si="394"/>
        <v>2Q15</v>
      </c>
      <c r="BU360" s="252" t="str">
        <f t="shared" si="394"/>
        <v>3Q15</v>
      </c>
      <c r="BV360" s="252" t="str">
        <f t="shared" si="394"/>
        <v>4Q15</v>
      </c>
      <c r="BW360" s="252">
        <f t="shared" si="394"/>
        <v>2015</v>
      </c>
      <c r="BX360" s="252"/>
      <c r="BY360" s="252" t="str">
        <f t="shared" si="394"/>
        <v>1Q16</v>
      </c>
      <c r="BZ360" s="252" t="str">
        <f t="shared" si="394"/>
        <v>2Q16</v>
      </c>
      <c r="CA360" s="252" t="str">
        <f t="shared" si="394"/>
        <v>3Q16</v>
      </c>
      <c r="CB360" s="252" t="str">
        <f t="shared" si="394"/>
        <v>4Q16</v>
      </c>
      <c r="CC360" s="252">
        <f t="shared" si="394"/>
        <v>2016</v>
      </c>
      <c r="CD360" s="252"/>
      <c r="CE360" s="252" t="str">
        <f t="shared" si="394"/>
        <v>1Q17</v>
      </c>
      <c r="CF360" s="252" t="str">
        <f t="shared" si="394"/>
        <v>2Q17</v>
      </c>
      <c r="CG360" s="252" t="str">
        <f t="shared" si="394"/>
        <v>3Q17</v>
      </c>
      <c r="CH360" s="252" t="str">
        <f t="shared" si="394"/>
        <v>4Q17</v>
      </c>
      <c r="CI360" s="252">
        <f t="shared" si="394"/>
        <v>2017</v>
      </c>
      <c r="CJ360" s="252"/>
      <c r="CK360" s="252" t="str">
        <f t="shared" si="394"/>
        <v>1Q18</v>
      </c>
      <c r="CL360" s="252" t="str">
        <f t="shared" si="394"/>
        <v>2Q18</v>
      </c>
      <c r="CM360" s="252" t="str">
        <f t="shared" si="394"/>
        <v>3Q18</v>
      </c>
      <c r="CN360" s="252" t="str">
        <f t="shared" si="394"/>
        <v>4Q18</v>
      </c>
      <c r="CO360" s="252">
        <f t="shared" si="394"/>
        <v>2018</v>
      </c>
      <c r="CP360" s="252"/>
      <c r="CQ360" s="252" t="str">
        <f t="shared" si="394"/>
        <v>1Q19</v>
      </c>
      <c r="CR360" s="252" t="str">
        <f t="shared" si="394"/>
        <v>2Q19</v>
      </c>
      <c r="CS360" s="252" t="str">
        <f t="shared" si="394"/>
        <v>3Q19</v>
      </c>
      <c r="CT360" s="252" t="str">
        <f t="shared" si="394"/>
        <v>4Q19</v>
      </c>
      <c r="CU360" s="252">
        <f t="shared" si="394"/>
        <v>2019</v>
      </c>
      <c r="CV360" s="252"/>
      <c r="CW360" s="252" t="str">
        <f t="shared" si="394"/>
        <v>1Q20</v>
      </c>
      <c r="CX360" s="252" t="str">
        <f t="shared" si="394"/>
        <v>2Q20</v>
      </c>
      <c r="CY360" s="252" t="str">
        <f t="shared" si="394"/>
        <v>3Q20</v>
      </c>
      <c r="CZ360" s="252" t="str">
        <f t="shared" si="394"/>
        <v>4Q20</v>
      </c>
      <c r="DA360" s="252">
        <f t="shared" si="394"/>
        <v>2020</v>
      </c>
      <c r="DB360" s="252"/>
      <c r="DC360" s="252" t="str">
        <f t="shared" si="394"/>
        <v>1Q21</v>
      </c>
      <c r="DD360" s="252" t="str">
        <f t="shared" si="394"/>
        <v>2Q21</v>
      </c>
      <c r="DE360" s="252" t="str">
        <f t="shared" si="394"/>
        <v>3Q21</v>
      </c>
      <c r="DF360" s="252" t="str">
        <f t="shared" si="394"/>
        <v>4Q21</v>
      </c>
      <c r="DG360" s="252">
        <f t="shared" si="394"/>
        <v>2021</v>
      </c>
      <c r="DH360" s="252"/>
      <c r="DI360" s="252" t="str">
        <f t="shared" si="394"/>
        <v>1Q22</v>
      </c>
      <c r="DJ360" s="252" t="str">
        <f t="shared" si="394"/>
        <v>2Q22</v>
      </c>
      <c r="DK360" s="252" t="str">
        <f t="shared" si="394"/>
        <v>3Q22</v>
      </c>
      <c r="DL360" s="252" t="str">
        <f t="shared" si="394"/>
        <v>4Q22</v>
      </c>
      <c r="DM360" s="252">
        <f t="shared" si="394"/>
        <v>2022</v>
      </c>
      <c r="DN360" s="252"/>
      <c r="DO360" s="252" t="str">
        <f t="shared" si="394"/>
        <v>1Q23</v>
      </c>
      <c r="DP360" s="252" t="str">
        <f t="shared" si="394"/>
        <v>2Q23</v>
      </c>
      <c r="DQ360" s="252" t="str">
        <f t="shared" si="394"/>
        <v>3Q23</v>
      </c>
      <c r="DR360" s="252" t="str">
        <f t="shared" si="394"/>
        <v>4Q23</v>
      </c>
      <c r="DS360" s="252">
        <f t="shared" si="394"/>
        <v>2023</v>
      </c>
      <c r="DT360" s="252"/>
      <c r="DU360" s="252" t="str">
        <f t="shared" si="394"/>
        <v>1Q24</v>
      </c>
      <c r="DV360" s="252" t="str">
        <f>DV$3</f>
        <v>2Q24</v>
      </c>
      <c r="DW360" s="252" t="str">
        <f>DW$3</f>
        <v>3Q24</v>
      </c>
      <c r="DX360" s="252" t="str">
        <f>DX$3</f>
        <v>4Q24</v>
      </c>
      <c r="DY360" s="252">
        <f>DY$3</f>
        <v>2024</v>
      </c>
      <c r="DZ360" s="252"/>
      <c r="EA360" s="252" t="str">
        <f>EA$3</f>
        <v>1Q25</v>
      </c>
      <c r="EB360" s="252" t="str">
        <f>EB$3</f>
        <v>2Q25</v>
      </c>
      <c r="EC360" s="252" t="str">
        <f>EC$3</f>
        <v>3Q25</v>
      </c>
      <c r="ED360" s="252" t="str">
        <f>ED$3</f>
        <v>4Q25</v>
      </c>
      <c r="EE360" s="252">
        <f>EE$3</f>
        <v>2025</v>
      </c>
      <c r="EF360" s="252"/>
      <c r="EG360" s="252" t="str">
        <f>EG$3</f>
        <v>1Q26</v>
      </c>
      <c r="EH360" s="252" t="str">
        <f>EH$3</f>
        <v>2Q26e</v>
      </c>
      <c r="EI360" s="252" t="str">
        <f>EI$3</f>
        <v>3Q26e</v>
      </c>
      <c r="EJ360" s="252" t="str">
        <f>EJ$3</f>
        <v>4Q26e</v>
      </c>
      <c r="EK360" s="252" t="str">
        <f>EK$3</f>
        <v>2026e</v>
      </c>
      <c r="FG360" s="252">
        <f t="shared" ref="FG360:FX360" si="395">FG$3</f>
        <v>2013</v>
      </c>
      <c r="FH360" s="252">
        <f t="shared" si="395"/>
        <v>2014</v>
      </c>
      <c r="FI360" s="252">
        <f t="shared" si="395"/>
        <v>2015</v>
      </c>
      <c r="FJ360" s="252">
        <f t="shared" si="395"/>
        <v>2016</v>
      </c>
      <c r="FK360" s="252">
        <f t="shared" si="395"/>
        <v>2017</v>
      </c>
      <c r="FL360" s="252">
        <f t="shared" si="395"/>
        <v>2018</v>
      </c>
      <c r="FM360" s="252">
        <f t="shared" si="395"/>
        <v>2019</v>
      </c>
      <c r="FN360" s="252">
        <f t="shared" si="395"/>
        <v>2020</v>
      </c>
      <c r="FO360" s="252">
        <f t="shared" si="395"/>
        <v>2021</v>
      </c>
      <c r="FP360" s="252">
        <f t="shared" si="395"/>
        <v>2022</v>
      </c>
      <c r="FQ360" s="252">
        <f t="shared" si="395"/>
        <v>2023</v>
      </c>
      <c r="FR360" s="252">
        <f t="shared" si="395"/>
        <v>2024</v>
      </c>
      <c r="FS360" s="252">
        <f t="shared" si="395"/>
        <v>2025</v>
      </c>
      <c r="FT360" s="252" t="str">
        <f t="shared" si="395"/>
        <v>2026e</v>
      </c>
      <c r="FU360" s="252" t="str">
        <f t="shared" si="395"/>
        <v>2027e</v>
      </c>
      <c r="FV360" s="252" t="str">
        <f t="shared" si="395"/>
        <v>2028e</v>
      </c>
      <c r="FW360" s="252" t="str">
        <f t="shared" si="395"/>
        <v>2029e</v>
      </c>
      <c r="FX360" s="252" t="str">
        <f t="shared" si="395"/>
        <v>2030e</v>
      </c>
    </row>
    <row r="361" spans="1:180" x14ac:dyDescent="0.25">
      <c r="B361" s="74"/>
    </row>
    <row r="362" spans="1:180" x14ac:dyDescent="0.25">
      <c r="B362" s="180" t="s">
        <v>74</v>
      </c>
      <c r="BG362" s="77">
        <f>BG308</f>
        <v>44.5</v>
      </c>
      <c r="BH362" s="77">
        <f>BH308</f>
        <v>48.8</v>
      </c>
      <c r="BI362" s="77">
        <f>BI308</f>
        <v>67.900000000000006</v>
      </c>
      <c r="BJ362" s="77">
        <f>BJ308</f>
        <v>67.5</v>
      </c>
      <c r="BK362" s="77">
        <f>BK308</f>
        <v>228.7</v>
      </c>
      <c r="BM362" s="77">
        <f>BM308</f>
        <v>64.7</v>
      </c>
      <c r="BN362" s="77">
        <f>BN308</f>
        <v>67</v>
      </c>
      <c r="BO362" s="77">
        <f>BO308</f>
        <v>60.4</v>
      </c>
      <c r="BP362" s="77">
        <f>BP308</f>
        <v>62.5</v>
      </c>
      <c r="BQ362" s="77">
        <f>BQ308</f>
        <v>254.6</v>
      </c>
      <c r="BS362" s="77">
        <f>BS308</f>
        <v>66.099999999999994</v>
      </c>
      <c r="BT362" s="77">
        <f>BT308</f>
        <v>72.8</v>
      </c>
      <c r="BU362" s="77">
        <f>BU308</f>
        <v>77.5</v>
      </c>
      <c r="BV362" s="77">
        <f>BV308</f>
        <v>80.5</v>
      </c>
      <c r="BW362" s="77">
        <f>BW308</f>
        <v>296.89999999999998</v>
      </c>
      <c r="BY362" s="77">
        <f>BY308</f>
        <v>82</v>
      </c>
      <c r="BZ362" s="77">
        <f>BZ308</f>
        <v>84.1</v>
      </c>
      <c r="CA362" s="77">
        <f>CA308</f>
        <v>87.7</v>
      </c>
      <c r="CB362" s="77">
        <f>CB308</f>
        <v>103.1</v>
      </c>
      <c r="CC362" s="77">
        <f>CC308</f>
        <v>356.9</v>
      </c>
      <c r="CE362" s="77">
        <f>CE308</f>
        <v>110.1</v>
      </c>
      <c r="CF362" s="77">
        <f>CF308</f>
        <v>103.9</v>
      </c>
      <c r="CG362" s="77">
        <f>CG308</f>
        <v>101.2</v>
      </c>
      <c r="CH362" s="77">
        <f>CH308</f>
        <v>102.3</v>
      </c>
      <c r="CI362" s="77">
        <f>CI308</f>
        <v>417.5</v>
      </c>
      <c r="CK362" s="77">
        <f>CK308</f>
        <v>102.6</v>
      </c>
      <c r="CL362" s="77">
        <f>CL308</f>
        <v>99.7</v>
      </c>
      <c r="CM362" s="77">
        <f>CM308</f>
        <v>110</v>
      </c>
      <c r="CN362" s="77">
        <f>CN308</f>
        <v>110.4</v>
      </c>
      <c r="CO362" s="77">
        <f>CO308</f>
        <v>422.70000000000005</v>
      </c>
      <c r="CQ362" s="77">
        <f>CQ308</f>
        <v>104.8</v>
      </c>
      <c r="CR362" s="77">
        <f>CR308</f>
        <v>108.4</v>
      </c>
      <c r="CS362" s="77">
        <f>CS308</f>
        <v>112.4</v>
      </c>
      <c r="CT362" s="77">
        <f>CT308</f>
        <v>122.9</v>
      </c>
      <c r="CU362" s="77">
        <f>CU308</f>
        <v>448.5</v>
      </c>
      <c r="CW362" s="77">
        <f>CW308</f>
        <v>118.3</v>
      </c>
      <c r="CX362" s="77">
        <f>CX308</f>
        <v>125.1</v>
      </c>
      <c r="CY362" s="77">
        <f>CY308</f>
        <v>122</v>
      </c>
      <c r="CZ362" s="77">
        <f>CZ308</f>
        <v>125.4</v>
      </c>
      <c r="DA362" s="77">
        <f>DA308</f>
        <v>490.79999999999995</v>
      </c>
      <c r="DC362" s="77">
        <f>DC308</f>
        <v>117.9</v>
      </c>
      <c r="DD362" s="77">
        <f>DD308</f>
        <v>112.7</v>
      </c>
      <c r="DE362" s="77">
        <f>DE308</f>
        <v>116.2</v>
      </c>
      <c r="DF362" s="77">
        <f>DF308</f>
        <v>124.2</v>
      </c>
      <c r="DG362" s="77">
        <f>DG308</f>
        <v>471</v>
      </c>
      <c r="DI362" s="77">
        <f>DI308</f>
        <v>131</v>
      </c>
      <c r="DJ362" s="77">
        <f>DJ308</f>
        <v>131.5</v>
      </c>
      <c r="DK362" s="77">
        <f>DK308</f>
        <v>137.9</v>
      </c>
      <c r="DL362" s="77">
        <f>DL308</f>
        <v>183.2</v>
      </c>
      <c r="DM362" s="77">
        <f>SUM(DI362:DL362)</f>
        <v>583.59999999999991</v>
      </c>
      <c r="DO362" s="77">
        <f>DO308</f>
        <v>170.3</v>
      </c>
      <c r="DP362" s="77">
        <f>DP308</f>
        <v>181.2</v>
      </c>
      <c r="DQ362" s="77">
        <f>DQ308</f>
        <v>176.2</v>
      </c>
      <c r="DR362" s="77">
        <f>DR308</f>
        <v>212.1</v>
      </c>
      <c r="DS362" s="77">
        <f>SUM(DO362:DR362)</f>
        <v>739.80000000000007</v>
      </c>
      <c r="DT362" s="77"/>
      <c r="DU362" s="77">
        <f>DU308</f>
        <v>214.4</v>
      </c>
      <c r="DV362" s="77">
        <f>DV308</f>
        <v>227.5</v>
      </c>
      <c r="DW362" s="77">
        <f>DW308</f>
        <v>235.7</v>
      </c>
      <c r="DX362" s="77">
        <f>DX308</f>
        <v>241</v>
      </c>
      <c r="DY362" s="77">
        <f>SUM(DU362:DX362)</f>
        <v>918.59999999999991</v>
      </c>
      <c r="EA362" s="77">
        <f>EA308</f>
        <v>241.3</v>
      </c>
      <c r="EB362" s="77">
        <f>EB308</f>
        <v>254.9</v>
      </c>
      <c r="EC362" s="77">
        <f>EC308</f>
        <v>274.60000000000002</v>
      </c>
      <c r="ED362" s="77">
        <f>ED308</f>
        <v>255.2</v>
      </c>
      <c r="EE362" s="77">
        <f>SUM(EA362:ED362)</f>
        <v>1026</v>
      </c>
      <c r="EG362" s="77">
        <f>EG308</f>
        <v>259.39999999999998</v>
      </c>
      <c r="EH362" s="77">
        <f>EH9*EH363</f>
        <v>230.08334680887467</v>
      </c>
      <c r="EI362" s="77">
        <f>EI9*EI363</f>
        <v>259.54572463354816</v>
      </c>
      <c r="EJ362" s="77">
        <f>EJ9*EJ363</f>
        <v>245.92947598186262</v>
      </c>
      <c r="EK362" s="77">
        <f>SUM(EG362:EJ362)</f>
        <v>994.95854742428548</v>
      </c>
      <c r="FG362" s="77">
        <f>BK362</f>
        <v>228.7</v>
      </c>
      <c r="FH362" s="77">
        <f>BQ362</f>
        <v>254.6</v>
      </c>
      <c r="FI362" s="77">
        <f>BW362</f>
        <v>296.89999999999998</v>
      </c>
      <c r="FJ362" s="196">
        <f>CC362</f>
        <v>356.9</v>
      </c>
      <c r="FK362" s="196">
        <f>CI362</f>
        <v>417.5</v>
      </c>
      <c r="FL362" s="196">
        <f>CO362</f>
        <v>422.70000000000005</v>
      </c>
      <c r="FM362" s="77">
        <f>CU362</f>
        <v>448.5</v>
      </c>
      <c r="FN362" s="77">
        <f>DA362</f>
        <v>490.79999999999995</v>
      </c>
      <c r="FO362" s="77">
        <f>DG362</f>
        <v>471</v>
      </c>
      <c r="FP362" s="77">
        <f>DM362</f>
        <v>583.59999999999991</v>
      </c>
      <c r="FQ362" s="77">
        <f>DS362</f>
        <v>739.80000000000007</v>
      </c>
      <c r="FR362" s="77">
        <f>DY362</f>
        <v>918.59999999999991</v>
      </c>
      <c r="FS362" s="77">
        <f>EE362</f>
        <v>1026</v>
      </c>
      <c r="FT362" s="77">
        <f>EK362</f>
        <v>994.95854742428548</v>
      </c>
      <c r="FU362" s="77">
        <f>FU9*FU363</f>
        <v>1152.2867412000001</v>
      </c>
      <c r="FV362" s="77">
        <f>FV9*FV363</f>
        <v>991.11410769359986</v>
      </c>
      <c r="FW362" s="77">
        <f ca="1">FW9*FW363</f>
        <v>531.29999999999995</v>
      </c>
      <c r="FX362" s="77">
        <f>FX9*FX363</f>
        <v>622.56000000000006</v>
      </c>
    </row>
    <row r="363" spans="1:180" x14ac:dyDescent="0.25">
      <c r="B363" s="84" t="s">
        <v>161</v>
      </c>
      <c r="BG363" s="101">
        <f>BG362/BG9</f>
        <v>4.9882300190561599E-2</v>
      </c>
      <c r="BH363" s="101">
        <f>BH362/BH9</f>
        <v>4.0042668417165826E-2</v>
      </c>
      <c r="BI363" s="101">
        <f>BI362/BI9</f>
        <v>4.8771728199971269E-2</v>
      </c>
      <c r="BJ363" s="101">
        <f>BJ362/BJ9</f>
        <v>3.5114186131197003E-2</v>
      </c>
      <c r="BK363" s="101">
        <f>BK362/BK9</f>
        <v>4.215435091147033E-2</v>
      </c>
      <c r="BL363" s="102"/>
      <c r="BM363" s="101">
        <f>BM362/BM9</f>
        <v>4.6330110991765129E-2</v>
      </c>
      <c r="BN363" s="101">
        <f>BN362/BN9</f>
        <v>4.0764176198588464E-2</v>
      </c>
      <c r="BO363" s="101">
        <f>BO362/BO9</f>
        <v>4.5681440024202082E-2</v>
      </c>
      <c r="BP363" s="101">
        <f>BP362/BP9</f>
        <v>4.1834002677376171E-2</v>
      </c>
      <c r="BQ363" s="101">
        <f>BQ362/BQ9</f>
        <v>4.3474548776531258E-2</v>
      </c>
      <c r="BR363" s="102"/>
      <c r="BS363" s="101">
        <f>BS362/BS9</f>
        <v>4.0063034123280196E-2</v>
      </c>
      <c r="BT363" s="101">
        <f>BT362/BT9</f>
        <v>4.4011849344054166E-2</v>
      </c>
      <c r="BU363" s="101">
        <f>BU362/BU9</f>
        <v>5.0025819777949919E-2</v>
      </c>
      <c r="BV363" s="101">
        <f>BV362/BV9</f>
        <v>5.6128852321851913E-2</v>
      </c>
      <c r="BW363" s="101">
        <f>BW362/BW9</f>
        <v>4.7221426980946016E-2</v>
      </c>
      <c r="BY363" s="101">
        <f>BY362/BY9</f>
        <v>6.1506150615061511E-2</v>
      </c>
      <c r="BZ363" s="101">
        <f>BZ362/BZ9</f>
        <v>4.8344446999310182E-2</v>
      </c>
      <c r="CA363" s="101">
        <f>CA362/CA9</f>
        <v>4.8330210514713992E-2</v>
      </c>
      <c r="CB363" s="101">
        <f>CB362/CB9</f>
        <v>5.4052637097619795E-2</v>
      </c>
      <c r="CC363" s="101">
        <f>CC362/CC9</f>
        <v>5.2525460646376643E-2</v>
      </c>
      <c r="CE363" s="101">
        <f>CE362/CE9</f>
        <v>5.6647458324758183E-2</v>
      </c>
      <c r="CF363" s="101">
        <f>CF362/CF9</f>
        <v>4.9443228323974506E-2</v>
      </c>
      <c r="CG363" s="101">
        <f>CG362/CG9</f>
        <v>4.1350004085968783E-2</v>
      </c>
      <c r="CH363" s="101">
        <f>CH362/CH9</f>
        <v>3.9954694578972036E-2</v>
      </c>
      <c r="CI363" s="101">
        <f>CI362/CI9</f>
        <v>4.6118328031106402E-2</v>
      </c>
      <c r="CK363" s="101">
        <f>CK362/CK9</f>
        <v>4.4901531728665206E-2</v>
      </c>
      <c r="CL363" s="101">
        <f>CL362/CL9</f>
        <v>3.638155013866589E-2</v>
      </c>
      <c r="CM363" s="101">
        <f>CM362/CM9</f>
        <v>3.9623932855444688E-2</v>
      </c>
      <c r="CN363" s="101">
        <f>CN362/CN9</f>
        <v>3.5131264916467779E-2</v>
      </c>
      <c r="CO363" s="101">
        <f>CO362/CO9</f>
        <v>3.8623903508771935E-2</v>
      </c>
      <c r="CQ363" s="101">
        <f>CQ362/CQ9</f>
        <v>4.701449015297654E-2</v>
      </c>
      <c r="CR363" s="101">
        <f>CR362/CR9</f>
        <v>4.2213481833404731E-2</v>
      </c>
      <c r="CS363" s="101">
        <f>CS362/CS9</f>
        <v>3.763602879624979E-2</v>
      </c>
      <c r="CT363" s="101">
        <f>CT362/CT9</f>
        <v>3.0447923892577548E-2</v>
      </c>
      <c r="CU363" s="101">
        <f>CU362/CU9</f>
        <v>3.7944483455866804E-2</v>
      </c>
      <c r="CW363" s="101">
        <f>CW362/CW9</f>
        <v>4.8471687290010654E-2</v>
      </c>
      <c r="CX363" s="101">
        <f>CX362/CX9</f>
        <v>3.7616140962804821E-2</v>
      </c>
      <c r="CY363" s="101">
        <f>CY362/CY9</f>
        <v>3.0823648307225872E-2</v>
      </c>
      <c r="CZ363" s="101">
        <f>CZ362/CZ9</f>
        <v>2.9477445288075034E-2</v>
      </c>
      <c r="DA363" s="101">
        <f>DA362/DA9</f>
        <v>3.5111314599668056E-2</v>
      </c>
      <c r="DC363" s="101">
        <f>DC362/DC9</f>
        <v>2.7017117715804673E-2</v>
      </c>
      <c r="DD363" s="101">
        <f>DD362/DD9</f>
        <v>2.803343117257848E-2</v>
      </c>
      <c r="DE363" s="101">
        <f>DE362/DE9</f>
        <v>2.2170072310304694E-2</v>
      </c>
      <c r="DF363" s="101">
        <f>DF362/DF9</f>
        <v>2.4911745827984593E-2</v>
      </c>
      <c r="DG363" s="101">
        <f>DG362/DG9</f>
        <v>2.5307613776798667E-2</v>
      </c>
      <c r="DI363" s="101">
        <f>DI362/DI9</f>
        <v>3.7064282480760526E-2</v>
      </c>
      <c r="DJ363" s="101">
        <f>DJ362/DJ9</f>
        <v>2.4215081484209557E-2</v>
      </c>
      <c r="DK363" s="101">
        <f>DK362/DK9</f>
        <v>2.3865150649845113E-2</v>
      </c>
      <c r="DL363" s="101">
        <f>DL362/DL9</f>
        <v>2.8490560169201578E-2</v>
      </c>
      <c r="DM363" s="101">
        <f>DM362/DM9</f>
        <v>2.7562885507287443E-2</v>
      </c>
      <c r="DO363" s="101">
        <f>DO362/DO9</f>
        <v>2.5243840977142686E-2</v>
      </c>
      <c r="DP363" s="101">
        <f>DP362/DP9</f>
        <v>2.6252118858931077E-2</v>
      </c>
      <c r="DQ363" s="101">
        <f>DQ362/DQ9</f>
        <v>2.6404915330436082E-2</v>
      </c>
      <c r="DR363" s="101">
        <f>DR362/DR9</f>
        <v>2.9307724195108468E-2</v>
      </c>
      <c r="DS363" s="101">
        <f>DS362/DS9</f>
        <v>2.6844712157773468E-2</v>
      </c>
      <c r="DT363" s="101"/>
      <c r="DU363" s="101">
        <f>DU362/DU9</f>
        <v>4.0529300567107754E-2</v>
      </c>
      <c r="DV363" s="101">
        <f>DV362/DV9</f>
        <v>3.6441981162298971E-2</v>
      </c>
      <c r="DW363" s="101">
        <f>DW362/DW9</f>
        <v>3.1564286957802681E-2</v>
      </c>
      <c r="DX363" s="101">
        <f>DX362/DX9</f>
        <v>2.6018050697413312E-2</v>
      </c>
      <c r="DY363" s="101">
        <f>DY362/DY9</f>
        <v>3.2501972550587517E-2</v>
      </c>
      <c r="EA363" s="101">
        <f>EA362/EA9</f>
        <v>3.1169669960601953E-2</v>
      </c>
      <c r="EB363" s="101">
        <f>EB362/EB9</f>
        <v>3.3139618029824354E-2</v>
      </c>
      <c r="EC363" s="101">
        <f>EC362/EC9</f>
        <v>3.6535391165513575E-2</v>
      </c>
      <c r="ED363" s="101">
        <f>ED362/ED9</f>
        <v>2.6260547437744391E-2</v>
      </c>
      <c r="EE363" s="101">
        <f>EE362/EE9</f>
        <v>3.1407650487338984E-2</v>
      </c>
      <c r="EG363" s="101">
        <f>EG362/EG9</f>
        <v>2.9589916158101862E-2</v>
      </c>
      <c r="EH363" s="100">
        <f>EG363-0.2%</f>
        <v>2.7589916158101864E-2</v>
      </c>
      <c r="EI363" s="100">
        <f>EH363-0.2%</f>
        <v>2.5589916158101862E-2</v>
      </c>
      <c r="EJ363" s="100">
        <f>EI363-0.2%</f>
        <v>2.358991615810186E-2</v>
      </c>
      <c r="EK363" s="101">
        <f>EK362/EK9</f>
        <v>2.6409970894051536E-2</v>
      </c>
      <c r="FG363" s="101">
        <f>FG362/FG$9</f>
        <v>4.215435091147033E-2</v>
      </c>
      <c r="FH363" s="101">
        <f t="shared" ref="FH363:FP363" si="396">FH362/FH$9</f>
        <v>4.3474548776531258E-2</v>
      </c>
      <c r="FI363" s="101">
        <f t="shared" si="396"/>
        <v>4.7221426980946016E-2</v>
      </c>
      <c r="FJ363" s="101">
        <f t="shared" si="396"/>
        <v>5.2525460646376643E-2</v>
      </c>
      <c r="FK363" s="101">
        <f t="shared" si="396"/>
        <v>4.6118328031106402E-2</v>
      </c>
      <c r="FL363" s="101">
        <f t="shared" si="396"/>
        <v>3.8623903508771935E-2</v>
      </c>
      <c r="FM363" s="101">
        <f t="shared" si="396"/>
        <v>3.7944483455866804E-2</v>
      </c>
      <c r="FN363" s="101">
        <f t="shared" si="396"/>
        <v>3.5111314599668056E-2</v>
      </c>
      <c r="FO363" s="101">
        <f t="shared" si="396"/>
        <v>2.5307613776798667E-2</v>
      </c>
      <c r="FP363" s="101">
        <f t="shared" si="396"/>
        <v>2.7562885507287443E-2</v>
      </c>
      <c r="FQ363" s="101">
        <f>FQ362/FQ$9</f>
        <v>2.6844712157773468E-2</v>
      </c>
      <c r="FR363" s="101">
        <f>FR362/FR$9</f>
        <v>3.2501972550587517E-2</v>
      </c>
      <c r="FS363" s="101">
        <f>FS362/FS$9</f>
        <v>3.1407650487338984E-2</v>
      </c>
      <c r="FT363" s="101">
        <f>FT362/FT$9</f>
        <v>2.6409970894051539E-2</v>
      </c>
      <c r="FU363" s="100">
        <v>2.4E-2</v>
      </c>
      <c r="FV363" s="100">
        <v>2.4E-2</v>
      </c>
      <c r="FW363" s="100">
        <v>2.4E-2</v>
      </c>
      <c r="FX363" s="100">
        <v>2.4E-2</v>
      </c>
    </row>
    <row r="364" spans="1:180" x14ac:dyDescent="0.25">
      <c r="B364" s="84"/>
      <c r="BG364" s="77"/>
      <c r="BH364" s="77"/>
      <c r="BI364" s="77"/>
      <c r="BJ364" s="77"/>
      <c r="BK364" s="77"/>
      <c r="BM364" s="77"/>
      <c r="BN364" s="77"/>
      <c r="BO364" s="77"/>
      <c r="BP364" s="77"/>
      <c r="BQ364" s="77"/>
      <c r="BS364" s="77"/>
      <c r="BT364" s="77"/>
      <c r="BU364" s="77"/>
      <c r="BV364" s="77"/>
      <c r="BW364" s="77"/>
      <c r="BY364" s="77"/>
      <c r="BZ364" s="77"/>
      <c r="CA364" s="77"/>
      <c r="CB364" s="77"/>
      <c r="CC364" s="77"/>
      <c r="CE364" s="77"/>
      <c r="CF364" s="77"/>
      <c r="CG364" s="77"/>
      <c r="CH364" s="77"/>
      <c r="CI364" s="77"/>
      <c r="CK364" s="77"/>
      <c r="CL364" s="77"/>
      <c r="CM364" s="77"/>
      <c r="CN364" s="77"/>
      <c r="CO364" s="77"/>
      <c r="CQ364" s="77"/>
      <c r="CR364" s="77"/>
      <c r="CS364" s="77"/>
      <c r="CT364" s="77"/>
      <c r="CU364" s="77"/>
      <c r="CW364" s="77"/>
      <c r="CX364" s="77"/>
      <c r="CY364" s="77"/>
      <c r="CZ364" s="77"/>
      <c r="DA364" s="77"/>
      <c r="DC364" s="77"/>
      <c r="DD364" s="77"/>
      <c r="DE364" s="77"/>
      <c r="DF364" s="77"/>
      <c r="DG364" s="77"/>
      <c r="DI364" s="77"/>
      <c r="DJ364" s="77"/>
      <c r="DK364" s="77"/>
      <c r="DL364" s="77"/>
      <c r="DO364" s="77"/>
      <c r="DP364" s="77"/>
      <c r="DQ364" s="77"/>
      <c r="DR364" s="77"/>
      <c r="DT364" s="77"/>
      <c r="DU364" s="77"/>
      <c r="DV364" s="77"/>
      <c r="DW364" s="77"/>
      <c r="DX364" s="77"/>
      <c r="EA364" s="77"/>
      <c r="EB364" s="77"/>
      <c r="EC364" s="77"/>
      <c r="FG364" s="77"/>
    </row>
    <row r="365" spans="1:180" x14ac:dyDescent="0.25">
      <c r="B365" s="84" t="s">
        <v>160</v>
      </c>
      <c r="BG365" s="77">
        <f>BG311</f>
        <v>5.7</v>
      </c>
      <c r="BH365" s="77">
        <f>BH311</f>
        <v>9.4</v>
      </c>
      <c r="BI365" s="77">
        <f>BI311</f>
        <v>19.399999999999999</v>
      </c>
      <c r="BJ365" s="77">
        <f>BJ311</f>
        <v>17.899999999999999</v>
      </c>
      <c r="BK365" s="77">
        <f>BK311</f>
        <v>52.4</v>
      </c>
      <c r="BM365" s="77">
        <f>BM311</f>
        <v>23.1</v>
      </c>
      <c r="BN365" s="77">
        <f>BN311</f>
        <v>13.5</v>
      </c>
      <c r="BO365" s="77">
        <f>BO311</f>
        <v>13.7</v>
      </c>
      <c r="BP365" s="77">
        <f>BP311</f>
        <v>13.1</v>
      </c>
      <c r="BQ365" s="77">
        <f>BQ311</f>
        <v>63.4</v>
      </c>
      <c r="BS365" s="77">
        <f>BS311</f>
        <v>14.6</v>
      </c>
      <c r="BT365" s="77">
        <f>BT311</f>
        <v>15</v>
      </c>
      <c r="BU365" s="77">
        <f>BU311</f>
        <v>14.8</v>
      </c>
      <c r="BV365" s="77">
        <f>BV311</f>
        <v>14.7</v>
      </c>
      <c r="BW365" s="77">
        <f>BW311</f>
        <v>59.100000000000009</v>
      </c>
      <c r="BY365" s="77">
        <f>BY311</f>
        <v>13.2</v>
      </c>
      <c r="BZ365" s="77">
        <f>BZ311</f>
        <v>10.9</v>
      </c>
      <c r="CA365" s="77">
        <f>CA311</f>
        <v>11.6</v>
      </c>
      <c r="CB365" s="77">
        <f>CB311</f>
        <v>12</v>
      </c>
      <c r="CC365" s="77">
        <f>CC311</f>
        <v>47.7</v>
      </c>
      <c r="CE365" s="77">
        <f>CE311</f>
        <v>13.5</v>
      </c>
      <c r="CF365" s="77">
        <f>CF311</f>
        <v>10.1</v>
      </c>
      <c r="CG365" s="77">
        <f>CG311</f>
        <v>14.8</v>
      </c>
      <c r="CH365" s="77">
        <f>CH311</f>
        <v>14.7</v>
      </c>
      <c r="CI365" s="77">
        <f>CI311</f>
        <v>53.100000000000009</v>
      </c>
      <c r="CK365" s="77">
        <f>CK311</f>
        <v>12.2</v>
      </c>
      <c r="CL365" s="77">
        <f>CL311</f>
        <v>9.1999999999999993</v>
      </c>
      <c r="CM365" s="77">
        <f>CM311</f>
        <v>16.600000000000001</v>
      </c>
      <c r="CN365" s="77">
        <f>CN311</f>
        <v>8.3000000000000007</v>
      </c>
      <c r="CO365" s="77">
        <f>CO311</f>
        <v>46.3</v>
      </c>
      <c r="CQ365" s="77">
        <f>CQ311</f>
        <v>14.9</v>
      </c>
      <c r="CR365" s="77">
        <f>CR311</f>
        <v>12.5</v>
      </c>
      <c r="CS365" s="77">
        <f>CS311</f>
        <v>18</v>
      </c>
      <c r="CT365" s="77">
        <f>CT311</f>
        <v>29.2</v>
      </c>
      <c r="CU365" s="77">
        <f>CU311</f>
        <v>74.599999999999994</v>
      </c>
      <c r="CW365" s="77">
        <f>CW311</f>
        <v>14.9</v>
      </c>
      <c r="CX365" s="77">
        <f>CX311</f>
        <v>0</v>
      </c>
      <c r="CY365" s="77">
        <f>CY311</f>
        <v>0</v>
      </c>
      <c r="CZ365" s="77">
        <f>CZ311</f>
        <v>0</v>
      </c>
      <c r="DA365" s="77">
        <f>DA311</f>
        <v>14.9</v>
      </c>
      <c r="DC365" s="77">
        <f>DC311</f>
        <v>0</v>
      </c>
      <c r="DD365" s="77">
        <f>DD311</f>
        <v>0</v>
      </c>
      <c r="DE365" s="77">
        <f>DE311</f>
        <v>0</v>
      </c>
      <c r="DF365" s="77">
        <f>DF311</f>
        <v>-213.7</v>
      </c>
      <c r="DG365" s="77">
        <f>DG311</f>
        <v>-213.7</v>
      </c>
      <c r="DI365" s="77">
        <f>DI311</f>
        <v>0</v>
      </c>
      <c r="DJ365" s="77">
        <f>DJ311</f>
        <v>0</v>
      </c>
      <c r="DK365" s="77">
        <f>DK311</f>
        <v>0</v>
      </c>
      <c r="DL365" s="77">
        <f>DL311</f>
        <v>0</v>
      </c>
      <c r="DM365" s="77">
        <f>SUM(DI365:DL365)</f>
        <v>0</v>
      </c>
      <c r="DO365" s="77">
        <f>DO311</f>
        <v>0</v>
      </c>
      <c r="DP365" s="77">
        <f>DP311</f>
        <v>33.4</v>
      </c>
      <c r="DQ365" s="77">
        <f>DQ311</f>
        <v>41.5</v>
      </c>
      <c r="DR365" s="77">
        <f>DR311</f>
        <v>41.6</v>
      </c>
      <c r="DS365" s="77">
        <f>SUM(DO365:DR365)</f>
        <v>116.5</v>
      </c>
      <c r="DT365" s="77"/>
      <c r="DU365" s="77">
        <f>DU311</f>
        <v>19.8</v>
      </c>
      <c r="DV365" s="77">
        <f>DV311</f>
        <v>46.5</v>
      </c>
      <c r="DW365" s="77">
        <f>DW311</f>
        <v>53.3</v>
      </c>
      <c r="DX365" s="77">
        <f>DX311</f>
        <v>53</v>
      </c>
      <c r="DY365" s="77">
        <f>SUM(DU365:DX365)</f>
        <v>172.6</v>
      </c>
      <c r="EA365" s="77">
        <f>EA311</f>
        <v>40</v>
      </c>
      <c r="EB365" s="77">
        <f>EB311</f>
        <v>49</v>
      </c>
      <c r="EC365" s="77">
        <f>EC311</f>
        <v>57.7</v>
      </c>
      <c r="ED365" s="77">
        <f>ED311</f>
        <v>55.6</v>
      </c>
      <c r="EE365" s="77">
        <f>SUM(EA365:ED365)</f>
        <v>202.29999999999998</v>
      </c>
      <c r="EG365" s="77">
        <f>EG311</f>
        <v>31.1</v>
      </c>
      <c r="EH365" s="95">
        <v>0</v>
      </c>
      <c r="EI365" s="95">
        <v>0</v>
      </c>
      <c r="EJ365" s="95">
        <v>0</v>
      </c>
      <c r="EK365" s="77">
        <f>SUM(EG365:EJ365)</f>
        <v>31.1</v>
      </c>
      <c r="FG365" s="77">
        <f>BK365</f>
        <v>52.4</v>
      </c>
      <c r="FH365" s="77">
        <f>BQ365</f>
        <v>63.4</v>
      </c>
      <c r="FI365" s="77">
        <f>BW365</f>
        <v>59.100000000000009</v>
      </c>
      <c r="FJ365" s="196">
        <f>CC365</f>
        <v>47.7</v>
      </c>
      <c r="FK365" s="196">
        <f>CI365</f>
        <v>53.100000000000009</v>
      </c>
      <c r="FL365" s="196">
        <f>CO365</f>
        <v>46.3</v>
      </c>
      <c r="FM365" s="77">
        <f>CU365</f>
        <v>74.599999999999994</v>
      </c>
      <c r="FN365" s="77">
        <f>DA365</f>
        <v>14.9</v>
      </c>
      <c r="FO365" s="77">
        <f>DG365</f>
        <v>-213.7</v>
      </c>
      <c r="FP365" s="77">
        <f>DM365</f>
        <v>0</v>
      </c>
      <c r="FQ365" s="77">
        <f>DS365</f>
        <v>116.5</v>
      </c>
      <c r="FR365" s="77">
        <f>DY365</f>
        <v>172.6</v>
      </c>
      <c r="FS365" s="77">
        <f>EE365</f>
        <v>202.29999999999998</v>
      </c>
      <c r="FT365" s="77">
        <f>EK365</f>
        <v>31.1</v>
      </c>
      <c r="FU365" s="95">
        <f>1.06*FT365</f>
        <v>32.966000000000001</v>
      </c>
      <c r="FV365" s="95">
        <f>1.06*FU365</f>
        <v>34.943960000000004</v>
      </c>
      <c r="FW365" s="95">
        <f>1.06*FV365</f>
        <v>37.040597600000005</v>
      </c>
      <c r="FX365" s="95">
        <f>1.06*FW365</f>
        <v>39.263033456000009</v>
      </c>
    </row>
    <row r="366" spans="1:180" x14ac:dyDescent="0.25">
      <c r="B366" s="84" t="s">
        <v>159</v>
      </c>
      <c r="BG366" s="101">
        <f>BG365/BG43</f>
        <v>5.9251559251559303E-2</v>
      </c>
      <c r="BH366" s="101">
        <f>BH365/BH43</f>
        <v>3.3922771562612773E-2</v>
      </c>
      <c r="BI366" s="101">
        <f>BI365/BI43</f>
        <v>7.263197304380381E-2</v>
      </c>
      <c r="BJ366" s="101">
        <f>BJ365/BJ43</f>
        <v>3.2246442082507647E-2</v>
      </c>
      <c r="BK366" s="101">
        <f>BK365/BK43</f>
        <v>4.383103304056879E-2</v>
      </c>
      <c r="BM366" s="101">
        <f>BM365/BM43</f>
        <v>9.273384183059015E-2</v>
      </c>
      <c r="BN366" s="101">
        <f>BN365/BN43</f>
        <v>3.3860045146726865E-2</v>
      </c>
      <c r="BO366" s="101">
        <f>BO365/BO43</f>
        <v>5.6147540983606546E-2</v>
      </c>
      <c r="BP366" s="101">
        <f>BP365/BP43</f>
        <v>4.2979002624671921E-2</v>
      </c>
      <c r="BQ366" s="101">
        <f>BQ365/BQ43</f>
        <v>5.2983453117165284E-2</v>
      </c>
      <c r="BS366" s="101">
        <f>BS365/BS43</f>
        <v>3.6255276881052879E-2</v>
      </c>
      <c r="BT366" s="101">
        <f>BT365/BT43</f>
        <v>4.0573437922639982E-2</v>
      </c>
      <c r="BU366" s="101">
        <f>BU365/BU43</f>
        <v>4.5905707196029807E-2</v>
      </c>
      <c r="BV366" s="101">
        <f>BV365/BV43</f>
        <v>5.0273597811217541E-2</v>
      </c>
      <c r="BW366" s="101">
        <f>BW365/BW43</f>
        <v>4.2603806228373731E-2</v>
      </c>
      <c r="BY366" s="101">
        <f>BY365/BY43</f>
        <v>6.6666666666666735E-2</v>
      </c>
      <c r="BZ366" s="101">
        <f>BZ365/BZ43</f>
        <v>3.0808366308648954E-2</v>
      </c>
      <c r="CA366" s="101">
        <f>CA365/CA43</f>
        <v>2.9300328365748935E-2</v>
      </c>
      <c r="CB366" s="101">
        <f>CB365/CB43</f>
        <v>3.2034169781099853E-2</v>
      </c>
      <c r="CC366" s="101">
        <f>CC365/CC43</f>
        <v>3.6073508281025513E-2</v>
      </c>
      <c r="CE366" s="101">
        <f>CE365/CE43</f>
        <v>2.9860650298606517E-2</v>
      </c>
      <c r="CF366" s="101">
        <f>CF365/CF43</f>
        <v>2.1659875616555885E-2</v>
      </c>
      <c r="CG366" s="101">
        <f>CG365/CG43</f>
        <v>2.6566146113803632E-2</v>
      </c>
      <c r="CH366" s="101">
        <f>CH365/CH43</f>
        <v>2.2861586314152402E-2</v>
      </c>
      <c r="CI366" s="101">
        <f>CI365/CI43</f>
        <v>2.5064904413500132E-2</v>
      </c>
      <c r="CK366" s="101">
        <f>CK365/CK43</f>
        <v>2.2605151009820267E-2</v>
      </c>
      <c r="CL366" s="101">
        <f>CL365/CL43</f>
        <v>1.5753424657534244E-2</v>
      </c>
      <c r="CM366" s="101">
        <f>CM365/CM43</f>
        <v>2.4397413286302187E-2</v>
      </c>
      <c r="CN366" s="101">
        <f>CN365/CN43</f>
        <v>1.053968253968254E-2</v>
      </c>
      <c r="CO366" s="101">
        <f>CO365/CO43</f>
        <v>1.786541132890878E-2</v>
      </c>
      <c r="CQ366" s="101">
        <f>CQ365/CQ43</f>
        <v>4.192459200900394E-2</v>
      </c>
      <c r="CR366" s="101">
        <f>CR365/CR43</f>
        <v>2.6260504201680669E-2</v>
      </c>
      <c r="CS366" s="101">
        <f>CS365/CS43</f>
        <v>2.8717294192724944E-2</v>
      </c>
      <c r="CT366" s="101">
        <f>CT365/CT43</f>
        <v>2.5749559082892427E-2</v>
      </c>
      <c r="CU366" s="101">
        <f>CU365/CU43</f>
        <v>2.8778643623177225E-2</v>
      </c>
      <c r="CW366" s="101">
        <f>CW365/CW43</f>
        <v>3.814644137224784E-2</v>
      </c>
      <c r="CX366" s="101">
        <f>CX365/CX43</f>
        <v>0</v>
      </c>
      <c r="CY366" s="101">
        <f>CY365/CY43</f>
        <v>0</v>
      </c>
      <c r="CZ366" s="101">
        <f>CZ365/CZ43</f>
        <v>0</v>
      </c>
      <c r="DA366" s="101">
        <f>DA365/DA43</f>
        <v>4.1929311121116615E-3</v>
      </c>
      <c r="DC366" s="101">
        <f>DC365/DC43</f>
        <v>0</v>
      </c>
      <c r="DD366" s="101">
        <f>DD365/DD43</f>
        <v>0</v>
      </c>
      <c r="DE366" s="101">
        <f>DE365/DE43</f>
        <v>0</v>
      </c>
      <c r="DF366" s="101">
        <f>DF365/DF43</f>
        <v>-0.12050298860945075</v>
      </c>
      <c r="DG366" s="101">
        <f>DG365/DG43</f>
        <v>-3.6323769377209672E-2</v>
      </c>
      <c r="DI366" s="101">
        <f>DI365/DI43</f>
        <v>0</v>
      </c>
      <c r="DJ366" s="101">
        <f>DJ365/DJ43</f>
        <v>0</v>
      </c>
      <c r="DK366" s="101">
        <f>DK365/DK43</f>
        <v>0</v>
      </c>
      <c r="DL366" s="101">
        <f>DL365/DL43</f>
        <v>0</v>
      </c>
      <c r="DM366" s="101">
        <f>DM365/DM43</f>
        <v>0</v>
      </c>
      <c r="DO366" s="101">
        <f>DO365/DO43</f>
        <v>0</v>
      </c>
      <c r="DP366" s="101">
        <f>DP365/DP43</f>
        <v>1.7201421434825153E-2</v>
      </c>
      <c r="DQ366" s="101">
        <f>DQ365/DQ43</f>
        <v>2.1918242315411438E-2</v>
      </c>
      <c r="DR366" s="101">
        <f>DR365/DR43</f>
        <v>2.031150822713735E-2</v>
      </c>
      <c r="DS366" s="101">
        <f>DS365/DS43</f>
        <v>1.486158948845516E-2</v>
      </c>
      <c r="DT366" s="101"/>
      <c r="DU366" s="101">
        <f>DU365/DU43</f>
        <v>1.6179114234352018E-2</v>
      </c>
      <c r="DV366" s="101">
        <f>DV365/DV43</f>
        <v>2.9469548133595296E-2</v>
      </c>
      <c r="DW366" s="101">
        <f>DW365/DW43</f>
        <v>2.5668191668673252E-2</v>
      </c>
      <c r="DX366" s="101">
        <f>DX365/DX43</f>
        <v>1.9677730749238884E-2</v>
      </c>
      <c r="DY366" s="101">
        <f>DY365/DY43</f>
        <v>2.2795710285804856E-2</v>
      </c>
      <c r="EA366" s="101">
        <f>EA365/EA43</f>
        <v>1.6985138004246288E-2</v>
      </c>
      <c r="EB366" s="101">
        <f>EB365/EB43</f>
        <v>2.1394577129633663E-2</v>
      </c>
      <c r="EC366" s="101">
        <f>EC365/EC43</f>
        <v>2.7159331607437047E-2</v>
      </c>
      <c r="ED366" s="101">
        <f>ED365/ED43</f>
        <v>1.9314679595588961E-2</v>
      </c>
      <c r="EE366" s="101">
        <f>EE365/EE43</f>
        <v>2.0967121116389601E-2</v>
      </c>
      <c r="EG366" s="101">
        <f>EG365/EG43</f>
        <v>1.1283242027355511E-2</v>
      </c>
      <c r="EH366" s="101">
        <f>EH365/EH43</f>
        <v>0</v>
      </c>
      <c r="EI366" s="101">
        <f>EI365/EI43</f>
        <v>0</v>
      </c>
      <c r="EJ366" s="101">
        <f>EJ365/EJ43</f>
        <v>0</v>
      </c>
      <c r="EK366" s="101">
        <f>EK365/EK43</f>
        <v>2.6493173851524945E-3</v>
      </c>
      <c r="FG366" s="101">
        <f t="shared" ref="FG366:FX366" si="397">FG365/FG43</f>
        <v>4.383103304056879E-2</v>
      </c>
      <c r="FH366" s="101">
        <f t="shared" si="397"/>
        <v>5.2983453117165284E-2</v>
      </c>
      <c r="FI366" s="101">
        <f t="shared" si="397"/>
        <v>4.2603806228373731E-2</v>
      </c>
      <c r="FJ366" s="101">
        <f t="shared" si="397"/>
        <v>3.6073508281025513E-2</v>
      </c>
      <c r="FK366" s="101">
        <f t="shared" si="397"/>
        <v>2.5064904413500132E-2</v>
      </c>
      <c r="FL366" s="101">
        <f t="shared" si="397"/>
        <v>1.786541132890878E-2</v>
      </c>
      <c r="FM366" s="101">
        <f t="shared" si="397"/>
        <v>2.8778643623177225E-2</v>
      </c>
      <c r="FN366" s="101">
        <f t="shared" si="397"/>
        <v>4.1929311121116615E-3</v>
      </c>
      <c r="FO366" s="101">
        <f t="shared" si="397"/>
        <v>-3.6323769377209672E-2</v>
      </c>
      <c r="FP366" s="101">
        <f t="shared" si="397"/>
        <v>0</v>
      </c>
      <c r="FQ366" s="101">
        <f t="shared" si="397"/>
        <v>1.486158948845516E-2</v>
      </c>
      <c r="FR366" s="101">
        <f t="shared" si="397"/>
        <v>2.2795710285804856E-2</v>
      </c>
      <c r="FS366" s="101">
        <f t="shared" si="397"/>
        <v>2.0967121116389601E-2</v>
      </c>
      <c r="FT366" s="101">
        <f t="shared" si="397"/>
        <v>2.6493173851524963E-3</v>
      </c>
      <c r="FU366" s="101">
        <f t="shared" si="397"/>
        <v>1.8757110115354989E-3</v>
      </c>
      <c r="FV366" s="101">
        <f t="shared" si="397"/>
        <v>2.4903695162942305E-3</v>
      </c>
      <c r="FW366" s="101">
        <f t="shared" si="397"/>
        <v>1.0046460721220181E-2</v>
      </c>
      <c r="FX366" s="101">
        <f t="shared" ca="1" si="397"/>
        <v>7.856809344981789E-3</v>
      </c>
    </row>
    <row r="367" spans="1:180" x14ac:dyDescent="0.25">
      <c r="B367" s="84"/>
      <c r="BG367" s="77"/>
      <c r="BH367" s="77"/>
      <c r="BI367" s="77"/>
      <c r="BJ367" s="77"/>
      <c r="BK367" s="77"/>
      <c r="BM367" s="77"/>
      <c r="BN367" s="77"/>
      <c r="BO367" s="77"/>
      <c r="BP367" s="77"/>
      <c r="BQ367" s="77"/>
      <c r="BS367" s="77"/>
      <c r="BT367" s="77"/>
      <c r="BU367" s="77"/>
      <c r="BV367" s="77"/>
      <c r="BW367" s="77"/>
      <c r="BY367" s="77"/>
      <c r="BZ367" s="77"/>
      <c r="CA367" s="77"/>
      <c r="CB367" s="77"/>
      <c r="CC367" s="77"/>
      <c r="CE367" s="77"/>
      <c r="CF367" s="77"/>
      <c r="CG367" s="77"/>
      <c r="CH367" s="77"/>
      <c r="CI367" s="77"/>
      <c r="CK367" s="77"/>
      <c r="CL367" s="77"/>
      <c r="CM367" s="77"/>
      <c r="CN367" s="77"/>
      <c r="CO367" s="77"/>
      <c r="CQ367" s="77"/>
      <c r="CR367" s="77"/>
      <c r="CS367" s="77"/>
      <c r="CT367" s="77"/>
      <c r="CU367" s="77"/>
      <c r="CW367" s="77"/>
      <c r="CX367" s="77"/>
      <c r="CY367" s="77"/>
      <c r="CZ367" s="77"/>
      <c r="DA367" s="77"/>
      <c r="DC367" s="77"/>
      <c r="DD367" s="77"/>
      <c r="DE367" s="77"/>
      <c r="DF367" s="77"/>
      <c r="DG367" s="77"/>
      <c r="DI367" s="77"/>
      <c r="DJ367" s="77"/>
      <c r="DK367" s="77"/>
      <c r="DL367" s="77"/>
      <c r="DO367" s="77"/>
      <c r="DP367" s="77"/>
      <c r="DQ367" s="77"/>
      <c r="DR367" s="77"/>
      <c r="DT367" s="77"/>
      <c r="DU367" s="77"/>
      <c r="DV367" s="77"/>
      <c r="DW367" s="77"/>
      <c r="DX367" s="77"/>
      <c r="EA367" s="77"/>
      <c r="EB367" s="77"/>
      <c r="EC367" s="77"/>
      <c r="FG367" s="77"/>
    </row>
    <row r="368" spans="1:180" x14ac:dyDescent="0.25">
      <c r="B368" s="84" t="s">
        <v>158</v>
      </c>
      <c r="BG368" s="77">
        <f>BG313</f>
        <v>30.4</v>
      </c>
      <c r="BH368" s="77">
        <f>BH313</f>
        <v>33.9</v>
      </c>
      <c r="BI368" s="77">
        <f>BI313</f>
        <v>48.2</v>
      </c>
      <c r="BJ368" s="77">
        <f>BJ313</f>
        <v>52.4</v>
      </c>
      <c r="BK368" s="77">
        <f>BK313</f>
        <v>164.9</v>
      </c>
      <c r="BM368" s="77">
        <f>BM313</f>
        <v>41.5</v>
      </c>
      <c r="BN368" s="77">
        <f>BN313</f>
        <v>45.2</v>
      </c>
      <c r="BO368" s="77">
        <f>BO313</f>
        <v>35.799999999999997</v>
      </c>
      <c r="BP368" s="77">
        <f>BP313</f>
        <v>40.299999999999997</v>
      </c>
      <c r="BQ368" s="77">
        <f>BQ313</f>
        <v>162.80000000000001</v>
      </c>
      <c r="BS368" s="77">
        <f>BS313</f>
        <v>37</v>
      </c>
      <c r="BT368" s="77">
        <f>BT313</f>
        <v>60.3</v>
      </c>
      <c r="BU368" s="77">
        <f>BU313</f>
        <v>56.3</v>
      </c>
      <c r="BV368" s="77">
        <f>BV313</f>
        <v>58.2</v>
      </c>
      <c r="BW368" s="77">
        <f>BW313</f>
        <v>211.8</v>
      </c>
      <c r="BY368" s="77">
        <f>BY313</f>
        <v>36.6</v>
      </c>
      <c r="BZ368" s="77">
        <f>BZ313</f>
        <v>22.5</v>
      </c>
      <c r="CA368" s="77">
        <f>CA313</f>
        <v>2.9</v>
      </c>
      <c r="CB368" s="77">
        <f>CB313</f>
        <v>11</v>
      </c>
      <c r="CC368" s="77">
        <f>CC313</f>
        <v>73</v>
      </c>
      <c r="CE368" s="77">
        <f>CE313</f>
        <v>29.3</v>
      </c>
      <c r="CF368" s="77">
        <f>CF313</f>
        <v>31.3</v>
      </c>
      <c r="CG368" s="77">
        <f>CG313</f>
        <v>40.6</v>
      </c>
      <c r="CH368" s="77">
        <f>CH313</f>
        <v>18.899999999999999</v>
      </c>
      <c r="CI368" s="77">
        <f>CI313</f>
        <v>120.1</v>
      </c>
      <c r="CK368" s="77">
        <f>CK313</f>
        <v>59</v>
      </c>
      <c r="CL368" s="77">
        <f>CL313</f>
        <v>41.7</v>
      </c>
      <c r="CM368" s="77">
        <f>CM313</f>
        <v>45.5</v>
      </c>
      <c r="CN368" s="77">
        <f>CN313</f>
        <v>72</v>
      </c>
      <c r="CO368" s="77">
        <f>CO313</f>
        <v>218.2</v>
      </c>
      <c r="CQ368" s="77">
        <f>CQ313</f>
        <v>72.099999999999994</v>
      </c>
      <c r="CR368" s="77">
        <f>CR313</f>
        <v>49.1</v>
      </c>
      <c r="CS368" s="77">
        <f>CS313</f>
        <v>46.1</v>
      </c>
      <c r="CT368" s="77">
        <f>CT313</f>
        <v>54.2</v>
      </c>
      <c r="CU368" s="77">
        <f>CU313</f>
        <v>221.5</v>
      </c>
      <c r="CW368" s="77">
        <f>CW313</f>
        <v>39.299999999999997</v>
      </c>
      <c r="CX368" s="77">
        <f>CX313</f>
        <v>39.200000000000003</v>
      </c>
      <c r="CY368" s="77">
        <f>CY313</f>
        <v>36.299999999999997</v>
      </c>
      <c r="CZ368" s="77">
        <f>CZ313</f>
        <v>77.599999999999994</v>
      </c>
      <c r="DA368" s="77">
        <f>DA313</f>
        <v>192.39999999999998</v>
      </c>
      <c r="DC368" s="77">
        <f>DC313</f>
        <v>34.4</v>
      </c>
      <c r="DD368" s="77">
        <f>DD313</f>
        <v>44</v>
      </c>
      <c r="DE368" s="77">
        <f>DE313</f>
        <v>52.9</v>
      </c>
      <c r="DF368" s="77">
        <f>DF313</f>
        <v>49.4</v>
      </c>
      <c r="DG368" s="77">
        <f>DG313</f>
        <v>180.70000000000002</v>
      </c>
      <c r="DI368" s="77">
        <f>DI313</f>
        <v>50.2</v>
      </c>
      <c r="DJ368" s="77">
        <f>DJ313</f>
        <v>75.2</v>
      </c>
      <c r="DK368" s="77">
        <f>DK313</f>
        <v>81.8</v>
      </c>
      <c r="DL368" s="77">
        <f>DL313</f>
        <v>71.3</v>
      </c>
      <c r="DM368" s="77">
        <f>SUM(DI368:DL368)</f>
        <v>278.5</v>
      </c>
      <c r="DO368" s="77">
        <f>DO313</f>
        <v>81.7</v>
      </c>
      <c r="DP368" s="77">
        <f>DP313</f>
        <v>90.6</v>
      </c>
      <c r="DQ368" s="77">
        <f>DQ313</f>
        <v>102.3</v>
      </c>
      <c r="DR368" s="77">
        <f>DR313</f>
        <v>210.7</v>
      </c>
      <c r="DS368" s="77">
        <f>SUM(DO368:DR368)</f>
        <v>485.3</v>
      </c>
      <c r="DT368" s="77"/>
      <c r="DU368" s="77">
        <f>DU313</f>
        <v>121.5</v>
      </c>
      <c r="DV368" s="77">
        <f>DV313</f>
        <v>110.7</v>
      </c>
      <c r="DW368" s="77">
        <f>DW313</f>
        <v>154.80000000000001</v>
      </c>
      <c r="DX368" s="77">
        <f>DX313</f>
        <v>167.7</v>
      </c>
      <c r="DY368" s="77">
        <f>SUM(DU368:DX368)</f>
        <v>554.70000000000005</v>
      </c>
      <c r="EA368" s="77">
        <f>EA313</f>
        <v>59.6</v>
      </c>
      <c r="EB368" s="77">
        <f>EB313</f>
        <v>99.7</v>
      </c>
      <c r="EC368" s="77">
        <f>EC313</f>
        <v>138.6</v>
      </c>
      <c r="ED368" s="77">
        <f>ED313</f>
        <v>171.5</v>
      </c>
      <c r="EE368" s="77">
        <f>SUM(EA368:ED368)</f>
        <v>469.4</v>
      </c>
      <c r="EG368" s="77">
        <f>EG313</f>
        <v>80.2</v>
      </c>
      <c r="EH368" s="77">
        <f>EH241*EH369</f>
        <v>139.56799999999998</v>
      </c>
      <c r="EI368" s="77">
        <f>EI241*EI369</f>
        <v>149.15694444444443</v>
      </c>
      <c r="EJ368" s="77">
        <f>EJ241*EJ369</f>
        <v>107.05930341944439</v>
      </c>
      <c r="EK368" s="77">
        <f>SUM(EG368:EJ368)</f>
        <v>475.98424786388881</v>
      </c>
      <c r="FG368" s="77">
        <f>BK368</f>
        <v>164.9</v>
      </c>
      <c r="FH368" s="77">
        <f>BQ368</f>
        <v>162.80000000000001</v>
      </c>
      <c r="FI368" s="77">
        <f>BW368</f>
        <v>211.8</v>
      </c>
      <c r="FJ368" s="196">
        <f>CC368</f>
        <v>73</v>
      </c>
      <c r="FK368" s="196">
        <f>CI368</f>
        <v>120.1</v>
      </c>
      <c r="FL368" s="196">
        <f>CO368</f>
        <v>218.2</v>
      </c>
      <c r="FM368" s="77">
        <f>CU368</f>
        <v>221.5</v>
      </c>
      <c r="FN368" s="77">
        <f>DA368</f>
        <v>192.39999999999998</v>
      </c>
      <c r="FO368" s="77">
        <f>DG368</f>
        <v>180.70000000000002</v>
      </c>
      <c r="FP368" s="77">
        <f>DM368</f>
        <v>278.5</v>
      </c>
      <c r="FQ368" s="77">
        <f>DS368</f>
        <v>485.3</v>
      </c>
      <c r="FR368" s="77">
        <f>DY368</f>
        <v>554.70000000000005</v>
      </c>
      <c r="FS368" s="77">
        <f>EE368</f>
        <v>469.4</v>
      </c>
      <c r="FT368" s="77">
        <f>EK368</f>
        <v>475.98424786388881</v>
      </c>
      <c r="FU368" s="77">
        <f>FU241*FU369</f>
        <v>652.60763544166673</v>
      </c>
      <c r="FV368" s="77">
        <f>FV241*FV369</f>
        <v>489.08462366662917</v>
      </c>
      <c r="FW368" s="77">
        <f ca="1">FW241*FW369</f>
        <v>301.04180555555553</v>
      </c>
      <c r="FX368" s="77">
        <f>FX241*FX369</f>
        <v>351.61611111111114</v>
      </c>
    </row>
    <row r="369" spans="2:180" x14ac:dyDescent="0.25">
      <c r="B369" s="84" t="s">
        <v>157</v>
      </c>
      <c r="BG369" s="101">
        <f>BG368/BG241</f>
        <v>1.5156047462359159E-2</v>
      </c>
      <c r="BH369" s="101">
        <f>BH368/BH241</f>
        <v>1.4293544714761564E-2</v>
      </c>
      <c r="BI369" s="101">
        <f>BI368/BI241</f>
        <v>1.9338789921360938E-2</v>
      </c>
      <c r="BJ369" s="101">
        <f>BJ368/BJ241</f>
        <v>2.1897200167154199E-2</v>
      </c>
      <c r="BK369" s="101">
        <f>BK368/BK241</f>
        <v>6.8909318846636022E-2</v>
      </c>
      <c r="BM369" s="101">
        <f>BM368/BM241</f>
        <v>1.6289202025356206E-2</v>
      </c>
      <c r="BN369" s="101">
        <f>BN368/BN241</f>
        <v>1.7281590518065382E-2</v>
      </c>
      <c r="BO369" s="101">
        <f>BO368/BO241</f>
        <v>1.3374178123132095E-2</v>
      </c>
      <c r="BP369" s="101">
        <f>BP368/BP241</f>
        <v>1.5805161189112869E-2</v>
      </c>
      <c r="BQ369" s="101">
        <f>BQ368/BQ241</f>
        <v>6.3848144952545302E-2</v>
      </c>
      <c r="BS369" s="101">
        <f>BS368/BS241</f>
        <v>1.4189837008628955E-2</v>
      </c>
      <c r="BT369" s="101">
        <f>BT368/BT241</f>
        <v>2.3262991396936845E-2</v>
      </c>
      <c r="BU369" s="101">
        <f>BU368/BU241</f>
        <v>2.2191564840362631E-2</v>
      </c>
      <c r="BV369" s="101">
        <f>BV368/BV241</f>
        <v>2.2613358200256443E-2</v>
      </c>
      <c r="BW369" s="101">
        <f>BW368/BW241</f>
        <v>8.2293973656603348E-2</v>
      </c>
      <c r="BY369" s="101">
        <f>BY368/BY241</f>
        <v>1.3309090909090909E-2</v>
      </c>
      <c r="BZ369" s="101">
        <f>BZ368/BZ241</f>
        <v>8.2863771958899563E-3</v>
      </c>
      <c r="CA369" s="101">
        <f>CA368/CA241</f>
        <v>1.0753086877526047E-3</v>
      </c>
      <c r="CB369" s="101">
        <f>CB368/CB241</f>
        <v>3.9555539573519361E-3</v>
      </c>
      <c r="CC369" s="101">
        <f>CC368/CC241</f>
        <v>2.6250494444244668E-2</v>
      </c>
      <c r="CE369" s="101">
        <f>CE368/CE241</f>
        <v>9.7806856494308519E-3</v>
      </c>
      <c r="CF369" s="101">
        <f>CF368/CF241</f>
        <v>9.9780037616755395E-3</v>
      </c>
      <c r="CG369" s="101">
        <f>CG368/CG241</f>
        <v>1.3540103385025848E-2</v>
      </c>
      <c r="CH369" s="101">
        <f>CH368/CH241</f>
        <v>6.3946406820950055E-3</v>
      </c>
      <c r="CI369" s="101">
        <f>CI368/CI241</f>
        <v>4.0634727297333875E-2</v>
      </c>
      <c r="CK369" s="101">
        <f>CK368/CK241</f>
        <v>1.8257775027077209E-2</v>
      </c>
      <c r="CL369" s="101">
        <f>CL368/CL241</f>
        <v>1.2960372960372961E-2</v>
      </c>
      <c r="CM369" s="101">
        <f>CM368/CM241</f>
        <v>1.3371734211067682E-2</v>
      </c>
      <c r="CN369" s="101">
        <f>CN368/CN241</f>
        <v>2.0933275185346708E-2</v>
      </c>
      <c r="CO369" s="101">
        <f>CO368/CO241</f>
        <v>6.3439453408925719E-2</v>
      </c>
      <c r="CQ369" s="101">
        <f>CQ368/CQ241</f>
        <v>1.9151083722906925E-2</v>
      </c>
      <c r="CR369" s="101">
        <f>CR368/CR241</f>
        <v>1.2544390792263866E-2</v>
      </c>
      <c r="CS369" s="101">
        <f>CS368/CS241</f>
        <v>1.1835686777920412E-2</v>
      </c>
      <c r="CT369" s="101">
        <f>CT368/CT241</f>
        <v>1.4228709440302427E-2</v>
      </c>
      <c r="CU369" s="101">
        <f>CU368/CU241</f>
        <v>5.8148692638874309E-2</v>
      </c>
      <c r="CW369" s="101">
        <f>CW368/CW241</f>
        <v>9.0442547119876631E-3</v>
      </c>
      <c r="CX369" s="101">
        <f>CX368/CX241</f>
        <v>8.366057708724603E-3</v>
      </c>
      <c r="CY369" s="101">
        <f>CY368/CY241</f>
        <v>7.8678717731972166E-3</v>
      </c>
      <c r="CZ369" s="101">
        <f>CZ368/CZ241</f>
        <v>1.6982536000350157E-2</v>
      </c>
      <c r="DA369" s="101">
        <f>DA368/DA241</f>
        <v>4.210618461942487E-2</v>
      </c>
      <c r="DC369" s="101">
        <f>DC368/DC241</f>
        <v>7.2450032644636791E-3</v>
      </c>
      <c r="DD369" s="101">
        <f>DD368/DD241</f>
        <v>8.650689106029924E-3</v>
      </c>
      <c r="DE369" s="101">
        <f>DE368/DE241</f>
        <v>1.0699405363860685E-2</v>
      </c>
      <c r="DF369" s="101">
        <f>DF368/DF241</f>
        <v>9.5381526104417677E-3</v>
      </c>
      <c r="DG369" s="101">
        <f>DG368/DG241</f>
        <v>3.4889558232931731E-2</v>
      </c>
      <c r="DI369" s="101">
        <f>DI368/DI241</f>
        <v>8.2654153288877919E-3</v>
      </c>
      <c r="DJ369" s="101">
        <f>DJ368/DJ241</f>
        <v>1.1810714453990042E-2</v>
      </c>
      <c r="DK369" s="101">
        <f>DK368/DK241</f>
        <v>1.1882626380011621E-2</v>
      </c>
      <c r="DL369" s="101">
        <f>DL368/DL241</f>
        <v>9.9031904107115577E-3</v>
      </c>
      <c r="DM369" s="101">
        <f>DM368/DM241</f>
        <v>3.8682167312526911E-2</v>
      </c>
      <c r="DO369" s="101">
        <f>DO368/DO241</f>
        <v>1.1052489177489178E-2</v>
      </c>
      <c r="DP369" s="101">
        <f>DP368/DP241</f>
        <v>1.1713901530823334E-2</v>
      </c>
      <c r="DQ369" s="101">
        <f>DQ368/DQ241</f>
        <v>1.2209822760637345E-2</v>
      </c>
      <c r="DR369" s="101">
        <f>DR368/DR241</f>
        <v>2.380602664196052E-2</v>
      </c>
      <c r="DS369" s="101">
        <f>DS368/DS241</f>
        <v>5.4831821211881543E-2</v>
      </c>
      <c r="DT369" s="101"/>
      <c r="DU369" s="101">
        <f>DU368/DU241</f>
        <v>1.2316893912514573E-2</v>
      </c>
      <c r="DV369" s="101">
        <f>DV368/DV241</f>
        <v>1.0089042406788004E-2</v>
      </c>
      <c r="DW369" s="101">
        <f>DW368/DW241</f>
        <v>1.3561697840466075E-2</v>
      </c>
      <c r="DX369" s="101">
        <f>DX368/DX241</f>
        <v>1.539732819170913E-2</v>
      </c>
      <c r="DY369" s="101">
        <f>DY368/DY241</f>
        <v>5.0929624018730205E-2</v>
      </c>
      <c r="EA369" s="101">
        <f>EA368/EA241</f>
        <v>5.4060427948152785E-3</v>
      </c>
      <c r="EB369" s="101">
        <f>EB368/EB241</f>
        <v>8.6127956599111946E-3</v>
      </c>
      <c r="EC369" s="101">
        <f>EC368/EC241</f>
        <v>1.1782908831230659E-2</v>
      </c>
      <c r="ED369" s="101">
        <f>ED368/ED241</f>
        <v>1.5005293412544951E-2</v>
      </c>
      <c r="EE369" s="101">
        <f>EE368/EE241</f>
        <v>4.1069881795035568E-2</v>
      </c>
      <c r="EG369" s="101">
        <f>EG368/EG241</f>
        <v>6.8481453651205683E-3</v>
      </c>
      <c r="EH369" s="100">
        <v>1.0999999999999999E-2</v>
      </c>
      <c r="EI369" s="100">
        <v>1.0999999999999999E-2</v>
      </c>
      <c r="EJ369" s="100">
        <v>1.0999999999999999E-2</v>
      </c>
      <c r="EK369" s="101">
        <f>EK368/EK241</f>
        <v>4.8905854599011263E-2</v>
      </c>
      <c r="FG369" s="101">
        <f t="shared" ref="FG369:FT369" si="398">FG368/FG241</f>
        <v>6.8909318846636022E-2</v>
      </c>
      <c r="FH369" s="101">
        <f t="shared" si="398"/>
        <v>6.3848144952545302E-2</v>
      </c>
      <c r="FI369" s="101">
        <f t="shared" si="398"/>
        <v>8.2293973656603348E-2</v>
      </c>
      <c r="FJ369" s="101">
        <f t="shared" si="398"/>
        <v>2.6250494444244668E-2</v>
      </c>
      <c r="FK369" s="101">
        <f t="shared" si="398"/>
        <v>4.0634727297333875E-2</v>
      </c>
      <c r="FL369" s="101">
        <f t="shared" si="398"/>
        <v>6.3439453408925719E-2</v>
      </c>
      <c r="FM369" s="101">
        <f t="shared" si="398"/>
        <v>5.8148692638874309E-2</v>
      </c>
      <c r="FN369" s="101">
        <f t="shared" si="398"/>
        <v>4.210618461942487E-2</v>
      </c>
      <c r="FO369" s="101">
        <f t="shared" si="398"/>
        <v>3.4889558232931731E-2</v>
      </c>
      <c r="FP369" s="101">
        <f t="shared" si="398"/>
        <v>3.8682167312526911E-2</v>
      </c>
      <c r="FQ369" s="101">
        <f t="shared" si="398"/>
        <v>5.4831821211881543E-2</v>
      </c>
      <c r="FR369" s="101">
        <f t="shared" si="398"/>
        <v>5.0929624018730205E-2</v>
      </c>
      <c r="FS369" s="101">
        <f t="shared" si="398"/>
        <v>4.1069881795035568E-2</v>
      </c>
      <c r="FT369" s="101">
        <f t="shared" si="398"/>
        <v>4.8905854599011263E-2</v>
      </c>
      <c r="FU369" s="100">
        <v>0.05</v>
      </c>
      <c r="FV369" s="100">
        <v>0.05</v>
      </c>
      <c r="FW369" s="100">
        <v>0.05</v>
      </c>
      <c r="FX369" s="100">
        <v>0.05</v>
      </c>
    </row>
    <row r="370" spans="2:180" x14ac:dyDescent="0.25">
      <c r="B370" s="84"/>
      <c r="BG370" s="77"/>
      <c r="BH370" s="77"/>
      <c r="BI370" s="77"/>
      <c r="BJ370" s="77"/>
      <c r="BK370" s="77"/>
      <c r="BM370" s="77"/>
      <c r="BN370" s="77"/>
      <c r="BO370" s="77"/>
      <c r="BP370" s="77"/>
      <c r="BQ370" s="77"/>
      <c r="BS370" s="77"/>
      <c r="BT370" s="77"/>
      <c r="BU370" s="77"/>
      <c r="BV370" s="77"/>
      <c r="BW370" s="77"/>
      <c r="BY370" s="77"/>
      <c r="BZ370" s="77"/>
      <c r="CA370" s="77"/>
      <c r="CB370" s="77"/>
      <c r="CC370" s="77"/>
      <c r="CE370" s="77"/>
      <c r="CF370" s="77"/>
      <c r="CG370" s="77"/>
      <c r="CH370" s="77"/>
      <c r="CI370" s="77"/>
      <c r="CK370" s="77"/>
      <c r="CL370" s="77"/>
      <c r="CM370" s="77"/>
      <c r="CN370" s="77"/>
      <c r="CO370" s="77"/>
      <c r="CQ370" s="77"/>
      <c r="CR370" s="77"/>
      <c r="CS370" s="77"/>
      <c r="CT370" s="77"/>
      <c r="CU370" s="77"/>
      <c r="CW370" s="77"/>
      <c r="CX370" s="77"/>
      <c r="CY370" s="77"/>
      <c r="CZ370" s="77"/>
      <c r="DA370" s="77"/>
      <c r="DC370" s="77"/>
      <c r="DD370" s="77"/>
      <c r="DE370" s="77"/>
      <c r="DF370" s="77"/>
      <c r="DG370" s="77"/>
      <c r="DI370" s="77"/>
      <c r="DJ370" s="77"/>
      <c r="DK370" s="77"/>
      <c r="DL370" s="77"/>
      <c r="DO370" s="77"/>
      <c r="DP370" s="77"/>
      <c r="DQ370" s="77"/>
      <c r="DR370" s="77"/>
      <c r="DT370" s="77"/>
      <c r="DU370" s="77"/>
      <c r="DV370" s="77"/>
      <c r="DW370" s="77"/>
      <c r="DX370" s="77"/>
      <c r="EA370" s="77"/>
      <c r="EB370" s="77"/>
      <c r="EC370" s="77"/>
      <c r="FG370" s="77"/>
    </row>
    <row r="371" spans="2:180" x14ac:dyDescent="0.25">
      <c r="B371" s="84" t="s">
        <v>156</v>
      </c>
      <c r="BG371" s="77">
        <f>BG325</f>
        <v>-27.3</v>
      </c>
      <c r="BH371" s="77">
        <f>BH325</f>
        <v>-50.5</v>
      </c>
      <c r="BI371" s="77">
        <f>BI325</f>
        <v>-55.3</v>
      </c>
      <c r="BJ371" s="77">
        <f>BJ325</f>
        <v>-77.7</v>
      </c>
      <c r="BK371" s="77">
        <f>BK325</f>
        <v>-210.8</v>
      </c>
      <c r="BM371" s="77">
        <f>BM325</f>
        <v>-75.5</v>
      </c>
      <c r="BN371" s="77">
        <f>BN325</f>
        <v>-70.7</v>
      </c>
      <c r="BO371" s="77">
        <f>BO325</f>
        <v>-84.2</v>
      </c>
      <c r="BP371" s="77">
        <f>BP325</f>
        <v>-127.9</v>
      </c>
      <c r="BQ371" s="77">
        <f>BQ325</f>
        <v>-358.29999999999995</v>
      </c>
      <c r="BS371" s="77">
        <f>BS325</f>
        <v>-85.6</v>
      </c>
      <c r="BT371" s="77">
        <f>BT325</f>
        <v>-79.2</v>
      </c>
      <c r="BU371" s="77">
        <f>BU325</f>
        <v>-86.5</v>
      </c>
      <c r="BV371" s="77">
        <f>BV325</f>
        <v>-120.5</v>
      </c>
      <c r="BW371" s="77">
        <f>BW325</f>
        <v>-371.8</v>
      </c>
      <c r="BY371" s="77">
        <f>BY325</f>
        <v>-55.2</v>
      </c>
      <c r="BZ371" s="77">
        <f>BZ325</f>
        <v>-98.9</v>
      </c>
      <c r="CA371" s="77">
        <f>CA325</f>
        <v>-66.3</v>
      </c>
      <c r="CB371" s="77">
        <f>CB325</f>
        <v>-95.9</v>
      </c>
      <c r="CC371" s="77">
        <f>CC325</f>
        <v>-316.30000000000007</v>
      </c>
      <c r="CE371" s="77">
        <f>CE325</f>
        <v>-38.6</v>
      </c>
      <c r="CF371" s="77">
        <f>CF325</f>
        <v>-56.3</v>
      </c>
      <c r="CG371" s="77">
        <f>CG325</f>
        <v>-95.7</v>
      </c>
      <c r="CH371" s="77">
        <f>CH325</f>
        <v>-148.30000000000001</v>
      </c>
      <c r="CI371" s="77">
        <f>CI325</f>
        <v>-338.90000000000003</v>
      </c>
      <c r="CK371" s="77">
        <f>CK325</f>
        <v>-129.19999999999999</v>
      </c>
      <c r="CL371" s="77">
        <f>CL325</f>
        <v>-125.6</v>
      </c>
      <c r="CM371" s="77">
        <f>CM325</f>
        <v>-129.1</v>
      </c>
      <c r="CN371" s="77">
        <f>CN325</f>
        <v>-190.1</v>
      </c>
      <c r="CO371" s="77">
        <f>CO325</f>
        <v>-574</v>
      </c>
      <c r="CQ371" s="77">
        <f>CQ325</f>
        <v>-147</v>
      </c>
      <c r="CR371" s="77">
        <f>CR325</f>
        <v>-128.30000000000001</v>
      </c>
      <c r="CS371" s="77">
        <f>CS325</f>
        <v>-185.8</v>
      </c>
      <c r="CT371" s="77">
        <f>CT325</f>
        <v>-305.5</v>
      </c>
      <c r="CU371" s="77">
        <f>CU325</f>
        <v>-766.6</v>
      </c>
      <c r="CW371" s="77">
        <f>CW325</f>
        <v>-231.5</v>
      </c>
      <c r="CX371" s="77">
        <f>CX325</f>
        <v>-225.1</v>
      </c>
      <c r="CY371" s="77">
        <f>CY325</f>
        <v>-212.5</v>
      </c>
      <c r="CZ371" s="77">
        <f>CZ325</f>
        <v>-292.89999999999998</v>
      </c>
      <c r="DA371" s="77">
        <f>DA325</f>
        <v>-962</v>
      </c>
      <c r="DC371" s="77">
        <f>DC325</f>
        <v>-189.4</v>
      </c>
      <c r="DD371" s="77">
        <f>DD325</f>
        <v>-241.1</v>
      </c>
      <c r="DE371" s="77">
        <f>DE325</f>
        <v>-197</v>
      </c>
      <c r="DF371" s="77">
        <f>DF325</f>
        <v>-273.2</v>
      </c>
      <c r="DG371" s="77">
        <f>DG325</f>
        <v>-900.7</v>
      </c>
      <c r="DI371" s="77">
        <f>DI325</f>
        <v>-240.1</v>
      </c>
      <c r="DJ371" s="77">
        <f>DJ325</f>
        <v>-231.5</v>
      </c>
      <c r="DK371" s="77">
        <f>DK325</f>
        <v>-356.6</v>
      </c>
      <c r="DL371" s="77">
        <f>DL325</f>
        <v>-453.6</v>
      </c>
      <c r="DM371" s="77">
        <f>SUM(DI371:DL371)</f>
        <v>-1281.8000000000002</v>
      </c>
      <c r="DO371" s="77">
        <f>DO325</f>
        <v>-532</v>
      </c>
      <c r="DP371" s="77">
        <f>DP325</f>
        <v>-537.79999999999995</v>
      </c>
      <c r="DQ371" s="77">
        <f>DQ325</f>
        <v>-501.8</v>
      </c>
      <c r="DR371" s="77">
        <f>DR325</f>
        <v>-584</v>
      </c>
      <c r="DS371" s="77">
        <f>SUM(DO371:DR371)</f>
        <v>-2155.6</v>
      </c>
      <c r="DT371" s="77"/>
      <c r="DU371" s="77">
        <f>DU325</f>
        <v>-417.3</v>
      </c>
      <c r="DV371" s="77">
        <f>DV325</f>
        <v>-531</v>
      </c>
      <c r="DW371" s="77">
        <f>DW325</f>
        <v>-414.9</v>
      </c>
      <c r="DX371" s="77">
        <f>DX325</f>
        <v>-704</v>
      </c>
      <c r="DY371" s="77">
        <f>SUM(DU371:DX371)</f>
        <v>-2067.1999999999998</v>
      </c>
      <c r="EA371" s="77">
        <f>EA325</f>
        <v>-415</v>
      </c>
      <c r="EB371" s="77">
        <f>EB325</f>
        <v>-414.8</v>
      </c>
      <c r="EC371" s="77">
        <f>EC325</f>
        <v>-295.89999999999998</v>
      </c>
      <c r="ED371" s="77">
        <f>ED325</f>
        <v>-447.9</v>
      </c>
      <c r="EE371" s="326">
        <f>SUM(EA371:ED371)</f>
        <v>-1573.6</v>
      </c>
      <c r="EG371" s="77">
        <f>EG325</f>
        <v>-402.4</v>
      </c>
      <c r="EH371" s="77">
        <f>EH9*EH372</f>
        <v>-583.75800000000004</v>
      </c>
      <c r="EI371" s="77">
        <f>EI9*EI372</f>
        <v>-811.4</v>
      </c>
      <c r="EJ371" s="77">
        <f>EJ9*EJ372</f>
        <v>-521.25974999999983</v>
      </c>
      <c r="EK371" s="326">
        <f>SUM(EG371:EJ371)</f>
        <v>-2318.8177499999997</v>
      </c>
      <c r="EN371" s="180" t="s">
        <v>775</v>
      </c>
      <c r="FG371" s="77">
        <f>BK371</f>
        <v>-210.8</v>
      </c>
      <c r="FH371" s="77">
        <f>BQ371</f>
        <v>-358.29999999999995</v>
      </c>
      <c r="FI371" s="77">
        <f>BW371</f>
        <v>-371.8</v>
      </c>
      <c r="FJ371" s="196">
        <f>CC371</f>
        <v>-316.30000000000007</v>
      </c>
      <c r="FK371" s="196">
        <f>CI371</f>
        <v>-338.90000000000003</v>
      </c>
      <c r="FL371" s="196">
        <f>CO371</f>
        <v>-574</v>
      </c>
      <c r="FM371" s="77">
        <f>CU371</f>
        <v>-766.6</v>
      </c>
      <c r="FN371" s="77">
        <f>DA371</f>
        <v>-962</v>
      </c>
      <c r="FO371" s="77">
        <f>DG371</f>
        <v>-900.7</v>
      </c>
      <c r="FP371" s="77">
        <f>DM371</f>
        <v>-1281.8000000000002</v>
      </c>
      <c r="FQ371" s="77">
        <f>DS371</f>
        <v>-2155.6</v>
      </c>
      <c r="FR371" s="77">
        <f>DY371</f>
        <v>-2067.1999999999998</v>
      </c>
      <c r="FS371" s="77">
        <f>EE371</f>
        <v>-1573.6</v>
      </c>
      <c r="FT371" s="77">
        <f>EK371</f>
        <v>-2318.8177499999997</v>
      </c>
      <c r="FU371" s="77">
        <f>FU9*FU372</f>
        <v>-2400.5973774999998</v>
      </c>
      <c r="FV371" s="77">
        <f>FV9*FV372</f>
        <v>-2064.821057695</v>
      </c>
      <c r="FW371" s="77">
        <f ca="1">FW9*FW372</f>
        <v>-1106.875</v>
      </c>
      <c r="FX371" s="77">
        <f>FX9*FX372</f>
        <v>-1297</v>
      </c>
    </row>
    <row r="372" spans="2:180" x14ac:dyDescent="0.25">
      <c r="B372" s="84" t="s">
        <v>155</v>
      </c>
      <c r="BG372" s="101">
        <f>BG371/BG9</f>
        <v>-3.0601950453984984E-2</v>
      </c>
      <c r="BH372" s="101">
        <f>BH371/BH9</f>
        <v>-4.1437597439894967E-2</v>
      </c>
      <c r="BI372" s="101">
        <f>BI371/BI9</f>
        <v>-3.9721304410285874E-2</v>
      </c>
      <c r="BJ372" s="101">
        <f>BJ371/BJ9</f>
        <v>-4.0420329813244546E-2</v>
      </c>
      <c r="BK372" s="101">
        <f>BK371/BK9</f>
        <v>-3.8854994193869466E-2</v>
      </c>
      <c r="BM372" s="101">
        <f>BM371/BM9</f>
        <v>-5.4063730755460081E-2</v>
      </c>
      <c r="BN372" s="101">
        <f>BN371/BN9</f>
        <v>-4.3015332197614997E-2</v>
      </c>
      <c r="BO372" s="101">
        <f>BO371/BO9</f>
        <v>-6.3681742550294962E-2</v>
      </c>
      <c r="BP372" s="101">
        <f>BP371/BP9</f>
        <v>-8.5609103078982604E-2</v>
      </c>
      <c r="BQ372" s="101">
        <f>BQ371/BQ9</f>
        <v>-6.1181974967129404E-2</v>
      </c>
      <c r="BS372" s="101">
        <f>BS371/BS9</f>
        <v>-5.1881932238317469E-2</v>
      </c>
      <c r="BT372" s="101">
        <f>BT371/BT9</f>
        <v>-4.7881022912762229E-2</v>
      </c>
      <c r="BU372" s="101">
        <f>BU371/BU9</f>
        <v>-5.5835269816679585E-2</v>
      </c>
      <c r="BV372" s="101">
        <f>BV371/BV9</f>
        <v>-8.4018965276809382E-2</v>
      </c>
      <c r="BW372" s="101">
        <f>BW371/BW9</f>
        <v>-5.9134141298469958E-2</v>
      </c>
      <c r="BY372" s="101">
        <f>BY371/BY9</f>
        <v>-4.1404140414041411E-2</v>
      </c>
      <c r="BZ372" s="101">
        <f>BZ371/BZ9</f>
        <v>-5.6852149919521727E-2</v>
      </c>
      <c r="CA372" s="101">
        <f>CA371/CA9</f>
        <v>-3.6536977846357323E-2</v>
      </c>
      <c r="CB372" s="101">
        <f>CB371/CB9</f>
        <v>-5.0277865156757896E-2</v>
      </c>
      <c r="CC372" s="101">
        <f>CC371/CC9</f>
        <v>-4.6550303173014673E-2</v>
      </c>
      <c r="CE372" s="101">
        <f>CE371/CE9</f>
        <v>-1.9860053508952463E-2</v>
      </c>
      <c r="CF372" s="101">
        <f>CF371/CF9</f>
        <v>-2.6791662701056443E-2</v>
      </c>
      <c r="CG372" s="101">
        <f>CG371/CG9</f>
        <v>-3.910272125520961E-2</v>
      </c>
      <c r="CH372" s="101">
        <f>CH371/CH9</f>
        <v>-5.7920637400406191E-2</v>
      </c>
      <c r="CI372" s="101">
        <f>CI371/CI9</f>
        <v>-3.7435931424531645E-2</v>
      </c>
      <c r="CK372" s="101">
        <f>CK371/CK9</f>
        <v>-5.6542669584245073E-2</v>
      </c>
      <c r="CL372" s="101">
        <f>CL371/CL9</f>
        <v>-4.5832725149613195E-2</v>
      </c>
      <c r="CM372" s="101">
        <f>CM371/CM9</f>
        <v>-4.6504088469435538E-2</v>
      </c>
      <c r="CN372" s="101">
        <f>CN371/CN9</f>
        <v>-6.0493237867939538E-2</v>
      </c>
      <c r="CO372" s="101">
        <f>CO371/CO9</f>
        <v>-5.2448830409356724E-2</v>
      </c>
      <c r="CQ372" s="101">
        <f>CQ371/CQ9</f>
        <v>-6.5945897447400301E-2</v>
      </c>
      <c r="CR372" s="101">
        <f>CR371/CR9</f>
        <v>-4.9963004789906153E-2</v>
      </c>
      <c r="CS372" s="101">
        <f>CS371/CS9</f>
        <v>-6.2213293152519673E-2</v>
      </c>
      <c r="CT372" s="101">
        <f>CT371/CT9</f>
        <v>-7.5686255078783085E-2</v>
      </c>
      <c r="CU372" s="101">
        <f>CU371/CU9</f>
        <v>-6.4856724676181698E-2</v>
      </c>
      <c r="CW372" s="101">
        <f>CW371/CW9</f>
        <v>-9.4853724493976888E-2</v>
      </c>
      <c r="CX372" s="101">
        <f>CX371/CX9</f>
        <v>-6.7684998646901404E-2</v>
      </c>
      <c r="CY372" s="101">
        <f>CY371/CY9</f>
        <v>-5.3688731682668016E-2</v>
      </c>
      <c r="CZ372" s="101">
        <f>CZ371/CZ9</f>
        <v>-6.885122587621352E-2</v>
      </c>
      <c r="DA372" s="101">
        <f>DA371/DA9</f>
        <v>-6.8820465861615068E-2</v>
      </c>
      <c r="DC372" s="101">
        <f>DC371/DC9</f>
        <v>-4.3401544490020399E-2</v>
      </c>
      <c r="DD372" s="101">
        <f>DD371/DD9</f>
        <v>-5.9972140689517936E-2</v>
      </c>
      <c r="DE372" s="101">
        <f>DE371/DE9</f>
        <v>-3.7586095052754086E-2</v>
      </c>
      <c r="DF372" s="101">
        <f>DF371/DF9</f>
        <v>-5.4797817715019251E-2</v>
      </c>
      <c r="DG372" s="101">
        <f>DG371/DG9</f>
        <v>-4.8396109827521364E-2</v>
      </c>
      <c r="DI372" s="101">
        <f>DI371/DI9</f>
        <v>-6.7932322317790866E-2</v>
      </c>
      <c r="DJ372" s="101">
        <f>DJ371/DJ9</f>
        <v>-4.2629592118589452E-2</v>
      </c>
      <c r="DK372" s="101">
        <f>DK371/DK9</f>
        <v>-6.171365280445807E-2</v>
      </c>
      <c r="DL372" s="101">
        <f>DL371/DL9</f>
        <v>-7.0542129327237107E-2</v>
      </c>
      <c r="DM372" s="101">
        <f>DM371/DM9</f>
        <v>-6.0538222486705033E-2</v>
      </c>
      <c r="DO372" s="101">
        <f>DO371/DO9</f>
        <v>-7.885920962912453E-2</v>
      </c>
      <c r="DP372" s="101">
        <f>DP371/DP9</f>
        <v>-7.7916056966518404E-2</v>
      </c>
      <c r="DQ372" s="101">
        <f>DQ371/DQ9</f>
        <v>-7.5198561366701638E-2</v>
      </c>
      <c r="DR372" s="101">
        <f>DR371/DR9</f>
        <v>-8.0696421168992671E-2</v>
      </c>
      <c r="DS372" s="101">
        <f>DS371/DS9</f>
        <v>-7.8219061269662715E-2</v>
      </c>
      <c r="DT372" s="101"/>
      <c r="DU372" s="101">
        <f>DU371/DU9</f>
        <v>-7.8884688090737246E-2</v>
      </c>
      <c r="DV372" s="101">
        <f>DV371/DV9</f>
        <v>-8.505798680079453E-2</v>
      </c>
      <c r="DW372" s="101">
        <f>DW371/DW9</f>
        <v>-5.5562251416174518E-2</v>
      </c>
      <c r="DX372" s="101">
        <f>DX371/DX9</f>
        <v>-7.6002936477091165E-2</v>
      </c>
      <c r="DY372" s="101">
        <f>DY371/DY9</f>
        <v>-7.3141821964483475E-2</v>
      </c>
      <c r="EA372" s="101">
        <f>EA371/EA9</f>
        <v>-5.3607182070658142E-2</v>
      </c>
      <c r="EB372" s="101">
        <f>EB371/EB9</f>
        <v>-5.3928260332566272E-2</v>
      </c>
      <c r="EC372" s="101">
        <f>EC371/EC9</f>
        <v>-3.9369345396487489E-2</v>
      </c>
      <c r="ED372" s="101">
        <f>ED371/ED9</f>
        <v>-4.6089730397201066E-2</v>
      </c>
      <c r="EE372" s="101">
        <f>EE371/EE9</f>
        <v>-4.8170642111965513E-2</v>
      </c>
      <c r="EG372" s="101">
        <f>EG371/EG9</f>
        <v>-4.5902013346261331E-2</v>
      </c>
      <c r="EH372" s="100">
        <v>-7.0000000000000007E-2</v>
      </c>
      <c r="EI372" s="100">
        <v>-0.08</v>
      </c>
      <c r="EJ372" s="100">
        <v>-0.05</v>
      </c>
      <c r="EK372" s="101">
        <f>EK371/EK9</f>
        <v>-6.1550211759721883E-2</v>
      </c>
      <c r="FG372" s="101">
        <f>FG371/FG$9</f>
        <v>-3.8854994193869466E-2</v>
      </c>
      <c r="FH372" s="101">
        <f t="shared" ref="FH372:FP372" si="399">FH371/FH$9</f>
        <v>-6.1181974967129404E-2</v>
      </c>
      <c r="FI372" s="101">
        <f t="shared" si="399"/>
        <v>-5.9134141298469958E-2</v>
      </c>
      <c r="FJ372" s="101">
        <f t="shared" si="399"/>
        <v>-4.6550303173014673E-2</v>
      </c>
      <c r="FK372" s="101">
        <f t="shared" si="399"/>
        <v>-3.7435931424531645E-2</v>
      </c>
      <c r="FL372" s="101">
        <f t="shared" si="399"/>
        <v>-5.2448830409356724E-2</v>
      </c>
      <c r="FM372" s="101">
        <f t="shared" si="399"/>
        <v>-6.4856724676181698E-2</v>
      </c>
      <c r="FN372" s="101">
        <f t="shared" si="399"/>
        <v>-6.8820465861615068E-2</v>
      </c>
      <c r="FO372" s="101">
        <f t="shared" si="399"/>
        <v>-4.8396109827521364E-2</v>
      </c>
      <c r="FP372" s="101">
        <f t="shared" si="399"/>
        <v>-6.0538222486705033E-2</v>
      </c>
      <c r="FQ372" s="101">
        <f>FQ371/FQ$9</f>
        <v>-7.8219061269662715E-2</v>
      </c>
      <c r="FR372" s="101">
        <f>FR371/FR$9</f>
        <v>-7.3141821964483475E-2</v>
      </c>
      <c r="FS372" s="101">
        <f>FS371/FS$9</f>
        <v>-4.8170642111965513E-2</v>
      </c>
      <c r="FT372" s="101">
        <f>FT371/FT$9</f>
        <v>-6.1550211759721897E-2</v>
      </c>
      <c r="FU372" s="100">
        <v>-0.05</v>
      </c>
      <c r="FV372" s="100">
        <v>-0.05</v>
      </c>
      <c r="FW372" s="100">
        <v>-0.05</v>
      </c>
      <c r="FX372" s="100">
        <v>-0.05</v>
      </c>
    </row>
    <row r="373" spans="2:180" x14ac:dyDescent="0.25">
      <c r="B373" s="84"/>
      <c r="BG373" s="77"/>
      <c r="BH373" s="77"/>
      <c r="BI373" s="77"/>
      <c r="BJ373" s="77"/>
      <c r="BK373" s="77"/>
      <c r="BM373" s="77"/>
      <c r="BN373" s="77"/>
      <c r="BO373" s="77"/>
      <c r="BP373" s="77"/>
      <c r="BQ373" s="77"/>
      <c r="BS373" s="77"/>
      <c r="BT373" s="77"/>
      <c r="BU373" s="77"/>
      <c r="BV373" s="77"/>
      <c r="BW373" s="77"/>
      <c r="BY373" s="77"/>
      <c r="BZ373" s="77"/>
      <c r="CA373" s="77"/>
      <c r="CB373" s="77"/>
      <c r="CC373" s="77"/>
      <c r="CE373" s="77"/>
      <c r="CF373" s="77"/>
      <c r="CG373" s="77"/>
      <c r="CH373" s="77"/>
      <c r="CI373" s="77"/>
      <c r="CK373" s="77"/>
      <c r="CL373" s="77"/>
      <c r="CM373" s="77"/>
      <c r="CN373" s="77"/>
      <c r="CO373" s="77"/>
      <c r="CQ373" s="77"/>
      <c r="CR373" s="77"/>
      <c r="CS373" s="77"/>
      <c r="CT373" s="77"/>
      <c r="CU373" s="77"/>
      <c r="CW373" s="77"/>
      <c r="CX373" s="77"/>
      <c r="CY373" s="77"/>
      <c r="CZ373" s="77"/>
      <c r="DA373" s="77"/>
      <c r="DC373" s="77"/>
      <c r="DD373" s="77"/>
      <c r="DE373" s="77"/>
      <c r="DF373" s="77"/>
      <c r="DG373" s="77"/>
      <c r="DI373" s="77"/>
      <c r="DJ373" s="77"/>
      <c r="DK373" s="77"/>
      <c r="DL373" s="77"/>
      <c r="DO373" s="77"/>
      <c r="DP373" s="77"/>
      <c r="DQ373" s="77"/>
      <c r="DR373" s="77"/>
      <c r="DT373" s="101"/>
      <c r="DU373" s="77"/>
      <c r="DV373" s="77"/>
      <c r="DW373" s="77"/>
      <c r="DX373" s="77"/>
      <c r="EA373" s="77"/>
      <c r="EB373" s="77"/>
      <c r="EC373" s="77"/>
      <c r="FG373" s="77"/>
    </row>
    <row r="374" spans="2:180" x14ac:dyDescent="0.25">
      <c r="B374" s="84" t="s">
        <v>154</v>
      </c>
      <c r="BG374" s="77">
        <f>BG336</f>
        <v>0</v>
      </c>
      <c r="BH374" s="77">
        <f>BH336</f>
        <v>-216.1</v>
      </c>
      <c r="BI374" s="77">
        <f>BI336</f>
        <v>0</v>
      </c>
      <c r="BJ374" s="77">
        <f>BJ336</f>
        <v>0</v>
      </c>
      <c r="BK374" s="77">
        <f>BK336</f>
        <v>-216.1</v>
      </c>
      <c r="BM374" s="77">
        <f>BM336</f>
        <v>0</v>
      </c>
      <c r="BN374" s="77">
        <f>BN336</f>
        <v>-268</v>
      </c>
      <c r="BO374" s="77">
        <f>BO336</f>
        <v>0</v>
      </c>
      <c r="BP374" s="77">
        <f>BP336</f>
        <v>0</v>
      </c>
      <c r="BQ374" s="77">
        <f>BQ336</f>
        <v>-268</v>
      </c>
      <c r="BS374" s="77">
        <f>BS336</f>
        <v>0</v>
      </c>
      <c r="BT374" s="77">
        <f>BT336</f>
        <v>-302.3</v>
      </c>
      <c r="BU374" s="77">
        <f>BU336</f>
        <v>0</v>
      </c>
      <c r="BV374" s="77">
        <f>BV336</f>
        <v>0</v>
      </c>
      <c r="BW374" s="77">
        <f>BW336</f>
        <v>-302.3</v>
      </c>
      <c r="BY374" s="77">
        <f>BY336</f>
        <v>0</v>
      </c>
      <c r="BZ374" s="77">
        <f>BZ336</f>
        <v>-445.9</v>
      </c>
      <c r="CA374" s="77">
        <f>CA336</f>
        <v>0</v>
      </c>
      <c r="CB374" s="77">
        <f>CB336</f>
        <v>0</v>
      </c>
      <c r="CC374" s="77">
        <f>CC336</f>
        <v>-445.9</v>
      </c>
      <c r="CE374" s="77">
        <f>CE336</f>
        <v>0</v>
      </c>
      <c r="CF374" s="77">
        <f>CF336</f>
        <v>-516.70000000000005</v>
      </c>
      <c r="CG374" s="77">
        <f>CG336</f>
        <v>0</v>
      </c>
      <c r="CH374" s="77">
        <f>CH336</f>
        <v>0</v>
      </c>
      <c r="CI374" s="77">
        <f>CI336</f>
        <v>-516.70000000000005</v>
      </c>
      <c r="CK374" s="77">
        <f>CK336</f>
        <v>0</v>
      </c>
      <c r="CL374" s="77">
        <f>CL336</f>
        <v>-597.1</v>
      </c>
      <c r="CM374" s="77">
        <f>CM336</f>
        <v>0</v>
      </c>
      <c r="CN374" s="77">
        <f>CN336</f>
        <v>0</v>
      </c>
      <c r="CO374" s="77">
        <f>CO336</f>
        <v>-597.1</v>
      </c>
      <c r="CQ374" s="77">
        <f>CQ336</f>
        <v>0</v>
      </c>
      <c r="CR374" s="77">
        <f>CR336</f>
        <v>-884.4</v>
      </c>
      <c r="CS374" s="77">
        <f>CS336</f>
        <v>0</v>
      </c>
      <c r="CT374" s="77">
        <f>CT336</f>
        <v>-441.3</v>
      </c>
      <c r="CU374" s="77">
        <f>CU336</f>
        <v>-1325.7</v>
      </c>
      <c r="CW374" s="77">
        <f>CW336</f>
        <v>0</v>
      </c>
      <c r="CX374" s="77">
        <f>CX336</f>
        <v>-564.79999999999995</v>
      </c>
      <c r="CY374" s="77">
        <f>CY336</f>
        <v>0</v>
      </c>
      <c r="CZ374" s="77">
        <f>CZ336</f>
        <v>-501.6</v>
      </c>
      <c r="DA374" s="77">
        <f>DA336</f>
        <v>-1066.4000000000001</v>
      </c>
      <c r="DC374" s="77">
        <f>DC336</f>
        <v>0</v>
      </c>
      <c r="DD374" s="77">
        <f>DD336</f>
        <v>-639.1</v>
      </c>
      <c r="DE374" s="77">
        <f>DE336</f>
        <v>0</v>
      </c>
      <c r="DF374" s="77">
        <f>DF336</f>
        <v>-729.2</v>
      </c>
      <c r="DG374" s="77">
        <f>DG336</f>
        <v>-1368.3000000000002</v>
      </c>
      <c r="DI374" s="77">
        <f>DI336</f>
        <v>0</v>
      </c>
      <c r="DJ374" s="77">
        <f>DJ336</f>
        <v>-1475.3</v>
      </c>
      <c r="DK374" s="77">
        <f>DK336</f>
        <v>-543.5</v>
      </c>
      <c r="DL374" s="77">
        <f>DL336</f>
        <v>-541.1</v>
      </c>
      <c r="DM374" s="77">
        <f>SUM(DI374:DL374)</f>
        <v>-2559.9</v>
      </c>
      <c r="DO374" s="77">
        <f>DO336</f>
        <v>-541.1</v>
      </c>
      <c r="DP374" s="77">
        <f>DP336</f>
        <v>-666.1</v>
      </c>
      <c r="DQ374" s="77">
        <f>DQ336</f>
        <v>-570.4</v>
      </c>
      <c r="DR374" s="77">
        <f>DR336</f>
        <v>-570.79999999999995</v>
      </c>
      <c r="DS374" s="77">
        <f>SUM(DO374:DR374)</f>
        <v>-2348.3999999999996</v>
      </c>
      <c r="DT374" s="101"/>
      <c r="DU374" s="77">
        <f>DU336</f>
        <v>-571</v>
      </c>
      <c r="DV374" s="77">
        <f>DV336</f>
        <v>-688.3</v>
      </c>
      <c r="DW374" s="77">
        <f>DW336</f>
        <v>-595.79999999999995</v>
      </c>
      <c r="DX374" s="77">
        <f>DX336</f>
        <v>-597.79999999999995</v>
      </c>
      <c r="DY374" s="77">
        <f>SUM(DU374:DX374)</f>
        <v>-2452.8999999999996</v>
      </c>
      <c r="EA374" s="77">
        <f>EA336</f>
        <v>-597.20000000000005</v>
      </c>
      <c r="EB374" s="77">
        <f>EB336</f>
        <v>-714.4</v>
      </c>
      <c r="EC374" s="77">
        <f>EC336</f>
        <v>-619.6</v>
      </c>
      <c r="ED374" s="77">
        <f>ED336</f>
        <v>-619.20000000000005</v>
      </c>
      <c r="EE374" s="77">
        <f>SUM(EA374:ED374)</f>
        <v>-2550.3999999999996</v>
      </c>
      <c r="EG374" s="77">
        <f>EG336</f>
        <v>-617</v>
      </c>
      <c r="EH374" s="77">
        <f>EH50*EH375</f>
        <v>-1038.4429096089916</v>
      </c>
      <c r="EI374" s="77">
        <f>EI50*EI375</f>
        <v>-1036.3058192179831</v>
      </c>
      <c r="EJ374" s="77">
        <f>EJ50*EJ375</f>
        <v>-1034.1687288269745</v>
      </c>
      <c r="EK374" s="77">
        <f>SUM(EG374:EJ374)</f>
        <v>-3725.9174576539494</v>
      </c>
      <c r="FG374" s="77">
        <f>BK374</f>
        <v>-216.1</v>
      </c>
      <c r="FH374" s="77">
        <f>BQ374</f>
        <v>-268</v>
      </c>
      <c r="FI374" s="77">
        <f>BW374</f>
        <v>-302.3</v>
      </c>
      <c r="FJ374" s="196">
        <f>CC374</f>
        <v>-445.9</v>
      </c>
      <c r="FK374" s="196">
        <f>CI374</f>
        <v>-516.70000000000005</v>
      </c>
      <c r="FL374" s="196">
        <f>CO374</f>
        <v>-597.1</v>
      </c>
      <c r="FM374" s="77">
        <f>CU374</f>
        <v>-1325.7</v>
      </c>
      <c r="FN374" s="77">
        <f>DA374</f>
        <v>-1066.4000000000001</v>
      </c>
      <c r="FO374" s="77">
        <f>DG374</f>
        <v>-1368.3000000000002</v>
      </c>
      <c r="FP374" s="77">
        <f>DM374</f>
        <v>-2559.9</v>
      </c>
      <c r="FQ374" s="77">
        <f>DS374</f>
        <v>-2348.3999999999996</v>
      </c>
      <c r="FR374" s="77">
        <f>DY374</f>
        <v>-2452.8999999999996</v>
      </c>
      <c r="FS374" s="77">
        <f>EE374</f>
        <v>-2550.3999999999996</v>
      </c>
      <c r="FT374" s="77">
        <f>EK374</f>
        <v>-3725.9174576539494</v>
      </c>
      <c r="FU374" s="77">
        <f>FU50*FU375</f>
        <v>-3664.5114875849313</v>
      </c>
      <c r="FV374" s="77">
        <f>FV50*FV375</f>
        <v>-3633.8085025504224</v>
      </c>
      <c r="FW374" s="77">
        <f>FW50*FW375</f>
        <v>-3603.1055175159136</v>
      </c>
      <c r="FX374" s="77">
        <f>FX50*FX375</f>
        <v>-3572.4025324814043</v>
      </c>
    </row>
    <row r="375" spans="2:180" x14ac:dyDescent="0.25">
      <c r="B375" s="84" t="s">
        <v>153</v>
      </c>
      <c r="BG375" s="99">
        <f>BG374/BG50</f>
        <v>0</v>
      </c>
      <c r="BH375" s="99">
        <f>BH374/BH50</f>
        <v>-0.50715794414456694</v>
      </c>
      <c r="BI375" s="99">
        <f>BI374/BI50</f>
        <v>0</v>
      </c>
      <c r="BJ375" s="99">
        <f>BJ374/BJ50</f>
        <v>0</v>
      </c>
      <c r="BK375" s="99">
        <f>BK374/BK50</f>
        <v>-0.50279199627733828</v>
      </c>
      <c r="BM375" s="99">
        <f>BM374/BM50</f>
        <v>0</v>
      </c>
      <c r="BN375" s="99">
        <f>BN374/BN50</f>
        <v>-0.61117445838084383</v>
      </c>
      <c r="BO375" s="99">
        <f>BO374/BO50</f>
        <v>0</v>
      </c>
      <c r="BP375" s="99">
        <f>BP374/BP50</f>
        <v>0</v>
      </c>
      <c r="BQ375" s="99">
        <f>BQ374/BQ50</f>
        <v>-0.61302681992337171</v>
      </c>
      <c r="BS375" s="99">
        <f>BS374/BS50</f>
        <v>0</v>
      </c>
      <c r="BT375" s="99">
        <f>BT374/BT50</f>
        <v>-0.70074177097821055</v>
      </c>
      <c r="BU375" s="99">
        <f>BU374/BU50</f>
        <v>0</v>
      </c>
      <c r="BV375" s="99">
        <f>BV374/BV50</f>
        <v>0</v>
      </c>
      <c r="BW375" s="99">
        <f>BW374/BW50</f>
        <v>-0.70192140244964296</v>
      </c>
      <c r="BY375" s="99">
        <f>BY374/BY50</f>
        <v>0</v>
      </c>
      <c r="BZ375" s="99">
        <f>BZ374/BZ50</f>
        <v>-1.0504122497055359</v>
      </c>
      <c r="CA375" s="99">
        <f>CA374/CA50</f>
        <v>0</v>
      </c>
      <c r="CB375" s="99">
        <f>CB374/CB50</f>
        <v>0</v>
      </c>
      <c r="CC375" s="99">
        <f>CC374/CC50</f>
        <v>-1.0476973684210524</v>
      </c>
      <c r="CE375" s="99">
        <f>CE374/CE50</f>
        <v>0</v>
      </c>
      <c r="CF375" s="99">
        <f>CF374/CF50</f>
        <v>-1.200511152416357</v>
      </c>
      <c r="CG375" s="99">
        <f>CG374/CG50</f>
        <v>0</v>
      </c>
      <c r="CH375" s="99">
        <f>CH374/CH50</f>
        <v>0</v>
      </c>
      <c r="CI375" s="99">
        <f>CI374/CI50</f>
        <v>-1.2023269342641072</v>
      </c>
      <c r="CK375" s="99">
        <f>CK374/CK50</f>
        <v>0</v>
      </c>
      <c r="CL375" s="99">
        <f>CL374/CL50</f>
        <v>-1.4016431924882629</v>
      </c>
      <c r="CM375" s="99">
        <f>CM374/CM50</f>
        <v>0</v>
      </c>
      <c r="CN375" s="99">
        <f>CN374/CN50</f>
        <v>0</v>
      </c>
      <c r="CO375" s="99">
        <f>CO374/CO50</f>
        <v>-1.4051891510266519</v>
      </c>
      <c r="CQ375" s="99">
        <f>CQ374/CQ50</f>
        <v>0</v>
      </c>
      <c r="CR375" s="99">
        <f>CR374/CR50</f>
        <v>-2.1002137259558298</v>
      </c>
      <c r="CS375" s="99">
        <f>CS374/CS50</f>
        <v>0</v>
      </c>
      <c r="CT375" s="99">
        <f>CT374/CT50</f>
        <v>-1.0504641751963817</v>
      </c>
      <c r="CU375" s="99">
        <f>CU374/CU50</f>
        <v>-3.1504277566539929</v>
      </c>
      <c r="CW375" s="99">
        <f>CW374/CW50</f>
        <v>0</v>
      </c>
      <c r="CX375" s="99">
        <f>CX374/CX50</f>
        <v>-1.3499043977055449</v>
      </c>
      <c r="CY375" s="99">
        <f>CY374/CY50</f>
        <v>0</v>
      </c>
      <c r="CZ375" s="99">
        <f>CZ374/CZ50</f>
        <v>-1.201437125748503</v>
      </c>
      <c r="DA375" s="99">
        <f>DA374/DA50</f>
        <v>-2.5492141277714699</v>
      </c>
      <c r="DC375" s="99">
        <f>DC374/DC50</f>
        <v>0</v>
      </c>
      <c r="DD375" s="99">
        <f>DD374/DD50</f>
        <v>-1.5530984204131228</v>
      </c>
      <c r="DE375" s="99">
        <f>DE374/DE50</f>
        <v>0</v>
      </c>
      <c r="DF375" s="99">
        <f>DF374/DF50</f>
        <v>-1.8036111798169676</v>
      </c>
      <c r="DG375" s="99">
        <f>DG374/DG50</f>
        <v>-3.3393532641854797</v>
      </c>
      <c r="DI375" s="99">
        <f>DI374/DI50</f>
        <v>0</v>
      </c>
      <c r="DJ375" s="99">
        <f>DJ374/DJ50</f>
        <v>-3.703991965854883</v>
      </c>
      <c r="DK375" s="319">
        <f>DK374/DK50</f>
        <v>-1.3717819283190309</v>
      </c>
      <c r="DL375" s="319">
        <f>DL374/DL50</f>
        <v>-1.370220308938972</v>
      </c>
      <c r="DM375" s="99">
        <f>DM374/DM50</f>
        <v>-6.4379754794089914</v>
      </c>
      <c r="DO375" s="319">
        <f>DO374/DO50</f>
        <v>-1.3716096324461344</v>
      </c>
      <c r="DP375" s="319">
        <f>DP374/DP50</f>
        <v>-1.6914677501269679</v>
      </c>
      <c r="DQ375" s="319">
        <f>DQ374/DQ50</f>
        <v>-1.4488188976377954</v>
      </c>
      <c r="DR375" s="319">
        <f>DR374/DR50</f>
        <v>-1.4509405185561768</v>
      </c>
      <c r="DS375" s="99">
        <f>DS374/DS50</f>
        <v>-5.9626761457407627</v>
      </c>
      <c r="DT375" s="101"/>
      <c r="DU375" s="319">
        <f>DU374/DU50</f>
        <v>-1.4514489069649212</v>
      </c>
      <c r="DV375" s="319">
        <f>DV374/DV50</f>
        <v>-1.7505086469989826</v>
      </c>
      <c r="DW375" s="319">
        <f>DW374/DW50</f>
        <v>-1.5152594099694812</v>
      </c>
      <c r="DX375" s="319">
        <f>DX374/DX50</f>
        <v>-1.5199593185863207</v>
      </c>
      <c r="DY375" s="99">
        <f>DY374/DY50</f>
        <v>-6.2371114360180533</v>
      </c>
      <c r="EA375" s="319">
        <f>EA374/EA50</f>
        <v>-1.5223043589089982</v>
      </c>
      <c r="EB375" s="319">
        <f>EB374/EB50</f>
        <v>-1.8402885110767646</v>
      </c>
      <c r="EC375" s="319">
        <f>EC374/EC50</f>
        <v>-1.5997934417764008</v>
      </c>
      <c r="ED375" s="319">
        <f>ED374/ED50</f>
        <v>-1.6062256809338522</v>
      </c>
      <c r="EE375" s="99">
        <f>EE374/EE50</f>
        <v>-6.567694585720723</v>
      </c>
      <c r="EG375" s="319">
        <f>EG374/EG50</f>
        <v>-1.6009340944473276</v>
      </c>
      <c r="EH375" s="98">
        <v>-2.7</v>
      </c>
      <c r="EI375" s="98">
        <f>EH375</f>
        <v>-2.7</v>
      </c>
      <c r="EJ375" s="98">
        <f>EI375</f>
        <v>-2.7</v>
      </c>
      <c r="EK375" s="99">
        <f>EK374/EK50</f>
        <v>-9.6975378231496911</v>
      </c>
      <c r="FG375" s="99">
        <f t="shared" ref="FG375:FT375" si="400">FG374/FG50</f>
        <v>-0.50279199627733828</v>
      </c>
      <c r="FH375" s="99">
        <f t="shared" si="400"/>
        <v>-0.61302681992337171</v>
      </c>
      <c r="FI375" s="99">
        <f t="shared" si="400"/>
        <v>-0.70192140244964296</v>
      </c>
      <c r="FJ375" s="99">
        <f t="shared" si="400"/>
        <v>-1.0476973684210524</v>
      </c>
      <c r="FK375" s="99">
        <f t="shared" si="400"/>
        <v>-1.2023269342641072</v>
      </c>
      <c r="FL375" s="99">
        <f t="shared" si="400"/>
        <v>-1.4051891510266519</v>
      </c>
      <c r="FM375" s="99">
        <f t="shared" si="400"/>
        <v>-3.1504277566539929</v>
      </c>
      <c r="FN375" s="99">
        <f t="shared" si="400"/>
        <v>-2.5492141277714699</v>
      </c>
      <c r="FO375" s="99">
        <f t="shared" si="400"/>
        <v>-3.3393532641854797</v>
      </c>
      <c r="FP375" s="99">
        <f t="shared" si="400"/>
        <v>-6.4379754794089914</v>
      </c>
      <c r="FQ375" s="99">
        <f t="shared" si="400"/>
        <v>-5.9626761457407627</v>
      </c>
      <c r="FR375" s="99">
        <f t="shared" si="400"/>
        <v>-6.2371114360180533</v>
      </c>
      <c r="FS375" s="99">
        <f t="shared" si="400"/>
        <v>-6.567694585720723</v>
      </c>
      <c r="FT375" s="99">
        <f t="shared" si="400"/>
        <v>-9.6975378231496911</v>
      </c>
      <c r="FU375" s="98">
        <f>FT375</f>
        <v>-9.6975378231496911</v>
      </c>
      <c r="FV375" s="98">
        <f>FU375</f>
        <v>-9.6975378231496911</v>
      </c>
      <c r="FW375" s="98">
        <f>FV375</f>
        <v>-9.6975378231496911</v>
      </c>
      <c r="FX375" s="98">
        <f>FW375</f>
        <v>-9.6975378231496911</v>
      </c>
    </row>
    <row r="376" spans="2:180" x14ac:dyDescent="0.25">
      <c r="B376" s="84"/>
      <c r="BG376" s="77"/>
      <c r="BH376" s="77"/>
      <c r="BI376" s="77"/>
      <c r="BJ376" s="77"/>
      <c r="BK376" s="77"/>
      <c r="BM376" s="77"/>
      <c r="BN376" s="77"/>
      <c r="BO376" s="77"/>
      <c r="BP376" s="77"/>
      <c r="BQ376" s="77"/>
      <c r="BS376" s="77"/>
      <c r="BT376" s="77"/>
      <c r="BU376" s="77"/>
      <c r="BV376" s="77"/>
      <c r="BW376" s="77"/>
      <c r="BY376" s="77"/>
      <c r="BZ376" s="77"/>
      <c r="CA376" s="77"/>
      <c r="CB376" s="77"/>
      <c r="CC376" s="77"/>
      <c r="CE376" s="77"/>
      <c r="CF376" s="77"/>
      <c r="CG376" s="77"/>
      <c r="CH376" s="77"/>
      <c r="CI376" s="77"/>
      <c r="CK376" s="77"/>
      <c r="CL376" s="77"/>
      <c r="CM376" s="77"/>
      <c r="CN376" s="77"/>
      <c r="CO376" s="77"/>
      <c r="CQ376" s="77"/>
      <c r="CR376" s="77"/>
      <c r="CS376" s="77"/>
      <c r="CT376" s="77"/>
      <c r="CU376" s="77"/>
      <c r="CW376" s="77"/>
      <c r="CX376" s="77"/>
      <c r="CY376" s="77"/>
      <c r="CZ376" s="77"/>
      <c r="DA376" s="77"/>
      <c r="DC376" s="77"/>
      <c r="DD376" s="77"/>
      <c r="DE376" s="77"/>
      <c r="DF376" s="77"/>
      <c r="DG376" s="77"/>
      <c r="DI376" s="77"/>
      <c r="DJ376" s="77"/>
      <c r="DK376" s="77"/>
      <c r="DT376" s="101"/>
      <c r="FG376" s="77"/>
    </row>
    <row r="377" spans="2:180" x14ac:dyDescent="0.25">
      <c r="B377" s="84" t="s">
        <v>152</v>
      </c>
      <c r="BG377" s="77">
        <f>BG337</f>
        <v>0</v>
      </c>
      <c r="BH377" s="77">
        <f>BH337</f>
        <v>-84.7</v>
      </c>
      <c r="BI377" s="77">
        <f>BI337</f>
        <v>-51.6</v>
      </c>
      <c r="BJ377" s="77">
        <f>BJ337</f>
        <v>-163.69999999999999</v>
      </c>
      <c r="BK377" s="77">
        <f>BK337</f>
        <v>-300</v>
      </c>
      <c r="BM377" s="77">
        <f>BM337</f>
        <v>-145</v>
      </c>
      <c r="BN377" s="77">
        <f>BN337</f>
        <v>-154.9</v>
      </c>
      <c r="BO377" s="77">
        <f>BO337</f>
        <v>-171.1</v>
      </c>
      <c r="BP377" s="77">
        <f>BP337</f>
        <v>-229</v>
      </c>
      <c r="BQ377" s="77">
        <f>BQ337</f>
        <v>-700</v>
      </c>
      <c r="BS377" s="77">
        <f>BS337</f>
        <v>-117.1</v>
      </c>
      <c r="BT377" s="77">
        <f>BT337</f>
        <v>-165.6</v>
      </c>
      <c r="BU377" s="77">
        <f>BU337</f>
        <v>-141.5</v>
      </c>
      <c r="BV377" s="77">
        <f>BV337</f>
        <v>-140.69999999999999</v>
      </c>
      <c r="BW377" s="77">
        <f>BW337</f>
        <v>-564.9</v>
      </c>
      <c r="BY377" s="77">
        <f>BY337</f>
        <v>-213.5</v>
      </c>
      <c r="BZ377" s="77">
        <f>BZ337</f>
        <v>-171.9</v>
      </c>
      <c r="CA377" s="77">
        <f>CA337</f>
        <v>-14.6</v>
      </c>
      <c r="CB377" s="77">
        <f>CB337</f>
        <v>0</v>
      </c>
      <c r="CC377" s="77">
        <f>CC337</f>
        <v>-400</v>
      </c>
      <c r="CE377" s="77">
        <f>CE337</f>
        <v>0</v>
      </c>
      <c r="CF377" s="77">
        <f>CF337</f>
        <v>0</v>
      </c>
      <c r="CG377" s="77">
        <f>CG337</f>
        <v>-165.5</v>
      </c>
      <c r="CH377" s="77">
        <f>CH337</f>
        <v>-334.5</v>
      </c>
      <c r="CI377" s="77">
        <f>CI337</f>
        <v>-500</v>
      </c>
      <c r="CK377" s="77">
        <f>CK337</f>
        <v>-166.9</v>
      </c>
      <c r="CL377" s="77">
        <f>CL337</f>
        <v>-252.9</v>
      </c>
      <c r="CM377" s="77">
        <f>CM337</f>
        <v>-370</v>
      </c>
      <c r="CN377" s="77">
        <f>CN337</f>
        <v>-356.4</v>
      </c>
      <c r="CO377" s="77">
        <f>CO337</f>
        <v>-1146.1999999999998</v>
      </c>
      <c r="CQ377" s="77">
        <f>CQ337</f>
        <v>-52.6</v>
      </c>
      <c r="CR377" s="77">
        <f>CR337</f>
        <v>-17.399999999999999</v>
      </c>
      <c r="CS377" s="77">
        <f>CS337</f>
        <v>-148.4</v>
      </c>
      <c r="CT377" s="77">
        <f>CT337</f>
        <v>-191.6</v>
      </c>
      <c r="CU377" s="77">
        <f>CU337</f>
        <v>-410</v>
      </c>
      <c r="CW377" s="77">
        <f>CW337</f>
        <v>-507.5</v>
      </c>
      <c r="CX377" s="77">
        <f>CX337</f>
        <v>0</v>
      </c>
      <c r="CY377" s="77">
        <f>CY337</f>
        <v>0</v>
      </c>
      <c r="CZ377" s="77">
        <f>CZ337</f>
        <v>-700</v>
      </c>
      <c r="DA377" s="77">
        <f>DA337</f>
        <v>-1207.5</v>
      </c>
      <c r="DC377" s="77">
        <f>DC337</f>
        <v>-1567.6</v>
      </c>
      <c r="DD377" s="77">
        <f>DD337</f>
        <v>-1983.9</v>
      </c>
      <c r="DE377" s="77">
        <f>DE337</f>
        <v>-2401.6</v>
      </c>
      <c r="DF377" s="77">
        <f>DF337</f>
        <v>-2607.1999999999998</v>
      </c>
      <c r="DG377" s="77">
        <f>DG337</f>
        <v>-8560.2999999999993</v>
      </c>
      <c r="DI377" s="77">
        <f>DI337</f>
        <v>-2038.2</v>
      </c>
      <c r="DJ377" s="77">
        <f>DJ337</f>
        <v>-1178.5</v>
      </c>
      <c r="DK377" s="77">
        <f>DK337</f>
        <v>-1087.9000000000001</v>
      </c>
      <c r="DL377" s="77">
        <f>DL337</f>
        <v>-335</v>
      </c>
      <c r="DM377" s="77">
        <f>SUM(DI377:DL377)</f>
        <v>-4639.6000000000004</v>
      </c>
      <c r="DO377" s="77">
        <f>DO337</f>
        <v>-396.2</v>
      </c>
      <c r="DP377" s="77">
        <f>DP337</f>
        <v>-492.6</v>
      </c>
      <c r="DQ377" s="77">
        <f>DQ337</f>
        <v>-111.1</v>
      </c>
      <c r="DR377" s="77">
        <f>DR337</f>
        <v>0</v>
      </c>
      <c r="DS377" s="77">
        <f>SUM(DO377:DR377)</f>
        <v>-999.9</v>
      </c>
      <c r="DT377" s="101"/>
      <c r="DU377" s="77">
        <f>DU337</f>
        <v>-385.1</v>
      </c>
      <c r="DV377" s="77">
        <f>DV337</f>
        <v>-114.9</v>
      </c>
      <c r="DW377" s="77">
        <f>DW337</f>
        <v>0</v>
      </c>
      <c r="DX377" s="77">
        <f>DX337</f>
        <v>0</v>
      </c>
      <c r="DY377" s="77">
        <f>SUM(DU377:DX377)</f>
        <v>-500</v>
      </c>
      <c r="EA377" s="77">
        <f>EA337</f>
        <v>-2592.6</v>
      </c>
      <c r="EB377" s="77">
        <f>EB337</f>
        <v>-1485.2</v>
      </c>
      <c r="EC377" s="77">
        <f>EC337</f>
        <v>-172.2</v>
      </c>
      <c r="ED377" s="77">
        <f>ED337</f>
        <v>-1700</v>
      </c>
      <c r="EE377" s="77">
        <f>SUM(EA377:ED377)</f>
        <v>-5950</v>
      </c>
      <c r="EG377" s="77">
        <f>EG337</f>
        <v>-1000</v>
      </c>
      <c r="EH377" s="335">
        <v>-1000</v>
      </c>
      <c r="EI377" s="335">
        <v>-1000</v>
      </c>
      <c r="EJ377" s="335">
        <v>-1000</v>
      </c>
      <c r="EK377" s="77">
        <f>SUM(EG377:EJ377)</f>
        <v>-4000</v>
      </c>
      <c r="EN377" s="180" t="s">
        <v>776</v>
      </c>
      <c r="FG377" s="77">
        <f>BK377</f>
        <v>-300</v>
      </c>
      <c r="FH377" s="77">
        <f>BQ377</f>
        <v>-700</v>
      </c>
      <c r="FI377" s="77">
        <f>BW377</f>
        <v>-564.9</v>
      </c>
      <c r="FJ377" s="196">
        <f>CC377</f>
        <v>-400</v>
      </c>
      <c r="FK377" s="196">
        <f>CI377</f>
        <v>-500</v>
      </c>
      <c r="FL377" s="196">
        <f>CO377</f>
        <v>-1146.1999999999998</v>
      </c>
      <c r="FM377" s="77">
        <f>CU377</f>
        <v>-410</v>
      </c>
      <c r="FN377" s="77">
        <f>DA377</f>
        <v>-1207.5</v>
      </c>
      <c r="FO377" s="77">
        <f>DG377</f>
        <v>-8560.2999999999993</v>
      </c>
      <c r="FP377" s="77">
        <f>DM377</f>
        <v>-4639.6000000000004</v>
      </c>
      <c r="FQ377" s="77">
        <f>DS377</f>
        <v>-999.9</v>
      </c>
      <c r="FR377" s="326">
        <f>DY377</f>
        <v>-500</v>
      </c>
      <c r="FS377" s="326">
        <f>EE377</f>
        <v>-5950</v>
      </c>
      <c r="FT377" s="326">
        <f>EK377</f>
        <v>-4000</v>
      </c>
      <c r="FU377" s="326">
        <f>FT377</f>
        <v>-4000</v>
      </c>
      <c r="FV377" s="326">
        <f>FU377</f>
        <v>-4000</v>
      </c>
      <c r="FW377" s="326">
        <f>FV377</f>
        <v>-4000</v>
      </c>
      <c r="FX377" s="326">
        <f>FW377</f>
        <v>-4000</v>
      </c>
    </row>
    <row r="378" spans="2:180" x14ac:dyDescent="0.25">
      <c r="B378" s="84"/>
      <c r="BG378" s="77"/>
      <c r="BH378" s="77"/>
      <c r="BI378" s="77"/>
      <c r="BJ378" s="77"/>
      <c r="BK378" s="77"/>
      <c r="BM378" s="77"/>
      <c r="BN378" s="77"/>
      <c r="BO378" s="77"/>
      <c r="BP378" s="77"/>
      <c r="BQ378" s="77"/>
      <c r="BS378" s="77"/>
      <c r="DT378" s="101"/>
    </row>
    <row r="379" spans="2:180" x14ac:dyDescent="0.25">
      <c r="J379" s="74"/>
      <c r="K379" s="74"/>
      <c r="L379" s="74"/>
      <c r="DT379" s="101"/>
      <c r="FQ379" s="74"/>
      <c r="FR379" s="74"/>
      <c r="FS379" s="74"/>
      <c r="FT379" s="74"/>
      <c r="FU379" s="74"/>
      <c r="FV379" s="74"/>
      <c r="FW379" s="74"/>
      <c r="FX379" s="74"/>
    </row>
    <row r="380" spans="2:180" x14ac:dyDescent="0.25">
      <c r="DT380" s="101"/>
      <c r="EB380" s="334"/>
    </row>
  </sheetData>
  <phoneticPr fontId="75"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theme="4" tint="0.79998168889431442"/>
    <pageSetUpPr fitToPage="1"/>
  </sheetPr>
  <dimension ref="A1:AM313"/>
  <sheetViews>
    <sheetView zoomScaleNormal="100" workbookViewId="0">
      <pane xSplit="4" ySplit="3" topLeftCell="P4" activePane="bottomRight" state="frozen"/>
      <selection activeCell="E28" sqref="E28"/>
      <selection pane="topRight" activeCell="E28" sqref="E28"/>
      <selection pane="bottomLeft" activeCell="E28" sqref="E28"/>
      <selection pane="bottomRight" activeCell="S28" sqref="S28"/>
    </sheetView>
  </sheetViews>
  <sheetFormatPr defaultColWidth="10.5546875" defaultRowHeight="14.4" outlineLevelRow="1" outlineLevelCol="1" x14ac:dyDescent="0.3"/>
  <cols>
    <col min="1" max="1" width="5.5546875" style="180" customWidth="1"/>
    <col min="2" max="2" width="25.5546875" style="180" customWidth="1"/>
    <col min="3" max="4" width="10.5546875" style="180"/>
    <col min="5" max="10" width="10.5546875" style="180" hidden="1" customWidth="1" outlineLevel="1"/>
    <col min="11" max="11" width="10.5546875" style="180" collapsed="1"/>
    <col min="12" max="21" width="10.5546875" style="180"/>
    <col min="22" max="22" width="0" style="180" hidden="1" customWidth="1"/>
    <col min="23" max="23" width="12.33203125" style="180" customWidth="1"/>
    <col min="24" max="24" width="12.5546875" style="180" customWidth="1"/>
    <col min="25" max="25" width="11.5546875" style="180" customWidth="1"/>
    <col min="26" max="33" width="10.5546875" style="180"/>
    <col min="34" max="34" width="76.44140625" customWidth="1"/>
    <col min="40" max="16384" width="10.5546875" style="180"/>
  </cols>
  <sheetData>
    <row r="1" spans="1:28" ht="15.6" x14ac:dyDescent="0.3">
      <c r="A1" s="94" t="str">
        <f>Cover!$E$12</f>
        <v>ASML Holdings NV</v>
      </c>
      <c r="B1" s="192"/>
      <c r="C1" s="192"/>
      <c r="D1" s="192"/>
      <c r="E1" s="192"/>
      <c r="F1" s="192"/>
      <c r="G1" s="192"/>
      <c r="H1" s="192"/>
      <c r="I1" s="192"/>
      <c r="J1" s="192"/>
      <c r="K1" s="192"/>
      <c r="L1" s="192"/>
      <c r="M1" s="192"/>
      <c r="N1" s="192"/>
      <c r="O1" s="192"/>
      <c r="P1" s="192"/>
      <c r="Q1" s="192"/>
      <c r="R1" s="192"/>
      <c r="S1" s="192"/>
      <c r="T1" s="192"/>
      <c r="U1" s="192"/>
      <c r="V1" s="192"/>
      <c r="W1" s="193"/>
      <c r="X1" s="192"/>
      <c r="Y1" s="193"/>
      <c r="Z1" s="192"/>
      <c r="AA1" s="192"/>
      <c r="AB1" s="192"/>
    </row>
    <row r="2" spans="1:28" x14ac:dyDescent="0.3">
      <c r="A2" s="93" t="s">
        <v>369</v>
      </c>
      <c r="B2" s="192"/>
      <c r="C2" s="192"/>
      <c r="D2" s="192"/>
      <c r="E2" s="192"/>
      <c r="F2" s="192"/>
      <c r="G2" s="192"/>
      <c r="H2" s="192"/>
      <c r="I2" s="192"/>
      <c r="J2" s="192"/>
      <c r="K2" s="192"/>
      <c r="L2" s="192"/>
      <c r="M2" s="192"/>
      <c r="N2" s="192"/>
      <c r="O2" s="192"/>
      <c r="P2" s="192"/>
      <c r="Q2" s="192"/>
      <c r="R2" s="192"/>
      <c r="S2" s="192"/>
      <c r="T2" s="192"/>
      <c r="U2" s="212"/>
      <c r="V2" s="212"/>
      <c r="W2" s="213"/>
      <c r="X2" s="212"/>
      <c r="Y2" s="213"/>
      <c r="Z2" s="192"/>
      <c r="AA2" s="192"/>
      <c r="AB2" s="192"/>
    </row>
    <row r="3" spans="1:28" x14ac:dyDescent="0.3">
      <c r="A3" s="92" t="s">
        <v>151</v>
      </c>
      <c r="B3" s="192"/>
      <c r="C3" s="192"/>
      <c r="D3" s="192"/>
      <c r="E3" s="86"/>
      <c r="F3" s="86">
        <v>2012</v>
      </c>
      <c r="G3" s="86">
        <v>2013</v>
      </c>
      <c r="H3" s="86">
        <v>2014</v>
      </c>
      <c r="I3" s="86">
        <v>2015</v>
      </c>
      <c r="J3" s="86">
        <v>2016</v>
      </c>
      <c r="K3" s="86">
        <v>2017</v>
      </c>
      <c r="L3" s="86">
        <v>2018</v>
      </c>
      <c r="M3" s="86">
        <v>2019</v>
      </c>
      <c r="N3" s="86">
        <v>2020</v>
      </c>
      <c r="O3" s="86">
        <v>2021</v>
      </c>
      <c r="P3" s="86">
        <v>2022</v>
      </c>
      <c r="Q3" s="86">
        <v>2023</v>
      </c>
      <c r="R3" s="86">
        <v>2024</v>
      </c>
      <c r="S3" s="329">
        <v>2025</v>
      </c>
      <c r="T3" s="148" t="s">
        <v>575</v>
      </c>
      <c r="U3" s="148" t="s">
        <v>576</v>
      </c>
      <c r="V3" s="148" t="s">
        <v>577</v>
      </c>
      <c r="W3" s="213"/>
      <c r="X3" s="367" t="s">
        <v>370</v>
      </c>
      <c r="Y3" s="213"/>
      <c r="Z3" s="192"/>
      <c r="AA3" s="192"/>
      <c r="AB3" s="192"/>
    </row>
    <row r="4" spans="1:28" x14ac:dyDescent="0.3">
      <c r="U4" s="214"/>
      <c r="V4" s="214"/>
      <c r="W4" s="214"/>
      <c r="X4" s="340"/>
      <c r="Y4" s="214"/>
    </row>
    <row r="5" spans="1:28" x14ac:dyDescent="0.3">
      <c r="U5" s="214"/>
      <c r="V5" s="214"/>
      <c r="W5" s="214"/>
      <c r="X5" s="340"/>
      <c r="Y5" s="214"/>
    </row>
    <row r="6" spans="1:28" x14ac:dyDescent="0.3">
      <c r="B6" s="64" t="s">
        <v>379</v>
      </c>
      <c r="C6" s="64"/>
      <c r="D6" s="64"/>
      <c r="E6" s="64"/>
      <c r="F6" s="81">
        <f t="shared" ref="F6:U6" si="0">F$3</f>
        <v>2012</v>
      </c>
      <c r="G6" s="81">
        <f t="shared" si="0"/>
        <v>2013</v>
      </c>
      <c r="H6" s="81">
        <f t="shared" si="0"/>
        <v>2014</v>
      </c>
      <c r="I6" s="81">
        <f t="shared" si="0"/>
        <v>2015</v>
      </c>
      <c r="J6" s="81">
        <f t="shared" si="0"/>
        <v>2016</v>
      </c>
      <c r="K6" s="81">
        <f t="shared" si="0"/>
        <v>2017</v>
      </c>
      <c r="L6" s="81">
        <f t="shared" si="0"/>
        <v>2018</v>
      </c>
      <c r="M6" s="81">
        <f t="shared" si="0"/>
        <v>2019</v>
      </c>
      <c r="N6" s="81">
        <f t="shared" si="0"/>
        <v>2020</v>
      </c>
      <c r="O6" s="81">
        <f t="shared" si="0"/>
        <v>2021</v>
      </c>
      <c r="P6" s="81">
        <f t="shared" si="0"/>
        <v>2022</v>
      </c>
      <c r="Q6" s="81">
        <f t="shared" si="0"/>
        <v>2023</v>
      </c>
      <c r="R6" s="81">
        <f t="shared" si="0"/>
        <v>2024</v>
      </c>
      <c r="S6" s="81">
        <f t="shared" si="0"/>
        <v>2025</v>
      </c>
      <c r="T6" s="81" t="str">
        <f t="shared" si="0"/>
        <v>2026e</v>
      </c>
      <c r="U6" s="81" t="str">
        <f t="shared" si="0"/>
        <v>2027e</v>
      </c>
      <c r="V6" s="81" t="str">
        <f>V$3</f>
        <v>2028e</v>
      </c>
      <c r="W6" s="214"/>
      <c r="X6" s="340"/>
      <c r="Y6" s="214"/>
    </row>
    <row r="7" spans="1:28" x14ac:dyDescent="0.3">
      <c r="V7" s="214"/>
      <c r="W7" s="214"/>
      <c r="X7" s="340"/>
      <c r="Y7" s="214"/>
    </row>
    <row r="8" spans="1:28" x14ac:dyDescent="0.3">
      <c r="B8" s="177" t="s">
        <v>380</v>
      </c>
      <c r="G8" s="869">
        <f>Financials!FG9</f>
        <v>5425.3</v>
      </c>
      <c r="H8" s="248">
        <f>Financials!FH9</f>
        <v>5856.3</v>
      </c>
      <c r="I8" s="248">
        <f>Financials!FI9</f>
        <v>6287.4</v>
      </c>
      <c r="J8" s="248">
        <f>Financials!FJ9</f>
        <v>6794.7999999999993</v>
      </c>
      <c r="K8" s="248">
        <f>Financials!FK9</f>
        <v>9052.7999999999993</v>
      </c>
      <c r="L8" s="248">
        <f>Financials!FL9</f>
        <v>10944</v>
      </c>
      <c r="M8" s="248">
        <f>Financials!FM9</f>
        <v>11819.9</v>
      </c>
      <c r="N8" s="248">
        <f>Financials!FN9</f>
        <v>13978.4</v>
      </c>
      <c r="O8" s="248">
        <f>Financials!FO9</f>
        <v>18611</v>
      </c>
      <c r="P8" s="248">
        <f>Financials!FP9</f>
        <v>21173.399999999998</v>
      </c>
      <c r="Q8" s="248">
        <f>Financials!FQ9</f>
        <v>27558.5</v>
      </c>
      <c r="R8" s="248">
        <f>Financials!FR9</f>
        <v>28262.899999999998</v>
      </c>
      <c r="S8" s="248">
        <f>Financials!FS9</f>
        <v>32667.200000000001</v>
      </c>
      <c r="T8" s="248">
        <f>Financials!FT9</f>
        <v>37673.594999999994</v>
      </c>
      <c r="U8" s="248">
        <f>Financials!FU9</f>
        <v>48011.947549999997</v>
      </c>
      <c r="V8" s="248">
        <f>Financials!FV9</f>
        <v>41296.421153899995</v>
      </c>
      <c r="W8" s="294">
        <f>(T8/Q8)^(1/3)-1</f>
        <v>0.10984031477023826</v>
      </c>
      <c r="X8" s="339"/>
      <c r="Y8" s="214"/>
    </row>
    <row r="9" spans="1:28" x14ac:dyDescent="0.3">
      <c r="B9" s="797" t="s">
        <v>381</v>
      </c>
      <c r="C9" s="185"/>
      <c r="D9" s="185"/>
      <c r="E9" s="185"/>
      <c r="F9" s="185"/>
      <c r="G9" s="875">
        <f>-Financials!FG11</f>
        <v>-3068.1</v>
      </c>
      <c r="H9" s="246">
        <f>-Financials!FH11</f>
        <v>-3259.9</v>
      </c>
      <c r="I9" s="246">
        <f>-Financials!FI11</f>
        <v>-3391.7000000000003</v>
      </c>
      <c r="J9" s="246">
        <f>-Financials!FJ11</f>
        <v>-3750.3</v>
      </c>
      <c r="K9" s="246">
        <f>-Financials!FK11</f>
        <v>-4976.1000000000004</v>
      </c>
      <c r="L9" s="246">
        <f>-Financials!FL11</f>
        <v>-5914.7999999999993</v>
      </c>
      <c r="M9" s="246">
        <f>-Financials!FM11</f>
        <v>-6540.2</v>
      </c>
      <c r="N9" s="246">
        <f>-Financials!FN11</f>
        <v>-7181.2999999999993</v>
      </c>
      <c r="O9" s="246">
        <f>-Financials!FO11</f>
        <v>-8802</v>
      </c>
      <c r="P9" s="246">
        <f>-Financials!FP11</f>
        <v>-10473.299999999999</v>
      </c>
      <c r="Q9" s="246">
        <f>-Financials!FQ11</f>
        <v>-13422.400000000001</v>
      </c>
      <c r="R9" s="246">
        <f>-Financials!FR11</f>
        <v>-13770.9</v>
      </c>
      <c r="S9" s="246">
        <f>-Financials!FS11</f>
        <v>-15370.06048</v>
      </c>
      <c r="T9" s="246">
        <f>-Financials!FT11</f>
        <v>-17880.470029999997</v>
      </c>
      <c r="U9" s="246">
        <f>-Financials!FU11</f>
        <v>-21358.068068999997</v>
      </c>
      <c r="V9" s="246">
        <f>-Financials!FV11</f>
        <v>-18533.733107366999</v>
      </c>
      <c r="X9" s="340"/>
      <c r="Y9" s="214"/>
    </row>
    <row r="10" spans="1:28" x14ac:dyDescent="0.3">
      <c r="B10" s="177" t="s">
        <v>382</v>
      </c>
      <c r="C10" s="177"/>
      <c r="D10" s="177"/>
      <c r="E10" s="177"/>
      <c r="F10" s="177"/>
      <c r="G10" s="248">
        <f>G8+G9</f>
        <v>2357.2000000000003</v>
      </c>
      <c r="H10" s="248">
        <f t="shared" ref="H10:S10" si="1">H8+H9</f>
        <v>2596.4</v>
      </c>
      <c r="I10" s="248">
        <f t="shared" si="1"/>
        <v>2895.6999999999994</v>
      </c>
      <c r="J10" s="248">
        <f t="shared" si="1"/>
        <v>3044.4999999999991</v>
      </c>
      <c r="K10" s="248">
        <f t="shared" si="1"/>
        <v>4076.6999999999989</v>
      </c>
      <c r="L10" s="248">
        <f t="shared" si="1"/>
        <v>5029.2000000000007</v>
      </c>
      <c r="M10" s="248">
        <f t="shared" si="1"/>
        <v>5279.7</v>
      </c>
      <c r="N10" s="248">
        <f t="shared" si="1"/>
        <v>6797.1</v>
      </c>
      <c r="O10" s="248">
        <f t="shared" si="1"/>
        <v>9809</v>
      </c>
      <c r="P10" s="248">
        <f t="shared" si="1"/>
        <v>10700.099999999999</v>
      </c>
      <c r="Q10" s="248">
        <f t="shared" si="1"/>
        <v>14136.099999999999</v>
      </c>
      <c r="R10" s="248">
        <f t="shared" si="1"/>
        <v>14491.999999999998</v>
      </c>
      <c r="S10" s="248">
        <f t="shared" si="1"/>
        <v>17297.139520000001</v>
      </c>
      <c r="T10" s="248">
        <f>T8+T9</f>
        <v>19793.124969999997</v>
      </c>
      <c r="U10" s="248">
        <f>U8+U9</f>
        <v>26653.879481</v>
      </c>
      <c r="V10" s="248">
        <f>V8+V9</f>
        <v>22762.688046532996</v>
      </c>
      <c r="X10" s="340"/>
      <c r="Y10" s="214"/>
    </row>
    <row r="11" spans="1:28" x14ac:dyDescent="0.3">
      <c r="V11" s="214"/>
      <c r="X11" s="340"/>
      <c r="Y11" s="214"/>
    </row>
    <row r="12" spans="1:28" x14ac:dyDescent="0.3">
      <c r="B12" s="270" t="s">
        <v>363</v>
      </c>
      <c r="G12" s="877">
        <f>-Financials!FG19</f>
        <v>-882.00000000000011</v>
      </c>
      <c r="H12" s="191">
        <f>-Financials!FH19</f>
        <v>-1074.0999999999999</v>
      </c>
      <c r="I12" s="191">
        <f>-Financials!FI19</f>
        <v>-1068.0999999999999</v>
      </c>
      <c r="J12" s="191">
        <f>-Financials!FJ19</f>
        <v>-1105.8</v>
      </c>
      <c r="K12" s="191">
        <f>-Financials!FK19</f>
        <v>-1259.6999999999998</v>
      </c>
      <c r="L12" s="191">
        <f>-Financials!FL19</f>
        <v>-1575.9</v>
      </c>
      <c r="M12" s="191">
        <f>-Financials!FM19</f>
        <v>-1968.5</v>
      </c>
      <c r="N12" s="191">
        <f>-Financials!FN19</f>
        <v>-2200.8000000000002</v>
      </c>
      <c r="O12" s="191">
        <f>-Financials!FO19</f>
        <v>-2547</v>
      </c>
      <c r="P12" s="191">
        <f>-Financials!FP19</f>
        <v>-3253.5</v>
      </c>
      <c r="Q12" s="191">
        <f>-Financials!FQ19</f>
        <v>-3980.5</v>
      </c>
      <c r="R12" s="191">
        <f>-Financials!FR19</f>
        <v>-4303.7</v>
      </c>
      <c r="S12" s="191">
        <f>-Financials!FS19</f>
        <v>-4698.8</v>
      </c>
      <c r="T12" s="191">
        <f>-Financials!FT19</f>
        <v>-4833.8939400000008</v>
      </c>
      <c r="U12" s="191">
        <f>-Financials!FU19</f>
        <v>-5072.5886369999998</v>
      </c>
      <c r="V12" s="191">
        <f>-Financials!FV19</f>
        <v>-5423.4698415900002</v>
      </c>
      <c r="X12" s="340"/>
      <c r="Y12" s="214"/>
    </row>
    <row r="13" spans="1:28" x14ac:dyDescent="0.3">
      <c r="B13" s="398" t="s">
        <v>364</v>
      </c>
      <c r="C13" s="360"/>
      <c r="D13" s="360"/>
      <c r="E13" s="360"/>
      <c r="F13" s="360"/>
      <c r="G13" s="876">
        <f>-Financials!FG18</f>
        <v>-311.7</v>
      </c>
      <c r="H13" s="361">
        <f>-Financials!FH18</f>
        <v>-321.10000000000002</v>
      </c>
      <c r="I13" s="361">
        <f>-Financials!FI18</f>
        <v>-345.7</v>
      </c>
      <c r="J13" s="361">
        <f>-Financials!FJ18</f>
        <v>-374.8</v>
      </c>
      <c r="K13" s="361">
        <f>-Financials!FK18</f>
        <v>-416.59999999999997</v>
      </c>
      <c r="L13" s="361">
        <f>-Financials!FL18</f>
        <v>-488</v>
      </c>
      <c r="M13" s="361">
        <f>-Financials!FM18</f>
        <v>-520.6</v>
      </c>
      <c r="N13" s="361">
        <f>-Financials!FN18</f>
        <v>-544.9</v>
      </c>
      <c r="O13" s="361">
        <f>-Financials!FO18</f>
        <v>-725.6</v>
      </c>
      <c r="P13" s="361">
        <f>-Financials!FP18</f>
        <v>-945.9</v>
      </c>
      <c r="Q13" s="361">
        <f>-Financials!FQ18</f>
        <v>-1113.3000000000002</v>
      </c>
      <c r="R13" s="361">
        <f>-Financials!FR18</f>
        <v>-1165.6999999999998</v>
      </c>
      <c r="S13" s="361">
        <f>-Financials!FS18</f>
        <v>-1257.8</v>
      </c>
      <c r="T13" s="361">
        <f>-Financials!FT18</f>
        <v>-1273.9088320000001</v>
      </c>
      <c r="U13" s="361">
        <f>-Financials!FU18</f>
        <v>-1311.8260969600001</v>
      </c>
      <c r="V13" s="361">
        <f>-Financials!FV18</f>
        <v>-1350.8808798688001</v>
      </c>
      <c r="X13" s="340"/>
      <c r="Y13" s="214"/>
    </row>
    <row r="14" spans="1:28" x14ac:dyDescent="0.3">
      <c r="B14" s="397" t="s">
        <v>383</v>
      </c>
      <c r="C14" s="364"/>
      <c r="D14" s="364"/>
      <c r="E14" s="364"/>
      <c r="F14" s="364"/>
      <c r="G14" s="878">
        <f>-Financials!FG20</f>
        <v>64.400000000000006</v>
      </c>
      <c r="H14" s="377">
        <f>-Financials!FH20</f>
        <v>81</v>
      </c>
      <c r="I14" s="377">
        <f>-Financials!FI20</f>
        <v>83.2</v>
      </c>
      <c r="J14" s="377">
        <f>-Financials!FJ20</f>
        <v>93.8</v>
      </c>
      <c r="K14" s="377">
        <f>-Financials!FK20</f>
        <v>95.8</v>
      </c>
      <c r="L14" s="377">
        <f>-Financials!FL20</f>
        <v>0</v>
      </c>
      <c r="M14" s="377">
        <f>-Financials!FM20</f>
        <v>0</v>
      </c>
      <c r="N14" s="377">
        <f>-Financials!FN20</f>
        <v>0</v>
      </c>
      <c r="O14" s="377">
        <f>-Financials!FO20</f>
        <v>213.7</v>
      </c>
      <c r="P14" s="377">
        <f>-Financials!FP20</f>
        <v>0</v>
      </c>
      <c r="Q14" s="377">
        <f>-Financials!FQ20</f>
        <v>0</v>
      </c>
      <c r="R14" s="377">
        <f>-Financials!FR20</f>
        <v>0</v>
      </c>
      <c r="S14" s="377">
        <f>-Financials!FS20</f>
        <v>0</v>
      </c>
      <c r="T14" s="377">
        <f>-Financials!FT20</f>
        <v>0</v>
      </c>
      <c r="U14" s="377">
        <f>-Financials!FU20</f>
        <v>0</v>
      </c>
      <c r="V14" s="377">
        <f>-Financials!FV20</f>
        <v>0</v>
      </c>
      <c r="X14" s="340"/>
      <c r="Y14" s="214"/>
    </row>
    <row r="15" spans="1:28" x14ac:dyDescent="0.3">
      <c r="B15" s="324" t="s">
        <v>384</v>
      </c>
      <c r="C15" s="177"/>
      <c r="D15" s="177"/>
      <c r="E15" s="177"/>
      <c r="F15" s="177"/>
      <c r="G15" s="248">
        <f>Financials!FG24</f>
        <v>1227.9000000000003</v>
      </c>
      <c r="H15" s="248">
        <f>Financials!FH24</f>
        <v>1282.2000000000003</v>
      </c>
      <c r="I15" s="248">
        <f>Financials!FI24</f>
        <v>1565.0999999999995</v>
      </c>
      <c r="J15" s="248">
        <f>Financials!FJ24</f>
        <v>1657.6999999999991</v>
      </c>
      <c r="K15" s="248">
        <f>Financials!FK24</f>
        <v>2496.1999999999989</v>
      </c>
      <c r="L15" s="248">
        <f>Financials!FL24</f>
        <v>2965.3000000000006</v>
      </c>
      <c r="M15" s="248">
        <f>Financials!FM24</f>
        <v>2790.6</v>
      </c>
      <c r="N15" s="248">
        <f>Financials!FN24</f>
        <v>4051.4</v>
      </c>
      <c r="O15" s="248">
        <f>Financials!FO24</f>
        <v>6750.1</v>
      </c>
      <c r="P15" s="248">
        <f>Financials!FP24</f>
        <v>6500.6999999999989</v>
      </c>
      <c r="Q15" s="248">
        <f>Financials!FQ24</f>
        <v>9042.2999999999993</v>
      </c>
      <c r="R15" s="248">
        <f>Financials!FR24</f>
        <v>9022.5999999999985</v>
      </c>
      <c r="S15" s="248">
        <f>Financials!FS24</f>
        <v>11340.53952</v>
      </c>
      <c r="T15" s="248">
        <f>Financials!FT24</f>
        <v>13685.322197999996</v>
      </c>
      <c r="U15" s="248">
        <f>Financials!FU24</f>
        <v>20269.464747040001</v>
      </c>
      <c r="V15" s="248">
        <f>Financials!FV24</f>
        <v>15988.337325074195</v>
      </c>
      <c r="X15" s="340"/>
      <c r="Y15" s="214"/>
    </row>
    <row r="16" spans="1:28" x14ac:dyDescent="0.3">
      <c r="B16" s="177"/>
      <c r="C16" s="177"/>
      <c r="D16" s="177"/>
      <c r="E16" s="177"/>
      <c r="F16" s="177"/>
      <c r="G16" s="178"/>
      <c r="H16" s="178"/>
      <c r="I16" s="178"/>
      <c r="J16" s="178"/>
      <c r="K16" s="178"/>
      <c r="L16" s="178"/>
      <c r="M16" s="178"/>
      <c r="N16" s="178"/>
      <c r="O16" s="178"/>
      <c r="P16" s="178"/>
      <c r="Q16" s="178"/>
      <c r="R16" s="178"/>
      <c r="S16" s="178"/>
      <c r="T16" s="178"/>
      <c r="U16" s="178"/>
      <c r="V16" s="178"/>
      <c r="X16" s="340"/>
      <c r="Y16" s="214"/>
    </row>
    <row r="17" spans="2:39" s="177" customFormat="1" x14ac:dyDescent="0.3">
      <c r="B17" s="360" t="s">
        <v>362</v>
      </c>
      <c r="C17" s="360"/>
      <c r="D17" s="360"/>
      <c r="E17" s="360"/>
      <c r="F17" s="360"/>
      <c r="G17" s="361">
        <f>G15+Financials!FG308</f>
        <v>1456.6000000000004</v>
      </c>
      <c r="H17" s="361">
        <f>H15+Financials!FH308</f>
        <v>1536.8000000000002</v>
      </c>
      <c r="I17" s="361">
        <f>I15+Financials!FI308</f>
        <v>1861.9999999999995</v>
      </c>
      <c r="J17" s="361">
        <f>J15+Financials!FJ308</f>
        <v>2014.599999999999</v>
      </c>
      <c r="K17" s="361">
        <f>K15+Financials!FK308</f>
        <v>2913.6999999999989</v>
      </c>
      <c r="L17" s="361">
        <f>L15+Financials!FL308</f>
        <v>3388.0000000000009</v>
      </c>
      <c r="M17" s="361">
        <f>M15+Financials!FM308</f>
        <v>3239.1</v>
      </c>
      <c r="N17" s="361">
        <f>N15+Financials!FN308</f>
        <v>4542.2</v>
      </c>
      <c r="O17" s="361">
        <f>O15+Financials!FO308</f>
        <v>7221.1</v>
      </c>
      <c r="P17" s="361">
        <f>P15+Financials!FP308</f>
        <v>7084.2999999999993</v>
      </c>
      <c r="Q17" s="361">
        <f>Q15+Financials!FQ308</f>
        <v>9782.0999999999985</v>
      </c>
      <c r="R17" s="361">
        <f>R15+Financials!FR308</f>
        <v>9941.1999999999989</v>
      </c>
      <c r="S17" s="361">
        <f>S15+Financials!FS308</f>
        <v>12366.53952</v>
      </c>
      <c r="T17" s="361">
        <f>T15+Financials!FT308</f>
        <v>14680.280745424281</v>
      </c>
      <c r="U17" s="361">
        <f>U15+Financials!FU308</f>
        <v>21421.751488240003</v>
      </c>
      <c r="V17" s="361">
        <f>V15+Financials!FV308</f>
        <v>16979.451432767793</v>
      </c>
      <c r="W17" s="294">
        <f>(T17/Q17)^(1/3)-1</f>
        <v>0.14489964568597902</v>
      </c>
      <c r="X17" s="341"/>
      <c r="Y17" s="283"/>
      <c r="AH17"/>
      <c r="AI17"/>
      <c r="AJ17"/>
      <c r="AK17"/>
      <c r="AL17"/>
      <c r="AM17"/>
    </row>
    <row r="18" spans="2:39" x14ac:dyDescent="0.3">
      <c r="G18" s="181"/>
      <c r="H18" s="181"/>
      <c r="I18" s="181"/>
      <c r="J18" s="181"/>
      <c r="K18" s="181"/>
      <c r="L18" s="181"/>
      <c r="M18" s="181"/>
      <c r="N18" s="181"/>
      <c r="O18" s="181"/>
      <c r="P18" s="181"/>
      <c r="Q18" s="181"/>
      <c r="R18" s="181"/>
      <c r="S18" s="181"/>
      <c r="T18" s="181"/>
      <c r="U18" s="181"/>
      <c r="V18" s="181"/>
      <c r="X18" s="340"/>
      <c r="Y18" s="214"/>
    </row>
    <row r="19" spans="2:39" x14ac:dyDescent="0.3">
      <c r="B19" s="797" t="s">
        <v>385</v>
      </c>
      <c r="C19" s="185"/>
      <c r="D19" s="185"/>
      <c r="E19" s="185"/>
      <c r="F19" s="185"/>
      <c r="G19" s="875">
        <f>Financials!FG30</f>
        <v>-24.4</v>
      </c>
      <c r="H19" s="246">
        <f>Financials!FH30</f>
        <v>-8.6</v>
      </c>
      <c r="I19" s="246">
        <f>Financials!FI30</f>
        <v>-16.5</v>
      </c>
      <c r="J19" s="246">
        <f>Financials!FJ30</f>
        <v>-115.9</v>
      </c>
      <c r="K19" s="246">
        <f>Financials!FK30</f>
        <v>-50.3</v>
      </c>
      <c r="L19" s="246">
        <f>Financials!FL30</f>
        <v>-28.299999999999997</v>
      </c>
      <c r="M19" s="246">
        <f>Financials!FM30</f>
        <v>-25.000000000000004</v>
      </c>
      <c r="N19" s="246">
        <f>Financials!FN30</f>
        <v>-34.9</v>
      </c>
      <c r="O19" s="246">
        <f>Financials!FO30</f>
        <v>-44.599999999999994</v>
      </c>
      <c r="P19" s="246">
        <f>Financials!FP30</f>
        <v>-44.6</v>
      </c>
      <c r="Q19" s="246">
        <f>Financials!FQ30</f>
        <v>41.2</v>
      </c>
      <c r="R19" s="246">
        <f>Financials!FR30</f>
        <v>19.799999999999997</v>
      </c>
      <c r="S19" s="246">
        <f>Financials!FS30</f>
        <v>104.60000000000001</v>
      </c>
      <c r="T19" s="246">
        <f>Financials!FT30</f>
        <v>23.271284266152065</v>
      </c>
      <c r="U19" s="246">
        <f>Financials!FU30</f>
        <v>49.840278976860759</v>
      </c>
      <c r="V19" s="246">
        <f>Financials!FV30</f>
        <v>238.7275654277675</v>
      </c>
      <c r="X19" s="340"/>
      <c r="Y19" s="214"/>
    </row>
    <row r="20" spans="2:39" x14ac:dyDescent="0.3">
      <c r="B20" s="177" t="s">
        <v>386</v>
      </c>
      <c r="C20" s="177"/>
      <c r="D20" s="177"/>
      <c r="E20" s="177"/>
      <c r="F20" s="177"/>
      <c r="G20" s="248">
        <f>Financials!FG32</f>
        <v>1203.5000000000002</v>
      </c>
      <c r="H20" s="248">
        <f>Financials!FH32</f>
        <v>1273.6000000000004</v>
      </c>
      <c r="I20" s="248">
        <f>Financials!FI32</f>
        <v>1548.5999999999995</v>
      </c>
      <c r="J20" s="248">
        <f>Financials!FJ32</f>
        <v>1541.799999999999</v>
      </c>
      <c r="K20" s="248">
        <f>Financials!FK32</f>
        <v>2445.8999999999987</v>
      </c>
      <c r="L20" s="248">
        <f>Financials!FL32</f>
        <v>2937.0000000000005</v>
      </c>
      <c r="M20" s="248">
        <f>Financials!FM32</f>
        <v>2765.6</v>
      </c>
      <c r="N20" s="248">
        <f>Financials!FN32</f>
        <v>4016.5</v>
      </c>
      <c r="O20" s="248">
        <f>Financials!FO32</f>
        <v>6705.5</v>
      </c>
      <c r="P20" s="248">
        <f>Financials!FP32</f>
        <v>6456.0999999999985</v>
      </c>
      <c r="Q20" s="248">
        <f>Financials!FQ32</f>
        <v>9083.5</v>
      </c>
      <c r="R20" s="248">
        <f>Financials!FR32</f>
        <v>9042.3999999999978</v>
      </c>
      <c r="S20" s="248">
        <f>Financials!FS32</f>
        <v>11445.139520000001</v>
      </c>
      <c r="T20" s="248">
        <f>Financials!FT32</f>
        <v>13708.593482266147</v>
      </c>
      <c r="U20" s="248">
        <f>Financials!FU32</f>
        <v>20319.305026016864</v>
      </c>
      <c r="V20" s="248">
        <f>Financials!FV32</f>
        <v>16227.064890501963</v>
      </c>
      <c r="X20" s="340"/>
      <c r="Y20" s="214"/>
    </row>
    <row r="21" spans="2:39" x14ac:dyDescent="0.3">
      <c r="G21" s="181"/>
      <c r="H21" s="181"/>
      <c r="I21" s="181"/>
      <c r="J21" s="181"/>
      <c r="K21" s="181"/>
      <c r="L21" s="181"/>
      <c r="M21" s="181"/>
      <c r="N21" s="181"/>
      <c r="O21" s="181"/>
      <c r="P21" s="181"/>
      <c r="Q21" s="181"/>
      <c r="R21" s="181"/>
      <c r="S21" s="181"/>
      <c r="T21" s="181"/>
      <c r="U21" s="181"/>
      <c r="V21" s="181"/>
      <c r="X21" s="340"/>
      <c r="Y21" s="214"/>
    </row>
    <row r="22" spans="2:39" x14ac:dyDescent="0.3">
      <c r="B22" s="270" t="s">
        <v>387</v>
      </c>
      <c r="G22" s="877">
        <f>-Financials!FG38</f>
        <v>-8</v>
      </c>
      <c r="H22" s="191">
        <f>-Financials!FH38</f>
        <v>-77</v>
      </c>
      <c r="I22" s="191">
        <f>-Financials!FI38</f>
        <v>-161.4</v>
      </c>
      <c r="J22" s="191">
        <f>-Financials!FJ38</f>
        <v>-219.5</v>
      </c>
      <c r="K22" s="191">
        <f>-Financials!FK38</f>
        <v>-310.70000000000005</v>
      </c>
      <c r="L22" s="191">
        <f>-Financials!FL38</f>
        <v>-351.6</v>
      </c>
      <c r="M22" s="191">
        <f>-Financials!FM38</f>
        <v>-191.6</v>
      </c>
      <c r="N22" s="191">
        <f>-Financials!FN38</f>
        <v>-551.59999999999991</v>
      </c>
      <c r="O22" s="191">
        <f>-Financials!FO38</f>
        <v>-1021.4</v>
      </c>
      <c r="P22" s="191">
        <f>-Financials!FP38</f>
        <v>-969.90000000000009</v>
      </c>
      <c r="Q22" s="191">
        <f>-Financials!FQ38</f>
        <v>-1435.8000000000002</v>
      </c>
      <c r="R22" s="191">
        <f>-Financials!FR38</f>
        <v>-1680.6</v>
      </c>
      <c r="S22" s="191">
        <f>-Financials!FS38</f>
        <v>-2013.4</v>
      </c>
      <c r="T22" s="191">
        <f>-Financials!FT38</f>
        <v>-2299.3206034283894</v>
      </c>
      <c r="U22" s="191">
        <f>-Financials!FU38</f>
        <v>-3149.4922790326141</v>
      </c>
      <c r="V22" s="191">
        <f>-Financials!FV38</f>
        <v>-2515.195058027804</v>
      </c>
      <c r="X22" s="340"/>
      <c r="Y22" s="214"/>
    </row>
    <row r="23" spans="2:39" x14ac:dyDescent="0.3">
      <c r="B23" s="270" t="s">
        <v>403</v>
      </c>
      <c r="G23" s="877">
        <f>Financials!FG41</f>
        <v>0</v>
      </c>
      <c r="H23" s="191">
        <f>Financials!FH41</f>
        <v>0</v>
      </c>
      <c r="I23" s="191">
        <f>Financials!FI41</f>
        <v>0</v>
      </c>
      <c r="J23" s="191">
        <f>Financials!FJ41</f>
        <v>0</v>
      </c>
      <c r="K23" s="191">
        <f>Financials!FK41</f>
        <v>-16.7</v>
      </c>
      <c r="L23" s="191">
        <f>Financials!FL41</f>
        <v>6.1999999999999993</v>
      </c>
      <c r="M23" s="191">
        <f>Financials!FM41</f>
        <v>18.199999999999996</v>
      </c>
      <c r="N23" s="191">
        <f>Financials!FN41</f>
        <v>88.7</v>
      </c>
      <c r="O23" s="191">
        <f>Financials!FO41</f>
        <v>199.1</v>
      </c>
      <c r="P23" s="191">
        <f>Financials!FP41</f>
        <v>138</v>
      </c>
      <c r="Q23" s="191">
        <f>Financials!FQ41</f>
        <v>191.3</v>
      </c>
      <c r="R23" s="191">
        <f>Financials!FR41</f>
        <v>209.8</v>
      </c>
      <c r="S23" s="191">
        <f>Financials!FS41</f>
        <v>216.7</v>
      </c>
      <c r="T23" s="191">
        <f>Financials!FT41</f>
        <v>329.6</v>
      </c>
      <c r="U23" s="191">
        <f>Financials!FU41</f>
        <v>405.38929494080003</v>
      </c>
      <c r="V23" s="191">
        <f>Financials!FV41</f>
        <v>319.76674650148391</v>
      </c>
      <c r="X23" s="340"/>
      <c r="Y23" s="214"/>
    </row>
    <row r="24" spans="2:39" s="177" customFormat="1" x14ac:dyDescent="0.3">
      <c r="B24" s="269" t="s">
        <v>388</v>
      </c>
      <c r="C24" s="269"/>
      <c r="D24" s="269"/>
      <c r="G24" s="874">
        <f>Financials!FG43</f>
        <v>1195.5000000000002</v>
      </c>
      <c r="H24" s="285">
        <f>Financials!FH43</f>
        <v>1196.6000000000004</v>
      </c>
      <c r="I24" s="285">
        <f>Financials!FI43</f>
        <v>1387.1999999999994</v>
      </c>
      <c r="J24" s="285">
        <f>Financials!FJ43</f>
        <v>1322.299999999999</v>
      </c>
      <c r="K24" s="285">
        <f>Financials!FK43</f>
        <v>2118.4999999999991</v>
      </c>
      <c r="L24" s="285">
        <f>Financials!FL43</f>
        <v>2591.6000000000004</v>
      </c>
      <c r="M24" s="285">
        <f>Financials!FM43</f>
        <v>2592.1999999999998</v>
      </c>
      <c r="N24" s="285">
        <f>Financials!FN43</f>
        <v>3553.6</v>
      </c>
      <c r="O24" s="285">
        <f>Financials!FO43</f>
        <v>5883.2000000000007</v>
      </c>
      <c r="P24" s="285">
        <f>Financials!FP43</f>
        <v>5624.1999999999989</v>
      </c>
      <c r="Q24" s="285">
        <f>Financials!FQ43</f>
        <v>7839</v>
      </c>
      <c r="R24" s="285">
        <f>Financials!FR43</f>
        <v>7571.5999999999976</v>
      </c>
      <c r="S24" s="285">
        <f>Financials!FS43</f>
        <v>9648.4395200000017</v>
      </c>
      <c r="T24" s="285">
        <f>Financials!FT43</f>
        <v>11738.872878837758</v>
      </c>
      <c r="U24" s="285">
        <f>Financials!FU43</f>
        <v>17575.202041925051</v>
      </c>
      <c r="V24" s="285">
        <f>Financials!FV43</f>
        <v>14031.636578975642</v>
      </c>
      <c r="W24" s="294">
        <f>(T24/Q24)^(1/3)-1</f>
        <v>0.14407697426457533</v>
      </c>
      <c r="X24" s="341"/>
      <c r="Y24" s="283"/>
      <c r="AH24"/>
      <c r="AI24"/>
      <c r="AJ24"/>
      <c r="AK24"/>
      <c r="AL24"/>
      <c r="AM24"/>
    </row>
    <row r="25" spans="2:39" x14ac:dyDescent="0.3">
      <c r="B25" s="177"/>
      <c r="G25" s="181"/>
      <c r="H25" s="181"/>
      <c r="I25" s="181"/>
      <c r="J25" s="181"/>
      <c r="K25" s="181"/>
      <c r="L25" s="181"/>
      <c r="M25" s="181"/>
      <c r="N25" s="181"/>
      <c r="O25" s="181"/>
      <c r="P25" s="181"/>
      <c r="Q25" s="181"/>
      <c r="R25" s="181"/>
      <c r="S25" s="181"/>
      <c r="T25" s="181"/>
      <c r="U25" s="181"/>
      <c r="V25" s="181"/>
      <c r="X25" s="340"/>
      <c r="Y25" s="214"/>
    </row>
    <row r="26" spans="2:39" x14ac:dyDescent="0.3">
      <c r="G26" s="181"/>
      <c r="H26" s="181"/>
      <c r="I26" s="181"/>
      <c r="J26" s="181"/>
      <c r="K26" s="181"/>
      <c r="L26" s="181"/>
      <c r="M26" s="181"/>
      <c r="N26" s="181"/>
      <c r="O26" s="181"/>
      <c r="P26" s="181"/>
      <c r="Q26" s="181"/>
      <c r="R26" s="181"/>
      <c r="S26" s="181"/>
      <c r="T26" s="181"/>
      <c r="U26" s="181"/>
      <c r="V26" s="181"/>
      <c r="X26" s="340"/>
      <c r="Y26" s="214"/>
    </row>
    <row r="27" spans="2:39" x14ac:dyDescent="0.3">
      <c r="B27" s="270" t="s">
        <v>507</v>
      </c>
      <c r="G27" s="245">
        <f>Financials!FG57</f>
        <v>2.7815262912982788</v>
      </c>
      <c r="H27" s="245">
        <f>Financials!FH57</f>
        <v>2.7371190026877121</v>
      </c>
      <c r="I27" s="245">
        <f>Financials!FI57</f>
        <v>3.2209903059151315</v>
      </c>
      <c r="J27" s="245">
        <f>Financials!FJ57</f>
        <v>3.1069078947368398</v>
      </c>
      <c r="K27" s="245">
        <f>Financials!FK57</f>
        <v>4.9296102385107599</v>
      </c>
      <c r="L27" s="245">
        <f>Financials!FL57</f>
        <v>6.0989586397599584</v>
      </c>
      <c r="M27" s="245">
        <f>Financials!FM57</f>
        <v>6.1601711026615975</v>
      </c>
      <c r="N27" s="245">
        <f>Financials!FN57</f>
        <v>8.4948305743142285</v>
      </c>
      <c r="O27" s="245">
        <f>Financials!FO57</f>
        <v>14.358023184868825</v>
      </c>
      <c r="P27" s="245">
        <f>Financials!FP57</f>
        <v>14.144482867022946</v>
      </c>
      <c r="Q27" s="245">
        <f>Financials!FQ57</f>
        <v>19.903516567221022</v>
      </c>
      <c r="R27" s="245">
        <f>Financials!FR57</f>
        <v>19.25268577967071</v>
      </c>
      <c r="S27" s="245">
        <f>Financials!FS57</f>
        <v>24.846300186699292</v>
      </c>
      <c r="T27" s="245">
        <f>Financials!FT57</f>
        <v>30.553055733916949</v>
      </c>
      <c r="U27" s="245">
        <f>Financials!FU57</f>
        <v>46.509933760199658</v>
      </c>
      <c r="V27" s="245">
        <f>Financials!FV57</f>
        <v>37.446201787959765</v>
      </c>
      <c r="W27" s="320"/>
      <c r="X27" s="881">
        <f>U28/T28-1</f>
        <v>0.52226284860749628</v>
      </c>
      <c r="Y27" s="214"/>
    </row>
    <row r="28" spans="2:39" x14ac:dyDescent="0.3">
      <c r="B28" s="177" t="s">
        <v>508</v>
      </c>
      <c r="G28" s="282">
        <f>Financials!FG58</f>
        <v>2.7584217812644214</v>
      </c>
      <c r="H28" s="282">
        <f>Financials!FH58</f>
        <v>2.7183098591549308</v>
      </c>
      <c r="I28" s="282">
        <f>Financials!FI58</f>
        <v>3.2033252511257344</v>
      </c>
      <c r="J28" s="282">
        <f>Financials!FJ58</f>
        <v>3.0920144978370137</v>
      </c>
      <c r="K28" s="282">
        <f>Financials!FK58</f>
        <v>4.9067747539085094</v>
      </c>
      <c r="L28" s="282">
        <f>Financials!FL58</f>
        <v>6.0764361078546312</v>
      </c>
      <c r="M28" s="282">
        <f>Financials!FM58</f>
        <v>6.1459308873214393</v>
      </c>
      <c r="N28" s="282">
        <f>Financials!FN58</f>
        <v>8.4796277515957765</v>
      </c>
      <c r="O28" s="282">
        <f>Financials!FO58</f>
        <v>14.337029365176072</v>
      </c>
      <c r="P28" s="282">
        <f>Financials!FP58</f>
        <v>14.132043470067211</v>
      </c>
      <c r="Q28" s="282">
        <f>Financials!FQ58</f>
        <v>19.895939086294415</v>
      </c>
      <c r="R28" s="282">
        <f>Financials!FR58</f>
        <v>19.236788617886173</v>
      </c>
      <c r="S28" s="282">
        <f>Financials!FS58</f>
        <v>24.811159164255869</v>
      </c>
      <c r="T28" s="282">
        <f>Financials!FT58</f>
        <v>30.547092808182654</v>
      </c>
      <c r="U28" s="282">
        <f>Financials!FU58</f>
        <v>46.500704514861688</v>
      </c>
      <c r="V28" s="282">
        <f>Financials!FV58</f>
        <v>37.438708342241362</v>
      </c>
      <c r="W28" s="294">
        <f>(T28/Q28)^(1/3)-1</f>
        <v>0.15363515141638895</v>
      </c>
      <c r="X28" s="294">
        <f>(U28/R28)^(1/3)-1</f>
        <v>0.34207149835620632</v>
      </c>
      <c r="Y28" s="354">
        <f>U28</f>
        <v>46.500704514861688</v>
      </c>
      <c r="AA28" s="191">
        <f t="shared" ref="AA28:AC29" si="2">$T$28*AA30</f>
        <v>549.84767054728775</v>
      </c>
      <c r="AB28" s="191">
        <f t="shared" si="2"/>
        <v>733.1302273963837</v>
      </c>
      <c r="AC28" s="191">
        <f t="shared" si="2"/>
        <v>916.41278424547966</v>
      </c>
    </row>
    <row r="29" spans="2:39" x14ac:dyDescent="0.3">
      <c r="B29" s="177"/>
      <c r="W29" s="183"/>
      <c r="X29" s="338"/>
      <c r="Y29" s="365">
        <f>Y30*Y28</f>
        <v>1395.0211354458506</v>
      </c>
      <c r="AA29" s="191">
        <f t="shared" si="2"/>
        <v>672.03604178001842</v>
      </c>
      <c r="AB29" s="191">
        <f t="shared" si="2"/>
        <v>824.77150582093168</v>
      </c>
      <c r="AC29" s="191">
        <f t="shared" si="2"/>
        <v>1069.1482482863928</v>
      </c>
    </row>
    <row r="30" spans="2:39" x14ac:dyDescent="0.3">
      <c r="B30" s="180" t="s">
        <v>509</v>
      </c>
      <c r="G30" s="245">
        <f>Financials!FG61</f>
        <v>0.50279199627733828</v>
      </c>
      <c r="H30" s="245">
        <f>Financials!FH61</f>
        <v>0.61302681992337171</v>
      </c>
      <c r="I30" s="245">
        <f>Financials!FI61</f>
        <v>0.70192140244964296</v>
      </c>
      <c r="J30" s="245">
        <f>Financials!FJ61</f>
        <v>1.0476973684210524</v>
      </c>
      <c r="K30" s="245">
        <f>Financials!FK61</f>
        <v>1.2023269342641072</v>
      </c>
      <c r="L30" s="245">
        <f>Financials!FL61</f>
        <v>1.4051891510266519</v>
      </c>
      <c r="M30" s="245">
        <f>Financials!FM61</f>
        <v>3.1504277566539929</v>
      </c>
      <c r="N30" s="245">
        <f>Financials!FN61</f>
        <v>2.5492141277714699</v>
      </c>
      <c r="O30" s="245">
        <f>Financials!FO61</f>
        <v>3.3393532641854797</v>
      </c>
      <c r="P30" s="245">
        <f>Financials!FP61</f>
        <v>6.4379754794089914</v>
      </c>
      <c r="Q30" s="245">
        <f>Financials!FQ61</f>
        <v>5.9626761457407627</v>
      </c>
      <c r="R30" s="245">
        <f>Financials!FR61</f>
        <v>6.2371114360180533</v>
      </c>
      <c r="S30" s="245">
        <f>Financials!FS61</f>
        <v>6.567694585720723</v>
      </c>
      <c r="T30" s="245">
        <f>Financials!FT61</f>
        <v>9.6975378231496911</v>
      </c>
      <c r="U30" s="245">
        <f>Financials!FU61</f>
        <v>9.6975378231496911</v>
      </c>
      <c r="V30" s="245">
        <f>Financials!FV61</f>
        <v>9.6975378231496911</v>
      </c>
      <c r="X30" s="214"/>
      <c r="Y30" s="366">
        <v>30</v>
      </c>
      <c r="AA30" s="366">
        <v>18</v>
      </c>
      <c r="AB30" s="366">
        <v>24</v>
      </c>
      <c r="AC30" s="366">
        <v>30</v>
      </c>
    </row>
    <row r="31" spans="2:39" x14ac:dyDescent="0.3">
      <c r="W31" s="214"/>
      <c r="X31" s="214"/>
      <c r="Y31" s="214"/>
      <c r="AA31" s="366">
        <v>22</v>
      </c>
      <c r="AB31" s="366">
        <v>27</v>
      </c>
      <c r="AC31" s="366">
        <v>35</v>
      </c>
    </row>
    <row r="32" spans="2:39" x14ac:dyDescent="0.3">
      <c r="G32" s="272">
        <f t="shared" ref="G32:V32" si="3">G$3</f>
        <v>2013</v>
      </c>
      <c r="H32" s="272">
        <f t="shared" si="3"/>
        <v>2014</v>
      </c>
      <c r="I32" s="272">
        <f t="shared" si="3"/>
        <v>2015</v>
      </c>
      <c r="J32" s="272">
        <f t="shared" si="3"/>
        <v>2016</v>
      </c>
      <c r="K32" s="272">
        <f t="shared" si="3"/>
        <v>2017</v>
      </c>
      <c r="L32" s="272">
        <f t="shared" si="3"/>
        <v>2018</v>
      </c>
      <c r="M32" s="272">
        <f t="shared" si="3"/>
        <v>2019</v>
      </c>
      <c r="N32" s="272">
        <f t="shared" si="3"/>
        <v>2020</v>
      </c>
      <c r="O32" s="272">
        <f t="shared" si="3"/>
        <v>2021</v>
      </c>
      <c r="P32" s="272">
        <f t="shared" si="3"/>
        <v>2022</v>
      </c>
      <c r="Q32" s="272">
        <f t="shared" si="3"/>
        <v>2023</v>
      </c>
      <c r="R32" s="272">
        <f t="shared" si="3"/>
        <v>2024</v>
      </c>
      <c r="S32" s="272">
        <f t="shared" si="3"/>
        <v>2025</v>
      </c>
      <c r="T32" s="272" t="str">
        <f t="shared" si="3"/>
        <v>2026e</v>
      </c>
      <c r="U32" s="272" t="str">
        <f t="shared" si="3"/>
        <v>2027e</v>
      </c>
      <c r="V32" s="272" t="str">
        <f t="shared" si="3"/>
        <v>2028e</v>
      </c>
      <c r="W32" s="214"/>
      <c r="X32" s="214"/>
      <c r="Y32" s="214"/>
    </row>
    <row r="33" spans="2:25" x14ac:dyDescent="0.3">
      <c r="B33" s="197" t="s">
        <v>389</v>
      </c>
      <c r="G33" s="273"/>
      <c r="H33" s="273">
        <f>H8/G8-1</f>
        <v>7.9442611468490298E-2</v>
      </c>
      <c r="I33" s="273">
        <f>I8/H8-1</f>
        <v>7.3613032119256072E-2</v>
      </c>
      <c r="J33" s="273">
        <f t="shared" ref="J33:R33" si="4">J8/I8-1</f>
        <v>8.0701084709100757E-2</v>
      </c>
      <c r="K33" s="273">
        <f t="shared" si="4"/>
        <v>0.33231294519338328</v>
      </c>
      <c r="L33" s="273">
        <f t="shared" si="4"/>
        <v>0.20890774125132561</v>
      </c>
      <c r="M33" s="273">
        <f t="shared" si="4"/>
        <v>8.0034722222222188E-2</v>
      </c>
      <c r="N33" s="273">
        <f t="shared" si="4"/>
        <v>0.18261575817054299</v>
      </c>
      <c r="O33" s="273">
        <f t="shared" si="4"/>
        <v>0.33141132032278375</v>
      </c>
      <c r="P33" s="273">
        <f t="shared" si="4"/>
        <v>0.13768201601203578</v>
      </c>
      <c r="Q33" s="273">
        <f t="shared" si="4"/>
        <v>0.30156233765007046</v>
      </c>
      <c r="R33" s="273">
        <f t="shared" si="4"/>
        <v>2.556017199775007E-2</v>
      </c>
      <c r="S33" s="273">
        <f>S8/R8-1</f>
        <v>0.15583326551769283</v>
      </c>
      <c r="T33" s="273">
        <f>T8/S8-1</f>
        <v>0.15325448768183358</v>
      </c>
      <c r="U33" s="273">
        <f>U8/T8-1</f>
        <v>0.2744190606179211</v>
      </c>
      <c r="V33" s="273">
        <f>V8/U8-1</f>
        <v>-0.13987198476184293</v>
      </c>
      <c r="W33" s="214"/>
      <c r="X33" s="214"/>
      <c r="Y33" s="214"/>
    </row>
    <row r="34" spans="2:25" x14ac:dyDescent="0.3">
      <c r="B34" s="197" t="s">
        <v>343</v>
      </c>
      <c r="G34" s="247">
        <f t="shared" ref="G34:S34" si="5">G10/G$8</f>
        <v>0.43448288573903748</v>
      </c>
      <c r="H34" s="247">
        <f t="shared" si="5"/>
        <v>0.4433516042552465</v>
      </c>
      <c r="I34" s="247">
        <f t="shared" si="5"/>
        <v>0.46055603270032119</v>
      </c>
      <c r="J34" s="247">
        <f t="shared" si="5"/>
        <v>0.44806322481897914</v>
      </c>
      <c r="K34" s="247">
        <f t="shared" si="5"/>
        <v>0.45032476139978783</v>
      </c>
      <c r="L34" s="247">
        <f t="shared" si="5"/>
        <v>0.45953947368421061</v>
      </c>
      <c r="M34" s="247">
        <f t="shared" si="5"/>
        <v>0.4466789059129096</v>
      </c>
      <c r="N34" s="247">
        <f t="shared" si="5"/>
        <v>0.48625736851141765</v>
      </c>
      <c r="O34" s="247">
        <f t="shared" si="5"/>
        <v>0.52705389285906179</v>
      </c>
      <c r="P34" s="247">
        <f t="shared" si="5"/>
        <v>0.50535577658760522</v>
      </c>
      <c r="Q34" s="247">
        <f t="shared" si="5"/>
        <v>0.51294881796904757</v>
      </c>
      <c r="R34" s="247">
        <f t="shared" si="5"/>
        <v>0.51275700653506895</v>
      </c>
      <c r="S34" s="247">
        <f t="shared" si="5"/>
        <v>0.52949562619385804</v>
      </c>
      <c r="T34" s="247">
        <f>T10/T$8</f>
        <v>0.52538455568150588</v>
      </c>
      <c r="U34" s="247">
        <f>U10/U$8</f>
        <v>0.55515097472858088</v>
      </c>
      <c r="V34" s="247">
        <f>V10/V$8</f>
        <v>0.55120243862544271</v>
      </c>
      <c r="W34" s="214"/>
      <c r="X34" s="214"/>
      <c r="Y34" s="214"/>
    </row>
    <row r="35" spans="2:25" x14ac:dyDescent="0.3">
      <c r="B35" s="197" t="s">
        <v>390</v>
      </c>
      <c r="G35" s="247">
        <f t="shared" ref="G35:S35" si="6">G15/G$8</f>
        <v>0.22632849796324633</v>
      </c>
      <c r="H35" s="247">
        <f t="shared" si="6"/>
        <v>0.2189437016546284</v>
      </c>
      <c r="I35" s="247">
        <f t="shared" si="6"/>
        <v>0.24892642427712561</v>
      </c>
      <c r="J35" s="247">
        <f t="shared" si="6"/>
        <v>0.24396597398010234</v>
      </c>
      <c r="K35" s="247">
        <f t="shared" si="6"/>
        <v>0.27573789324849762</v>
      </c>
      <c r="L35" s="247">
        <f t="shared" si="6"/>
        <v>0.27095211988304102</v>
      </c>
      <c r="M35" s="247">
        <f t="shared" si="6"/>
        <v>0.23609336796419597</v>
      </c>
      <c r="N35" s="247">
        <f t="shared" si="6"/>
        <v>0.28983288502260635</v>
      </c>
      <c r="O35" s="247">
        <f t="shared" si="6"/>
        <v>0.3626941056364516</v>
      </c>
      <c r="P35" s="247">
        <f t="shared" si="6"/>
        <v>0.30702201819263791</v>
      </c>
      <c r="Q35" s="247">
        <f t="shared" si="6"/>
        <v>0.3281129234174574</v>
      </c>
      <c r="R35" s="247">
        <f t="shared" si="6"/>
        <v>0.31923829472559428</v>
      </c>
      <c r="S35" s="247">
        <f t="shared" si="6"/>
        <v>0.34715370524562866</v>
      </c>
      <c r="T35" s="247">
        <f>T15/T$8</f>
        <v>0.36326032060386054</v>
      </c>
      <c r="U35" s="247">
        <f>U15/U$8</f>
        <v>0.42217543301969224</v>
      </c>
      <c r="V35" s="247">
        <f>V15/V$8</f>
        <v>0.38716036107560547</v>
      </c>
      <c r="W35" s="214"/>
      <c r="X35" s="214"/>
      <c r="Y35" s="214"/>
    </row>
    <row r="36" spans="2:25" hidden="1" x14ac:dyDescent="0.3">
      <c r="B36" s="197" t="s">
        <v>391</v>
      </c>
      <c r="G36" s="247"/>
      <c r="H36" s="247"/>
      <c r="I36" s="247"/>
      <c r="J36" s="247"/>
      <c r="K36" s="247"/>
      <c r="L36" s="247"/>
      <c r="M36" s="247"/>
      <c r="N36" s="247"/>
      <c r="O36" s="247"/>
      <c r="P36" s="247"/>
      <c r="Q36" s="247"/>
      <c r="R36" s="247"/>
      <c r="S36" s="247"/>
      <c r="T36" s="247"/>
      <c r="U36" s="247"/>
      <c r="V36" s="247"/>
      <c r="W36" s="214"/>
      <c r="X36" s="214"/>
      <c r="Y36" s="214"/>
    </row>
    <row r="37" spans="2:25" x14ac:dyDescent="0.3">
      <c r="B37" s="197" t="s">
        <v>392</v>
      </c>
      <c r="G37" s="247">
        <f t="shared" ref="G37:S37" si="7">G17/G$8</f>
        <v>0.26848284887471668</v>
      </c>
      <c r="H37" s="247">
        <f t="shared" si="7"/>
        <v>0.26241825043115963</v>
      </c>
      <c r="I37" s="247">
        <f t="shared" si="7"/>
        <v>0.29614785125807164</v>
      </c>
      <c r="J37" s="247">
        <f t="shared" si="7"/>
        <v>0.29649143462647898</v>
      </c>
      <c r="K37" s="247">
        <f t="shared" si="7"/>
        <v>0.321856221279604</v>
      </c>
      <c r="L37" s="247">
        <f t="shared" si="7"/>
        <v>0.30957602339181295</v>
      </c>
      <c r="M37" s="247">
        <f t="shared" si="7"/>
        <v>0.27403785142006276</v>
      </c>
      <c r="N37" s="247">
        <f t="shared" si="7"/>
        <v>0.32494419962227439</v>
      </c>
      <c r="O37" s="247">
        <f t="shared" si="7"/>
        <v>0.38800171941325023</v>
      </c>
      <c r="P37" s="247">
        <f t="shared" si="7"/>
        <v>0.33458490369992538</v>
      </c>
      <c r="Q37" s="247">
        <f t="shared" si="7"/>
        <v>0.3549576355752308</v>
      </c>
      <c r="R37" s="247">
        <f t="shared" si="7"/>
        <v>0.35174026727618185</v>
      </c>
      <c r="S37" s="247">
        <f t="shared" si="7"/>
        <v>0.37856135573296762</v>
      </c>
      <c r="T37" s="247">
        <f>T17/T$8</f>
        <v>0.3896702914979121</v>
      </c>
      <c r="U37" s="247">
        <f>U17/U$8</f>
        <v>0.44617543301969226</v>
      </c>
      <c r="V37" s="247">
        <f>V17/V$8</f>
        <v>0.41116036107560544</v>
      </c>
      <c r="W37" s="214"/>
      <c r="X37" s="214"/>
      <c r="Y37" s="214"/>
    </row>
    <row r="38" spans="2:25" x14ac:dyDescent="0.3">
      <c r="B38" s="197" t="s">
        <v>336</v>
      </c>
      <c r="G38" s="247">
        <f t="shared" ref="G38:S38" si="8">G20/G$8</f>
        <v>0.22183105081746635</v>
      </c>
      <c r="H38" s="247">
        <f t="shared" si="8"/>
        <v>0.21747519765039364</v>
      </c>
      <c r="I38" s="247">
        <f t="shared" si="8"/>
        <v>0.24630212806565505</v>
      </c>
      <c r="J38" s="247">
        <f t="shared" si="8"/>
        <v>0.22690881262141627</v>
      </c>
      <c r="K38" s="247">
        <f t="shared" si="8"/>
        <v>0.27018160127253432</v>
      </c>
      <c r="L38" s="247">
        <f t="shared" si="8"/>
        <v>0.26836622807017546</v>
      </c>
      <c r="M38" s="247">
        <f t="shared" si="8"/>
        <v>0.23397829084848434</v>
      </c>
      <c r="N38" s="247">
        <f t="shared" si="8"/>
        <v>0.28733617581411319</v>
      </c>
      <c r="O38" s="247">
        <f t="shared" si="8"/>
        <v>0.36029767341894581</v>
      </c>
      <c r="P38" s="247">
        <f t="shared" si="8"/>
        <v>0.30491560165112824</v>
      </c>
      <c r="Q38" s="247">
        <f t="shared" si="8"/>
        <v>0.32960792495963132</v>
      </c>
      <c r="R38" s="247">
        <f t="shared" si="8"/>
        <v>0.31993885977730518</v>
      </c>
      <c r="S38" s="247">
        <f t="shared" si="8"/>
        <v>0.3503556937845913</v>
      </c>
      <c r="T38" s="247">
        <f>T20/T$8</f>
        <v>0.36387802869001884</v>
      </c>
      <c r="U38" s="247">
        <f>U20/U$8</f>
        <v>0.42321351377917316</v>
      </c>
      <c r="V38" s="247">
        <f>V20/V$8</f>
        <v>0.39294119047334186</v>
      </c>
      <c r="W38" s="214"/>
      <c r="X38" s="214"/>
      <c r="Y38" s="214"/>
    </row>
    <row r="39" spans="2:25" x14ac:dyDescent="0.3">
      <c r="B39" s="197" t="s">
        <v>393</v>
      </c>
      <c r="G39" s="247">
        <f t="shared" ref="G39:S39" si="9">G24/G$8</f>
        <v>0.2203564779827844</v>
      </c>
      <c r="H39" s="247">
        <f t="shared" si="9"/>
        <v>0.20432696412410573</v>
      </c>
      <c r="I39" s="247">
        <f t="shared" si="9"/>
        <v>0.22063173966981572</v>
      </c>
      <c r="J39" s="247">
        <f t="shared" si="9"/>
        <v>0.19460469771001343</v>
      </c>
      <c r="K39" s="247">
        <f t="shared" si="9"/>
        <v>0.23401599505125478</v>
      </c>
      <c r="L39" s="247">
        <f t="shared" si="9"/>
        <v>0.2368055555555556</v>
      </c>
      <c r="M39" s="247">
        <f t="shared" si="9"/>
        <v>0.2193081159739084</v>
      </c>
      <c r="N39" s="247">
        <f t="shared" si="9"/>
        <v>0.25422079780232359</v>
      </c>
      <c r="O39" s="247">
        <f t="shared" si="9"/>
        <v>0.31611412605448397</v>
      </c>
      <c r="P39" s="247">
        <f t="shared" si="9"/>
        <v>0.26562573795422556</v>
      </c>
      <c r="Q39" s="247">
        <f t="shared" si="9"/>
        <v>0.28444944391022736</v>
      </c>
      <c r="R39" s="247">
        <f t="shared" si="9"/>
        <v>0.26789890634011365</v>
      </c>
      <c r="S39" s="247">
        <f t="shared" si="9"/>
        <v>0.29535557133761087</v>
      </c>
      <c r="T39" s="247">
        <f>T24/T$8</f>
        <v>0.31159417833200576</v>
      </c>
      <c r="U39" s="247">
        <f>U24/U$8</f>
        <v>0.36605892780379523</v>
      </c>
      <c r="V39" s="247">
        <f>V24/V$8</f>
        <v>0.339778513171486</v>
      </c>
      <c r="W39" s="214"/>
      <c r="X39" s="214"/>
      <c r="Y39" s="214"/>
    </row>
    <row r="40" spans="2:25" hidden="1" x14ac:dyDescent="0.3">
      <c r="B40" s="197" t="s">
        <v>394</v>
      </c>
      <c r="G40" s="247"/>
      <c r="H40" s="247"/>
      <c r="I40" s="247"/>
      <c r="J40" s="247"/>
      <c r="K40" s="247"/>
      <c r="L40" s="247"/>
      <c r="M40" s="247"/>
      <c r="N40" s="247"/>
      <c r="O40" s="247"/>
      <c r="P40" s="247"/>
      <c r="Q40" s="247"/>
      <c r="R40" s="247"/>
      <c r="S40" s="247"/>
      <c r="T40" s="247"/>
      <c r="U40" s="247"/>
      <c r="V40" s="247"/>
      <c r="W40" s="214"/>
      <c r="X40" s="214"/>
      <c r="Y40" s="214"/>
    </row>
    <row r="41" spans="2:25" x14ac:dyDescent="0.3">
      <c r="B41" s="197" t="s">
        <v>101</v>
      </c>
      <c r="F41" s="274" t="e">
        <f t="shared" ref="F41:S41" si="10">-IF(F20&lt;0,"n/a",F22/F20)</f>
        <v>#DIV/0!</v>
      </c>
      <c r="G41" s="274">
        <f t="shared" si="10"/>
        <v>6.6472787702534265E-3</v>
      </c>
      <c r="H41" s="274">
        <f t="shared" si="10"/>
        <v>6.045854271356782E-2</v>
      </c>
      <c r="I41" s="274">
        <f t="shared" si="10"/>
        <v>0.10422316931421934</v>
      </c>
      <c r="J41" s="274">
        <f t="shared" si="10"/>
        <v>0.14236606563756657</v>
      </c>
      <c r="K41" s="274">
        <f t="shared" si="10"/>
        <v>0.12702890551535231</v>
      </c>
      <c r="L41" s="274">
        <f t="shared" si="10"/>
        <v>0.11971399387129723</v>
      </c>
      <c r="M41" s="274">
        <f t="shared" si="10"/>
        <v>6.9279722302574481E-2</v>
      </c>
      <c r="N41" s="274">
        <f t="shared" si="10"/>
        <v>0.13733349931532426</v>
      </c>
      <c r="O41" s="274">
        <f t="shared" si="10"/>
        <v>0.15232272015509657</v>
      </c>
      <c r="P41" s="274">
        <f t="shared" si="10"/>
        <v>0.15023001502455047</v>
      </c>
      <c r="Q41" s="274">
        <f t="shared" si="10"/>
        <v>0.15806682446193651</v>
      </c>
      <c r="R41" s="274">
        <f t="shared" si="10"/>
        <v>0.18585773688401314</v>
      </c>
      <c r="S41" s="274">
        <f t="shared" si="10"/>
        <v>0.17591747103490094</v>
      </c>
      <c r="T41" s="274">
        <f>-IF(T20&lt;0,"n/a",T22/T20)</f>
        <v>0.16772841111692899</v>
      </c>
      <c r="U41" s="274">
        <f>-IF(U20&lt;0,"n/a",U22/U20)</f>
        <v>0.155</v>
      </c>
      <c r="V41" s="274">
        <f>-IF(V20&lt;0,"n/a",V22/V20)</f>
        <v>0.155</v>
      </c>
      <c r="W41" s="214"/>
      <c r="X41" s="214"/>
      <c r="Y41" s="214"/>
    </row>
    <row r="42" spans="2:25" x14ac:dyDescent="0.3">
      <c r="U42" s="214"/>
      <c r="V42" s="214"/>
      <c r="W42" s="214"/>
      <c r="X42" s="214"/>
      <c r="Y42" s="214"/>
    </row>
    <row r="43" spans="2:25" x14ac:dyDescent="0.3">
      <c r="U43" s="214"/>
      <c r="V43" s="214"/>
      <c r="W43" s="214"/>
      <c r="X43" s="214"/>
      <c r="Y43" s="214"/>
    </row>
    <row r="44" spans="2:25" x14ac:dyDescent="0.3">
      <c r="B44" s="64" t="s">
        <v>401</v>
      </c>
      <c r="C44" s="64"/>
      <c r="D44" s="64"/>
      <c r="E44" s="81" t="s">
        <v>602</v>
      </c>
      <c r="F44" s="81" t="s">
        <v>603</v>
      </c>
      <c r="G44" s="81" t="s">
        <v>604</v>
      </c>
      <c r="H44" s="81" t="s">
        <v>605</v>
      </c>
      <c r="I44" s="81" t="s">
        <v>668</v>
      </c>
      <c r="J44" s="81"/>
      <c r="K44" s="81" t="s">
        <v>669</v>
      </c>
      <c r="L44" s="81" t="s">
        <v>670</v>
      </c>
      <c r="M44" s="81" t="s">
        <v>678</v>
      </c>
      <c r="N44" s="81" t="s">
        <v>758</v>
      </c>
      <c r="O44" s="81" t="s">
        <v>679</v>
      </c>
      <c r="P44" s="81"/>
      <c r="Q44" s="81" t="s">
        <v>759</v>
      </c>
      <c r="R44" s="81" t="s">
        <v>637</v>
      </c>
      <c r="S44" s="81" t="s">
        <v>638</v>
      </c>
      <c r="T44" s="81" t="s">
        <v>639</v>
      </c>
      <c r="U44" s="81" t="s">
        <v>667</v>
      </c>
      <c r="V44" s="81"/>
    </row>
    <row r="45" spans="2:25" x14ac:dyDescent="0.3">
      <c r="O45" s="214"/>
      <c r="P45" s="214"/>
      <c r="U45" s="214"/>
      <c r="V45" s="214"/>
    </row>
    <row r="46" spans="2:25" x14ac:dyDescent="0.3">
      <c r="B46" s="269" t="s">
        <v>380</v>
      </c>
      <c r="E46" s="248">
        <f>Financials!DU9</f>
        <v>5290</v>
      </c>
      <c r="F46" s="248">
        <f>Financials!DV9</f>
        <v>6242.7999999999993</v>
      </c>
      <c r="G46" s="248">
        <f>Financials!DW9</f>
        <v>7467.3</v>
      </c>
      <c r="H46" s="248">
        <f>Financials!DX9</f>
        <v>9262.7999999999993</v>
      </c>
      <c r="I46" s="248">
        <f>Financials!DY9</f>
        <v>28262.899999999998</v>
      </c>
      <c r="J46" s="214"/>
      <c r="K46" s="248">
        <f>Financials!EA9</f>
        <v>7741.5</v>
      </c>
      <c r="L46" s="248">
        <f>Financials!EB9</f>
        <v>7691.7000000000007</v>
      </c>
      <c r="M46" s="248">
        <f>Financials!EC9</f>
        <v>7516</v>
      </c>
      <c r="N46" s="248">
        <f>Financials!ED9</f>
        <v>9718</v>
      </c>
      <c r="O46" s="248">
        <f>Financials!EE9</f>
        <v>32667.200000000001</v>
      </c>
      <c r="Q46" s="248">
        <f>Financials!EG9</f>
        <v>8766.5</v>
      </c>
      <c r="R46" s="248">
        <f>Financials!EH9</f>
        <v>8339.4</v>
      </c>
      <c r="S46" s="248">
        <f>Financials!EI9</f>
        <v>10142.5</v>
      </c>
      <c r="T46" s="248">
        <f>Financials!EJ9</f>
        <v>10425.194999999996</v>
      </c>
      <c r="U46" s="248">
        <f>Financials!EK9</f>
        <v>37673.595000000001</v>
      </c>
      <c r="V46" s="248"/>
    </row>
    <row r="47" spans="2:25" x14ac:dyDescent="0.3">
      <c r="B47" s="270" t="s">
        <v>381</v>
      </c>
      <c r="E47" s="191">
        <f>-Financials!DU11</f>
        <v>-2593.4</v>
      </c>
      <c r="F47" s="191">
        <f>-Financials!DV11</f>
        <v>-3030.6</v>
      </c>
      <c r="G47" s="191">
        <f>-Financials!DW11</f>
        <v>-3673.9</v>
      </c>
      <c r="H47" s="191">
        <f>-Financials!DX11</f>
        <v>-4473</v>
      </c>
      <c r="I47" s="191">
        <f>-Financials!DY11</f>
        <v>-13770.9</v>
      </c>
      <c r="J47" s="214"/>
      <c r="K47" s="191">
        <f>-Financials!EA11</f>
        <v>-3561.8</v>
      </c>
      <c r="L47" s="191">
        <f>-Financials!EB11</f>
        <v>-3562.2</v>
      </c>
      <c r="M47" s="191">
        <f>-Financials!EC11</f>
        <v>-3635.7</v>
      </c>
      <c r="N47" s="191">
        <f>-Financials!ED11</f>
        <v>-4610.3604800000003</v>
      </c>
      <c r="O47" s="191">
        <f>-Financials!EE11</f>
        <v>-15370.06048</v>
      </c>
      <c r="Q47" s="191">
        <f>-Financials!EG11</f>
        <v>-4121.8999999999996</v>
      </c>
      <c r="R47" s="191">
        <f>-Financials!EH11</f>
        <v>-3871.7</v>
      </c>
      <c r="S47" s="191">
        <f>-Financials!EI11</f>
        <v>-4881.5</v>
      </c>
      <c r="T47" s="191">
        <f>-Financials!EJ11</f>
        <v>-5005.3700299999982</v>
      </c>
      <c r="U47" s="191">
        <f>-Financials!EK11</f>
        <v>-17880.470029999997</v>
      </c>
      <c r="V47" s="191"/>
    </row>
    <row r="48" spans="2:25" x14ac:dyDescent="0.3">
      <c r="B48" s="185" t="s">
        <v>382</v>
      </c>
      <c r="E48" s="246">
        <f>E46+E47</f>
        <v>2696.6</v>
      </c>
      <c r="F48" s="246">
        <f>F46+F47</f>
        <v>3212.1999999999994</v>
      </c>
      <c r="G48" s="246">
        <f>G46+G47</f>
        <v>3793.4</v>
      </c>
      <c r="H48" s="246">
        <f>H46+H47</f>
        <v>4789.7999999999993</v>
      </c>
      <c r="I48" s="246">
        <f>I46+I47</f>
        <v>14491.999999999998</v>
      </c>
      <c r="J48" s="214"/>
      <c r="K48" s="246">
        <f>K46+K47</f>
        <v>4179.7</v>
      </c>
      <c r="L48" s="246">
        <f>L46+L47</f>
        <v>4129.5000000000009</v>
      </c>
      <c r="M48" s="246">
        <f>M46+M47</f>
        <v>3880.3</v>
      </c>
      <c r="N48" s="246">
        <f>N46+N47</f>
        <v>5107.6395199999997</v>
      </c>
      <c r="O48" s="246">
        <f>O46+O47</f>
        <v>17297.139520000001</v>
      </c>
      <c r="Q48" s="246">
        <f>Q46+Q47</f>
        <v>4644.6000000000004</v>
      </c>
      <c r="R48" s="246">
        <f>R46+R47</f>
        <v>4467.7</v>
      </c>
      <c r="S48" s="246">
        <f>S46+S47</f>
        <v>5261</v>
      </c>
      <c r="T48" s="246">
        <f>T46+T47</f>
        <v>5419.8249699999978</v>
      </c>
      <c r="U48" s="246">
        <f>U46+U47</f>
        <v>19793.124970000004</v>
      </c>
      <c r="V48" s="191"/>
    </row>
    <row r="49" spans="2:22" x14ac:dyDescent="0.3">
      <c r="E49" s="188"/>
      <c r="F49" s="188"/>
      <c r="G49" s="188"/>
      <c r="H49" s="188"/>
      <c r="I49" s="188"/>
      <c r="J49" s="214"/>
      <c r="K49" s="188"/>
      <c r="L49" s="188"/>
      <c r="M49" s="188"/>
      <c r="N49" s="188"/>
      <c r="O49" s="188"/>
      <c r="Q49" s="188"/>
      <c r="R49" s="188"/>
      <c r="S49" s="188"/>
      <c r="T49" s="188"/>
      <c r="U49" s="188"/>
      <c r="V49" s="188"/>
    </row>
    <row r="50" spans="2:22" x14ac:dyDescent="0.3">
      <c r="B50" s="270" t="s">
        <v>363</v>
      </c>
      <c r="E50" s="191">
        <f>-Financials!DU19</f>
        <v>-1031.9000000000001</v>
      </c>
      <c r="F50" s="191">
        <f>-Financials!DV19</f>
        <v>-1100.5999999999999</v>
      </c>
      <c r="G50" s="191">
        <f>-Financials!DW19</f>
        <v>-1055.2</v>
      </c>
      <c r="H50" s="191">
        <f>-Financials!DX19</f>
        <v>-1116</v>
      </c>
      <c r="I50" s="191">
        <f>-Financials!DY19</f>
        <v>-4303.7</v>
      </c>
      <c r="J50" s="214"/>
      <c r="K50" s="191">
        <f>-Financials!EA19</f>
        <v>-1161.0999999999999</v>
      </c>
      <c r="L50" s="191">
        <f>-Financials!EB19</f>
        <v>-1166.7</v>
      </c>
      <c r="M50" s="191">
        <f>-Financials!EC19</f>
        <v>-1108.7</v>
      </c>
      <c r="N50" s="191">
        <f>-Financials!ED19</f>
        <v>-1262.3</v>
      </c>
      <c r="O50" s="191">
        <f>-Financials!EE19</f>
        <v>-4698.8</v>
      </c>
      <c r="Q50" s="191">
        <f>-Financials!EG19</f>
        <v>-1184.9000000000001</v>
      </c>
      <c r="R50" s="191">
        <f>-Financials!EH19</f>
        <v>-1184.9000000000001</v>
      </c>
      <c r="S50" s="191">
        <f>-Financials!EI19</f>
        <v>-1219.9970000000001</v>
      </c>
      <c r="T50" s="191">
        <f>-Financials!EJ19</f>
        <v>-1244.0969400000001</v>
      </c>
      <c r="U50" s="191">
        <f>-Financials!EK19</f>
        <v>-4833.8939400000008</v>
      </c>
      <c r="V50" s="191"/>
    </row>
    <row r="51" spans="2:22" x14ac:dyDescent="0.3">
      <c r="B51" s="270" t="s">
        <v>364</v>
      </c>
      <c r="E51" s="191">
        <f>-Financials!DU18</f>
        <v>-273.3</v>
      </c>
      <c r="F51" s="191">
        <f>-Financials!DV18</f>
        <v>-277</v>
      </c>
      <c r="G51" s="191">
        <f>-Financials!DW18</f>
        <v>-297</v>
      </c>
      <c r="H51" s="191">
        <f>-Financials!DX18</f>
        <v>-318.39999999999998</v>
      </c>
      <c r="I51" s="191">
        <f>-Financials!DY18</f>
        <v>-1165.6999999999998</v>
      </c>
      <c r="J51" s="214"/>
      <c r="K51" s="191">
        <f>-Financials!EA18</f>
        <v>-280.7</v>
      </c>
      <c r="L51" s="191">
        <f>-Financials!EB18</f>
        <v>-298.7</v>
      </c>
      <c r="M51" s="191">
        <f>-Financials!EC18</f>
        <v>-303.2</v>
      </c>
      <c r="N51" s="191">
        <f>-Financials!ED18</f>
        <v>-375.2</v>
      </c>
      <c r="O51" s="191">
        <f>-Financials!EE18</f>
        <v>-1257.8</v>
      </c>
      <c r="Q51" s="191">
        <f>-Financials!EG18</f>
        <v>-302.3</v>
      </c>
      <c r="R51" s="191">
        <f>-Financials!EH18</f>
        <v>-305.298</v>
      </c>
      <c r="S51" s="191">
        <f>-Financials!EI18</f>
        <v>-320.43790000000001</v>
      </c>
      <c r="T51" s="191">
        <f>-Financials!EJ18</f>
        <v>-345.87293200000005</v>
      </c>
      <c r="U51" s="191">
        <f>-Financials!EK18</f>
        <v>-1273.9088320000001</v>
      </c>
      <c r="V51" s="191"/>
    </row>
    <row r="52" spans="2:22" x14ac:dyDescent="0.3">
      <c r="B52" s="271" t="s">
        <v>383</v>
      </c>
      <c r="E52" s="246">
        <f>Financials!DU20</f>
        <v>0</v>
      </c>
      <c r="F52" s="246">
        <f>Financials!DV20</f>
        <v>0</v>
      </c>
      <c r="G52" s="246">
        <f>Financials!DW20</f>
        <v>0</v>
      </c>
      <c r="H52" s="246">
        <f>Financials!DX20</f>
        <v>0</v>
      </c>
      <c r="I52" s="246">
        <f>Financials!DY20</f>
        <v>0</v>
      </c>
      <c r="J52" s="214"/>
      <c r="K52" s="246">
        <f>Financials!EA20</f>
        <v>0</v>
      </c>
      <c r="L52" s="246">
        <f>Financials!EB20</f>
        <v>0</v>
      </c>
      <c r="M52" s="246">
        <f>Financials!EC20</f>
        <v>0</v>
      </c>
      <c r="N52" s="246">
        <f>Financials!ED20</f>
        <v>0</v>
      </c>
      <c r="O52" s="246">
        <f>Financials!EE20</f>
        <v>0</v>
      </c>
      <c r="Q52" s="246">
        <f>Financials!EG20</f>
        <v>0</v>
      </c>
      <c r="R52" s="246">
        <f>Financials!EH20</f>
        <v>0</v>
      </c>
      <c r="S52" s="246">
        <f>Financials!EI20</f>
        <v>0</v>
      </c>
      <c r="T52" s="246">
        <f>Financials!EJ20</f>
        <v>0</v>
      </c>
      <c r="U52" s="246">
        <f>Financials!EK20</f>
        <v>0</v>
      </c>
      <c r="V52" s="191"/>
    </row>
    <row r="53" spans="2:22" x14ac:dyDescent="0.3">
      <c r="B53" s="270" t="s">
        <v>384</v>
      </c>
      <c r="E53" s="191">
        <f>Financials!DU24</f>
        <v>1391.3999999999999</v>
      </c>
      <c r="F53" s="191">
        <f>Financials!DV24</f>
        <v>1834.5999999999995</v>
      </c>
      <c r="G53" s="191">
        <f>Financials!DW24</f>
        <v>2441.1999999999998</v>
      </c>
      <c r="H53" s="191">
        <f>Financials!DX24</f>
        <v>3355.3999999999992</v>
      </c>
      <c r="I53" s="191">
        <f>Financials!DY24</f>
        <v>9022.5999999999985</v>
      </c>
      <c r="J53" s="214"/>
      <c r="K53" s="191">
        <f>Financials!EA24</f>
        <v>2737.8999999999996</v>
      </c>
      <c r="L53" s="191">
        <f>Financials!EB24</f>
        <v>2664.1000000000008</v>
      </c>
      <c r="M53" s="191">
        <f>Financials!EC24</f>
        <v>2468.4</v>
      </c>
      <c r="N53" s="191">
        <f>Financials!ED24</f>
        <v>3470.1395199999997</v>
      </c>
      <c r="O53" s="191">
        <f>Financials!EE24</f>
        <v>11340.53952</v>
      </c>
      <c r="Q53" s="191">
        <f>Financials!EG24</f>
        <v>3157.4000000000005</v>
      </c>
      <c r="R53" s="191">
        <f>Financials!EH24</f>
        <v>2977.5019999999995</v>
      </c>
      <c r="S53" s="191">
        <f>Financials!EI24</f>
        <v>3720.5650999999998</v>
      </c>
      <c r="T53" s="191">
        <f>Financials!EJ24</f>
        <v>3829.8550979999977</v>
      </c>
      <c r="U53" s="191">
        <f>Financials!EK24</f>
        <v>13685.322198000003</v>
      </c>
      <c r="V53" s="191"/>
    </row>
    <row r="54" spans="2:22" x14ac:dyDescent="0.3">
      <c r="B54" s="269"/>
      <c r="E54" s="284"/>
      <c r="F54" s="284"/>
      <c r="G54" s="284"/>
      <c r="H54" s="284"/>
      <c r="I54" s="284"/>
      <c r="J54" s="214"/>
      <c r="K54" s="284"/>
      <c r="L54" s="284"/>
      <c r="M54" s="284"/>
      <c r="N54" s="284"/>
      <c r="O54" s="284"/>
      <c r="Q54" s="284"/>
      <c r="R54" s="284"/>
      <c r="S54" s="284"/>
      <c r="T54" s="284"/>
      <c r="U54" s="284"/>
      <c r="V54" s="181"/>
    </row>
    <row r="55" spans="2:22" x14ac:dyDescent="0.3">
      <c r="B55" s="177" t="s">
        <v>362</v>
      </c>
      <c r="E55" s="248">
        <f>E53+Financials!DU308</f>
        <v>1605.8</v>
      </c>
      <c r="F55" s="248">
        <f>F53+Financials!DV308</f>
        <v>2062.0999999999995</v>
      </c>
      <c r="G55" s="248">
        <f>G53+Financials!DW308</f>
        <v>2676.8999999999996</v>
      </c>
      <c r="H55" s="248">
        <f>H53+Financials!DX308</f>
        <v>3596.3999999999992</v>
      </c>
      <c r="I55" s="248">
        <f>I53+Financials!DY308</f>
        <v>9941.1999999999989</v>
      </c>
      <c r="J55" s="214"/>
      <c r="K55" s="248">
        <f>K53+Financials!EA308</f>
        <v>2979.2</v>
      </c>
      <c r="L55" s="248">
        <f>L53+Financials!EB308</f>
        <v>2919.0000000000009</v>
      </c>
      <c r="M55" s="248">
        <f>M53+Financials!EC308</f>
        <v>2743</v>
      </c>
      <c r="N55" s="248">
        <f>N53+Financials!ED308</f>
        <v>3725.3395199999995</v>
      </c>
      <c r="O55" s="248">
        <f>O53+Financials!EE308</f>
        <v>12366.53952</v>
      </c>
      <c r="Q55" s="248">
        <f>Q53+Financials!EG308</f>
        <v>3416.8000000000006</v>
      </c>
      <c r="R55" s="248">
        <f>R53+Financials!EH308</f>
        <v>3207.585346808874</v>
      </c>
      <c r="S55" s="248">
        <f>S53+Financials!EI308</f>
        <v>3980.110824633548</v>
      </c>
      <c r="T55" s="248">
        <f>T53+Financials!EJ308</f>
        <v>4075.7845739818604</v>
      </c>
      <c r="U55" s="248">
        <f>U53+Financials!EK308</f>
        <v>14680.280745424288</v>
      </c>
      <c r="V55" s="248"/>
    </row>
    <row r="56" spans="2:22" x14ac:dyDescent="0.3">
      <c r="E56" s="181"/>
      <c r="F56" s="181"/>
      <c r="G56" s="181"/>
      <c r="H56" s="181"/>
      <c r="I56" s="181"/>
      <c r="J56" s="214"/>
      <c r="K56" s="181"/>
      <c r="L56" s="181"/>
      <c r="M56" s="181"/>
      <c r="N56" s="181"/>
      <c r="O56" s="181"/>
      <c r="Q56" s="181"/>
      <c r="R56" s="181"/>
      <c r="S56" s="181"/>
      <c r="T56" s="181"/>
      <c r="U56" s="181"/>
      <c r="V56" s="181"/>
    </row>
    <row r="57" spans="2:22" x14ac:dyDescent="0.3">
      <c r="B57" s="270" t="s">
        <v>385</v>
      </c>
      <c r="E57" s="191">
        <f>Financials!DU30</f>
        <v>26.2</v>
      </c>
      <c r="F57" s="191">
        <f>Financials!DV30</f>
        <v>-11.9</v>
      </c>
      <c r="G57" s="191">
        <f>Financials!DW30</f>
        <v>-0.8</v>
      </c>
      <c r="H57" s="191">
        <f>Financials!DX30</f>
        <v>6.3</v>
      </c>
      <c r="I57" s="191">
        <f>Financials!DY30</f>
        <v>19.799999999999997</v>
      </c>
      <c r="J57" s="214"/>
      <c r="K57" s="191">
        <f>Financials!EA30</f>
        <v>49.2</v>
      </c>
      <c r="L57" s="191">
        <f>Financials!EB30</f>
        <v>24.8</v>
      </c>
      <c r="M57" s="191">
        <f>Financials!EC30</f>
        <v>19.399999999999999</v>
      </c>
      <c r="N57" s="191">
        <f>Financials!ED30</f>
        <v>11.2</v>
      </c>
      <c r="O57" s="191">
        <f>Financials!EE30</f>
        <v>104.60000000000001</v>
      </c>
      <c r="Q57" s="191">
        <f>Financials!EG30</f>
        <v>40.9</v>
      </c>
      <c r="R57" s="191">
        <f>Financials!EH30</f>
        <v>34.248719999999999</v>
      </c>
      <c r="S57" s="191">
        <f>Financials!EI30</f>
        <v>-16.129329105140414</v>
      </c>
      <c r="T57" s="191">
        <f>Financials!EJ30</f>
        <v>-35.748106628707518</v>
      </c>
      <c r="U57" s="191">
        <f>Financials!EK30</f>
        <v>23.271284266152065</v>
      </c>
      <c r="V57" s="191"/>
    </row>
    <row r="58" spans="2:22" x14ac:dyDescent="0.3">
      <c r="B58" s="185" t="s">
        <v>386</v>
      </c>
      <c r="E58" s="246">
        <f>Financials!DU32</f>
        <v>1417.6</v>
      </c>
      <c r="F58" s="246">
        <f>Financials!DV32</f>
        <v>1822.6999999999994</v>
      </c>
      <c r="G58" s="246">
        <f>Financials!DW32</f>
        <v>2440.3999999999996</v>
      </c>
      <c r="H58" s="246">
        <f>Financials!DX32</f>
        <v>3361.6999999999994</v>
      </c>
      <c r="I58" s="246">
        <f>Financials!DY32</f>
        <v>9042.3999999999978</v>
      </c>
      <c r="J58" s="214"/>
      <c r="K58" s="246">
        <f>Financials!EA32</f>
        <v>2787.0999999999995</v>
      </c>
      <c r="L58" s="246">
        <f>Financials!EB32</f>
        <v>2688.900000000001</v>
      </c>
      <c r="M58" s="246">
        <f>Financials!EC32</f>
        <v>2487.8000000000002</v>
      </c>
      <c r="N58" s="246">
        <f>Financials!ED32</f>
        <v>3481.3395199999995</v>
      </c>
      <c r="O58" s="246">
        <f>Financials!EE32</f>
        <v>11445.139520000001</v>
      </c>
      <c r="Q58" s="246">
        <f>Financials!EG32</f>
        <v>3198.3000000000006</v>
      </c>
      <c r="R58" s="246">
        <f>Financials!EH32</f>
        <v>3011.7507199999995</v>
      </c>
      <c r="S58" s="246">
        <f>Financials!EI32</f>
        <v>3704.4357708948592</v>
      </c>
      <c r="T58" s="246">
        <f>Financials!EJ32</f>
        <v>3794.1069913712904</v>
      </c>
      <c r="U58" s="246">
        <f>Financials!EK32</f>
        <v>13708.593482266155</v>
      </c>
      <c r="V58" s="191"/>
    </row>
    <row r="59" spans="2:22" x14ac:dyDescent="0.3">
      <c r="E59" s="181"/>
      <c r="F59" s="181"/>
      <c r="G59" s="181"/>
      <c r="H59" s="181"/>
      <c r="I59" s="181"/>
      <c r="J59" s="214"/>
      <c r="K59" s="181"/>
      <c r="L59" s="181"/>
      <c r="M59" s="181"/>
      <c r="N59" s="181"/>
      <c r="O59" s="181"/>
      <c r="Q59" s="181"/>
      <c r="R59" s="181"/>
      <c r="S59" s="181"/>
      <c r="T59" s="181"/>
      <c r="U59" s="181"/>
      <c r="V59" s="181"/>
    </row>
    <row r="60" spans="2:22" x14ac:dyDescent="0.3">
      <c r="B60" s="270" t="s">
        <v>387</v>
      </c>
      <c r="E60" s="191">
        <f>Financials!DU38</f>
        <v>224</v>
      </c>
      <c r="F60" s="191">
        <f>Financials!DV38</f>
        <v>291.60000000000002</v>
      </c>
      <c r="G60" s="191">
        <f>Financials!DW38</f>
        <v>441.2</v>
      </c>
      <c r="H60" s="191">
        <f>Financials!DX38</f>
        <v>723.8</v>
      </c>
      <c r="I60" s="191">
        <f>Financials!DY38</f>
        <v>1680.6</v>
      </c>
      <c r="J60" s="214"/>
      <c r="K60" s="191">
        <f>Financials!EA38</f>
        <v>465.1</v>
      </c>
      <c r="L60" s="191">
        <f>Financials!EB38</f>
        <v>487.4</v>
      </c>
      <c r="M60" s="191">
        <f>Financials!EC38</f>
        <v>442.2</v>
      </c>
      <c r="N60" s="191">
        <f>Financials!ED38</f>
        <v>618.70000000000005</v>
      </c>
      <c r="O60" s="191">
        <f>Financials!EE38</f>
        <v>2013.4</v>
      </c>
      <c r="Q60" s="191">
        <f>Financials!EG38</f>
        <v>546.6</v>
      </c>
      <c r="R60" s="191">
        <f>Financials!EH38</f>
        <v>496.93886879999997</v>
      </c>
      <c r="S60" s="191">
        <f>Financials!EI38</f>
        <v>629.75408105212614</v>
      </c>
      <c r="T60" s="191">
        <f>Financials!EJ38</f>
        <v>626.02765357626299</v>
      </c>
      <c r="U60" s="191">
        <f>Financials!EK38</f>
        <v>2299.3206034283894</v>
      </c>
      <c r="V60" s="191"/>
    </row>
    <row r="61" spans="2:22" x14ac:dyDescent="0.3">
      <c r="B61" s="270" t="s">
        <v>403</v>
      </c>
      <c r="E61" s="191">
        <f>Financials!DU41</f>
        <v>30.2</v>
      </c>
      <c r="F61" s="191">
        <f>Financials!DV41</f>
        <v>46.8</v>
      </c>
      <c r="G61" s="191">
        <f>Financials!DW41</f>
        <v>77.3</v>
      </c>
      <c r="H61" s="191">
        <f>Financials!DX41</f>
        <v>55.5</v>
      </c>
      <c r="I61" s="191">
        <f>Financials!DY41</f>
        <v>209.8</v>
      </c>
      <c r="J61" s="214"/>
      <c r="K61" s="191">
        <f>Financials!EA41</f>
        <v>33</v>
      </c>
      <c r="L61" s="191">
        <f>Financials!EB41</f>
        <v>88.8</v>
      </c>
      <c r="M61" s="191">
        <f>Financials!EC41</f>
        <v>78.900000000000006</v>
      </c>
      <c r="N61" s="191">
        <f>Financials!ED41</f>
        <v>16</v>
      </c>
      <c r="O61" s="191">
        <f>Financials!EE41</f>
        <v>216.7</v>
      </c>
      <c r="Q61" s="191">
        <f>Financials!EG41</f>
        <v>104.6</v>
      </c>
      <c r="R61" s="191">
        <f>Financials!EH41</f>
        <v>75</v>
      </c>
      <c r="S61" s="191">
        <f>Financials!EI41</f>
        <v>75</v>
      </c>
      <c r="T61" s="191">
        <f>Financials!EJ41</f>
        <v>75</v>
      </c>
      <c r="U61" s="191">
        <f>Financials!EK41</f>
        <v>329.6</v>
      </c>
      <c r="V61" s="191"/>
    </row>
    <row r="62" spans="2:22" x14ac:dyDescent="0.3">
      <c r="B62" s="269" t="s">
        <v>388</v>
      </c>
      <c r="E62" s="285">
        <f>Financials!DU43</f>
        <v>1223.8</v>
      </c>
      <c r="F62" s="285">
        <f>Financials!DV43</f>
        <v>1577.8999999999994</v>
      </c>
      <c r="G62" s="285">
        <f>Financials!DW43</f>
        <v>2076.4999999999995</v>
      </c>
      <c r="H62" s="285">
        <f>Financials!DX43</f>
        <v>2693.3999999999996</v>
      </c>
      <c r="I62" s="285">
        <f>Financials!DY43</f>
        <v>7571.5999999999976</v>
      </c>
      <c r="J62" s="214"/>
      <c r="K62" s="285">
        <f>Financials!EA43</f>
        <v>2354.9999999999995</v>
      </c>
      <c r="L62" s="285">
        <f>Financials!EB43</f>
        <v>2290.3000000000011</v>
      </c>
      <c r="M62" s="285">
        <f>Financials!EC43</f>
        <v>2124.5</v>
      </c>
      <c r="N62" s="285">
        <f>Financials!ED43</f>
        <v>2878.6395199999997</v>
      </c>
      <c r="O62" s="285">
        <f>Financials!EE43</f>
        <v>9648.4395200000017</v>
      </c>
      <c r="Q62" s="285">
        <f>Financials!EG43</f>
        <v>2756.3000000000006</v>
      </c>
      <c r="R62" s="285">
        <f>Financials!EH43</f>
        <v>2589.8118511999996</v>
      </c>
      <c r="S62" s="285">
        <f>Financials!EI43</f>
        <v>3149.6816898427332</v>
      </c>
      <c r="T62" s="285">
        <f>Financials!EJ43</f>
        <v>3243.0793377950276</v>
      </c>
      <c r="U62" s="285">
        <f>Financials!EK43</f>
        <v>11738.872878837765</v>
      </c>
      <c r="V62" s="248"/>
    </row>
    <row r="63" spans="2:22" x14ac:dyDescent="0.3">
      <c r="B63" s="177"/>
      <c r="E63" s="181"/>
      <c r="F63" s="181"/>
      <c r="G63" s="181"/>
      <c r="H63" s="181"/>
      <c r="I63" s="181"/>
      <c r="J63" s="214"/>
      <c r="K63" s="181"/>
      <c r="L63" s="181"/>
      <c r="M63" s="181"/>
      <c r="N63" s="181"/>
      <c r="O63" s="181"/>
      <c r="Q63" s="181"/>
      <c r="R63" s="181"/>
      <c r="S63" s="181"/>
      <c r="T63" s="181"/>
      <c r="U63" s="181"/>
      <c r="V63" s="181"/>
    </row>
    <row r="64" spans="2:22" x14ac:dyDescent="0.3">
      <c r="E64" s="181"/>
      <c r="F64" s="181"/>
      <c r="G64" s="181"/>
      <c r="H64" s="181"/>
      <c r="I64" s="181"/>
      <c r="J64" s="214"/>
      <c r="K64" s="181"/>
      <c r="L64" s="181"/>
      <c r="M64" s="181"/>
      <c r="N64" s="181"/>
      <c r="O64" s="181"/>
      <c r="Q64" s="181"/>
      <c r="R64" s="181"/>
      <c r="S64" s="181"/>
      <c r="T64" s="181"/>
      <c r="U64" s="181"/>
      <c r="V64" s="181"/>
    </row>
    <row r="65" spans="2:25" x14ac:dyDescent="0.3">
      <c r="B65" s="180" t="s">
        <v>507</v>
      </c>
      <c r="E65" s="245">
        <f>Financials!DU57</f>
        <v>3.1108286731062531</v>
      </c>
      <c r="F65" s="245">
        <f>Financials!DV57</f>
        <v>4.0129704984740577</v>
      </c>
      <c r="G65" s="245">
        <f>Financials!DW57</f>
        <v>5.2810274669379442</v>
      </c>
      <c r="H65" s="245">
        <f>Financials!DX57</f>
        <v>6.8482074752097626</v>
      </c>
      <c r="I65" s="245">
        <f>Financials!DY57</f>
        <v>19.25268577967071</v>
      </c>
      <c r="J65" s="214"/>
      <c r="K65" s="245">
        <f>Financials!EA57</f>
        <v>6.003058883507518</v>
      </c>
      <c r="L65" s="245">
        <f>Financials!EB57</f>
        <v>5.899793920659457</v>
      </c>
      <c r="M65" s="245">
        <f>Financials!EC57</f>
        <v>5.4854118254583009</v>
      </c>
      <c r="N65" s="245">
        <f>Financials!ED57</f>
        <v>7.4672879896238644</v>
      </c>
      <c r="O65" s="245">
        <f>Financials!EE57</f>
        <v>24.846300186699292</v>
      </c>
      <c r="Q65" s="245">
        <f>Financials!EG57</f>
        <v>7.1517903476907128</v>
      </c>
      <c r="R65" s="245">
        <f>Financials!EH57</f>
        <v>6.733631607030671</v>
      </c>
      <c r="S65" s="245">
        <f>Financials!EI57</f>
        <v>8.2062074774343863</v>
      </c>
      <c r="T65" s="245">
        <f>Financials!EJ57</f>
        <v>8.4670073344594261</v>
      </c>
      <c r="U65" s="245">
        <f>Financials!EK57</f>
        <v>30.553055733916967</v>
      </c>
      <c r="V65" s="245"/>
    </row>
    <row r="66" spans="2:25" x14ac:dyDescent="0.3">
      <c r="B66" s="177" t="s">
        <v>508</v>
      </c>
      <c r="E66" s="282">
        <f>Financials!DU58</f>
        <v>3.1084582169164339</v>
      </c>
      <c r="F66" s="282">
        <f>Financials!DV58</f>
        <v>4.0099110546378638</v>
      </c>
      <c r="G66" s="282">
        <f>Financials!DW58</f>
        <v>5.2756605691056899</v>
      </c>
      <c r="H66" s="282">
        <f>Financials!DX58</f>
        <v>6.8429878048780477</v>
      </c>
      <c r="I66" s="282">
        <f>Financials!DY58</f>
        <v>19.236788617886173</v>
      </c>
      <c r="J66" s="214"/>
      <c r="K66" s="282">
        <f>Financials!EA58</f>
        <v>5.9999999999999991</v>
      </c>
      <c r="L66" s="282">
        <f>Financials!EB58</f>
        <v>5.8967559217301782</v>
      </c>
      <c r="M66" s="282">
        <f>Financials!EC58</f>
        <v>5.481166150670794</v>
      </c>
      <c r="N66" s="282">
        <f>Financials!ED58</f>
        <v>7.4383450129198962</v>
      </c>
      <c r="O66" s="282">
        <f>Financials!EE58</f>
        <v>24.811159164255869</v>
      </c>
      <c r="Q66" s="282">
        <f>Financials!EG58</f>
        <v>7.1462276380606706</v>
      </c>
      <c r="R66" s="282">
        <f>Financials!EH58</f>
        <v>6.733631607030671</v>
      </c>
      <c r="S66" s="282">
        <f>Financials!EI58</f>
        <v>8.2062074774343863</v>
      </c>
      <c r="T66" s="282">
        <f>Financials!EJ58</f>
        <v>8.4670073344594261</v>
      </c>
      <c r="U66" s="282">
        <f>Financials!EK58</f>
        <v>30.547092808182676</v>
      </c>
      <c r="V66" s="282"/>
    </row>
    <row r="67" spans="2:25" x14ac:dyDescent="0.3">
      <c r="B67" s="177"/>
      <c r="J67" s="214"/>
    </row>
    <row r="68" spans="2:25" x14ac:dyDescent="0.3">
      <c r="B68" s="180" t="s">
        <v>509</v>
      </c>
      <c r="E68" s="216">
        <f>Financials!DU61</f>
        <v>1.4514489069649212</v>
      </c>
      <c r="F68" s="216">
        <f>Financials!DV61</f>
        <v>1.7505086469989826</v>
      </c>
      <c r="G68" s="216">
        <f>Financials!DW61</f>
        <v>1.5152594099694812</v>
      </c>
      <c r="H68" s="216">
        <f>Financials!DX61</f>
        <v>1.5199593185863207</v>
      </c>
      <c r="I68" s="216">
        <f>Financials!DY61</f>
        <v>6.2371114360180533</v>
      </c>
      <c r="J68" s="214"/>
      <c r="K68" s="216">
        <f>Financials!EA61</f>
        <v>1.5223043589089982</v>
      </c>
      <c r="L68" s="216">
        <f>Financials!EB61</f>
        <v>1.8402885110767646</v>
      </c>
      <c r="M68" s="216">
        <f>Financials!EC61</f>
        <v>1.5997934417764008</v>
      </c>
      <c r="N68" s="216">
        <f>Financials!ED61</f>
        <v>1.6062256809338522</v>
      </c>
      <c r="O68" s="216">
        <f>Financials!EE61</f>
        <v>6.567694585720723</v>
      </c>
      <c r="Q68" s="216">
        <f>Financials!EG61</f>
        <v>1.6009340944473276</v>
      </c>
      <c r="R68" s="216">
        <f>Financials!EH61</f>
        <v>2.7</v>
      </c>
      <c r="S68" s="216">
        <f>Financials!EI61</f>
        <v>2.7</v>
      </c>
      <c r="T68" s="216">
        <f>Financials!EJ61</f>
        <v>2.6999999999999997</v>
      </c>
      <c r="U68" s="216">
        <f>Financials!EK61</f>
        <v>9.6975378231496911</v>
      </c>
      <c r="V68" s="216"/>
    </row>
    <row r="69" spans="2:25" x14ac:dyDescent="0.3">
      <c r="J69" s="214"/>
    </row>
    <row r="70" spans="2:25" x14ac:dyDescent="0.3">
      <c r="E70" s="272" t="str">
        <f>E44</f>
        <v>1Q24</v>
      </c>
      <c r="F70" s="272" t="str">
        <f t="shared" ref="F70:I70" si="11">F44</f>
        <v>2Q24</v>
      </c>
      <c r="G70" s="272" t="str">
        <f t="shared" si="11"/>
        <v>3Q24</v>
      </c>
      <c r="H70" s="272" t="str">
        <f t="shared" si="11"/>
        <v>4Q24</v>
      </c>
      <c r="I70" s="272" t="str">
        <f t="shared" si="11"/>
        <v>FY24</v>
      </c>
      <c r="J70" s="214"/>
      <c r="K70" s="272" t="str">
        <f>K44</f>
        <v>1Q25</v>
      </c>
      <c r="L70" s="272" t="str">
        <f t="shared" ref="L70:O70" si="12">L44</f>
        <v>2Q25</v>
      </c>
      <c r="M70" s="272" t="str">
        <f>M44</f>
        <v>3Q25</v>
      </c>
      <c r="N70" s="272" t="str">
        <f t="shared" si="12"/>
        <v>4Q25</v>
      </c>
      <c r="O70" s="272" t="str">
        <f t="shared" si="12"/>
        <v>FY25</v>
      </c>
      <c r="Q70" s="272" t="str">
        <f>Q44</f>
        <v>1Q26</v>
      </c>
      <c r="R70" s="272" t="str">
        <f t="shared" ref="R70:U70" si="13">R44</f>
        <v>2Q26e</v>
      </c>
      <c r="S70" s="272" t="str">
        <f t="shared" si="13"/>
        <v>3Q26e</v>
      </c>
      <c r="T70" s="272" t="str">
        <f t="shared" si="13"/>
        <v>4Q26e</v>
      </c>
      <c r="U70" s="272" t="str">
        <f t="shared" si="13"/>
        <v>FY26e</v>
      </c>
      <c r="V70" s="342"/>
    </row>
    <row r="71" spans="2:25" x14ac:dyDescent="0.3">
      <c r="B71" s="197" t="s">
        <v>402</v>
      </c>
      <c r="E71" s="247"/>
      <c r="F71" s="247">
        <f>F46/E46-1</f>
        <v>0.18011342155009435</v>
      </c>
      <c r="G71" s="247">
        <f>G46/F46-1</f>
        <v>0.19614596014608843</v>
      </c>
      <c r="H71" s="247">
        <f>H46/G46-1</f>
        <v>0.24044835482704574</v>
      </c>
      <c r="I71" s="273" t="s">
        <v>404</v>
      </c>
      <c r="J71" s="214"/>
      <c r="K71" s="247">
        <f>K46/H46-1</f>
        <v>-0.16423759554346407</v>
      </c>
      <c r="L71" s="247">
        <f>L46/K46-1</f>
        <v>-6.4328618484789102E-3</v>
      </c>
      <c r="M71" s="247">
        <f>M46/L46-1</f>
        <v>-2.2842804581562071E-2</v>
      </c>
      <c r="N71" s="247">
        <f>N46/M46-1</f>
        <v>0.29297498669505062</v>
      </c>
      <c r="O71" s="273" t="s">
        <v>404</v>
      </c>
      <c r="Q71" s="247">
        <f>Q46/N46-1</f>
        <v>-9.7911092817452139E-2</v>
      </c>
      <c r="R71" s="247">
        <f>R46/Q46-1</f>
        <v>-4.8719557406034397E-2</v>
      </c>
      <c r="S71" s="247">
        <f>S46/R46-1</f>
        <v>0.21621459577427649</v>
      </c>
      <c r="T71" s="247">
        <f>T46/S46-1</f>
        <v>2.7872319447867389E-2</v>
      </c>
      <c r="U71" s="273" t="s">
        <v>404</v>
      </c>
      <c r="V71" s="273"/>
    </row>
    <row r="72" spans="2:25" x14ac:dyDescent="0.3">
      <c r="B72" s="197" t="s">
        <v>343</v>
      </c>
      <c r="E72" s="247">
        <f>E48/E$46</f>
        <v>0.50975425330812851</v>
      </c>
      <c r="F72" s="247">
        <f>F48/F$46</f>
        <v>0.51454475555840329</v>
      </c>
      <c r="G72" s="247">
        <f>G48/G$46</f>
        <v>0.50800155343966358</v>
      </c>
      <c r="H72" s="247">
        <f>H48/H$46</f>
        <v>0.51710066070734551</v>
      </c>
      <c r="I72" s="247">
        <f>I48/I$46</f>
        <v>0.51275700653506895</v>
      </c>
      <c r="J72" s="214"/>
      <c r="K72" s="247">
        <f>K48/K$46</f>
        <v>0.53990828650778266</v>
      </c>
      <c r="L72" s="247">
        <f>L48/L$46</f>
        <v>0.53687741331565197</v>
      </c>
      <c r="M72" s="247">
        <f>M48/M$46</f>
        <v>0.51627195316657803</v>
      </c>
      <c r="N72" s="247">
        <f>N48/N$46</f>
        <v>0.52558546202922407</v>
      </c>
      <c r="O72" s="247">
        <f>O48/O$46</f>
        <v>0.52949562619385804</v>
      </c>
      <c r="Q72" s="247">
        <f>Q48/Q$46</f>
        <v>0.5298123538470314</v>
      </c>
      <c r="R72" s="247">
        <f>R48/R$46</f>
        <v>0.53573398565844066</v>
      </c>
      <c r="S72" s="247">
        <f>S48/S$46</f>
        <v>0.51870840522553607</v>
      </c>
      <c r="T72" s="247">
        <f>T48/T$46</f>
        <v>0.519877562961652</v>
      </c>
      <c r="U72" s="247">
        <f>U48/U$46</f>
        <v>0.52538455568150599</v>
      </c>
      <c r="V72" s="247"/>
    </row>
    <row r="73" spans="2:25" x14ac:dyDescent="0.3">
      <c r="B73" s="197" t="s">
        <v>390</v>
      </c>
      <c r="E73" s="247">
        <f>E53/E$46</f>
        <v>0.26302457466918711</v>
      </c>
      <c r="F73" s="247">
        <f>F53/F$46</f>
        <v>0.29387454347408209</v>
      </c>
      <c r="G73" s="247">
        <f>G53/G$46</f>
        <v>0.32691869886036451</v>
      </c>
      <c r="H73" s="247">
        <f>H53/H$46</f>
        <v>0.36224467763527224</v>
      </c>
      <c r="I73" s="247">
        <f>I53/I$46</f>
        <v>0.31923829472559428</v>
      </c>
      <c r="J73" s="214"/>
      <c r="K73" s="247">
        <f>K53/K$46</f>
        <v>0.35366531034037324</v>
      </c>
      <c r="L73" s="247">
        <f>L53/L$46</f>
        <v>0.34636036246863511</v>
      </c>
      <c r="M73" s="247">
        <f>M53/M$46</f>
        <v>0.32841937200638638</v>
      </c>
      <c r="N73" s="247">
        <f>N53/N$46</f>
        <v>0.35708371269808598</v>
      </c>
      <c r="O73" s="247">
        <f>O53/O$46</f>
        <v>0.34715370524562866</v>
      </c>
      <c r="Q73" s="247">
        <f>Q53/Q$46</f>
        <v>0.36016654309017287</v>
      </c>
      <c r="R73" s="247">
        <f>R53/R$46</f>
        <v>0.35704031465093405</v>
      </c>
      <c r="S73" s="247">
        <f>S53/S$46</f>
        <v>0.36682919398570368</v>
      </c>
      <c r="T73" s="247">
        <f>T53/T$46</f>
        <v>0.36736532007314965</v>
      </c>
      <c r="U73" s="247">
        <f>U53/U$46</f>
        <v>0.36326032060386071</v>
      </c>
      <c r="V73" s="247"/>
    </row>
    <row r="74" spans="2:25" x14ac:dyDescent="0.3">
      <c r="B74" s="197" t="s">
        <v>391</v>
      </c>
      <c r="E74" s="247"/>
      <c r="F74" s="247"/>
      <c r="G74" s="247"/>
      <c r="H74" s="247"/>
      <c r="I74" s="247"/>
      <c r="J74" s="214"/>
      <c r="K74" s="247"/>
      <c r="L74" s="247"/>
      <c r="M74" s="247"/>
      <c r="N74" s="247"/>
      <c r="O74" s="247"/>
      <c r="Q74" s="247"/>
      <c r="R74" s="247"/>
      <c r="S74" s="247"/>
      <c r="T74" s="247"/>
      <c r="U74" s="247"/>
      <c r="V74" s="247"/>
    </row>
    <row r="75" spans="2:25" x14ac:dyDescent="0.3">
      <c r="B75" s="197" t="s">
        <v>392</v>
      </c>
      <c r="E75" s="247">
        <f>E55/E$46</f>
        <v>0.3035538752362949</v>
      </c>
      <c r="F75" s="247">
        <f>F55/F$46</f>
        <v>0.33031652463638106</v>
      </c>
      <c r="G75" s="247">
        <f>G55/G$46</f>
        <v>0.35848298581816718</v>
      </c>
      <c r="H75" s="247">
        <f>H55/H$46</f>
        <v>0.38826272833268555</v>
      </c>
      <c r="I75" s="247">
        <f>I55/I$46</f>
        <v>0.35174026727618185</v>
      </c>
      <c r="J75" s="214"/>
      <c r="K75" s="247">
        <f>K55/K$46</f>
        <v>0.38483498030097524</v>
      </c>
      <c r="L75" s="247">
        <f>L55/L$46</f>
        <v>0.37949998049845945</v>
      </c>
      <c r="M75" s="247">
        <f>M55/M$46</f>
        <v>0.36495476317189995</v>
      </c>
      <c r="N75" s="247">
        <f>N55/N$46</f>
        <v>0.38334426013583039</v>
      </c>
      <c r="O75" s="247">
        <f>O55/O$46</f>
        <v>0.37856135573296762</v>
      </c>
      <c r="Q75" s="247">
        <f>Q55/Q$46</f>
        <v>0.38975645924827473</v>
      </c>
      <c r="R75" s="247">
        <f>R55/R$46</f>
        <v>0.38463023080903591</v>
      </c>
      <c r="S75" s="247">
        <f>S55/S$46</f>
        <v>0.39241911014380559</v>
      </c>
      <c r="T75" s="247">
        <f>T55/T$46</f>
        <v>0.3909552362312515</v>
      </c>
      <c r="U75" s="247">
        <f>U55/U$46</f>
        <v>0.38967029149791221</v>
      </c>
      <c r="V75" s="247"/>
    </row>
    <row r="76" spans="2:25" x14ac:dyDescent="0.3">
      <c r="B76" s="197" t="s">
        <v>336</v>
      </c>
      <c r="E76" s="247">
        <f>E58/E$46</f>
        <v>0.26797731568998107</v>
      </c>
      <c r="F76" s="247">
        <f>F58/F$46</f>
        <v>0.29196834753636181</v>
      </c>
      <c r="G76" s="247">
        <f>G58/G$46</f>
        <v>0.326811565090461</v>
      </c>
      <c r="H76" s="247">
        <f>H58/H$46</f>
        <v>0.36292481754976891</v>
      </c>
      <c r="I76" s="247">
        <f>I58/I$46</f>
        <v>0.31993885977730518</v>
      </c>
      <c r="J76" s="214"/>
      <c r="K76" s="247">
        <f>K58/K$46</f>
        <v>0.36002066782923198</v>
      </c>
      <c r="L76" s="247">
        <f>L58/L$46</f>
        <v>0.3495846171847577</v>
      </c>
      <c r="M76" s="247">
        <f>M58/M$46</f>
        <v>0.33100053219797765</v>
      </c>
      <c r="N76" s="247">
        <f>N58/N$46</f>
        <v>0.35823621321259513</v>
      </c>
      <c r="O76" s="247">
        <f>O58/O$46</f>
        <v>0.3503556937845913</v>
      </c>
      <c r="Q76" s="247">
        <f>Q58/Q$46</f>
        <v>0.36483203102720591</v>
      </c>
      <c r="R76" s="247">
        <f>R58/R$46</f>
        <v>0.36114717125932316</v>
      </c>
      <c r="S76" s="247">
        <f>S58/S$46</f>
        <v>0.36523892244464967</v>
      </c>
      <c r="T76" s="247">
        <f>T58/T$46</f>
        <v>0.36393630923654585</v>
      </c>
      <c r="U76" s="247">
        <f>U58/U$46</f>
        <v>0.36387802869001895</v>
      </c>
      <c r="V76" s="247"/>
    </row>
    <row r="77" spans="2:25" x14ac:dyDescent="0.3">
      <c r="B77" s="197" t="s">
        <v>393</v>
      </c>
      <c r="E77" s="247">
        <f>E62/E$46</f>
        <v>0.23134215500945179</v>
      </c>
      <c r="F77" s="247">
        <f>F62/F$46</f>
        <v>0.25275517396040231</v>
      </c>
      <c r="G77" s="247">
        <f>G62/G$46</f>
        <v>0.27807909150563115</v>
      </c>
      <c r="H77" s="247">
        <f>H62/H$46</f>
        <v>0.29077600725482572</v>
      </c>
      <c r="I77" s="247">
        <f>I62/I$46</f>
        <v>0.26789890634011365</v>
      </c>
      <c r="J77" s="214"/>
      <c r="K77" s="247">
        <f>K62/K$46</f>
        <v>0.30420461150939737</v>
      </c>
      <c r="L77" s="247">
        <f>L62/L$46</f>
        <v>0.297762523239336</v>
      </c>
      <c r="M77" s="247">
        <f>M62/M$46</f>
        <v>0.28266365087812667</v>
      </c>
      <c r="N77" s="247">
        <f>N62/N$46</f>
        <v>0.29621727927557107</v>
      </c>
      <c r="O77" s="247">
        <f>O62/O$46</f>
        <v>0.29535557133761087</v>
      </c>
      <c r="Q77" s="247">
        <f>Q62/Q$46</f>
        <v>0.31441282153653116</v>
      </c>
      <c r="R77" s="247">
        <f>R62/R$46</f>
        <v>0.3105513407679209</v>
      </c>
      <c r="S77" s="247">
        <f>S62/S$46</f>
        <v>0.3105429322004174</v>
      </c>
      <c r="T77" s="247">
        <f>T62/T$46</f>
        <v>0.31108092825074535</v>
      </c>
      <c r="U77" s="247">
        <f>U62/U$46</f>
        <v>0.31159417833200587</v>
      </c>
      <c r="V77" s="247"/>
    </row>
    <row r="78" spans="2:25" hidden="1" x14ac:dyDescent="0.3">
      <c r="B78" s="197" t="s">
        <v>394</v>
      </c>
      <c r="E78" s="247"/>
      <c r="F78" s="247"/>
      <c r="G78" s="247"/>
      <c r="H78" s="247"/>
      <c r="I78" s="247"/>
      <c r="J78" s="214"/>
      <c r="K78" s="247"/>
      <c r="L78" s="247"/>
      <c r="M78" s="247"/>
      <c r="N78" s="247"/>
      <c r="O78" s="247"/>
      <c r="Q78" s="247"/>
      <c r="R78" s="247"/>
      <c r="S78" s="247"/>
      <c r="T78" s="247"/>
      <c r="U78" s="247"/>
      <c r="V78" s="247"/>
    </row>
    <row r="79" spans="2:25" x14ac:dyDescent="0.3">
      <c r="B79" s="197" t="s">
        <v>101</v>
      </c>
      <c r="E79" s="274">
        <f>IF(E58&lt;0,"n/a",E60/E58)</f>
        <v>0.1580135440180587</v>
      </c>
      <c r="F79" s="274">
        <f>IF(F58&lt;0,"n/a",F60/F58)</f>
        <v>0.15998244362758551</v>
      </c>
      <c r="G79" s="274">
        <f>IF(G58&lt;0,"n/a",G60/G58)</f>
        <v>0.1807900344205868</v>
      </c>
      <c r="H79" s="274">
        <f>IF(H58&lt;0,"n/a",H60/H58)</f>
        <v>0.21530773120742483</v>
      </c>
      <c r="I79" s="274">
        <f>IF(I58&lt;0,"n/a",I60/I58)</f>
        <v>0.18585773688401314</v>
      </c>
      <c r="J79" s="214"/>
      <c r="K79" s="274">
        <f>IF(K58&lt;0,"n/a",K60/K58)</f>
        <v>0.16687596426393028</v>
      </c>
      <c r="L79" s="274">
        <f>IF(L58&lt;0,"n/a",L60/L58)</f>
        <v>0.1812637137863066</v>
      </c>
      <c r="M79" s="274">
        <f>IF(M58&lt;0,"n/a",M60/M58)</f>
        <v>0.17774740734785752</v>
      </c>
      <c r="N79" s="274">
        <f>IF(N58&lt;0,"n/a",N60/N58)</f>
        <v>0.17771894882576697</v>
      </c>
      <c r="O79" s="274">
        <f>IF(O58&lt;0,"n/a",O60/O58)</f>
        <v>0.17591747103490094</v>
      </c>
      <c r="Q79" s="274">
        <f>IF(Q58&lt;0,"n/a",Q60/Q58)</f>
        <v>0.1709032923740737</v>
      </c>
      <c r="R79" s="274">
        <f>IF(R58&lt;0,"n/a",R60/R58)</f>
        <v>0.16500000000000001</v>
      </c>
      <c r="S79" s="274">
        <f>IF(S58&lt;0,"n/a",S60/S58)</f>
        <v>0.17</v>
      </c>
      <c r="T79" s="274">
        <f>IF(T58&lt;0,"n/a",T60/T58)</f>
        <v>0.16500000000000001</v>
      </c>
      <c r="U79" s="274">
        <f>IF(U58&lt;0,"n/a",U60/U58)</f>
        <v>0.16772841111692888</v>
      </c>
      <c r="V79" s="274"/>
    </row>
    <row r="80" spans="2:25" x14ac:dyDescent="0.3">
      <c r="U80" s="214"/>
      <c r="V80" s="214"/>
      <c r="W80" s="214"/>
      <c r="X80" s="214"/>
      <c r="Y80" s="214"/>
    </row>
    <row r="81" spans="2:25" x14ac:dyDescent="0.3">
      <c r="U81" s="214"/>
      <c r="V81" s="214"/>
      <c r="W81" s="214"/>
      <c r="X81" s="214"/>
      <c r="Y81" s="214"/>
    </row>
    <row r="82" spans="2:25" x14ac:dyDescent="0.3">
      <c r="B82" s="64" t="s">
        <v>405</v>
      </c>
      <c r="C82" s="64"/>
      <c r="D82" s="64"/>
      <c r="E82" s="81"/>
      <c r="F82" s="81">
        <f>F$3</f>
        <v>2012</v>
      </c>
      <c r="G82" s="81">
        <f t="shared" ref="G82:U82" si="14">G$3</f>
        <v>2013</v>
      </c>
      <c r="H82" s="81">
        <f t="shared" si="14"/>
        <v>2014</v>
      </c>
      <c r="I82" s="81">
        <f t="shared" si="14"/>
        <v>2015</v>
      </c>
      <c r="J82" s="81">
        <f t="shared" si="14"/>
        <v>2016</v>
      </c>
      <c r="K82" s="81">
        <f t="shared" si="14"/>
        <v>2017</v>
      </c>
      <c r="L82" s="81">
        <f t="shared" si="14"/>
        <v>2018</v>
      </c>
      <c r="M82" s="81">
        <f t="shared" si="14"/>
        <v>2019</v>
      </c>
      <c r="N82" s="81">
        <f t="shared" si="14"/>
        <v>2020</v>
      </c>
      <c r="O82" s="81">
        <f t="shared" si="14"/>
        <v>2021</v>
      </c>
      <c r="P82" s="81">
        <f t="shared" si="14"/>
        <v>2022</v>
      </c>
      <c r="Q82" s="81">
        <f t="shared" si="14"/>
        <v>2023</v>
      </c>
      <c r="R82" s="81">
        <f t="shared" si="14"/>
        <v>2024</v>
      </c>
      <c r="S82" s="81">
        <f t="shared" si="14"/>
        <v>2025</v>
      </c>
      <c r="T82" s="81" t="str">
        <f t="shared" si="14"/>
        <v>2026e</v>
      </c>
      <c r="U82" s="81" t="str">
        <f t="shared" si="14"/>
        <v>2027e</v>
      </c>
      <c r="V82" s="81" t="str">
        <f>V$3</f>
        <v>2028e</v>
      </c>
      <c r="W82" s="214"/>
      <c r="X82" s="214"/>
      <c r="Y82" s="214"/>
    </row>
    <row r="83" spans="2:25" x14ac:dyDescent="0.3">
      <c r="V83" s="214"/>
      <c r="W83" s="214"/>
      <c r="X83" s="214"/>
      <c r="Y83" s="214"/>
    </row>
    <row r="84" spans="2:25" x14ac:dyDescent="0.3">
      <c r="B84" s="180" t="s">
        <v>406</v>
      </c>
      <c r="G84" s="877">
        <f>Financials!FG236</f>
        <v>2330.6999999999998</v>
      </c>
      <c r="H84" s="191">
        <f>Financials!FH236</f>
        <v>2419.5</v>
      </c>
      <c r="I84" s="191">
        <f>Financials!FI236</f>
        <v>2458.6999999999998</v>
      </c>
      <c r="J84" s="191">
        <f>Financials!FJ236</f>
        <v>2906.9</v>
      </c>
      <c r="K84" s="191">
        <f>Financials!FK236</f>
        <v>2259</v>
      </c>
      <c r="L84" s="191">
        <f>Financials!FL236</f>
        <v>3121.1</v>
      </c>
      <c r="M84" s="191">
        <f>Financials!FM236</f>
        <v>3532.3</v>
      </c>
      <c r="N84" s="191">
        <f>Financials!FN236</f>
        <v>6049.4</v>
      </c>
      <c r="O84" s="191">
        <f>Financials!FO236</f>
        <v>6951.8</v>
      </c>
      <c r="P84" s="191">
        <f>Financials!FP236</f>
        <v>7268.3</v>
      </c>
      <c r="Q84" s="191">
        <f>Financials!FQ236</f>
        <v>7004.7</v>
      </c>
      <c r="R84" s="191">
        <f>Financials!FR236</f>
        <v>12735.9</v>
      </c>
      <c r="S84" s="191">
        <f>Financials!FS236</f>
        <v>12916</v>
      </c>
      <c r="T84" s="191">
        <f>Financials!FT236</f>
        <v>6730.3819744215189</v>
      </c>
      <c r="U84" s="191">
        <f>Financials!FU236</f>
        <v>11452.564135694187</v>
      </c>
      <c r="V84" s="191">
        <f>Financials!FV236</f>
        <v>23981.219645971702</v>
      </c>
      <c r="W84" s="214"/>
      <c r="X84" s="214"/>
      <c r="Y84" s="214"/>
    </row>
    <row r="85" spans="2:25" x14ac:dyDescent="0.3">
      <c r="B85" s="180" t="s">
        <v>407</v>
      </c>
      <c r="G85" s="191">
        <f>Financials!FG237</f>
        <v>679.9</v>
      </c>
      <c r="H85" s="191">
        <f>Financials!FH237</f>
        <v>334.9</v>
      </c>
      <c r="I85" s="191">
        <f>Financials!FI237</f>
        <v>950</v>
      </c>
      <c r="J85" s="191">
        <f>Financials!FJ237</f>
        <v>1150</v>
      </c>
      <c r="K85" s="191">
        <f>Financials!FK237</f>
        <v>1029.3</v>
      </c>
      <c r="L85" s="191">
        <f>Financials!FL237</f>
        <v>913.3</v>
      </c>
      <c r="M85" s="191">
        <f>Financials!FM237</f>
        <v>1185.8</v>
      </c>
      <c r="N85" s="191">
        <f>Financials!FN237</f>
        <v>1302.2</v>
      </c>
      <c r="O85" s="191">
        <f>Financials!FO237</f>
        <v>638.5</v>
      </c>
      <c r="P85" s="191">
        <f>Financials!FP237</f>
        <v>107.7</v>
      </c>
      <c r="Q85" s="191">
        <f>Financials!FQ237</f>
        <v>5.4</v>
      </c>
      <c r="R85" s="191">
        <f>Financials!FR237</f>
        <v>5.4</v>
      </c>
      <c r="S85" s="191">
        <f>Financials!FS237</f>
        <v>405.9</v>
      </c>
      <c r="T85" s="191">
        <f>Financials!FT237</f>
        <v>405.9</v>
      </c>
      <c r="U85" s="191">
        <f>Financials!FU237</f>
        <v>405.9</v>
      </c>
      <c r="V85" s="191">
        <f>Financials!FV237</f>
        <v>405.9</v>
      </c>
      <c r="W85" s="214"/>
      <c r="X85" s="214"/>
      <c r="Y85" s="214"/>
    </row>
    <row r="86" spans="2:25" x14ac:dyDescent="0.3">
      <c r="B86" s="180" t="s">
        <v>408</v>
      </c>
      <c r="G86" s="191">
        <f>Financials!FG238</f>
        <v>878.3</v>
      </c>
      <c r="H86" s="191">
        <f>Financials!FH238</f>
        <v>1052.5</v>
      </c>
      <c r="I86" s="191">
        <f>Financials!FI238</f>
        <v>803.7</v>
      </c>
      <c r="J86" s="191">
        <f>Financials!FJ238</f>
        <v>700.2</v>
      </c>
      <c r="K86" s="191">
        <f>Financials!FK238</f>
        <v>1740.3</v>
      </c>
      <c r="L86" s="191">
        <f>Financials!FL238</f>
        <v>1498.2</v>
      </c>
      <c r="M86" s="191">
        <f>Financials!FM238</f>
        <v>1786.8</v>
      </c>
      <c r="N86" s="191">
        <f>Financials!FN238</f>
        <v>1310.3</v>
      </c>
      <c r="O86" s="191">
        <f>Financials!FO238</f>
        <v>3028</v>
      </c>
      <c r="P86" s="191">
        <f>Financials!FP238</f>
        <v>5323.8</v>
      </c>
      <c r="Q86" s="191">
        <f>Financials!FQ238</f>
        <v>4334.1000000000004</v>
      </c>
      <c r="R86" s="191">
        <f>Financials!FR238</f>
        <v>4477.5</v>
      </c>
      <c r="S86" s="191">
        <f>Financials!FS238</f>
        <v>3023</v>
      </c>
      <c r="T86" s="191">
        <f>Financials!FT238</f>
        <v>6370.9524999999985</v>
      </c>
      <c r="U86" s="191">
        <f>Financials!FU238</f>
        <v>8668.8238631944441</v>
      </c>
      <c r="V86" s="191">
        <f>Financials!FV238</f>
        <v>5735.6140491527776</v>
      </c>
      <c r="W86" s="214"/>
      <c r="X86" s="214"/>
      <c r="Y86" s="214"/>
    </row>
    <row r="87" spans="2:25" x14ac:dyDescent="0.3">
      <c r="B87" s="180" t="s">
        <v>171</v>
      </c>
      <c r="G87" s="191">
        <f>Financials!FG241</f>
        <v>2393</v>
      </c>
      <c r="H87" s="191">
        <f>Financials!FH241</f>
        <v>2549.8000000000002</v>
      </c>
      <c r="I87" s="191">
        <f>Financials!FI241</f>
        <v>2573.6999999999998</v>
      </c>
      <c r="J87" s="191">
        <f>Financials!FJ241</f>
        <v>2780.9</v>
      </c>
      <c r="K87" s="191">
        <f>Financials!FK241</f>
        <v>2955.6</v>
      </c>
      <c r="L87" s="191">
        <f>Financials!FL241</f>
        <v>3439.5</v>
      </c>
      <c r="M87" s="191">
        <f>Financials!FM241</f>
        <v>3809.2</v>
      </c>
      <c r="N87" s="191">
        <f>Financials!FN241</f>
        <v>4569.3999999999996</v>
      </c>
      <c r="O87" s="191">
        <f>Financials!FO241</f>
        <v>5179.2</v>
      </c>
      <c r="P87" s="191">
        <f>Financials!FP241</f>
        <v>7199.7</v>
      </c>
      <c r="Q87" s="191">
        <f>Financials!FQ241</f>
        <v>8850.7000000000007</v>
      </c>
      <c r="R87" s="191">
        <f>Financials!FR241</f>
        <v>10891.5</v>
      </c>
      <c r="S87" s="191">
        <f>Financials!FS241</f>
        <v>11429.3</v>
      </c>
      <c r="T87" s="191">
        <f>Financials!FT241</f>
        <v>9732.6639472222178</v>
      </c>
      <c r="U87" s="191">
        <f>Financials!FU241</f>
        <v>13052.152708833333</v>
      </c>
      <c r="V87" s="191">
        <f>Financials!FV241</f>
        <v>9781.6924733325832</v>
      </c>
      <c r="W87" s="214"/>
      <c r="X87" s="214"/>
      <c r="Y87" s="214"/>
    </row>
    <row r="88" spans="2:25" x14ac:dyDescent="0.3">
      <c r="B88" s="180" t="s">
        <v>181</v>
      </c>
      <c r="G88" s="191">
        <f>Financials!FG239</f>
        <v>250.5</v>
      </c>
      <c r="H88" s="191">
        <f>Financials!FH239</f>
        <v>196.1</v>
      </c>
      <c r="I88" s="191">
        <f>Financials!FI239</f>
        <v>280.5</v>
      </c>
      <c r="J88" s="191">
        <f>Financials!FJ239</f>
        <v>447.4</v>
      </c>
      <c r="K88" s="191">
        <f>Financials!FK239</f>
        <v>59.1</v>
      </c>
      <c r="L88" s="191">
        <f>Financials!FL239</f>
        <v>611.1</v>
      </c>
      <c r="M88" s="191">
        <f>Financials!FM239</f>
        <v>564.5</v>
      </c>
      <c r="N88" s="191">
        <f>Financials!FN239</f>
        <v>1710.5</v>
      </c>
      <c r="O88" s="191">
        <f>Financials!FO239</f>
        <v>1185.5999999999999</v>
      </c>
      <c r="P88" s="191">
        <f>Financials!FP239</f>
        <v>1356.7</v>
      </c>
      <c r="Q88" s="191">
        <f>Financials!FQ239</f>
        <v>1379.2</v>
      </c>
      <c r="R88" s="191">
        <f>Financials!FR239</f>
        <v>82.6</v>
      </c>
      <c r="S88" s="191">
        <f>Financials!FS239</f>
        <v>613.5</v>
      </c>
      <c r="T88" s="191">
        <f>Financials!FT239</f>
        <v>630.4</v>
      </c>
      <c r="U88" s="191">
        <f>Financials!FU239</f>
        <v>630.4</v>
      </c>
      <c r="V88" s="191">
        <f>Financials!FV239</f>
        <v>630.4</v>
      </c>
      <c r="W88" s="214"/>
      <c r="X88" s="214"/>
      <c r="Y88" s="214"/>
    </row>
    <row r="89" spans="2:25" x14ac:dyDescent="0.3">
      <c r="B89" s="180" t="s">
        <v>420</v>
      </c>
      <c r="G89" s="191">
        <f>G90-SUM(G84:G88)</f>
        <v>493.19999999999982</v>
      </c>
      <c r="H89" s="191">
        <f t="shared" ref="H89:R89" si="15">H90-SUM(H84:H88)</f>
        <v>593.39999999999964</v>
      </c>
      <c r="I89" s="191">
        <f t="shared" si="15"/>
        <v>641.00000000000091</v>
      </c>
      <c r="J89" s="191">
        <f t="shared" si="15"/>
        <v>572</v>
      </c>
      <c r="K89" s="191">
        <f t="shared" si="15"/>
        <v>842.5</v>
      </c>
      <c r="L89" s="191">
        <f t="shared" si="15"/>
        <v>948.20000000000073</v>
      </c>
      <c r="M89" s="191">
        <f t="shared" si="15"/>
        <v>1252.4999999999982</v>
      </c>
      <c r="N89" s="191">
        <f t="shared" si="15"/>
        <v>988.20000000000073</v>
      </c>
      <c r="O89" s="191">
        <f t="shared" si="15"/>
        <v>1207.0999999999985</v>
      </c>
      <c r="P89" s="191">
        <f t="shared" si="15"/>
        <v>1808.7000000000007</v>
      </c>
      <c r="Q89" s="191">
        <f t="shared" si="15"/>
        <v>2819.7999999999993</v>
      </c>
      <c r="R89" s="191">
        <f t="shared" si="15"/>
        <v>2544.4999999999964</v>
      </c>
      <c r="S89" s="191">
        <f>S90-SUM(S84:S88)</f>
        <v>1962.3000000000029</v>
      </c>
      <c r="T89" s="191">
        <f>T90-SUM(T84:T88)</f>
        <v>2195.2000000000007</v>
      </c>
      <c r="U89" s="191">
        <f>U90-SUM(U84:U88)</f>
        <v>2195.1999999999971</v>
      </c>
      <c r="V89" s="191">
        <f>V90-SUM(V84:V88)</f>
        <v>2195.1999999999971</v>
      </c>
      <c r="W89" s="214"/>
      <c r="X89" s="214"/>
      <c r="Y89" s="214"/>
    </row>
    <row r="90" spans="2:25" x14ac:dyDescent="0.3">
      <c r="B90" s="177" t="s">
        <v>95</v>
      </c>
      <c r="G90" s="248">
        <f>Financials!FG244</f>
        <v>7025.5999999999995</v>
      </c>
      <c r="H90" s="248">
        <f>Financials!FH244</f>
        <v>7146.2000000000007</v>
      </c>
      <c r="I90" s="248">
        <f>Financials!FI244</f>
        <v>7707.6</v>
      </c>
      <c r="J90" s="248">
        <f>Financials!FJ244</f>
        <v>8557.4</v>
      </c>
      <c r="K90" s="248">
        <f>Financials!FK244</f>
        <v>8885.8000000000011</v>
      </c>
      <c r="L90" s="248">
        <f>Financials!FL244</f>
        <v>10531.4</v>
      </c>
      <c r="M90" s="248">
        <f>Financials!FM244</f>
        <v>12131.099999999999</v>
      </c>
      <c r="N90" s="248">
        <f>Financials!FN244</f>
        <v>15930</v>
      </c>
      <c r="O90" s="248">
        <f>Financials!FO244</f>
        <v>18190.199999999997</v>
      </c>
      <c r="P90" s="248">
        <f>Financials!FP244</f>
        <v>23064.9</v>
      </c>
      <c r="Q90" s="248">
        <f>Financials!FQ244</f>
        <v>24393.9</v>
      </c>
      <c r="R90" s="248">
        <f>Financials!FR244</f>
        <v>30737.399999999994</v>
      </c>
      <c r="S90" s="248">
        <f>Financials!FS244</f>
        <v>30350</v>
      </c>
      <c r="T90" s="248">
        <f>Financials!FT244</f>
        <v>26065.498421643737</v>
      </c>
      <c r="U90" s="248">
        <f>Financials!FU244</f>
        <v>36405.040707721964</v>
      </c>
      <c r="V90" s="248">
        <f>Financials!FV244</f>
        <v>42730.026168457065</v>
      </c>
      <c r="W90" s="214"/>
      <c r="X90" s="214"/>
      <c r="Y90" s="214"/>
    </row>
    <row r="91" spans="2:25" x14ac:dyDescent="0.3">
      <c r="W91" s="214"/>
      <c r="X91" s="214"/>
      <c r="Y91" s="214"/>
    </row>
    <row r="92" spans="2:25" x14ac:dyDescent="0.3">
      <c r="B92" s="180" t="s">
        <v>69</v>
      </c>
      <c r="G92" s="191">
        <f>Financials!FG226</f>
        <v>1217.8</v>
      </c>
      <c r="H92" s="191">
        <f>Financials!FH226</f>
        <v>1447.5</v>
      </c>
      <c r="I92" s="191">
        <f>Financials!FI226</f>
        <v>1620.7</v>
      </c>
      <c r="J92" s="191">
        <f>Financials!FJ226</f>
        <v>1687.2</v>
      </c>
      <c r="K92" s="191">
        <f>Financials!FK226</f>
        <v>1600.8</v>
      </c>
      <c r="L92" s="191">
        <f>Financials!FL226</f>
        <v>1589.5</v>
      </c>
      <c r="M92" s="191">
        <f>Financials!FM226</f>
        <v>1999.3</v>
      </c>
      <c r="N92" s="191">
        <f>Financials!FN226</f>
        <v>2470.3000000000002</v>
      </c>
      <c r="O92" s="191">
        <f>Financials!FO226</f>
        <v>2982.7</v>
      </c>
      <c r="P92" s="191">
        <f>Financials!FP226</f>
        <v>3944.2</v>
      </c>
      <c r="Q92" s="191">
        <f>Financials!FQ226</f>
        <v>5493.2</v>
      </c>
      <c r="R92" s="191">
        <f>Financials!FR226</f>
        <v>6846.8</v>
      </c>
      <c r="S92" s="191">
        <f>Financials!FS226</f>
        <v>7893.8</v>
      </c>
      <c r="T92" s="191">
        <f>Financials!FT226</f>
        <v>9416.6509120605697</v>
      </c>
      <c r="U92" s="191">
        <f>Financials!FU226</f>
        <v>10895.418896600569</v>
      </c>
      <c r="V92" s="191">
        <f>Financials!FV226</f>
        <v>12167.34866814069</v>
      </c>
      <c r="W92" s="214"/>
      <c r="X92" s="214"/>
      <c r="Y92" s="214"/>
    </row>
    <row r="93" spans="2:25" x14ac:dyDescent="0.3">
      <c r="B93" s="180" t="s">
        <v>409</v>
      </c>
      <c r="G93" s="191">
        <f>Financials!FG227+Financials!FG228</f>
        <v>2786.2</v>
      </c>
      <c r="H93" s="191">
        <f>Financials!FH227+Financials!FH228</f>
        <v>3081.3</v>
      </c>
      <c r="I93" s="191">
        <f>Financials!FI227+Financials!FI228</f>
        <v>3362.8</v>
      </c>
      <c r="J93" s="191">
        <f>Financials!FJ227+Financials!FJ228</f>
        <v>6196.9</v>
      </c>
      <c r="K93" s="191">
        <f>Financials!FK227+Financials!FK228</f>
        <v>5707.1</v>
      </c>
      <c r="L93" s="191">
        <f>Financials!FL227+Financials!FL228</f>
        <v>5645.1</v>
      </c>
      <c r="M93" s="191">
        <f>Financials!FM227+Financials!FM228</f>
        <v>5645.5</v>
      </c>
      <c r="N93" s="191">
        <f>Financials!FN227+Financials!FN228</f>
        <v>5678.1</v>
      </c>
      <c r="O93" s="191">
        <f>Financials!FO227+Financials!FO228</f>
        <v>5507.7000000000007</v>
      </c>
      <c r="P93" s="191">
        <f>Financials!FP227+Financials!FP228</f>
        <v>5398</v>
      </c>
      <c r="Q93" s="191">
        <f>Financials!FQ227+Financials!FQ228</f>
        <v>5330.3</v>
      </c>
      <c r="R93" s="191">
        <f>Financials!FR227+Financials!FR228</f>
        <v>5209.9000000000005</v>
      </c>
      <c r="S93" s="191">
        <f>Financials!FS227+Financials!FS228</f>
        <v>5128.7000000000007</v>
      </c>
      <c r="T93" s="191">
        <f>Financials!FT227+Financials!FT228</f>
        <v>4982.508290515143</v>
      </c>
      <c r="U93" s="191">
        <f>Financials!FU227+Financials!FU228</f>
        <v>4804.8509422751431</v>
      </c>
      <c r="V93" s="191">
        <f>Financials!FV227+Financials!FV228</f>
        <v>4659.4281207364229</v>
      </c>
      <c r="W93" s="214"/>
      <c r="X93" s="214"/>
      <c r="Y93" s="214"/>
    </row>
    <row r="94" spans="2:25" x14ac:dyDescent="0.3">
      <c r="B94" s="180" t="s">
        <v>92</v>
      </c>
      <c r="G94" s="191">
        <f>Financials!FG229</f>
        <v>0</v>
      </c>
      <c r="H94" s="191">
        <f>Financials!FH229</f>
        <v>0</v>
      </c>
      <c r="I94" s="191">
        <f>Financials!FI229</f>
        <v>0</v>
      </c>
      <c r="J94" s="191">
        <f>Financials!FJ229</f>
        <v>0</v>
      </c>
      <c r="K94" s="191">
        <f>Financials!FK229</f>
        <v>982.2</v>
      </c>
      <c r="L94" s="191">
        <f>Financials!FL229</f>
        <v>915.8</v>
      </c>
      <c r="M94" s="191">
        <f>Financials!FM229</f>
        <v>833</v>
      </c>
      <c r="N94" s="191">
        <f>Financials!FN229</f>
        <v>820.7</v>
      </c>
      <c r="O94" s="191">
        <f>Financials!FO229</f>
        <v>892.5</v>
      </c>
      <c r="P94" s="191">
        <f>Financials!FP229</f>
        <v>923.6</v>
      </c>
      <c r="Q94" s="191">
        <f>Financials!FQ229</f>
        <v>919.6</v>
      </c>
      <c r="R94" s="191">
        <f>Financials!FR229</f>
        <v>903</v>
      </c>
      <c r="S94" s="191">
        <f>Financials!FS229</f>
        <v>2143.3000000000002</v>
      </c>
      <c r="T94" s="191">
        <f>Financials!FT229</f>
        <v>2143.3000000000002</v>
      </c>
      <c r="U94" s="191">
        <f>Financials!FU229</f>
        <v>2143.3000000000002</v>
      </c>
      <c r="V94" s="191">
        <f>Financials!FV229</f>
        <v>2143.3000000000002</v>
      </c>
      <c r="W94" s="214"/>
      <c r="X94" s="214"/>
      <c r="Y94" s="214"/>
    </row>
    <row r="95" spans="2:25" x14ac:dyDescent="0.3">
      <c r="B95" s="180" t="s">
        <v>181</v>
      </c>
      <c r="G95" s="191">
        <f>Financials!FG231</f>
        <v>46</v>
      </c>
      <c r="H95" s="191">
        <f>Financials!FH231</f>
        <v>55.3</v>
      </c>
      <c r="I95" s="191">
        <f>Financials!FI231</f>
        <v>124</v>
      </c>
      <c r="J95" s="191">
        <f>Financials!FJ231</f>
        <v>117.2</v>
      </c>
      <c r="K95" s="191">
        <f>Financials!FK231</f>
        <v>159.4</v>
      </c>
      <c r="L95" s="191">
        <f>Financials!FL231</f>
        <v>275.10000000000002</v>
      </c>
      <c r="M95" s="191">
        <f>Financials!FM231</f>
        <v>421.1</v>
      </c>
      <c r="N95" s="191">
        <f>Financials!FN231</f>
        <v>400.5</v>
      </c>
      <c r="O95" s="191">
        <f>Financials!FO231</f>
        <v>383</v>
      </c>
      <c r="P95" s="191">
        <f>Financials!FP231</f>
        <v>0</v>
      </c>
      <c r="Q95" s="191">
        <f>Financials!FQ231</f>
        <v>60.6</v>
      </c>
      <c r="R95" s="191">
        <f>Financials!FR231</f>
        <v>317.2</v>
      </c>
      <c r="S95" s="191">
        <f>Financials!FS231</f>
        <v>13.3</v>
      </c>
      <c r="T95" s="191">
        <f>Financials!FT231</f>
        <v>13.3</v>
      </c>
      <c r="U95" s="191">
        <f>Financials!FU231</f>
        <v>13.3</v>
      </c>
      <c r="V95" s="191">
        <f>Financials!FV231</f>
        <v>13.3</v>
      </c>
      <c r="W95" s="214"/>
      <c r="X95" s="214"/>
      <c r="Y95" s="214"/>
    </row>
    <row r="96" spans="2:25" x14ac:dyDescent="0.3">
      <c r="B96" s="180" t="s">
        <v>94</v>
      </c>
      <c r="G96" s="191">
        <f>Financials!FG230</f>
        <v>139.5</v>
      </c>
      <c r="H96" s="191">
        <f>Financials!FH230</f>
        <v>28.8</v>
      </c>
      <c r="I96" s="191">
        <f>Financials!FI230</f>
        <v>29</v>
      </c>
      <c r="J96" s="191">
        <f>Financials!FJ230</f>
        <v>34.9</v>
      </c>
      <c r="K96" s="191">
        <f>Financials!FK230</f>
        <v>31.7</v>
      </c>
      <c r="L96" s="191">
        <f>Financials!FL230</f>
        <v>236.3</v>
      </c>
      <c r="M96" s="191">
        <f>Financials!FM230</f>
        <v>445.3</v>
      </c>
      <c r="N96" s="191">
        <f>Financials!FN230</f>
        <v>671.5</v>
      </c>
      <c r="O96" s="191">
        <f>Financials!FO230</f>
        <v>1098.7</v>
      </c>
      <c r="P96" s="191">
        <f>Financials!FP230</f>
        <v>1672.8</v>
      </c>
      <c r="Q96" s="191">
        <f>Financials!FQ230</f>
        <v>1872.3</v>
      </c>
      <c r="R96" s="191">
        <f>Financials!FR230</f>
        <v>1940.7</v>
      </c>
      <c r="S96" s="191">
        <f>Financials!FS230</f>
        <v>3373.3</v>
      </c>
      <c r="T96" s="191">
        <f>Financials!FT230</f>
        <v>3373.3</v>
      </c>
      <c r="U96" s="191">
        <f>Financials!FU230</f>
        <v>3373.3</v>
      </c>
      <c r="V96" s="191">
        <f>Financials!FV230</f>
        <v>3373.3</v>
      </c>
      <c r="W96" s="214"/>
      <c r="X96" s="214"/>
      <c r="Y96" s="214"/>
    </row>
    <row r="97" spans="2:25" x14ac:dyDescent="0.3">
      <c r="B97" s="180" t="s">
        <v>410</v>
      </c>
      <c r="G97" s="191">
        <f>Financials!FG232</f>
        <v>298.60000000000002</v>
      </c>
      <c r="H97" s="191">
        <f>Financials!FH232</f>
        <v>444.8</v>
      </c>
      <c r="I97" s="191">
        <f>Financials!FI232</f>
        <v>450.9</v>
      </c>
      <c r="J97" s="191">
        <f>Financials!FJ232</f>
        <v>612.29999999999995</v>
      </c>
      <c r="K97" s="191">
        <f>Financials!FK232</f>
        <v>821.90000000000009</v>
      </c>
      <c r="L97" s="191">
        <f>Financials!FL232</f>
        <v>943.7</v>
      </c>
      <c r="M97" s="191">
        <f>Financials!FM232</f>
        <v>1154.3</v>
      </c>
      <c r="N97" s="191">
        <f>Financials!FN232</f>
        <v>1296.3</v>
      </c>
      <c r="O97" s="191">
        <f>Financials!FO232</f>
        <v>1176.2</v>
      </c>
      <c r="P97" s="191">
        <f>Financials!FP232</f>
        <v>1296.8999999999999</v>
      </c>
      <c r="Q97" s="191">
        <f>Financials!FQ232</f>
        <v>1887.6</v>
      </c>
      <c r="R97" s="191">
        <f>Financials!FR232</f>
        <v>2634.5999999999995</v>
      </c>
      <c r="S97" s="191">
        <f>Financials!FS232</f>
        <v>1398.1</v>
      </c>
      <c r="T97" s="191">
        <f>Financials!FT232</f>
        <v>1398.1</v>
      </c>
      <c r="U97" s="191">
        <f>Financials!FU232</f>
        <v>1398.1</v>
      </c>
      <c r="V97" s="191">
        <f>Financials!FV232</f>
        <v>1398.1</v>
      </c>
      <c r="W97" s="214"/>
      <c r="X97" s="214"/>
      <c r="Y97" s="214"/>
    </row>
    <row r="98" spans="2:25" x14ac:dyDescent="0.3">
      <c r="B98" s="177" t="s">
        <v>91</v>
      </c>
      <c r="G98" s="248">
        <f>SUM(G92:G97)</f>
        <v>4488.1000000000004</v>
      </c>
      <c r="H98" s="248">
        <f t="shared" ref="H98:S98" si="16">SUM(H92:H97)</f>
        <v>5057.7000000000007</v>
      </c>
      <c r="I98" s="248">
        <f t="shared" si="16"/>
        <v>5587.4</v>
      </c>
      <c r="J98" s="248">
        <f t="shared" si="16"/>
        <v>8648.4999999999982</v>
      </c>
      <c r="K98" s="248">
        <f t="shared" si="16"/>
        <v>9303.1</v>
      </c>
      <c r="L98" s="248">
        <f t="shared" si="16"/>
        <v>9605.5</v>
      </c>
      <c r="M98" s="248">
        <f t="shared" si="16"/>
        <v>10498.499999999998</v>
      </c>
      <c r="N98" s="248">
        <f t="shared" si="16"/>
        <v>11337.4</v>
      </c>
      <c r="O98" s="248">
        <f t="shared" si="16"/>
        <v>12040.800000000003</v>
      </c>
      <c r="P98" s="248">
        <f t="shared" si="16"/>
        <v>13235.5</v>
      </c>
      <c r="Q98" s="248">
        <f t="shared" si="16"/>
        <v>15563.6</v>
      </c>
      <c r="R98" s="248">
        <f t="shared" si="16"/>
        <v>17852.2</v>
      </c>
      <c r="S98" s="248">
        <f t="shared" si="16"/>
        <v>19950.499999999996</v>
      </c>
      <c r="T98" s="248">
        <f>SUM(T92:T97)</f>
        <v>21327.159202575709</v>
      </c>
      <c r="U98" s="248">
        <f>SUM(U92:U97)</f>
        <v>22628.269838875709</v>
      </c>
      <c r="V98" s="248">
        <f>SUM(V92:V97)</f>
        <v>23754.776788877109</v>
      </c>
      <c r="W98" s="214"/>
      <c r="X98" s="214"/>
      <c r="Y98" s="214"/>
    </row>
    <row r="99" spans="2:25" x14ac:dyDescent="0.3">
      <c r="W99" s="214"/>
      <c r="X99" s="214"/>
      <c r="Y99" s="214"/>
    </row>
    <row r="100" spans="2:25" x14ac:dyDescent="0.3">
      <c r="B100" s="177" t="s">
        <v>90</v>
      </c>
      <c r="G100" s="248">
        <f>G98+G90</f>
        <v>11513.7</v>
      </c>
      <c r="H100" s="248">
        <f t="shared" ref="H100:R100" si="17">H98+H90</f>
        <v>12203.900000000001</v>
      </c>
      <c r="I100" s="248">
        <f t="shared" si="17"/>
        <v>13295</v>
      </c>
      <c r="J100" s="248">
        <f t="shared" si="17"/>
        <v>17205.899999999998</v>
      </c>
      <c r="K100" s="248">
        <f t="shared" si="17"/>
        <v>18188.900000000001</v>
      </c>
      <c r="L100" s="248">
        <f t="shared" si="17"/>
        <v>20136.900000000001</v>
      </c>
      <c r="M100" s="248">
        <f t="shared" si="17"/>
        <v>22629.599999999999</v>
      </c>
      <c r="N100" s="248">
        <f t="shared" si="17"/>
        <v>27267.4</v>
      </c>
      <c r="O100" s="248">
        <f t="shared" si="17"/>
        <v>30231</v>
      </c>
      <c r="P100" s="248">
        <f t="shared" si="17"/>
        <v>36300.400000000001</v>
      </c>
      <c r="Q100" s="248">
        <f t="shared" si="17"/>
        <v>39957.5</v>
      </c>
      <c r="R100" s="248">
        <f t="shared" si="17"/>
        <v>48589.599999999991</v>
      </c>
      <c r="S100" s="248">
        <f>S98+S90</f>
        <v>50300.5</v>
      </c>
      <c r="T100" s="248">
        <f>T98+T90</f>
        <v>47392.657624219442</v>
      </c>
      <c r="U100" s="248">
        <f>U98+U90</f>
        <v>59033.31054659767</v>
      </c>
      <c r="V100" s="248">
        <f>V98+V90</f>
        <v>66484.802957334177</v>
      </c>
      <c r="W100" s="214"/>
      <c r="X100" s="214"/>
      <c r="Y100" s="214"/>
    </row>
    <row r="101" spans="2:25" x14ac:dyDescent="0.3">
      <c r="W101" s="214"/>
      <c r="X101" s="214"/>
      <c r="Y101" s="214"/>
    </row>
    <row r="102" spans="2:25" x14ac:dyDescent="0.3">
      <c r="B102" s="180" t="s">
        <v>411</v>
      </c>
      <c r="G102" s="191">
        <f>Financials!FG248</f>
        <v>4.4000000000000004</v>
      </c>
      <c r="H102" s="191">
        <f>Financials!FH248</f>
        <v>4.3</v>
      </c>
      <c r="I102" s="191">
        <f>Financials!FI248</f>
        <v>4.2</v>
      </c>
      <c r="J102" s="191">
        <f>Financials!FJ248</f>
        <v>247.7</v>
      </c>
      <c r="K102" s="191">
        <f>Financials!FK248</f>
        <v>25.2</v>
      </c>
      <c r="L102" s="191">
        <f>Financials!FL248</f>
        <v>0</v>
      </c>
      <c r="M102" s="191">
        <f>Financials!FM248</f>
        <v>0</v>
      </c>
      <c r="N102" s="191">
        <f>Financials!FN248</f>
        <v>15.4</v>
      </c>
      <c r="O102" s="191">
        <f>Financials!FO248</f>
        <v>509.1</v>
      </c>
      <c r="P102" s="191">
        <f>Financials!FP248</f>
        <v>746.2</v>
      </c>
      <c r="Q102" s="191">
        <f>Financials!FQ248</f>
        <v>0.1</v>
      </c>
      <c r="R102" s="191">
        <f>Financials!FR248</f>
        <v>1010.3</v>
      </c>
      <c r="S102" s="191">
        <f>Financials!FS248</f>
        <v>1681.9</v>
      </c>
      <c r="T102" s="191">
        <f>Financials!FT248</f>
        <v>1681.9</v>
      </c>
      <c r="U102" s="191">
        <f>Financials!FU248</f>
        <v>1681.9</v>
      </c>
      <c r="V102" s="191">
        <f>Financials!FV248</f>
        <v>1681.9</v>
      </c>
      <c r="W102" s="214"/>
      <c r="X102" s="214"/>
      <c r="Y102" s="214"/>
    </row>
    <row r="103" spans="2:25" x14ac:dyDescent="0.3">
      <c r="B103" s="180" t="s">
        <v>421</v>
      </c>
      <c r="G103" s="191">
        <f>Financials!FG250</f>
        <v>625.9</v>
      </c>
      <c r="H103" s="191">
        <f>Financials!FH250</f>
        <v>496.2</v>
      </c>
      <c r="I103" s="191">
        <f>Financials!FI250</f>
        <v>418.9</v>
      </c>
      <c r="J103" s="191">
        <f>Financials!FJ250</f>
        <v>593.20000000000005</v>
      </c>
      <c r="K103" s="191">
        <f>Financials!FK250</f>
        <v>837.3</v>
      </c>
      <c r="L103" s="191">
        <f>Financials!FL250</f>
        <v>964</v>
      </c>
      <c r="M103" s="191">
        <f>Financials!FM250</f>
        <v>1062.2</v>
      </c>
      <c r="N103" s="191">
        <f>Financials!FN250</f>
        <v>1377.9</v>
      </c>
      <c r="O103" s="191">
        <f>Financials!FO250</f>
        <v>2116.3000000000002</v>
      </c>
      <c r="P103" s="191">
        <f>Financials!FP250</f>
        <v>2565.1999999999998</v>
      </c>
      <c r="Q103" s="191">
        <f>Financials!FQ250</f>
        <v>2347.3000000000002</v>
      </c>
      <c r="R103" s="191">
        <f>Financials!FR250</f>
        <v>3500.4</v>
      </c>
      <c r="S103" s="191">
        <f>Financials!FS250</f>
        <v>3521.8</v>
      </c>
      <c r="T103" s="191">
        <f>Financials!FT250</f>
        <v>389.30655788888873</v>
      </c>
      <c r="U103" s="191">
        <f>Financials!FU250</f>
        <v>593.2796685833332</v>
      </c>
      <c r="V103" s="191">
        <f>Financials!FV250</f>
        <v>1132.6170232279833</v>
      </c>
      <c r="W103" s="214"/>
      <c r="X103" s="214"/>
      <c r="Y103" s="214"/>
    </row>
    <row r="104" spans="2:25" x14ac:dyDescent="0.3">
      <c r="B104" s="180" t="s">
        <v>425</v>
      </c>
      <c r="G104" s="181"/>
      <c r="H104" s="181"/>
      <c r="I104" s="181"/>
      <c r="J104" s="181"/>
      <c r="K104" s="191">
        <f>Financials!FK252</f>
        <v>1530</v>
      </c>
      <c r="L104" s="191">
        <f>Financials!FL252</f>
        <v>1728.6</v>
      </c>
      <c r="M104" s="191">
        <f>Financials!FM252</f>
        <v>2526.4</v>
      </c>
      <c r="N104" s="191">
        <f>Financials!FN252</f>
        <v>3954.2</v>
      </c>
      <c r="O104" s="191">
        <f>Financials!FO252</f>
        <v>7935.2</v>
      </c>
      <c r="P104" s="191">
        <f>Financials!FP252</f>
        <v>12481</v>
      </c>
      <c r="Q104" s="191">
        <f>Financials!FQ252</f>
        <v>11441</v>
      </c>
      <c r="R104" s="191">
        <f>Financials!FR252</f>
        <v>12570.8</v>
      </c>
      <c r="S104" s="191">
        <f>Financials!FS252</f>
        <v>16006.3</v>
      </c>
      <c r="T104" s="191">
        <f>Financials!FT252</f>
        <v>10498.134311431337</v>
      </c>
      <c r="U104" s="191">
        <f>Financials!FU252</f>
        <v>10498.134311431337</v>
      </c>
      <c r="V104" s="191">
        <f>Financials!FV252</f>
        <v>10498.134311431337</v>
      </c>
      <c r="W104" s="214"/>
      <c r="X104" s="214"/>
      <c r="Y104" s="214"/>
    </row>
    <row r="105" spans="2:25" x14ac:dyDescent="0.3">
      <c r="B105" s="180" t="s">
        <v>412</v>
      </c>
      <c r="G105" s="191">
        <f>Financials!FG249+Financials!FG251</f>
        <v>19.3</v>
      </c>
      <c r="H105" s="191">
        <f>Financials!FH249+Financials!FH251</f>
        <v>38.199999999999996</v>
      </c>
      <c r="I105" s="191">
        <f>Financials!FI249+Financials!FI251</f>
        <v>5.6</v>
      </c>
      <c r="J105" s="191">
        <f>Financials!FJ249+Financials!FJ251</f>
        <v>201.9</v>
      </c>
      <c r="K105" s="191">
        <f>Financials!FK249+Financials!FK251</f>
        <v>152</v>
      </c>
      <c r="L105" s="191">
        <f>Financials!FL249+Financials!FL251</f>
        <v>187.9</v>
      </c>
      <c r="M105" s="191">
        <f>Financials!FM249+Financials!FM251</f>
        <v>65.599999999999994</v>
      </c>
      <c r="N105" s="191">
        <f>Financials!FN249+Financials!FN251</f>
        <v>110</v>
      </c>
      <c r="O105" s="191">
        <f>Financials!FO249+Financials!FO251</f>
        <v>301.89999999999998</v>
      </c>
      <c r="P105" s="191">
        <f>Financials!FP249+Financials!FP251</f>
        <v>315.3</v>
      </c>
      <c r="Q105" s="191">
        <f>Financials!FQ249+Financials!FQ251</f>
        <v>308.89999999999998</v>
      </c>
      <c r="R105" s="191">
        <f>Financials!FR249+Financials!FR251</f>
        <v>283.3</v>
      </c>
      <c r="S105" s="191">
        <f>Financials!FS249+Financials!FS251</f>
        <v>486.6</v>
      </c>
      <c r="T105" s="191">
        <f>Financials!FT249+Financials!FT251</f>
        <v>486.6</v>
      </c>
      <c r="U105" s="191">
        <f>Financials!FU249+Financials!FU251</f>
        <v>486.6</v>
      </c>
      <c r="V105" s="191">
        <f>Financials!FV249+Financials!FV251</f>
        <v>486.6</v>
      </c>
      <c r="W105" s="214"/>
      <c r="X105" s="214"/>
      <c r="Y105" s="214"/>
    </row>
    <row r="106" spans="2:25" x14ac:dyDescent="0.3">
      <c r="B106" s="180" t="s">
        <v>422</v>
      </c>
      <c r="G106" s="191">
        <f>Financials!FG253</f>
        <v>2219.0999999999995</v>
      </c>
      <c r="H106" s="191">
        <f>Financials!FH253</f>
        <v>2350.1</v>
      </c>
      <c r="I106" s="191">
        <f>Financials!FI253</f>
        <v>2678.5</v>
      </c>
      <c r="J106" s="191">
        <f>Financials!FJ253</f>
        <v>2237.7999999999997</v>
      </c>
      <c r="K106" s="191">
        <f>Financials!FK253</f>
        <v>625.5</v>
      </c>
      <c r="L106" s="191">
        <f>Financials!FL253</f>
        <v>911.4</v>
      </c>
      <c r="M106" s="191">
        <f>Financials!FM253</f>
        <v>1039.9000000000001</v>
      </c>
      <c r="N106" s="191">
        <f>Financials!FN253</f>
        <v>1146</v>
      </c>
      <c r="O106" s="191">
        <f>Financials!FO253</f>
        <v>1435.5</v>
      </c>
      <c r="P106" s="191">
        <f>Financials!FP253</f>
        <v>1875.9</v>
      </c>
      <c r="Q106" s="191">
        <f>Financials!FQ253</f>
        <v>2177.4</v>
      </c>
      <c r="R106" s="191">
        <f>Financials!FR253</f>
        <v>2686.6</v>
      </c>
      <c r="S106" s="191">
        <f>Financials!FS253</f>
        <v>2567.3000000000002</v>
      </c>
      <c r="T106" s="191">
        <f>Financials!FT253</f>
        <v>4499.2004191848591</v>
      </c>
      <c r="U106" s="191">
        <f>Financials!FU253</f>
        <v>4499.2004191848591</v>
      </c>
      <c r="V106" s="191">
        <f>Financials!FV253</f>
        <v>4499.2004191848591</v>
      </c>
      <c r="W106" s="214"/>
      <c r="X106" s="214"/>
      <c r="Y106" s="214"/>
    </row>
    <row r="107" spans="2:25" x14ac:dyDescent="0.3">
      <c r="B107" s="177" t="s">
        <v>85</v>
      </c>
      <c r="G107" s="248">
        <f>SUM(G101:G106)</f>
        <v>2868.6999999999994</v>
      </c>
      <c r="H107" s="248">
        <f t="shared" ref="H107:S107" si="18">SUM(H101:H106)</f>
        <v>2888.8</v>
      </c>
      <c r="I107" s="248">
        <f t="shared" si="18"/>
        <v>3107.2</v>
      </c>
      <c r="J107" s="248">
        <f t="shared" si="18"/>
        <v>3280.6</v>
      </c>
      <c r="K107" s="248">
        <f t="shared" si="18"/>
        <v>3170</v>
      </c>
      <c r="L107" s="248">
        <f t="shared" si="18"/>
        <v>3791.9</v>
      </c>
      <c r="M107" s="248">
        <f t="shared" si="18"/>
        <v>4694.1000000000004</v>
      </c>
      <c r="N107" s="248">
        <f t="shared" si="18"/>
        <v>6603.5</v>
      </c>
      <c r="O107" s="248">
        <f t="shared" si="18"/>
        <v>12298</v>
      </c>
      <c r="P107" s="248">
        <f t="shared" si="18"/>
        <v>17983.599999999999</v>
      </c>
      <c r="Q107" s="248">
        <f t="shared" si="18"/>
        <v>16274.699999999999</v>
      </c>
      <c r="R107" s="248">
        <f t="shared" si="18"/>
        <v>20051.399999999998</v>
      </c>
      <c r="S107" s="248">
        <f t="shared" si="18"/>
        <v>24263.899999999998</v>
      </c>
      <c r="T107" s="248">
        <f>SUM(T101:T106)</f>
        <v>17555.141288505085</v>
      </c>
      <c r="U107" s="248">
        <f>SUM(U101:U106)</f>
        <v>17759.11439919953</v>
      </c>
      <c r="V107" s="248">
        <f>SUM(V101:V106)</f>
        <v>18298.45175384418</v>
      </c>
      <c r="W107" s="214"/>
      <c r="X107" s="214"/>
      <c r="Y107" s="214"/>
    </row>
    <row r="108" spans="2:25" x14ac:dyDescent="0.3">
      <c r="W108" s="214"/>
      <c r="X108" s="214"/>
      <c r="Y108" s="214"/>
    </row>
    <row r="109" spans="2:25" x14ac:dyDescent="0.3">
      <c r="B109" s="180" t="s">
        <v>413</v>
      </c>
      <c r="D109" s="198"/>
      <c r="G109" s="191">
        <f>Financials!FG256</f>
        <v>1070.2</v>
      </c>
      <c r="H109" s="191">
        <f>Financials!FH256</f>
        <v>1149.9000000000001</v>
      </c>
      <c r="I109" s="191">
        <f>Financials!FI256</f>
        <v>1125.5</v>
      </c>
      <c r="J109" s="191">
        <f>Financials!FJ256</f>
        <v>3071.8</v>
      </c>
      <c r="K109" s="191">
        <f>Financials!FK256</f>
        <v>3000.1</v>
      </c>
      <c r="L109" s="191">
        <f>Financials!FL256</f>
        <v>3026.5</v>
      </c>
      <c r="M109" s="191">
        <f>Financials!FM256</f>
        <v>3108.3</v>
      </c>
      <c r="N109" s="191">
        <f>Financials!FN256</f>
        <v>4662.8</v>
      </c>
      <c r="O109" s="191">
        <f>Financials!FO256</f>
        <v>4075</v>
      </c>
      <c r="P109" s="191">
        <f>Financials!FP256</f>
        <v>3514.2</v>
      </c>
      <c r="Q109" s="191">
        <f>Financials!FQ256</f>
        <v>4631.5</v>
      </c>
      <c r="R109" s="191">
        <f>Financials!FR256</f>
        <v>3677.3</v>
      </c>
      <c r="S109" s="191">
        <f>Financials!FS256</f>
        <v>2709</v>
      </c>
      <c r="T109" s="191">
        <f>Financials!FT256</f>
        <v>2705.6</v>
      </c>
      <c r="U109" s="191">
        <f>Financials!FU256</f>
        <v>2705.6</v>
      </c>
      <c r="V109" s="191">
        <f>Financials!FV256</f>
        <v>2705.6</v>
      </c>
      <c r="W109" s="214"/>
      <c r="X109" s="214"/>
      <c r="Y109" s="214"/>
    </row>
    <row r="110" spans="2:25" hidden="1" x14ac:dyDescent="0.3">
      <c r="B110" s="180" t="s">
        <v>414</v>
      </c>
      <c r="D110" s="198"/>
      <c r="W110" s="214"/>
      <c r="X110" s="214"/>
      <c r="Y110" s="214"/>
    </row>
    <row r="111" spans="2:25" x14ac:dyDescent="0.3">
      <c r="B111" s="180" t="s">
        <v>415</v>
      </c>
      <c r="D111" s="198"/>
      <c r="G111" s="191">
        <f>Financials!FG257</f>
        <v>364.7</v>
      </c>
      <c r="H111" s="191">
        <f>Financials!FH257</f>
        <v>237.3</v>
      </c>
      <c r="I111" s="191">
        <f>Financials!FI257</f>
        <v>256.7</v>
      </c>
      <c r="J111" s="191">
        <f>Financials!FJ257</f>
        <v>396.9</v>
      </c>
      <c r="K111" s="191">
        <f>Financials!FK257</f>
        <v>341.1</v>
      </c>
      <c r="L111" s="191">
        <f>Financials!FL257</f>
        <v>251.2</v>
      </c>
      <c r="M111" s="191">
        <f>Financials!FM257</f>
        <v>234.4</v>
      </c>
      <c r="N111" s="191">
        <f>Financials!FN257</f>
        <v>238.3</v>
      </c>
      <c r="O111" s="191">
        <f>Financials!FO257</f>
        <v>240.6</v>
      </c>
      <c r="P111" s="191">
        <f>Financials!FP257</f>
        <v>267</v>
      </c>
      <c r="Q111" s="191">
        <f>Financials!FQ257</f>
        <v>372.2</v>
      </c>
      <c r="R111" s="191">
        <f>Financials!FR257</f>
        <v>299.2</v>
      </c>
      <c r="S111" s="191">
        <f>Financials!FS257</f>
        <v>183</v>
      </c>
      <c r="T111" s="191">
        <f>Financials!FT257</f>
        <v>235.4</v>
      </c>
      <c r="U111" s="191">
        <f>Financials!FU257</f>
        <v>235.4</v>
      </c>
      <c r="V111" s="191">
        <f>Financials!FV257</f>
        <v>235.4</v>
      </c>
      <c r="W111" s="214"/>
      <c r="X111" s="214"/>
      <c r="Y111" s="214"/>
    </row>
    <row r="112" spans="2:25" x14ac:dyDescent="0.3">
      <c r="B112" s="180" t="s">
        <v>425</v>
      </c>
      <c r="D112" s="84"/>
      <c r="G112" s="191">
        <f>Financials!FG258</f>
        <v>4.5999999999999996</v>
      </c>
      <c r="H112" s="191">
        <f>Financials!FH258</f>
        <v>3.6</v>
      </c>
      <c r="I112" s="191">
        <f>Financials!FI258</f>
        <v>2.4</v>
      </c>
      <c r="J112" s="191">
        <f>Financials!FJ258</f>
        <v>20.5</v>
      </c>
      <c r="K112" s="191">
        <f>Financials!FK258</f>
        <v>622</v>
      </c>
      <c r="L112" s="191">
        <f>Financials!FL258</f>
        <v>1224.5999999999999</v>
      </c>
      <c r="M112" s="191">
        <f>Financials!FM258</f>
        <v>1759.6</v>
      </c>
      <c r="N112" s="191">
        <f>Financials!FN258</f>
        <v>1639.9</v>
      </c>
      <c r="O112" s="191">
        <f>Financials!FO258</f>
        <v>3225.7</v>
      </c>
      <c r="P112" s="191">
        <f>Financials!FP258</f>
        <v>5269.9</v>
      </c>
      <c r="Q112" s="191">
        <f>Financials!FQ258</f>
        <v>4825.5</v>
      </c>
      <c r="R112" s="191">
        <f>Financials!FR258</f>
        <v>5625.4</v>
      </c>
      <c r="S112" s="191">
        <f>Financials!FS258</f>
        <v>3366.3</v>
      </c>
      <c r="T112" s="191">
        <f>Financials!FT258</f>
        <v>3585.7</v>
      </c>
      <c r="U112" s="191">
        <f>Financials!FU258</f>
        <v>3585.7</v>
      </c>
      <c r="V112" s="191">
        <f>Financials!FV258</f>
        <v>3585.7</v>
      </c>
      <c r="W112" s="214"/>
      <c r="X112" s="214"/>
      <c r="Y112" s="214"/>
    </row>
    <row r="113" spans="2:25" x14ac:dyDescent="0.3">
      <c r="B113" s="180" t="s">
        <v>424</v>
      </c>
      <c r="G113" s="191">
        <f>Financials!FG259</f>
        <v>283.10000000000002</v>
      </c>
      <c r="H113" s="191">
        <f>Financials!FH259</f>
        <v>411.7</v>
      </c>
      <c r="I113" s="191">
        <f>Financials!FI259</f>
        <v>414.4</v>
      </c>
      <c r="J113" s="191">
        <f>Financials!FJ259</f>
        <v>615.70000000000005</v>
      </c>
      <c r="K113" s="191">
        <f>Financials!FK259</f>
        <v>279.3</v>
      </c>
      <c r="L113" s="191">
        <f>Financials!FL259</f>
        <v>201.7</v>
      </c>
      <c r="M113" s="191">
        <f>Financials!FM259</f>
        <v>241</v>
      </c>
      <c r="N113" s="191">
        <f>Financials!FN259</f>
        <v>257.5</v>
      </c>
      <c r="O113" s="191">
        <f>Financials!FO259</f>
        <v>251.1</v>
      </c>
      <c r="P113" s="191">
        <f>Financials!FP259</f>
        <v>454.9</v>
      </c>
      <c r="Q113" s="191">
        <f>Financials!FQ259</f>
        <v>401.2</v>
      </c>
      <c r="R113" s="191">
        <f>Financials!FR259</f>
        <v>459.5</v>
      </c>
      <c r="S113" s="191">
        <f>Financials!FS259</f>
        <v>432.2</v>
      </c>
      <c r="T113" s="191">
        <f>Financials!FT259</f>
        <v>416.3</v>
      </c>
      <c r="U113" s="191">
        <f>Financials!FU259</f>
        <v>416.3</v>
      </c>
      <c r="V113" s="191">
        <f>Financials!FV259</f>
        <v>416.3</v>
      </c>
      <c r="W113" s="214"/>
      <c r="X113" s="214"/>
      <c r="Y113" s="214"/>
    </row>
    <row r="114" spans="2:25" x14ac:dyDescent="0.3">
      <c r="B114" s="177" t="s">
        <v>81</v>
      </c>
      <c r="G114" s="248">
        <f>SUM(G109:G113)</f>
        <v>1722.6</v>
      </c>
      <c r="H114" s="248">
        <f t="shared" ref="H114:S114" si="19">SUM(H109:H113)</f>
        <v>1802.5</v>
      </c>
      <c r="I114" s="248">
        <f t="shared" si="19"/>
        <v>1799</v>
      </c>
      <c r="J114" s="248">
        <f t="shared" si="19"/>
        <v>4104.9000000000005</v>
      </c>
      <c r="K114" s="248">
        <f t="shared" si="19"/>
        <v>4242.5</v>
      </c>
      <c r="L114" s="248">
        <f t="shared" si="19"/>
        <v>4703.9999999999991</v>
      </c>
      <c r="M114" s="248">
        <f t="shared" si="19"/>
        <v>5343.3</v>
      </c>
      <c r="N114" s="248">
        <f t="shared" si="19"/>
        <v>6798.5</v>
      </c>
      <c r="O114" s="248">
        <f t="shared" si="19"/>
        <v>7792.4000000000005</v>
      </c>
      <c r="P114" s="248">
        <f t="shared" si="19"/>
        <v>9505.9999999999982</v>
      </c>
      <c r="Q114" s="248">
        <f t="shared" si="19"/>
        <v>10230.400000000001</v>
      </c>
      <c r="R114" s="248">
        <f t="shared" si="19"/>
        <v>10061.4</v>
      </c>
      <c r="S114" s="248">
        <f t="shared" si="19"/>
        <v>6690.5</v>
      </c>
      <c r="T114" s="248">
        <f>SUM(T109:T113)</f>
        <v>6943</v>
      </c>
      <c r="U114" s="248">
        <f>SUM(U109:U113)</f>
        <v>6943</v>
      </c>
      <c r="V114" s="248">
        <f>SUM(V109:V113)</f>
        <v>6943</v>
      </c>
      <c r="W114" s="214"/>
      <c r="X114" s="214"/>
      <c r="Y114" s="214"/>
    </row>
    <row r="115" spans="2:25" x14ac:dyDescent="0.3">
      <c r="W115" s="214"/>
      <c r="X115" s="214"/>
      <c r="Y115" s="214"/>
    </row>
    <row r="116" spans="2:25" x14ac:dyDescent="0.3">
      <c r="B116" s="177" t="s">
        <v>80</v>
      </c>
      <c r="G116" s="248">
        <f>G114+G107</f>
        <v>4591.2999999999993</v>
      </c>
      <c r="H116" s="248">
        <f t="shared" ref="H116:R116" si="20">H114+H107</f>
        <v>4691.3</v>
      </c>
      <c r="I116" s="248">
        <f t="shared" si="20"/>
        <v>4906.2</v>
      </c>
      <c r="J116" s="248">
        <f t="shared" si="20"/>
        <v>7385.5</v>
      </c>
      <c r="K116" s="248">
        <f t="shared" si="20"/>
        <v>7412.5</v>
      </c>
      <c r="L116" s="248">
        <f t="shared" si="20"/>
        <v>8495.9</v>
      </c>
      <c r="M116" s="248">
        <f t="shared" si="20"/>
        <v>10037.400000000001</v>
      </c>
      <c r="N116" s="248">
        <f t="shared" si="20"/>
        <v>13402</v>
      </c>
      <c r="O116" s="248">
        <f t="shared" si="20"/>
        <v>20090.400000000001</v>
      </c>
      <c r="P116" s="248">
        <f t="shared" si="20"/>
        <v>27489.599999999999</v>
      </c>
      <c r="Q116" s="248">
        <f t="shared" si="20"/>
        <v>26505.1</v>
      </c>
      <c r="R116" s="248">
        <f t="shared" si="20"/>
        <v>30112.799999999996</v>
      </c>
      <c r="S116" s="248">
        <f>S114+S107</f>
        <v>30954.399999999998</v>
      </c>
      <c r="T116" s="248">
        <f>T114+T107</f>
        <v>24498.141288505085</v>
      </c>
      <c r="U116" s="248">
        <f>U114+U107</f>
        <v>24702.11439919953</v>
      </c>
      <c r="V116" s="248">
        <f>V114+V107</f>
        <v>25241.45175384418</v>
      </c>
      <c r="W116" s="214"/>
      <c r="X116" s="214"/>
      <c r="Y116" s="214"/>
    </row>
    <row r="117" spans="2:25" x14ac:dyDescent="0.3">
      <c r="W117" s="214"/>
      <c r="X117" s="214"/>
      <c r="Y117" s="214"/>
    </row>
    <row r="118" spans="2:25" x14ac:dyDescent="0.3">
      <c r="B118" s="269" t="s">
        <v>416</v>
      </c>
      <c r="G118" s="285">
        <f>G100-G116</f>
        <v>6922.4000000000015</v>
      </c>
      <c r="H118" s="285">
        <f t="shared" ref="H118:R118" si="21">H100-H116</f>
        <v>7512.6000000000013</v>
      </c>
      <c r="I118" s="285">
        <f t="shared" si="21"/>
        <v>8388.7999999999993</v>
      </c>
      <c r="J118" s="285">
        <f t="shared" si="21"/>
        <v>9820.3999999999978</v>
      </c>
      <c r="K118" s="285">
        <f t="shared" si="21"/>
        <v>10776.400000000001</v>
      </c>
      <c r="L118" s="285">
        <f t="shared" si="21"/>
        <v>11641.000000000002</v>
      </c>
      <c r="M118" s="285">
        <f t="shared" si="21"/>
        <v>12592.199999999997</v>
      </c>
      <c r="N118" s="285">
        <f t="shared" si="21"/>
        <v>13865.400000000001</v>
      </c>
      <c r="O118" s="285">
        <f t="shared" si="21"/>
        <v>10140.599999999999</v>
      </c>
      <c r="P118" s="285">
        <f t="shared" si="21"/>
        <v>8810.8000000000029</v>
      </c>
      <c r="Q118" s="285">
        <f t="shared" si="21"/>
        <v>13452.400000000001</v>
      </c>
      <c r="R118" s="285">
        <f t="shared" si="21"/>
        <v>18476.799999999996</v>
      </c>
      <c r="S118" s="285">
        <f>S100-S116</f>
        <v>19346.100000000002</v>
      </c>
      <c r="T118" s="285">
        <f>T100-T116</f>
        <v>22894.516335714357</v>
      </c>
      <c r="U118" s="285">
        <f>U100-U116</f>
        <v>34331.196147398136</v>
      </c>
      <c r="V118" s="285">
        <f>V100-V116</f>
        <v>41243.351203489998</v>
      </c>
      <c r="W118" s="214"/>
      <c r="X118" s="214"/>
      <c r="Y118" s="214"/>
    </row>
    <row r="119" spans="2:25" x14ac:dyDescent="0.3">
      <c r="B119" s="177" t="s">
        <v>417</v>
      </c>
      <c r="G119" s="248">
        <f>Financials!FG266</f>
        <v>6922.4000000000005</v>
      </c>
      <c r="H119" s="248">
        <f>Financials!FH266</f>
        <v>7512.6</v>
      </c>
      <c r="I119" s="248">
        <f>Financials!FI266</f>
        <v>8388.741</v>
      </c>
      <c r="J119" s="248">
        <f>Financials!FJ266</f>
        <v>9820.4</v>
      </c>
      <c r="K119" s="248">
        <f>Financials!FK266</f>
        <v>10776.4</v>
      </c>
      <c r="L119" s="248">
        <f>Financials!FL266</f>
        <v>11641</v>
      </c>
      <c r="M119" s="248">
        <f>Financials!FM266</f>
        <v>12592.199999999999</v>
      </c>
      <c r="N119" s="248">
        <f>Financials!FN266</f>
        <v>13865.4</v>
      </c>
      <c r="O119" s="248">
        <f>Financials!FO266</f>
        <v>10140.599999999999</v>
      </c>
      <c r="P119" s="248">
        <f>Financials!FP266</f>
        <v>8810.8000000000011</v>
      </c>
      <c r="Q119" s="248">
        <f>Financials!FQ266</f>
        <v>13452.4</v>
      </c>
      <c r="R119" s="248">
        <f>Financials!FR266</f>
        <v>18476.8</v>
      </c>
      <c r="S119" s="248">
        <f>Financials!FS266</f>
        <v>19346.100000000002</v>
      </c>
      <c r="T119" s="248">
        <f>Financials!FT266</f>
        <v>22894.516335714357</v>
      </c>
      <c r="U119" s="248">
        <f>Financials!FU266</f>
        <v>34331.196147398143</v>
      </c>
      <c r="V119" s="248">
        <f>Financials!FV266</f>
        <v>41243.351203489998</v>
      </c>
      <c r="W119" s="214"/>
      <c r="X119" s="214"/>
      <c r="Y119" s="214"/>
    </row>
    <row r="120" spans="2:25" x14ac:dyDescent="0.3">
      <c r="W120" s="214"/>
      <c r="X120" s="214"/>
      <c r="Y120" s="214"/>
    </row>
    <row r="121" spans="2:25" x14ac:dyDescent="0.3">
      <c r="B121" s="289" t="s">
        <v>418</v>
      </c>
      <c r="W121" s="214"/>
      <c r="X121" s="214"/>
      <c r="Y121" s="214"/>
    </row>
    <row r="122" spans="2:25" x14ac:dyDescent="0.3">
      <c r="B122" s="180" t="s">
        <v>426</v>
      </c>
      <c r="G122" s="290">
        <f>-(Financials!FG248+Financials!FG256)</f>
        <v>-1074.6000000000001</v>
      </c>
      <c r="H122" s="290">
        <f>-(Financials!FH248+Financials!FH256)</f>
        <v>-1154.2</v>
      </c>
      <c r="I122" s="290">
        <f>-(Financials!FI248+Financials!FI256)</f>
        <v>-1129.7</v>
      </c>
      <c r="J122" s="290">
        <f>-(Financials!FJ248+Financials!FJ256)</f>
        <v>-3319.5</v>
      </c>
      <c r="K122" s="290">
        <f>-(Financials!FK248+Financials!FK256)</f>
        <v>-3025.2999999999997</v>
      </c>
      <c r="L122" s="290">
        <f>-(Financials!FL248+Financials!FL256)</f>
        <v>-3026.5</v>
      </c>
      <c r="M122" s="290">
        <f>-(Financials!FM248+Financials!FM256)</f>
        <v>-3108.3</v>
      </c>
      <c r="N122" s="290">
        <f>-(Financials!FN248+Financials!FN256)</f>
        <v>-4678.2</v>
      </c>
      <c r="O122" s="290">
        <f>-(Financials!FO248+Financials!FO256)</f>
        <v>-4584.1000000000004</v>
      </c>
      <c r="P122" s="290">
        <f>-(Financials!FP248+Financials!FP256)</f>
        <v>-4260.3999999999996</v>
      </c>
      <c r="Q122" s="290">
        <f>-(Financials!FQ248+Financials!FQ256)</f>
        <v>-4631.6000000000004</v>
      </c>
      <c r="R122" s="290">
        <f>-(Financials!FR248+Financials!FR256)</f>
        <v>-4687.6000000000004</v>
      </c>
      <c r="S122" s="290">
        <f>-(Financials!FS248+Financials!FS256)</f>
        <v>-4390.8999999999996</v>
      </c>
      <c r="T122" s="290">
        <f>-(Financials!FT248+Financials!FT256)</f>
        <v>-4387.5</v>
      </c>
      <c r="U122" s="290">
        <f>-(Financials!FU248+Financials!FU256)</f>
        <v>-4387.5</v>
      </c>
      <c r="V122" s="290">
        <f>-(Financials!FV248+Financials!FV256)</f>
        <v>-4387.5</v>
      </c>
      <c r="W122" s="214"/>
      <c r="X122" s="214"/>
      <c r="Y122" s="214"/>
    </row>
    <row r="123" spans="2:25" x14ac:dyDescent="0.3">
      <c r="B123" s="180" t="s">
        <v>427</v>
      </c>
      <c r="G123" s="290">
        <f>Financials!FG236+Financials!FG237</f>
        <v>3010.6</v>
      </c>
      <c r="H123" s="290">
        <f>Financials!FH236+Financials!FH237</f>
        <v>2754.4</v>
      </c>
      <c r="I123" s="290">
        <f>Financials!FI236+Financials!FI237</f>
        <v>3408.7</v>
      </c>
      <c r="J123" s="290">
        <f>Financials!FJ236+Financials!FJ237</f>
        <v>4056.9</v>
      </c>
      <c r="K123" s="290">
        <f>Financials!FK236+Financials!FK237</f>
        <v>3288.3</v>
      </c>
      <c r="L123" s="290">
        <f>Financials!FL236+Financials!FL237</f>
        <v>4034.3999999999996</v>
      </c>
      <c r="M123" s="290">
        <f>Financials!FM236+Financials!FM237</f>
        <v>4718.1000000000004</v>
      </c>
      <c r="N123" s="290">
        <f>Financials!FN236+Financials!FN237</f>
        <v>7351.5999999999995</v>
      </c>
      <c r="O123" s="290">
        <f>Financials!FO236+Financials!FO237</f>
        <v>7590.3</v>
      </c>
      <c r="P123" s="290">
        <f>Financials!FP236+Financials!FP237</f>
        <v>7376</v>
      </c>
      <c r="Q123" s="290">
        <f>Financials!FQ236+Financials!FQ237</f>
        <v>7010.0999999999995</v>
      </c>
      <c r="R123" s="290">
        <f>Financials!FR236+Financials!FR237</f>
        <v>12741.3</v>
      </c>
      <c r="S123" s="290">
        <f>Financials!FS236+Financials!FS237</f>
        <v>13321.9</v>
      </c>
      <c r="T123" s="290">
        <f>Financials!FT236+Financials!FT237</f>
        <v>7136.2819744215185</v>
      </c>
      <c r="U123" s="290">
        <f>Financials!FU236+Financials!FU237</f>
        <v>11858.464135694187</v>
      </c>
      <c r="V123" s="290">
        <f>Financials!FV236+Financials!FV237</f>
        <v>24387.119645971703</v>
      </c>
      <c r="W123" s="214"/>
      <c r="X123" s="214"/>
      <c r="Y123" s="214"/>
    </row>
    <row r="124" spans="2:25" x14ac:dyDescent="0.3">
      <c r="B124" s="177" t="s">
        <v>419</v>
      </c>
      <c r="G124" s="291">
        <f>G123+G122</f>
        <v>1935.9999999999998</v>
      </c>
      <c r="H124" s="291">
        <f t="shared" ref="H124:R124" si="22">H123+H122</f>
        <v>1600.2</v>
      </c>
      <c r="I124" s="291">
        <f t="shared" si="22"/>
        <v>2279</v>
      </c>
      <c r="J124" s="291">
        <f t="shared" si="22"/>
        <v>737.40000000000009</v>
      </c>
      <c r="K124" s="291">
        <f t="shared" si="22"/>
        <v>263.00000000000045</v>
      </c>
      <c r="L124" s="291">
        <f t="shared" si="22"/>
        <v>1007.8999999999996</v>
      </c>
      <c r="M124" s="291">
        <f t="shared" si="22"/>
        <v>1609.8000000000002</v>
      </c>
      <c r="N124" s="291">
        <f t="shared" si="22"/>
        <v>2673.3999999999996</v>
      </c>
      <c r="O124" s="291">
        <f t="shared" si="22"/>
        <v>3006.2</v>
      </c>
      <c r="P124" s="291">
        <f t="shared" si="22"/>
        <v>3115.6000000000004</v>
      </c>
      <c r="Q124" s="291">
        <f t="shared" si="22"/>
        <v>2378.4999999999991</v>
      </c>
      <c r="R124" s="291">
        <f t="shared" si="22"/>
        <v>8053.6999999999989</v>
      </c>
      <c r="S124" s="291">
        <f>S123+S122</f>
        <v>8931</v>
      </c>
      <c r="T124" s="291">
        <f>T123+T122</f>
        <v>2748.7819744215185</v>
      </c>
      <c r="U124" s="291">
        <f>U123+U122</f>
        <v>7470.9641356941866</v>
      </c>
      <c r="V124" s="291">
        <f>V123+V122</f>
        <v>19999.619645971703</v>
      </c>
      <c r="W124" s="214"/>
      <c r="X124" s="214"/>
      <c r="Y124" s="214"/>
    </row>
    <row r="125" spans="2:25" x14ac:dyDescent="0.3">
      <c r="U125" s="214"/>
      <c r="V125" s="214"/>
      <c r="W125" s="214"/>
      <c r="X125" s="214"/>
      <c r="Y125" s="214"/>
    </row>
    <row r="126" spans="2:25" x14ac:dyDescent="0.3">
      <c r="U126" s="214"/>
      <c r="V126" s="214"/>
      <c r="W126" s="214"/>
      <c r="X126" s="214"/>
      <c r="Y126" s="214"/>
    </row>
    <row r="127" spans="2:25" x14ac:dyDescent="0.3">
      <c r="B127" s="64" t="s">
        <v>428</v>
      </c>
      <c r="C127" s="64"/>
      <c r="D127" s="64"/>
      <c r="E127" s="81"/>
      <c r="F127" s="81">
        <f>F$3</f>
        <v>2012</v>
      </c>
      <c r="G127" s="81">
        <f t="shared" ref="G127:U127" si="23">G$3</f>
        <v>2013</v>
      </c>
      <c r="H127" s="81">
        <f t="shared" si="23"/>
        <v>2014</v>
      </c>
      <c r="I127" s="81">
        <f t="shared" si="23"/>
        <v>2015</v>
      </c>
      <c r="J127" s="81">
        <f t="shared" si="23"/>
        <v>2016</v>
      </c>
      <c r="K127" s="81">
        <f t="shared" si="23"/>
        <v>2017</v>
      </c>
      <c r="L127" s="81">
        <f t="shared" si="23"/>
        <v>2018</v>
      </c>
      <c r="M127" s="81">
        <f t="shared" si="23"/>
        <v>2019</v>
      </c>
      <c r="N127" s="81">
        <f t="shared" si="23"/>
        <v>2020</v>
      </c>
      <c r="O127" s="81">
        <f t="shared" si="23"/>
        <v>2021</v>
      </c>
      <c r="P127" s="81">
        <f t="shared" si="23"/>
        <v>2022</v>
      </c>
      <c r="Q127" s="81">
        <f t="shared" si="23"/>
        <v>2023</v>
      </c>
      <c r="R127" s="81">
        <f t="shared" si="23"/>
        <v>2024</v>
      </c>
      <c r="S127" s="81">
        <f t="shared" si="23"/>
        <v>2025</v>
      </c>
      <c r="T127" s="81" t="str">
        <f t="shared" si="23"/>
        <v>2026e</v>
      </c>
      <c r="U127" s="81" t="str">
        <f t="shared" si="23"/>
        <v>2027e</v>
      </c>
      <c r="V127" s="81" t="str">
        <f>V$3</f>
        <v>2028e</v>
      </c>
      <c r="W127" s="214"/>
      <c r="X127" s="214"/>
      <c r="Y127" s="214"/>
    </row>
    <row r="128" spans="2:25" x14ac:dyDescent="0.3">
      <c r="W128" s="214"/>
      <c r="X128" s="214"/>
      <c r="Y128" s="214"/>
    </row>
    <row r="129" spans="2:25" x14ac:dyDescent="0.3">
      <c r="B129" s="177" t="s">
        <v>102</v>
      </c>
      <c r="G129" s="869">
        <f>G24</f>
        <v>1195.5000000000002</v>
      </c>
      <c r="H129" s="248">
        <f t="shared" ref="H129:R129" si="24">H24</f>
        <v>1196.6000000000004</v>
      </c>
      <c r="I129" s="248">
        <f t="shared" si="24"/>
        <v>1387.1999999999994</v>
      </c>
      <c r="J129" s="248">
        <f t="shared" si="24"/>
        <v>1322.299999999999</v>
      </c>
      <c r="K129" s="248">
        <f t="shared" si="24"/>
        <v>2118.4999999999991</v>
      </c>
      <c r="L129" s="248">
        <f t="shared" si="24"/>
        <v>2591.6000000000004</v>
      </c>
      <c r="M129" s="248">
        <f t="shared" si="24"/>
        <v>2592.1999999999998</v>
      </c>
      <c r="N129" s="248">
        <f t="shared" si="24"/>
        <v>3553.6</v>
      </c>
      <c r="O129" s="248">
        <f t="shared" si="24"/>
        <v>5883.2000000000007</v>
      </c>
      <c r="P129" s="248">
        <f t="shared" si="24"/>
        <v>5624.1999999999989</v>
      </c>
      <c r="Q129" s="248">
        <f t="shared" si="24"/>
        <v>7839</v>
      </c>
      <c r="R129" s="248">
        <f t="shared" si="24"/>
        <v>7571.5999999999976</v>
      </c>
      <c r="S129" s="248">
        <f>S24</f>
        <v>9648.4395200000017</v>
      </c>
      <c r="T129" s="248">
        <f>T24</f>
        <v>11738.872878837758</v>
      </c>
      <c r="U129" s="248">
        <f>U24</f>
        <v>17575.202041925051</v>
      </c>
      <c r="V129" s="248">
        <f>V24</f>
        <v>14031.636578975642</v>
      </c>
      <c r="W129" s="214"/>
      <c r="X129" s="214"/>
      <c r="Y129" s="214"/>
    </row>
    <row r="130" spans="2:25" x14ac:dyDescent="0.3">
      <c r="B130" s="180" t="s">
        <v>429</v>
      </c>
      <c r="G130" s="181"/>
      <c r="H130" s="181"/>
      <c r="I130" s="181"/>
      <c r="J130" s="181"/>
      <c r="K130" s="181"/>
      <c r="L130" s="181"/>
      <c r="M130" s="181"/>
      <c r="N130" s="181"/>
      <c r="O130" s="181"/>
      <c r="P130" s="181"/>
      <c r="Q130" s="181"/>
      <c r="R130" s="181"/>
      <c r="S130" s="181"/>
      <c r="T130" s="181"/>
      <c r="U130" s="181"/>
      <c r="V130" s="181"/>
      <c r="W130" s="214"/>
      <c r="X130" s="214"/>
      <c r="Y130" s="214"/>
    </row>
    <row r="131" spans="2:25" x14ac:dyDescent="0.3">
      <c r="W131" s="214"/>
      <c r="X131" s="214"/>
      <c r="Y131" s="214"/>
    </row>
    <row r="132" spans="2:25" x14ac:dyDescent="0.3">
      <c r="B132" s="180" t="s">
        <v>377</v>
      </c>
      <c r="G132" s="877">
        <f>Financials!FG308</f>
        <v>228.7</v>
      </c>
      <c r="H132" s="191">
        <f>Financials!FH308</f>
        <v>254.6</v>
      </c>
      <c r="I132" s="191">
        <f>Financials!FI308</f>
        <v>296.89999999999998</v>
      </c>
      <c r="J132" s="191">
        <f>Financials!FJ308</f>
        <v>356.9</v>
      </c>
      <c r="K132" s="191">
        <f>Financials!FK308</f>
        <v>417.5</v>
      </c>
      <c r="L132" s="191">
        <f>Financials!FL308</f>
        <v>422.70000000000005</v>
      </c>
      <c r="M132" s="191">
        <f>Financials!FM308</f>
        <v>448.5</v>
      </c>
      <c r="N132" s="191">
        <f>Financials!FN308</f>
        <v>490.79999999999995</v>
      </c>
      <c r="O132" s="191">
        <f>Financials!FO308</f>
        <v>471</v>
      </c>
      <c r="P132" s="191">
        <f>Financials!FP308</f>
        <v>583.59999999999991</v>
      </c>
      <c r="Q132" s="191">
        <f>Financials!FQ308</f>
        <v>739.80000000000007</v>
      </c>
      <c r="R132" s="191">
        <f>Financials!FR308</f>
        <v>918.59999999999991</v>
      </c>
      <c r="S132" s="191">
        <f>Financials!FS308</f>
        <v>1026</v>
      </c>
      <c r="T132" s="191">
        <f>Financials!FT308</f>
        <v>994.95854742428548</v>
      </c>
      <c r="U132" s="191">
        <f>Financials!FU308</f>
        <v>1152.2867412000001</v>
      </c>
      <c r="V132" s="191">
        <f>Financials!FV308</f>
        <v>991.11410769359986</v>
      </c>
      <c r="W132" s="214"/>
      <c r="X132" s="214"/>
      <c r="Y132" s="214"/>
    </row>
    <row r="133" spans="2:25" x14ac:dyDescent="0.3">
      <c r="B133" s="292" t="s">
        <v>430</v>
      </c>
      <c r="G133" s="877">
        <f>G137-G129-G132-SUM(G134:G136)</f>
        <v>1.9000000000000909</v>
      </c>
      <c r="H133" s="191">
        <f t="shared" ref="H133:R133" si="25">H137-H129-H132-SUM(H134:H136)</f>
        <v>176.89999999999952</v>
      </c>
      <c r="I133" s="191">
        <f t="shared" si="25"/>
        <v>219.60000000000022</v>
      </c>
      <c r="J133" s="191">
        <f t="shared" si="25"/>
        <v>84.900000000000659</v>
      </c>
      <c r="K133" s="191">
        <f t="shared" si="25"/>
        <v>176.10000000000082</v>
      </c>
      <c r="L133" s="191">
        <f t="shared" si="25"/>
        <v>301.19999999999897</v>
      </c>
      <c r="M133" s="191">
        <f t="shared" si="25"/>
        <v>286.20000000000016</v>
      </c>
      <c r="N133" s="191">
        <f t="shared" si="25"/>
        <v>247.89999999999952</v>
      </c>
      <c r="O133" s="191">
        <f t="shared" si="25"/>
        <v>232.40000000000055</v>
      </c>
      <c r="P133" s="191">
        <f t="shared" si="25"/>
        <v>402.00000000000068</v>
      </c>
      <c r="Q133" s="191">
        <f t="shared" si="25"/>
        <v>545.29999999999973</v>
      </c>
      <c r="R133" s="191">
        <f t="shared" si="25"/>
        <v>594.89999999999918</v>
      </c>
      <c r="S133" s="191">
        <f>S137-S129-S132-SUM(S134:S136)</f>
        <v>574.5604800000001</v>
      </c>
      <c r="T133" s="191">
        <f>T137-T129-T132-SUM(T134:T136)</f>
        <v>363.58424786389105</v>
      </c>
      <c r="U133" s="191">
        <f>U137-U129-U132-SUM(U134:U136)</f>
        <v>656.60763544166912</v>
      </c>
      <c r="V133" s="191">
        <f>V137-V129-V132-SUM(V134:V136)</f>
        <v>495.08462366662934</v>
      </c>
      <c r="W133" s="214"/>
      <c r="X133" s="214"/>
      <c r="Y133" s="214"/>
    </row>
    <row r="134" spans="2:25" x14ac:dyDescent="0.3">
      <c r="B134" s="292" t="s">
        <v>455</v>
      </c>
      <c r="G134" s="877">
        <f>Financials!FG311</f>
        <v>52.4</v>
      </c>
      <c r="H134" s="191">
        <f>Financials!FH311</f>
        <v>63.4</v>
      </c>
      <c r="I134" s="191">
        <f>Financials!FI311</f>
        <v>59.100000000000009</v>
      </c>
      <c r="J134" s="191">
        <f>Financials!FJ311</f>
        <v>47.7</v>
      </c>
      <c r="K134" s="191">
        <f>Financials!FK311</f>
        <v>53.100000000000009</v>
      </c>
      <c r="L134" s="191">
        <f>Financials!FL311</f>
        <v>46.3</v>
      </c>
      <c r="M134" s="191">
        <f>Financials!FM311</f>
        <v>74.599999999999994</v>
      </c>
      <c r="N134" s="191">
        <f>Financials!FN311</f>
        <v>14.9</v>
      </c>
      <c r="O134" s="191">
        <f>Financials!FO311</f>
        <v>-213.7</v>
      </c>
      <c r="P134" s="191">
        <f>Financials!FP311</f>
        <v>0</v>
      </c>
      <c r="Q134" s="191">
        <f>Financials!FQ311</f>
        <v>116.5</v>
      </c>
      <c r="R134" s="191">
        <f>Financials!FR311</f>
        <v>172.6</v>
      </c>
      <c r="S134" s="191">
        <f>Financials!FS311</f>
        <v>202.29999999999998</v>
      </c>
      <c r="T134" s="191">
        <f>Financials!FT311</f>
        <v>31.1</v>
      </c>
      <c r="U134" s="191">
        <f>Financials!FU311</f>
        <v>32.966000000000001</v>
      </c>
      <c r="V134" s="191">
        <f>Financials!FV311</f>
        <v>34.943960000000004</v>
      </c>
      <c r="W134" s="214"/>
      <c r="X134" s="214"/>
      <c r="Y134" s="214"/>
    </row>
    <row r="135" spans="2:25" x14ac:dyDescent="0.3">
      <c r="B135" s="293" t="s">
        <v>431</v>
      </c>
      <c r="G135" s="877">
        <f>Financials!FG314</f>
        <v>-22.700000000000003</v>
      </c>
      <c r="H135" s="191">
        <f>Financials!FH314</f>
        <v>-59.1</v>
      </c>
      <c r="I135" s="191">
        <f>Financials!FI314</f>
        <v>45.300000000000004</v>
      </c>
      <c r="J135" s="191">
        <f>Financials!FJ314</f>
        <v>-0.59999999999999787</v>
      </c>
      <c r="K135" s="191">
        <f>Financials!FK314</f>
        <v>-7.6</v>
      </c>
      <c r="L135" s="191">
        <f>Financials!FL314</f>
        <v>-238.5</v>
      </c>
      <c r="M135" s="191">
        <f>Financials!FM314</f>
        <v>-200</v>
      </c>
      <c r="N135" s="191">
        <f>Financials!FN314</f>
        <v>-211.3</v>
      </c>
      <c r="O135" s="191">
        <f>Financials!FO314</f>
        <v>-419.6</v>
      </c>
      <c r="P135" s="191">
        <f>Financials!FP314</f>
        <v>-564.20000000000005</v>
      </c>
      <c r="Q135" s="191">
        <f>Financials!FQ314</f>
        <v>-133.6</v>
      </c>
      <c r="R135" s="191">
        <f>Financials!FR314</f>
        <v>-144.80000000000001</v>
      </c>
      <c r="S135" s="191">
        <f>Financials!FS314</f>
        <v>180.7</v>
      </c>
      <c r="T135" s="191">
        <f>Financials!FT314</f>
        <v>-688.90000000000009</v>
      </c>
      <c r="U135" s="191">
        <f>Financials!FU314</f>
        <v>-223.10000000000002</v>
      </c>
      <c r="V135" s="191">
        <f>Financials!FV314</f>
        <v>-103.10000000000002</v>
      </c>
      <c r="W135" s="214"/>
      <c r="X135" s="214"/>
      <c r="Y135" s="214"/>
    </row>
    <row r="136" spans="2:25" x14ac:dyDescent="0.3">
      <c r="B136" s="180" t="s">
        <v>432</v>
      </c>
      <c r="G136" s="877">
        <f>Financials!FG318</f>
        <v>-401.6</v>
      </c>
      <c r="H136" s="191">
        <f>Financials!FH318</f>
        <v>-607.20000000000005</v>
      </c>
      <c r="I136" s="191">
        <f>Financials!FI318</f>
        <v>17.399999999999977</v>
      </c>
      <c r="J136" s="191">
        <f>Financials!FJ318</f>
        <v>-294.89999999999998</v>
      </c>
      <c r="K136" s="191">
        <f>Financials!FK318</f>
        <v>-939.3</v>
      </c>
      <c r="L136" s="191">
        <f>Financials!FL318</f>
        <v>-50.600000000000023</v>
      </c>
      <c r="M136" s="191">
        <f>Financials!FM318</f>
        <v>74.799999999999727</v>
      </c>
      <c r="N136" s="191">
        <f>Financials!FN318</f>
        <v>531.59999999999968</v>
      </c>
      <c r="O136" s="191">
        <f>Financials!FO318</f>
        <v>4892.5</v>
      </c>
      <c r="P136" s="191">
        <f>Financials!FP318</f>
        <v>2441.1999999999998</v>
      </c>
      <c r="Q136" s="191">
        <f>Financials!FQ318</f>
        <v>-3663.5999999999995</v>
      </c>
      <c r="R136" s="191">
        <f>Financials!FR318</f>
        <v>2053.3000000000002</v>
      </c>
      <c r="S136" s="191">
        <f>Financials!FS318</f>
        <v>1026.5</v>
      </c>
      <c r="T136" s="191">
        <f>Financials!FT318</f>
        <v>-3005.4094701484692</v>
      </c>
      <c r="U136" s="191">
        <f>Financials!FU318</f>
        <v>-5413.3870141111165</v>
      </c>
      <c r="V136" s="191">
        <f>Financials!FV318</f>
        <v>6743.0074041870666</v>
      </c>
      <c r="W136" s="214"/>
      <c r="X136" s="214"/>
      <c r="Y136" s="214"/>
    </row>
    <row r="137" spans="2:25" x14ac:dyDescent="0.3">
      <c r="B137" s="177" t="s">
        <v>433</v>
      </c>
      <c r="G137" s="248">
        <f>Financials!FG323</f>
        <v>1054.2000000000003</v>
      </c>
      <c r="H137" s="248">
        <f>Financials!FH323</f>
        <v>1025.1999999999998</v>
      </c>
      <c r="I137" s="248">
        <f>Financials!FI323</f>
        <v>2025.4999999999995</v>
      </c>
      <c r="J137" s="248">
        <f>Financials!FJ323</f>
        <v>1516.2999999999997</v>
      </c>
      <c r="K137" s="248">
        <f>Financials!FK323</f>
        <v>1818.3</v>
      </c>
      <c r="L137" s="248">
        <f>Financials!FL323</f>
        <v>3072.6999999999994</v>
      </c>
      <c r="M137" s="248">
        <f>Financials!FM323</f>
        <v>3276.2999999999997</v>
      </c>
      <c r="N137" s="248">
        <f>Financials!FN323</f>
        <v>4627.4999999999991</v>
      </c>
      <c r="O137" s="248">
        <f>Financials!FO323</f>
        <v>10845.800000000001</v>
      </c>
      <c r="P137" s="248">
        <f>Financials!FP323</f>
        <v>8486.7999999999993</v>
      </c>
      <c r="Q137" s="248">
        <f>Financials!FQ323</f>
        <v>5443.4000000000005</v>
      </c>
      <c r="R137" s="248">
        <f>Financials!FR323</f>
        <v>11166.199999999997</v>
      </c>
      <c r="S137" s="248">
        <f>Financials!FS323</f>
        <v>12658.500000000002</v>
      </c>
      <c r="T137" s="248">
        <f>Financials!FT323</f>
        <v>9434.2062039774646</v>
      </c>
      <c r="U137" s="248">
        <f>Financials!FU323</f>
        <v>13780.575404455603</v>
      </c>
      <c r="V137" s="248">
        <f>Financials!FV323</f>
        <v>22192.686674522938</v>
      </c>
      <c r="W137" s="214"/>
      <c r="X137" s="214"/>
      <c r="Y137" s="214"/>
    </row>
    <row r="138" spans="2:25" x14ac:dyDescent="0.3">
      <c r="W138" s="214"/>
      <c r="X138" s="214"/>
      <c r="Y138" s="214"/>
    </row>
    <row r="139" spans="2:25" x14ac:dyDescent="0.3">
      <c r="B139" s="180" t="s">
        <v>434</v>
      </c>
      <c r="E139" s="198"/>
      <c r="G139" s="877">
        <f>Financials!FG327+Financials!FG328</f>
        <v>290.10000000000002</v>
      </c>
      <c r="H139" s="191">
        <f>Financials!FH327+Financials!FH328</f>
        <v>345.09999999999991</v>
      </c>
      <c r="I139" s="191">
        <f>Financials!FI327+Financials!FI328</f>
        <v>-615.1</v>
      </c>
      <c r="J139" s="191">
        <f>Financials!FJ327+Financials!FJ328</f>
        <v>-200</v>
      </c>
      <c r="K139" s="191">
        <f>Financials!FK327+Financials!FK328</f>
        <v>120.70000000000005</v>
      </c>
      <c r="L139" s="191">
        <f>Financials!FL327+Financials!FL328</f>
        <v>115.99999999999989</v>
      </c>
      <c r="M139" s="191">
        <f>Financials!FM327+Financials!FM328</f>
        <v>-272.5</v>
      </c>
      <c r="N139" s="191">
        <f>Financials!FN327+Financials!FN328</f>
        <v>-116.40000000000009</v>
      </c>
      <c r="O139" s="191">
        <f>Financials!FO327+Financials!FO328</f>
        <v>663.7</v>
      </c>
      <c r="P139" s="191">
        <f>Financials!FP327+Financials!FP328</f>
        <v>530.40000000000009</v>
      </c>
      <c r="Q139" s="191">
        <f>Financials!FQ327+Financials!FQ328</f>
        <v>102</v>
      </c>
      <c r="R139" s="191">
        <f>Financials!FR327+Financials!FR328</f>
        <v>0</v>
      </c>
      <c r="S139" s="191">
        <f>Financials!FS327+Financials!FS328</f>
        <v>-400.9</v>
      </c>
      <c r="T139" s="191">
        <f>Financials!FT327+Financials!FT328</f>
        <v>-35.73333333333332</v>
      </c>
      <c r="U139" s="191">
        <f>Financials!FU327+Financials!FU328</f>
        <v>39.153333333333308</v>
      </c>
      <c r="V139" s="191">
        <f>Financials!FV327+Financials!FV328</f>
        <v>-59.096000000000032</v>
      </c>
      <c r="W139" s="214"/>
      <c r="X139" s="214"/>
      <c r="Y139" s="214"/>
    </row>
    <row r="140" spans="2:25" x14ac:dyDescent="0.3">
      <c r="B140" s="180" t="s">
        <v>435</v>
      </c>
      <c r="E140" s="84"/>
      <c r="G140" s="877">
        <f>Financials!FG333+Financials!FG331</f>
        <v>-443.7</v>
      </c>
      <c r="H140" s="191">
        <f>Financials!FH333+Financials!FH331</f>
        <v>0</v>
      </c>
      <c r="I140" s="191">
        <f>Financials!FI333+Financials!FI331</f>
        <v>0</v>
      </c>
      <c r="J140" s="191">
        <f>Financials!FJ333+Financials!FJ331</f>
        <v>-2642.5</v>
      </c>
      <c r="K140" s="191">
        <f>Financials!FK333+Financials!FK331</f>
        <v>-1019.6999999999999</v>
      </c>
      <c r="L140" s="191">
        <f>Financials!FL333+Financials!FL331</f>
        <v>0</v>
      </c>
      <c r="M140" s="191">
        <f>Financials!FM333+Financials!FM331</f>
        <v>0</v>
      </c>
      <c r="N140" s="191">
        <f>Financials!FN333+Financials!FN331</f>
        <v>-222.8</v>
      </c>
      <c r="O140" s="191">
        <f>Financials!FO333+Financials!FO331</f>
        <v>329</v>
      </c>
      <c r="P140" s="191">
        <f>Financials!FP333+Financials!FP331</f>
        <v>0</v>
      </c>
      <c r="Q140" s="191">
        <f>Financials!FQ333+Financials!FQ331</f>
        <v>-33.6</v>
      </c>
      <c r="R140" s="191">
        <f>Financials!FR333+Financials!FR331</f>
        <v>0</v>
      </c>
      <c r="S140" s="191">
        <f>Financials!FS333+Financials!FS331</f>
        <v>0</v>
      </c>
      <c r="T140" s="191">
        <f>Financials!FT333+Financials!FT331</f>
        <v>0</v>
      </c>
      <c r="U140" s="191">
        <f>Financials!FU333+Financials!FU331</f>
        <v>0</v>
      </c>
      <c r="V140" s="191">
        <f>Financials!FV333+Financials!FV331</f>
        <v>0</v>
      </c>
      <c r="W140" s="214"/>
      <c r="X140" s="214"/>
      <c r="Y140" s="214"/>
    </row>
    <row r="141" spans="2:25" x14ac:dyDescent="0.3">
      <c r="B141" s="180" t="s">
        <v>436</v>
      </c>
      <c r="G141" s="877">
        <f>Financials!FG326</f>
        <v>-4</v>
      </c>
      <c r="H141" s="191">
        <f>Financials!FH326</f>
        <v>-3</v>
      </c>
      <c r="I141" s="191">
        <f>Financials!FI326</f>
        <v>-1.1000000000000001</v>
      </c>
      <c r="J141" s="191">
        <f>Financials!FJ326</f>
        <v>-8.4</v>
      </c>
      <c r="K141" s="191">
        <f>Financials!FK326</f>
        <v>-19.099999999999998</v>
      </c>
      <c r="L141" s="191">
        <f>Financials!FL326</f>
        <v>-35.5</v>
      </c>
      <c r="M141" s="191">
        <f>Financials!FM326</f>
        <v>-119.30000000000001</v>
      </c>
      <c r="N141" s="191">
        <f>Financials!FN326</f>
        <v>-38.799999999999997</v>
      </c>
      <c r="O141" s="191">
        <f>Financials!FO326</f>
        <v>-39.6</v>
      </c>
      <c r="P141" s="191">
        <f>Financials!FP326</f>
        <v>-37.5</v>
      </c>
      <c r="Q141" s="191">
        <f>Financials!FQ326</f>
        <v>-40.6</v>
      </c>
      <c r="R141" s="191">
        <f>Financials!FR326</f>
        <v>-15.9</v>
      </c>
      <c r="S141" s="191">
        <f>Financials!FS326</f>
        <v>-57.6</v>
      </c>
      <c r="T141" s="191">
        <f>Financials!FT326</f>
        <v>-52.800000000000004</v>
      </c>
      <c r="U141" s="191">
        <f>Financials!FU326</f>
        <v>-52.800000000000004</v>
      </c>
      <c r="V141" s="191">
        <f>Financials!FV326</f>
        <v>-52.800000000000004</v>
      </c>
      <c r="W141" s="214"/>
      <c r="X141" s="214"/>
      <c r="Y141" s="214"/>
    </row>
    <row r="142" spans="2:25" x14ac:dyDescent="0.3">
      <c r="B142" s="180" t="s">
        <v>437</v>
      </c>
      <c r="G142" s="877">
        <f>Financials!FG325</f>
        <v>-210.8</v>
      </c>
      <c r="H142" s="191">
        <f>Financials!FH325</f>
        <v>-358.29999999999995</v>
      </c>
      <c r="I142" s="191">
        <f>Financials!FI325</f>
        <v>-371.8</v>
      </c>
      <c r="J142" s="191">
        <f>Financials!FJ325</f>
        <v>-316.30000000000007</v>
      </c>
      <c r="K142" s="191">
        <f>Financials!FK325</f>
        <v>-338.90000000000003</v>
      </c>
      <c r="L142" s="191">
        <f>Financials!FL325</f>
        <v>-574</v>
      </c>
      <c r="M142" s="191">
        <f>Financials!FM325</f>
        <v>-766.6</v>
      </c>
      <c r="N142" s="191">
        <f>Financials!FN325</f>
        <v>-962</v>
      </c>
      <c r="O142" s="191">
        <f>Financials!FO325</f>
        <v>-900.7</v>
      </c>
      <c r="P142" s="191">
        <f>Financials!FP325</f>
        <v>-1281.8000000000002</v>
      </c>
      <c r="Q142" s="191">
        <f>Financials!FQ325</f>
        <v>-2155.6</v>
      </c>
      <c r="R142" s="191">
        <f>Financials!FR325</f>
        <v>-2067.1999999999998</v>
      </c>
      <c r="S142" s="191">
        <f>Financials!FS325</f>
        <v>-1573.6</v>
      </c>
      <c r="T142" s="191">
        <f>Financials!FT325</f>
        <v>-2318.8177499999997</v>
      </c>
      <c r="U142" s="191">
        <f>Financials!FU325</f>
        <v>-2400.5973774999998</v>
      </c>
      <c r="V142" s="191">
        <f>Financials!FV325</f>
        <v>-2064.821057695</v>
      </c>
      <c r="W142" s="214"/>
      <c r="X142" s="214"/>
      <c r="Y142" s="214"/>
    </row>
    <row r="143" spans="2:25" x14ac:dyDescent="0.3">
      <c r="B143" s="180" t="s">
        <v>438</v>
      </c>
      <c r="G143" s="877">
        <f>G144-SUM(G139:G142)</f>
        <v>0</v>
      </c>
      <c r="H143" s="191">
        <f t="shared" ref="H143:S143" si="26">H144-SUM(H139:H142)</f>
        <v>0</v>
      </c>
      <c r="I143" s="191">
        <f t="shared" si="26"/>
        <v>-171.90000000000009</v>
      </c>
      <c r="J143" s="191">
        <f t="shared" si="26"/>
        <v>-21.199999999999363</v>
      </c>
      <c r="K143" s="191">
        <f t="shared" si="26"/>
        <v>27.400000000000091</v>
      </c>
      <c r="L143" s="191">
        <f t="shared" si="26"/>
        <v>2.0000000000001137</v>
      </c>
      <c r="M143" s="191">
        <f t="shared" si="26"/>
        <v>0.90000000000009095</v>
      </c>
      <c r="N143" s="191">
        <f t="shared" si="26"/>
        <v>-12.200000000000273</v>
      </c>
      <c r="O143" s="191">
        <f t="shared" si="26"/>
        <v>-124.39999999999986</v>
      </c>
      <c r="P143" s="191">
        <f t="shared" si="26"/>
        <v>-240</v>
      </c>
      <c r="Q143" s="191">
        <f t="shared" si="26"/>
        <v>-561.5</v>
      </c>
      <c r="R143" s="191">
        <f t="shared" si="26"/>
        <v>-526.19999999999982</v>
      </c>
      <c r="S143" s="191">
        <f t="shared" si="26"/>
        <v>-1745.6999999999998</v>
      </c>
      <c r="T143" s="191">
        <f>T144-SUM(T139:T142)</f>
        <v>-64.199999999999818</v>
      </c>
      <c r="U143" s="191">
        <f>U144-SUM(U139:U142)</f>
        <v>0</v>
      </c>
      <c r="V143" s="191">
        <f>V144-SUM(V139:V142)</f>
        <v>0</v>
      </c>
      <c r="W143" s="214"/>
      <c r="X143" s="214"/>
      <c r="Y143" s="214"/>
    </row>
    <row r="144" spans="2:25" x14ac:dyDescent="0.3">
      <c r="B144" s="177" t="s">
        <v>439</v>
      </c>
      <c r="G144" s="248">
        <f>Financials!FG334</f>
        <v>-368.40000000000003</v>
      </c>
      <c r="H144" s="248">
        <f>Financials!FH334</f>
        <v>-16.200000000000045</v>
      </c>
      <c r="I144" s="248">
        <f>Financials!FI334</f>
        <v>-1159.9000000000001</v>
      </c>
      <c r="J144" s="248">
        <f>Financials!FJ334</f>
        <v>-3188.3999999999996</v>
      </c>
      <c r="K144" s="248">
        <f>Financials!FK334</f>
        <v>-1229.5999999999999</v>
      </c>
      <c r="L144" s="248">
        <f>Financials!FL334</f>
        <v>-491.5</v>
      </c>
      <c r="M144" s="248">
        <f>Financials!FM334</f>
        <v>-1157.5</v>
      </c>
      <c r="N144" s="248">
        <f>Financials!FN334</f>
        <v>-1352.2000000000003</v>
      </c>
      <c r="O144" s="248">
        <f>Financials!FO334</f>
        <v>-71.999999999999886</v>
      </c>
      <c r="P144" s="248">
        <f>Financials!FP334</f>
        <v>-1028.9000000000001</v>
      </c>
      <c r="Q144" s="248">
        <f>Financials!FQ334</f>
        <v>-2689.2999999999997</v>
      </c>
      <c r="R144" s="248">
        <f>Financials!FR334</f>
        <v>-2609.2999999999997</v>
      </c>
      <c r="S144" s="248">
        <f>Financials!FS334</f>
        <v>-3777.7999999999997</v>
      </c>
      <c r="T144" s="248">
        <f>Financials!FT334</f>
        <v>-2471.5510833333328</v>
      </c>
      <c r="U144" s="248">
        <f>Financials!FU334</f>
        <v>-2414.2440441666668</v>
      </c>
      <c r="V144" s="248">
        <f>Financials!FV334</f>
        <v>-2176.7170576950007</v>
      </c>
      <c r="W144" s="214"/>
      <c r="X144" s="214"/>
      <c r="Y144" s="214"/>
    </row>
    <row r="145" spans="2:25" x14ac:dyDescent="0.3">
      <c r="I145" s="191"/>
      <c r="J145" s="80"/>
      <c r="W145" s="214"/>
      <c r="X145" s="214"/>
      <c r="Y145" s="214"/>
    </row>
    <row r="146" spans="2:25" x14ac:dyDescent="0.3">
      <c r="B146" s="180" t="s">
        <v>440</v>
      </c>
      <c r="G146" s="877">
        <f>Financials!FG339+Financials!FG340</f>
        <v>372.09999999999997</v>
      </c>
      <c r="H146" s="191">
        <f>Financials!FH339+Financials!FH340</f>
        <v>0</v>
      </c>
      <c r="I146" s="191">
        <f>Financials!FI339+Financials!FI340</f>
        <v>0</v>
      </c>
      <c r="J146" s="191">
        <f>Financials!FJ339+Financials!FJ340</f>
        <v>2230.6</v>
      </c>
      <c r="K146" s="191">
        <f>Financials!FK339+Financials!FK340</f>
        <v>-242.99999999999997</v>
      </c>
      <c r="L146" s="191">
        <f>Financials!FL339+Financials!FL340</f>
        <v>-1.8</v>
      </c>
      <c r="M146" s="191">
        <f>Financials!FM339+Financials!FM340</f>
        <v>0</v>
      </c>
      <c r="N146" s="191">
        <f>Financials!FN339+Financials!FN340</f>
        <v>1486.3</v>
      </c>
      <c r="O146" s="191">
        <f>Financials!FO339+Financials!FO340</f>
        <v>0</v>
      </c>
      <c r="P146" s="191">
        <f>Financials!FP339+Financials!FP340</f>
        <v>495.6</v>
      </c>
      <c r="Q146" s="191">
        <f>Financials!FQ339+Financials!FQ340</f>
        <v>246.49999999999989</v>
      </c>
      <c r="R146" s="191">
        <f>Financials!FR339+Financials!FR340</f>
        <v>-3.2000000000000028</v>
      </c>
      <c r="S146" s="191">
        <f>Financials!FS339+Financials!FS340</f>
        <v>754</v>
      </c>
      <c r="T146" s="191">
        <f>Financials!FT339+Financials!FT340</f>
        <v>0</v>
      </c>
      <c r="U146" s="191">
        <f>Financials!FU339+Financials!FU340</f>
        <v>0</v>
      </c>
      <c r="V146" s="191">
        <f>Financials!FV339+Financials!FV340</f>
        <v>0</v>
      </c>
      <c r="W146" s="214"/>
      <c r="X146" s="214"/>
      <c r="Y146" s="214"/>
    </row>
    <row r="147" spans="2:25" x14ac:dyDescent="0.3">
      <c r="B147" s="180" t="s">
        <v>441</v>
      </c>
      <c r="G147" s="877">
        <f>Financials!FG338</f>
        <v>31.8</v>
      </c>
      <c r="H147" s="191">
        <f>Financials!FH338</f>
        <v>39.700000000000003</v>
      </c>
      <c r="I147" s="191">
        <f>Financials!FI338</f>
        <v>33.200000000000003</v>
      </c>
      <c r="J147" s="191">
        <f>Financials!FJ338</f>
        <v>582.69999999999993</v>
      </c>
      <c r="K147" s="191">
        <f>Financials!FK338</f>
        <v>50.599999999999994</v>
      </c>
      <c r="L147" s="191">
        <f>Financials!FL338</f>
        <v>21.799999999999997</v>
      </c>
      <c r="M147" s="191">
        <f>Financials!FM338</f>
        <v>27.2</v>
      </c>
      <c r="N147" s="191">
        <f>Financials!FN338</f>
        <v>37.9</v>
      </c>
      <c r="O147" s="191">
        <f>Financials!FO338</f>
        <v>48.900000000000006</v>
      </c>
      <c r="P147" s="191">
        <f>Financials!FP338</f>
        <v>81.8</v>
      </c>
      <c r="Q147" s="191">
        <f>Financials!FQ338</f>
        <v>99.4</v>
      </c>
      <c r="R147" s="191">
        <f>Financials!FR338</f>
        <v>124</v>
      </c>
      <c r="S147" s="191">
        <f>Financials!FS338</f>
        <v>142.4</v>
      </c>
      <c r="T147" s="191">
        <f>Financials!FT338</f>
        <v>140</v>
      </c>
      <c r="U147" s="191">
        <f>Financials!FU338</f>
        <v>140</v>
      </c>
      <c r="V147" s="191">
        <f>Financials!FV338</f>
        <v>140</v>
      </c>
      <c r="W147" s="214"/>
      <c r="X147" s="214"/>
      <c r="Y147" s="214"/>
    </row>
    <row r="148" spans="2:25" x14ac:dyDescent="0.3">
      <c r="B148" s="180" t="s">
        <v>442</v>
      </c>
      <c r="G148" s="877">
        <f>Financials!FG337</f>
        <v>-300</v>
      </c>
      <c r="H148" s="191">
        <f>Financials!FH337</f>
        <v>-700</v>
      </c>
      <c r="I148" s="191">
        <f>Financials!FI337</f>
        <v>-564.9</v>
      </c>
      <c r="J148" s="191">
        <f>Financials!FJ337</f>
        <v>-400</v>
      </c>
      <c r="K148" s="191">
        <f>Financials!FK337</f>
        <v>-500</v>
      </c>
      <c r="L148" s="191">
        <f>Financials!FL337</f>
        <v>-1146.1999999999998</v>
      </c>
      <c r="M148" s="191">
        <f>Financials!FM337</f>
        <v>-410</v>
      </c>
      <c r="N148" s="191">
        <f>Financials!FN337</f>
        <v>-1207.5</v>
      </c>
      <c r="O148" s="191">
        <f>Financials!FO337</f>
        <v>-8560.2999999999993</v>
      </c>
      <c r="P148" s="191">
        <f>Financials!FP337</f>
        <v>-4639.6000000000004</v>
      </c>
      <c r="Q148" s="191">
        <f>Financials!FQ337</f>
        <v>-999.9</v>
      </c>
      <c r="R148" s="191">
        <f>Financials!FR337</f>
        <v>-500</v>
      </c>
      <c r="S148" s="191">
        <f>Financials!FS337</f>
        <v>-5950</v>
      </c>
      <c r="T148" s="191">
        <f>Financials!FT337</f>
        <v>-4000</v>
      </c>
      <c r="U148" s="191">
        <f>Financials!FU337</f>
        <v>-8000</v>
      </c>
      <c r="V148" s="191">
        <f>Financials!FV337</f>
        <v>-4000</v>
      </c>
      <c r="W148" s="214"/>
      <c r="X148" s="214"/>
      <c r="Y148" s="214"/>
    </row>
    <row r="149" spans="2:25" x14ac:dyDescent="0.3">
      <c r="B149" s="180" t="s">
        <v>443</v>
      </c>
      <c r="G149" s="877">
        <f>Financials!FG336</f>
        <v>-216.1</v>
      </c>
      <c r="H149" s="191">
        <f>Financials!FH336</f>
        <v>-268</v>
      </c>
      <c r="I149" s="191">
        <f>Financials!FI336</f>
        <v>-302.3</v>
      </c>
      <c r="J149" s="191">
        <f>Financials!FJ336</f>
        <v>-445.9</v>
      </c>
      <c r="K149" s="191">
        <f>Financials!FK336</f>
        <v>-516.70000000000005</v>
      </c>
      <c r="L149" s="191">
        <f>Financials!FL336</f>
        <v>-597.1</v>
      </c>
      <c r="M149" s="191">
        <f>Financials!FM336</f>
        <v>-1325.7</v>
      </c>
      <c r="N149" s="191">
        <f>Financials!FN336</f>
        <v>-1066.4000000000001</v>
      </c>
      <c r="O149" s="191">
        <f>Financials!FO336</f>
        <v>-1368.3000000000002</v>
      </c>
      <c r="P149" s="191">
        <f>Financials!FP336</f>
        <v>-2559.9</v>
      </c>
      <c r="Q149" s="191">
        <f>Financials!FQ336</f>
        <v>-2348.3999999999996</v>
      </c>
      <c r="R149" s="191">
        <f>Financials!FR336</f>
        <v>-2452.8999999999996</v>
      </c>
      <c r="S149" s="191">
        <f>Financials!FS336</f>
        <v>-2550.3999999999996</v>
      </c>
      <c r="T149" s="191">
        <f>Financials!FT336</f>
        <v>-3725.9174576539494</v>
      </c>
      <c r="U149" s="191">
        <f>Financials!FU336</f>
        <v>-3664.5114875849313</v>
      </c>
      <c r="V149" s="191">
        <f>Financials!FV336</f>
        <v>-3633.8085025504224</v>
      </c>
      <c r="W149" s="214"/>
      <c r="X149" s="214"/>
      <c r="Y149" s="214"/>
    </row>
    <row r="150" spans="2:25" x14ac:dyDescent="0.3">
      <c r="B150" s="180" t="s">
        <v>444</v>
      </c>
      <c r="G150" s="877">
        <f>G151-SUM(G146:G149)</f>
        <v>-0.9000000000000199</v>
      </c>
      <c r="H150" s="191">
        <f t="shared" ref="H150:S150" si="27">H151-SUM(H146:H149)</f>
        <v>-0.10000000000002274</v>
      </c>
      <c r="I150" s="191">
        <f t="shared" si="27"/>
        <v>0.10000000000002274</v>
      </c>
      <c r="J150" s="191">
        <f t="shared" si="27"/>
        <v>-3.2999999999997272</v>
      </c>
      <c r="K150" s="191">
        <f t="shared" si="27"/>
        <v>0</v>
      </c>
      <c r="L150" s="191">
        <f t="shared" si="27"/>
        <v>-1</v>
      </c>
      <c r="M150" s="191">
        <f t="shared" si="27"/>
        <v>-3.7999999999999545</v>
      </c>
      <c r="N150" s="191">
        <f t="shared" si="27"/>
        <v>-3.2999999999999545</v>
      </c>
      <c r="O150" s="191">
        <f t="shared" si="27"/>
        <v>-11.999999999998181</v>
      </c>
      <c r="P150" s="191">
        <f t="shared" si="27"/>
        <v>-516.19999999999891</v>
      </c>
      <c r="Q150" s="191">
        <f t="shared" si="27"/>
        <v>-1.5</v>
      </c>
      <c r="R150" s="191">
        <f>R151-SUM(R146:R149)</f>
        <v>0</v>
      </c>
      <c r="S150" s="191">
        <f t="shared" si="27"/>
        <v>-1066.5</v>
      </c>
      <c r="T150" s="191">
        <f>T151-SUM(T146:T149)</f>
        <v>-689.78999999999905</v>
      </c>
      <c r="U150" s="191">
        <f>U151-SUM(U146:U149)</f>
        <v>3.2965999999996711</v>
      </c>
      <c r="V150" s="191">
        <f>V151-SUM(V146:V149)</f>
        <v>3.4943960000000516</v>
      </c>
      <c r="W150" s="214"/>
      <c r="X150" s="214"/>
      <c r="Y150" s="214"/>
    </row>
    <row r="151" spans="2:25" x14ac:dyDescent="0.3">
      <c r="B151" s="177" t="s">
        <v>445</v>
      </c>
      <c r="G151" s="248">
        <f>Financials!FG344</f>
        <v>-113.10000000000004</v>
      </c>
      <c r="H151" s="248">
        <f>Financials!FH344</f>
        <v>-928.4</v>
      </c>
      <c r="I151" s="248">
        <f>Financials!FI344</f>
        <v>-833.9</v>
      </c>
      <c r="J151" s="248">
        <f>Financials!FJ344</f>
        <v>1964.1</v>
      </c>
      <c r="K151" s="248">
        <f>Financials!FK344</f>
        <v>-1209.0999999999999</v>
      </c>
      <c r="L151" s="248">
        <f>Financials!FL344</f>
        <v>-1724.2999999999997</v>
      </c>
      <c r="M151" s="248">
        <f>Financials!FM344</f>
        <v>-1712.3</v>
      </c>
      <c r="N151" s="248">
        <f>Financials!FN344</f>
        <v>-753</v>
      </c>
      <c r="O151" s="248">
        <f>Financials!FO344</f>
        <v>-9891.6999999999989</v>
      </c>
      <c r="P151" s="248">
        <f>Financials!FP344</f>
        <v>-7138.2999999999993</v>
      </c>
      <c r="Q151" s="248">
        <f>Financials!FQ344</f>
        <v>-3003.8999999999996</v>
      </c>
      <c r="R151" s="248">
        <f>Financials!FR344</f>
        <v>-2832.0999999999995</v>
      </c>
      <c r="S151" s="248">
        <f>Financials!FS344</f>
        <v>-8670.5</v>
      </c>
      <c r="T151" s="248">
        <f>Financials!FT344</f>
        <v>-8275.7074576539489</v>
      </c>
      <c r="U151" s="248">
        <f>Financials!FU344</f>
        <v>-11521.214887584933</v>
      </c>
      <c r="V151" s="248">
        <f>Financials!FV344</f>
        <v>-7490.3141065504224</v>
      </c>
      <c r="W151" s="214"/>
      <c r="X151" s="214"/>
      <c r="Y151" s="214"/>
    </row>
    <row r="152" spans="2:25" x14ac:dyDescent="0.3">
      <c r="I152" s="191"/>
      <c r="W152" s="214"/>
      <c r="X152" s="214"/>
      <c r="Y152" s="214"/>
    </row>
    <row r="153" spans="2:25" x14ac:dyDescent="0.3">
      <c r="B153" s="177" t="s">
        <v>446</v>
      </c>
      <c r="G153" s="248">
        <f>G137+G144+G151</f>
        <v>572.70000000000016</v>
      </c>
      <c r="H153" s="248">
        <f t="shared" ref="H153:Q153" si="28">H137+H144+H151</f>
        <v>80.599999999999795</v>
      </c>
      <c r="I153" s="248">
        <f t="shared" si="28"/>
        <v>31.699999999999477</v>
      </c>
      <c r="J153" s="248">
        <f t="shared" si="28"/>
        <v>292</v>
      </c>
      <c r="K153" s="248">
        <f t="shared" si="28"/>
        <v>-620.39999999999986</v>
      </c>
      <c r="L153" s="248">
        <f t="shared" si="28"/>
        <v>856.89999999999964</v>
      </c>
      <c r="M153" s="248">
        <f t="shared" si="28"/>
        <v>406.49999999999977</v>
      </c>
      <c r="N153" s="248">
        <f t="shared" si="28"/>
        <v>2522.2999999999988</v>
      </c>
      <c r="O153" s="248">
        <f t="shared" si="28"/>
        <v>882.10000000000218</v>
      </c>
      <c r="P153" s="248">
        <f t="shared" si="28"/>
        <v>319.60000000000036</v>
      </c>
      <c r="Q153" s="248">
        <f t="shared" si="28"/>
        <v>-249.79999999999882</v>
      </c>
      <c r="R153" s="248">
        <f>R137+R144+R151</f>
        <v>5724.7999999999984</v>
      </c>
      <c r="S153" s="248">
        <f>S137+S144+S151</f>
        <v>210.20000000000255</v>
      </c>
      <c r="T153" s="248">
        <f>T137+T144+T151</f>
        <v>-1313.0523370098172</v>
      </c>
      <c r="U153" s="248">
        <f>U137+U144+U151</f>
        <v>-154.88352729599683</v>
      </c>
      <c r="V153" s="248">
        <f>V137+V144+V151</f>
        <v>12525.655510277515</v>
      </c>
      <c r="W153" s="214"/>
      <c r="X153" s="214"/>
      <c r="Y153" s="214"/>
    </row>
    <row r="154" spans="2:25" x14ac:dyDescent="0.3">
      <c r="B154" s="180" t="s">
        <v>447</v>
      </c>
      <c r="G154" s="877">
        <f>Financials!FG346</f>
        <v>-9.6000000000000014</v>
      </c>
      <c r="H154" s="191">
        <f>Financials!FH346</f>
        <v>8.1999999999999993</v>
      </c>
      <c r="I154" s="191">
        <f>Financials!FI346</f>
        <v>7.5</v>
      </c>
      <c r="J154" s="191">
        <f>Financials!FJ346</f>
        <v>7.1</v>
      </c>
      <c r="K154" s="191">
        <f>Financials!FK346</f>
        <v>-28.099999999999998</v>
      </c>
      <c r="L154" s="191">
        <f>Financials!FL346</f>
        <v>5.2</v>
      </c>
      <c r="M154" s="191">
        <f>Financials!FM346</f>
        <v>4.6000000000000005</v>
      </c>
      <c r="N154" s="191">
        <f>Financials!FN346</f>
        <v>-5.3000000000000007</v>
      </c>
      <c r="O154" s="191">
        <f>Financials!FO346</f>
        <v>20.3</v>
      </c>
      <c r="P154" s="191">
        <f>Financials!FP346</f>
        <v>-3.0999999999999996</v>
      </c>
      <c r="Q154" s="191">
        <f>Financials!FQ346</f>
        <v>-14</v>
      </c>
      <c r="R154" s="191">
        <f>Financials!FR346</f>
        <v>6.3999999999999995</v>
      </c>
      <c r="S154" s="191">
        <f>Financials!FS346</f>
        <v>-30.1</v>
      </c>
      <c r="T154" s="191">
        <f>Financials!FT346</f>
        <v>2.5</v>
      </c>
      <c r="U154" s="191">
        <f>Financials!FU346</f>
        <v>2</v>
      </c>
      <c r="V154" s="191">
        <f>Financials!FV346</f>
        <v>3</v>
      </c>
      <c r="W154" s="214"/>
      <c r="X154" s="214"/>
      <c r="Y154" s="214"/>
    </row>
    <row r="155" spans="2:25" x14ac:dyDescent="0.3">
      <c r="B155" s="185" t="s">
        <v>448</v>
      </c>
      <c r="G155" s="246">
        <f>Financials!FG351</f>
        <v>1767.6</v>
      </c>
      <c r="H155" s="246">
        <f>Financials!FH351</f>
        <v>2330.7000000000003</v>
      </c>
      <c r="I155" s="246">
        <f>Financials!FI351</f>
        <v>2419.4870000000001</v>
      </c>
      <c r="J155" s="246">
        <f>Financials!FJ351</f>
        <v>2458.6869999999994</v>
      </c>
      <c r="K155" s="246">
        <f>Financials!FK351</f>
        <v>2906.9</v>
      </c>
      <c r="L155" s="246">
        <f>Financials!FL351</f>
        <v>2259</v>
      </c>
      <c r="M155" s="246">
        <f>Financials!FM351</f>
        <v>3121.0999999999995</v>
      </c>
      <c r="N155" s="246">
        <f>Financials!FN351</f>
        <v>3532.3</v>
      </c>
      <c r="O155" s="246">
        <f>Financials!FO351</f>
        <v>6049.4</v>
      </c>
      <c r="P155" s="246">
        <f>Financials!FP351</f>
        <v>6951.8</v>
      </c>
      <c r="Q155" s="246">
        <f>Financials!FQ351</f>
        <v>7268.5</v>
      </c>
      <c r="R155" s="246">
        <f>Financials!FR351</f>
        <v>7004.7</v>
      </c>
      <c r="S155" s="246">
        <f>Financials!FS351</f>
        <v>12735.9</v>
      </c>
      <c r="T155" s="246">
        <f>Financials!FT351</f>
        <v>12916</v>
      </c>
      <c r="U155" s="246">
        <f>Financials!FU351</f>
        <v>11605.447662990184</v>
      </c>
      <c r="V155" s="246">
        <f>Financials!FV351</f>
        <v>11452.564135694187</v>
      </c>
      <c r="W155" s="214"/>
      <c r="X155" s="214"/>
      <c r="Y155" s="214"/>
    </row>
    <row r="156" spans="2:25" x14ac:dyDescent="0.3">
      <c r="B156" s="177" t="s">
        <v>449</v>
      </c>
      <c r="F156" s="201">
        <f>G155</f>
        <v>1767.6</v>
      </c>
      <c r="G156" s="248">
        <f>SUM(G153:G155)</f>
        <v>2330.6999999999998</v>
      </c>
      <c r="H156" s="248">
        <f t="shared" ref="H156:Q156" si="29">SUM(H153:H155)</f>
        <v>2419.5</v>
      </c>
      <c r="I156" s="248">
        <f t="shared" si="29"/>
        <v>2458.6869999999994</v>
      </c>
      <c r="J156" s="248">
        <f t="shared" si="29"/>
        <v>2757.7869999999994</v>
      </c>
      <c r="K156" s="248">
        <f t="shared" si="29"/>
        <v>2258.4</v>
      </c>
      <c r="L156" s="248">
        <f t="shared" si="29"/>
        <v>3121.0999999999995</v>
      </c>
      <c r="M156" s="248">
        <f t="shared" si="29"/>
        <v>3532.1999999999994</v>
      </c>
      <c r="N156" s="248">
        <f t="shared" si="29"/>
        <v>6049.2999999999993</v>
      </c>
      <c r="O156" s="248">
        <f t="shared" si="29"/>
        <v>6951.800000000002</v>
      </c>
      <c r="P156" s="248">
        <f t="shared" si="29"/>
        <v>7268.3</v>
      </c>
      <c r="Q156" s="248">
        <f t="shared" si="29"/>
        <v>7004.7000000000007</v>
      </c>
      <c r="R156" s="248">
        <f>SUM(R153:R155)</f>
        <v>12735.899999999998</v>
      </c>
      <c r="S156" s="248">
        <f>SUM(S153:S155)</f>
        <v>12916.000000000002</v>
      </c>
      <c r="T156" s="248">
        <f>SUM(T153:T155)</f>
        <v>11605.447662990184</v>
      </c>
      <c r="U156" s="248">
        <f>SUM(U153:U155)</f>
        <v>11452.564135694187</v>
      </c>
      <c r="V156" s="248">
        <f>SUM(V153:V155)</f>
        <v>23981.219645971702</v>
      </c>
      <c r="W156" s="214"/>
      <c r="X156" s="214"/>
      <c r="Y156" s="214"/>
    </row>
    <row r="157" spans="2:25" x14ac:dyDescent="0.3">
      <c r="W157" s="214"/>
      <c r="X157" s="214"/>
      <c r="Y157" s="214"/>
    </row>
    <row r="158" spans="2:25" x14ac:dyDescent="0.3">
      <c r="B158" s="289" t="s">
        <v>450</v>
      </c>
      <c r="W158" s="214"/>
      <c r="X158" s="214"/>
      <c r="Y158" s="214"/>
    </row>
    <row r="159" spans="2:25" hidden="1" x14ac:dyDescent="0.3">
      <c r="B159" s="180" t="s">
        <v>451</v>
      </c>
      <c r="G159" s="191"/>
      <c r="W159" s="214"/>
      <c r="X159" s="214"/>
      <c r="Y159" s="214"/>
    </row>
    <row r="160" spans="2:25" hidden="1" x14ac:dyDescent="0.3">
      <c r="B160" s="180" t="s">
        <v>452</v>
      </c>
      <c r="G160" s="191"/>
      <c r="W160" s="214"/>
      <c r="X160" s="214"/>
      <c r="Y160" s="214"/>
    </row>
    <row r="161" spans="2:25" hidden="1" x14ac:dyDescent="0.3">
      <c r="B161" s="180" t="s">
        <v>453</v>
      </c>
      <c r="G161" s="191"/>
      <c r="W161" s="214"/>
      <c r="X161" s="214"/>
      <c r="Y161" s="214"/>
    </row>
    <row r="162" spans="2:25" hidden="1" x14ac:dyDescent="0.3">
      <c r="B162" s="177" t="s">
        <v>454</v>
      </c>
      <c r="G162" s="248"/>
      <c r="W162" s="214"/>
      <c r="X162" s="214"/>
      <c r="Y162" s="214"/>
    </row>
    <row r="163" spans="2:25" hidden="1" x14ac:dyDescent="0.3">
      <c r="W163" s="214"/>
      <c r="X163" s="214"/>
      <c r="Y163" s="214"/>
    </row>
    <row r="164" spans="2:25" x14ac:dyDescent="0.3">
      <c r="B164" s="180" t="s">
        <v>70</v>
      </c>
      <c r="G164" s="191">
        <f>G137</f>
        <v>1054.2000000000003</v>
      </c>
      <c r="H164" s="191">
        <f t="shared" ref="H164:Q164" si="30">H137</f>
        <v>1025.1999999999998</v>
      </c>
      <c r="I164" s="191">
        <f t="shared" si="30"/>
        <v>2025.4999999999995</v>
      </c>
      <c r="J164" s="191">
        <f t="shared" si="30"/>
        <v>1516.2999999999997</v>
      </c>
      <c r="K164" s="191">
        <f t="shared" si="30"/>
        <v>1818.3</v>
      </c>
      <c r="L164" s="191">
        <f t="shared" si="30"/>
        <v>3072.6999999999994</v>
      </c>
      <c r="M164" s="191">
        <f t="shared" si="30"/>
        <v>3276.2999999999997</v>
      </c>
      <c r="N164" s="191">
        <f t="shared" si="30"/>
        <v>4627.4999999999991</v>
      </c>
      <c r="O164" s="191">
        <f t="shared" si="30"/>
        <v>10845.800000000001</v>
      </c>
      <c r="P164" s="191">
        <f t="shared" si="30"/>
        <v>8486.7999999999993</v>
      </c>
      <c r="Q164" s="191">
        <f t="shared" si="30"/>
        <v>5443.4000000000005</v>
      </c>
      <c r="R164" s="191">
        <f>R137</f>
        <v>11166.199999999997</v>
      </c>
      <c r="S164" s="191">
        <f>S137</f>
        <v>12658.500000000002</v>
      </c>
      <c r="T164" s="191">
        <f>T137</f>
        <v>9434.2062039774646</v>
      </c>
      <c r="U164" s="191">
        <f>U137</f>
        <v>13780.575404455603</v>
      </c>
      <c r="V164" s="191">
        <f>V137</f>
        <v>22192.686674522938</v>
      </c>
      <c r="W164" s="214"/>
      <c r="X164" s="214"/>
      <c r="Y164" s="214"/>
    </row>
    <row r="165" spans="2:25" x14ac:dyDescent="0.3">
      <c r="B165" s="180" t="s">
        <v>436</v>
      </c>
      <c r="G165" s="191">
        <f>G141</f>
        <v>-4</v>
      </c>
      <c r="H165" s="191">
        <f t="shared" ref="H165:Q165" si="31">H141</f>
        <v>-3</v>
      </c>
      <c r="I165" s="191">
        <f t="shared" si="31"/>
        <v>-1.1000000000000001</v>
      </c>
      <c r="J165" s="191">
        <f t="shared" si="31"/>
        <v>-8.4</v>
      </c>
      <c r="K165" s="191">
        <f t="shared" si="31"/>
        <v>-19.099999999999998</v>
      </c>
      <c r="L165" s="191">
        <f t="shared" si="31"/>
        <v>-35.5</v>
      </c>
      <c r="M165" s="191">
        <f t="shared" si="31"/>
        <v>-119.30000000000001</v>
      </c>
      <c r="N165" s="191">
        <f t="shared" si="31"/>
        <v>-38.799999999999997</v>
      </c>
      <c r="O165" s="191">
        <f t="shared" si="31"/>
        <v>-39.6</v>
      </c>
      <c r="P165" s="191">
        <f t="shared" si="31"/>
        <v>-37.5</v>
      </c>
      <c r="Q165" s="191">
        <f t="shared" si="31"/>
        <v>-40.6</v>
      </c>
      <c r="R165" s="191">
        <f t="shared" ref="R165:T166" si="32">R141</f>
        <v>-15.9</v>
      </c>
      <c r="S165" s="191">
        <f t="shared" si="32"/>
        <v>-57.6</v>
      </c>
      <c r="T165" s="191">
        <f t="shared" si="32"/>
        <v>-52.800000000000004</v>
      </c>
      <c r="U165" s="191">
        <f>U141</f>
        <v>-52.800000000000004</v>
      </c>
      <c r="V165" s="191">
        <f>V141</f>
        <v>-52.800000000000004</v>
      </c>
      <c r="W165" s="214"/>
      <c r="X165" s="214"/>
      <c r="Y165" s="214"/>
    </row>
    <row r="166" spans="2:25" x14ac:dyDescent="0.3">
      <c r="B166" s="180" t="s">
        <v>437</v>
      </c>
      <c r="G166" s="191">
        <f>G142</f>
        <v>-210.8</v>
      </c>
      <c r="H166" s="191">
        <f t="shared" ref="H166:Q166" si="33">H142</f>
        <v>-358.29999999999995</v>
      </c>
      <c r="I166" s="191">
        <f t="shared" si="33"/>
        <v>-371.8</v>
      </c>
      <c r="J166" s="191">
        <f t="shared" si="33"/>
        <v>-316.30000000000007</v>
      </c>
      <c r="K166" s="191">
        <f t="shared" si="33"/>
        <v>-338.90000000000003</v>
      </c>
      <c r="L166" s="191">
        <f t="shared" si="33"/>
        <v>-574</v>
      </c>
      <c r="M166" s="191">
        <f t="shared" si="33"/>
        <v>-766.6</v>
      </c>
      <c r="N166" s="191">
        <f t="shared" si="33"/>
        <v>-962</v>
      </c>
      <c r="O166" s="191">
        <f t="shared" si="33"/>
        <v>-900.7</v>
      </c>
      <c r="P166" s="191">
        <f t="shared" si="33"/>
        <v>-1281.8000000000002</v>
      </c>
      <c r="Q166" s="191">
        <f t="shared" si="33"/>
        <v>-2155.6</v>
      </c>
      <c r="R166" s="191">
        <f t="shared" si="32"/>
        <v>-2067.1999999999998</v>
      </c>
      <c r="S166" s="191">
        <f t="shared" si="32"/>
        <v>-1573.6</v>
      </c>
      <c r="T166" s="191">
        <f t="shared" si="32"/>
        <v>-2318.8177499999997</v>
      </c>
      <c r="U166" s="191">
        <f>U142</f>
        <v>-2400.5973774999998</v>
      </c>
      <c r="V166" s="191">
        <f>V142</f>
        <v>-2064.821057695</v>
      </c>
      <c r="W166" s="214"/>
      <c r="X166" s="214"/>
      <c r="Y166" s="214"/>
    </row>
    <row r="167" spans="2:25" x14ac:dyDescent="0.3">
      <c r="B167" s="177" t="s">
        <v>400</v>
      </c>
      <c r="G167" s="248">
        <f>SUM(G164:G166)</f>
        <v>839.40000000000032</v>
      </c>
      <c r="H167" s="248">
        <f t="shared" ref="H167:R167" si="34">SUM(H164:H166)</f>
        <v>663.89999999999986</v>
      </c>
      <c r="I167" s="248">
        <f t="shared" si="34"/>
        <v>1652.5999999999997</v>
      </c>
      <c r="J167" s="248">
        <f t="shared" si="34"/>
        <v>1191.5999999999995</v>
      </c>
      <c r="K167" s="248">
        <f t="shared" si="34"/>
        <v>1460.3</v>
      </c>
      <c r="L167" s="248">
        <f t="shared" si="34"/>
        <v>2463.1999999999994</v>
      </c>
      <c r="M167" s="248">
        <f t="shared" si="34"/>
        <v>2390.3999999999996</v>
      </c>
      <c r="N167" s="248">
        <f t="shared" si="34"/>
        <v>3626.6999999999989</v>
      </c>
      <c r="O167" s="248">
        <f t="shared" si="34"/>
        <v>9905.5</v>
      </c>
      <c r="P167" s="248">
        <f t="shared" si="34"/>
        <v>7167.4999999999991</v>
      </c>
      <c r="Q167" s="248">
        <f t="shared" si="34"/>
        <v>3247.2000000000003</v>
      </c>
      <c r="R167" s="248">
        <f t="shared" si="34"/>
        <v>9083.0999999999985</v>
      </c>
      <c r="S167" s="248">
        <f>SUM(S164:S166)</f>
        <v>11027.300000000001</v>
      </c>
      <c r="T167" s="248">
        <f>SUM(T164:T166)</f>
        <v>7062.5884539774652</v>
      </c>
      <c r="U167" s="248">
        <f>SUM(U164:U166)</f>
        <v>11327.178026955604</v>
      </c>
      <c r="V167" s="248">
        <f>SUM(V164:V166)</f>
        <v>20075.065616827938</v>
      </c>
      <c r="W167" s="214"/>
      <c r="X167" s="295" t="s">
        <v>504</v>
      </c>
      <c r="Y167" s="214"/>
    </row>
    <row r="168" spans="2:25" x14ac:dyDescent="0.3">
      <c r="P168" s="184"/>
      <c r="Q168" s="184"/>
      <c r="R168" s="184"/>
      <c r="S168" s="184"/>
      <c r="U168" s="214"/>
      <c r="V168" s="214"/>
      <c r="W168" s="214"/>
      <c r="X168" s="214"/>
      <c r="Y168" s="214"/>
    </row>
    <row r="169" spans="2:25" x14ac:dyDescent="0.3">
      <c r="U169" s="214"/>
      <c r="V169" s="214"/>
      <c r="W169" s="214"/>
      <c r="X169" s="214"/>
      <c r="Y169" s="214"/>
    </row>
    <row r="170" spans="2:25" x14ac:dyDescent="0.3">
      <c r="B170" s="64" t="s">
        <v>456</v>
      </c>
      <c r="C170" s="64"/>
      <c r="D170" s="64"/>
      <c r="E170" s="81"/>
      <c r="F170" s="81"/>
      <c r="G170" s="81">
        <f t="shared" ref="G170:U170" si="35">G$3</f>
        <v>2013</v>
      </c>
      <c r="H170" s="81">
        <f t="shared" si="35"/>
        <v>2014</v>
      </c>
      <c r="I170" s="81">
        <f t="shared" si="35"/>
        <v>2015</v>
      </c>
      <c r="J170" s="81">
        <f t="shared" si="35"/>
        <v>2016</v>
      </c>
      <c r="K170" s="81">
        <f t="shared" si="35"/>
        <v>2017</v>
      </c>
      <c r="L170" s="81">
        <f t="shared" si="35"/>
        <v>2018</v>
      </c>
      <c r="M170" s="81">
        <f t="shared" si="35"/>
        <v>2019</v>
      </c>
      <c r="N170" s="81">
        <f t="shared" si="35"/>
        <v>2020</v>
      </c>
      <c r="O170" s="81">
        <f t="shared" si="35"/>
        <v>2021</v>
      </c>
      <c r="P170" s="81">
        <f t="shared" si="35"/>
        <v>2022</v>
      </c>
      <c r="Q170" s="81">
        <f t="shared" si="35"/>
        <v>2023</v>
      </c>
      <c r="R170" s="81">
        <f t="shared" si="35"/>
        <v>2024</v>
      </c>
      <c r="S170" s="81">
        <f t="shared" si="35"/>
        <v>2025</v>
      </c>
      <c r="T170" s="81" t="str">
        <f t="shared" si="35"/>
        <v>2026e</v>
      </c>
      <c r="U170" s="81" t="str">
        <f t="shared" si="35"/>
        <v>2027e</v>
      </c>
      <c r="V170" s="81" t="str">
        <f>V$3</f>
        <v>2028e</v>
      </c>
      <c r="W170" s="214"/>
      <c r="X170" s="214"/>
      <c r="Y170" s="214"/>
    </row>
    <row r="171" spans="2:25" x14ac:dyDescent="0.3">
      <c r="W171" s="214"/>
      <c r="X171" s="214"/>
      <c r="Y171" s="214"/>
    </row>
    <row r="172" spans="2:25" x14ac:dyDescent="0.3">
      <c r="B172" s="177" t="s">
        <v>457</v>
      </c>
      <c r="G172" s="303">
        <v>62.034999999999997</v>
      </c>
      <c r="H172" s="303">
        <v>70.165999999999997</v>
      </c>
      <c r="I172" s="303">
        <v>89.614000000000004</v>
      </c>
      <c r="J172" s="303">
        <v>89.909000000000006</v>
      </c>
      <c r="K172" s="303">
        <v>128.65100000000001</v>
      </c>
      <c r="L172" s="303">
        <v>162.67699999999999</v>
      </c>
      <c r="M172" s="303">
        <v>194.43899999999999</v>
      </c>
      <c r="N172" s="303">
        <v>303.20400000000001</v>
      </c>
      <c r="O172" s="303">
        <v>591.31700000000001</v>
      </c>
      <c r="P172" s="303">
        <v>503.8</v>
      </c>
      <c r="Q172" s="303">
        <v>611.32899999999995</v>
      </c>
      <c r="R172" s="303">
        <f>Cover!$E$26</f>
        <v>1263.4000000000001</v>
      </c>
      <c r="S172" s="303">
        <f>Cover!$E$26</f>
        <v>1263.4000000000001</v>
      </c>
      <c r="T172" s="303">
        <f>Cover!$E$26</f>
        <v>1263.4000000000001</v>
      </c>
      <c r="U172" s="303">
        <f>Cover!$E$26</f>
        <v>1263.4000000000001</v>
      </c>
      <c r="V172" s="303">
        <f>Cover!$E$26</f>
        <v>1263.4000000000001</v>
      </c>
      <c r="W172" s="214"/>
      <c r="X172" s="180" t="s">
        <v>491</v>
      </c>
      <c r="Y172" s="214"/>
    </row>
    <row r="173" spans="2:25" x14ac:dyDescent="0.3">
      <c r="B173" s="180" t="s">
        <v>458</v>
      </c>
      <c r="G173" s="191">
        <f>Financials!FG50</f>
        <v>429.8</v>
      </c>
      <c r="H173" s="191">
        <f>Financials!FH50</f>
        <v>437.17499999999995</v>
      </c>
      <c r="I173" s="191">
        <f>Financials!FI50</f>
        <v>430.67500000000001</v>
      </c>
      <c r="J173" s="191">
        <f>Financials!FJ50</f>
        <v>425.6</v>
      </c>
      <c r="K173" s="191">
        <f>Financials!FK50</f>
        <v>429.75</v>
      </c>
      <c r="L173" s="191">
        <f>Financials!FL50</f>
        <v>424.92500000000001</v>
      </c>
      <c r="M173" s="191">
        <f>Financials!FM50</f>
        <v>420.79999999999995</v>
      </c>
      <c r="N173" s="191">
        <f>Financials!FN50</f>
        <v>418.32499999999999</v>
      </c>
      <c r="O173" s="191">
        <f>Financials!FO50</f>
        <v>409.74999999999994</v>
      </c>
      <c r="P173" s="191">
        <f>Financials!FP50</f>
        <v>397.625</v>
      </c>
      <c r="Q173" s="191">
        <f>Financials!FQ50</f>
        <v>393.85</v>
      </c>
      <c r="R173" s="191">
        <f>Financials!FR50</f>
        <v>393.27499999999998</v>
      </c>
      <c r="S173" s="191">
        <f>Financials!FS50</f>
        <v>388.32499999999999</v>
      </c>
      <c r="T173" s="191">
        <f>Financials!FT50</f>
        <v>384.21272756055083</v>
      </c>
      <c r="U173" s="191">
        <f>Financials!FU50</f>
        <v>377.88060788348895</v>
      </c>
      <c r="V173" s="191">
        <f>Financials!FV50</f>
        <v>374.71454804495801</v>
      </c>
      <c r="W173" s="214"/>
      <c r="Y173" s="214"/>
    </row>
    <row r="174" spans="2:25" x14ac:dyDescent="0.3">
      <c r="B174" s="177" t="s">
        <v>459</v>
      </c>
      <c r="G174" s="248">
        <f>G172*G173</f>
        <v>26662.643</v>
      </c>
      <c r="H174" s="248">
        <f t="shared" ref="H174:S174" si="36">H172*H173</f>
        <v>30674.821049999995</v>
      </c>
      <c r="I174" s="248">
        <f t="shared" si="36"/>
        <v>38594.509450000005</v>
      </c>
      <c r="J174" s="248">
        <f t="shared" si="36"/>
        <v>38265.270400000001</v>
      </c>
      <c r="K174" s="248">
        <f t="shared" si="36"/>
        <v>55287.767250000004</v>
      </c>
      <c r="L174" s="248">
        <f t="shared" si="36"/>
        <v>69125.524225000001</v>
      </c>
      <c r="M174" s="248">
        <f t="shared" si="36"/>
        <v>81819.931199999992</v>
      </c>
      <c r="N174" s="248">
        <f t="shared" si="36"/>
        <v>126837.81329999999</v>
      </c>
      <c r="O174" s="248">
        <f t="shared" si="36"/>
        <v>242292.14074999996</v>
      </c>
      <c r="P174" s="248">
        <f t="shared" si="36"/>
        <v>200323.47500000001</v>
      </c>
      <c r="Q174" s="248">
        <f t="shared" si="36"/>
        <v>240771.92665000001</v>
      </c>
      <c r="R174" s="248">
        <f t="shared" si="36"/>
        <v>496863.63500000001</v>
      </c>
      <c r="S174" s="248">
        <f t="shared" si="36"/>
        <v>490609.80499999999</v>
      </c>
      <c r="T174" s="248">
        <f>T172*T173</f>
        <v>485414.35999999993</v>
      </c>
      <c r="U174" s="248">
        <f>U172*U173</f>
        <v>477414.36</v>
      </c>
      <c r="V174" s="248">
        <f>V172*V173</f>
        <v>473414.36</v>
      </c>
      <c r="W174" s="214"/>
      <c r="X174" s="180" t="s">
        <v>492</v>
      </c>
      <c r="Y174" s="214"/>
    </row>
    <row r="175" spans="2:25" x14ac:dyDescent="0.3">
      <c r="B175" s="180" t="s">
        <v>505</v>
      </c>
      <c r="G175" s="191">
        <f>-G124</f>
        <v>-1935.9999999999998</v>
      </c>
      <c r="H175" s="191">
        <f t="shared" ref="H175:R175" si="37">-H124</f>
        <v>-1600.2</v>
      </c>
      <c r="I175" s="191">
        <f t="shared" si="37"/>
        <v>-2279</v>
      </c>
      <c r="J175" s="191">
        <f t="shared" si="37"/>
        <v>-737.40000000000009</v>
      </c>
      <c r="K175" s="191">
        <f t="shared" si="37"/>
        <v>-263.00000000000045</v>
      </c>
      <c r="L175" s="191">
        <f t="shared" si="37"/>
        <v>-1007.8999999999996</v>
      </c>
      <c r="M175" s="191">
        <f t="shared" si="37"/>
        <v>-1609.8000000000002</v>
      </c>
      <c r="N175" s="191">
        <f t="shared" si="37"/>
        <v>-2673.3999999999996</v>
      </c>
      <c r="O175" s="191">
        <f t="shared" si="37"/>
        <v>-3006.2</v>
      </c>
      <c r="P175" s="191">
        <f>-P124</f>
        <v>-3115.6000000000004</v>
      </c>
      <c r="Q175" s="191">
        <f t="shared" si="37"/>
        <v>-2378.4999999999991</v>
      </c>
      <c r="R175" s="191">
        <f t="shared" si="37"/>
        <v>-8053.6999999999989</v>
      </c>
      <c r="S175" s="191">
        <f>-S124</f>
        <v>-8931</v>
      </c>
      <c r="T175" s="191">
        <f>-T124</f>
        <v>-2748.7819744215185</v>
      </c>
      <c r="U175" s="191">
        <f>-U124</f>
        <v>-7470.9641356941866</v>
      </c>
      <c r="V175" s="191">
        <f>-V124</f>
        <v>-19999.619645971703</v>
      </c>
      <c r="W175" s="214"/>
      <c r="X175" s="180" t="s">
        <v>493</v>
      </c>
      <c r="Y175" s="214"/>
    </row>
    <row r="176" spans="2:25" x14ac:dyDescent="0.3">
      <c r="B176" s="177" t="s">
        <v>460</v>
      </c>
      <c r="G176" s="248">
        <f>G174+G175</f>
        <v>24726.643</v>
      </c>
      <c r="H176" s="248">
        <f t="shared" ref="H176:R176" si="38">H174+H175</f>
        <v>29074.621049999994</v>
      </c>
      <c r="I176" s="248">
        <f t="shared" si="38"/>
        <v>36315.509450000005</v>
      </c>
      <c r="J176" s="248">
        <f t="shared" si="38"/>
        <v>37527.8704</v>
      </c>
      <c r="K176" s="248">
        <f t="shared" si="38"/>
        <v>55024.767250000004</v>
      </c>
      <c r="L176" s="248">
        <f t="shared" si="38"/>
        <v>68117.624225000007</v>
      </c>
      <c r="M176" s="248">
        <f t="shared" si="38"/>
        <v>80210.131199999989</v>
      </c>
      <c r="N176" s="248">
        <f t="shared" si="38"/>
        <v>124164.4133</v>
      </c>
      <c r="O176" s="248">
        <f t="shared" si="38"/>
        <v>239285.94074999995</v>
      </c>
      <c r="P176" s="248">
        <f t="shared" si="38"/>
        <v>197207.875</v>
      </c>
      <c r="Q176" s="248">
        <f t="shared" si="38"/>
        <v>238393.42665000001</v>
      </c>
      <c r="R176" s="248">
        <f t="shared" si="38"/>
        <v>488809.935</v>
      </c>
      <c r="S176" s="248">
        <f>S174+S175</f>
        <v>481678.80499999999</v>
      </c>
      <c r="T176" s="248">
        <f>T174+T175</f>
        <v>482665.5780255784</v>
      </c>
      <c r="U176" s="248">
        <f>U174+U175</f>
        <v>469943.39586430578</v>
      </c>
      <c r="V176" s="248">
        <f>V174+V175</f>
        <v>453414.7403540283</v>
      </c>
      <c r="W176" s="214"/>
      <c r="Y176" s="214"/>
    </row>
    <row r="177" spans="2:25" x14ac:dyDescent="0.3">
      <c r="W177" s="214"/>
      <c r="Y177" s="214"/>
    </row>
    <row r="178" spans="2:25" x14ac:dyDescent="0.3">
      <c r="B178" s="180" t="s">
        <v>574</v>
      </c>
      <c r="G178" s="182">
        <f>G172/G28</f>
        <v>22.48930907570054</v>
      </c>
      <c r="H178" s="182">
        <f t="shared" ref="H178:R178" si="39">H172/H28</f>
        <v>25.812362694300504</v>
      </c>
      <c r="I178" s="182">
        <f t="shared" si="39"/>
        <v>27.975304714532889</v>
      </c>
      <c r="J178" s="182">
        <f t="shared" si="39"/>
        <v>29.07780673825912</v>
      </c>
      <c r="K178" s="182">
        <f t="shared" si="39"/>
        <v>26.219055581779578</v>
      </c>
      <c r="L178" s="182">
        <f t="shared" si="39"/>
        <v>26.771778245099551</v>
      </c>
      <c r="M178" s="182">
        <f t="shared" si="39"/>
        <v>31.637030022760587</v>
      </c>
      <c r="N178" s="182">
        <f t="shared" si="39"/>
        <v>35.75675830144079</v>
      </c>
      <c r="O178" s="182">
        <f t="shared" si="39"/>
        <v>41.244039119866734</v>
      </c>
      <c r="P178" s="182">
        <f t="shared" si="39"/>
        <v>35.649479926033933</v>
      </c>
      <c r="Q178" s="182">
        <f t="shared" si="39"/>
        <v>30.726320449036866</v>
      </c>
      <c r="R178" s="182">
        <f t="shared" si="39"/>
        <v>65.676242802049785</v>
      </c>
      <c r="S178" s="182">
        <f>S172/S28</f>
        <v>50.920635816971981</v>
      </c>
      <c r="T178" s="182">
        <f>T172/T28</f>
        <v>41.359091286800719</v>
      </c>
      <c r="U178" s="182">
        <f>U172/U28</f>
        <v>27.169480832192892</v>
      </c>
      <c r="V178" s="182">
        <f>V172/V28</f>
        <v>33.745822330481701</v>
      </c>
      <c r="W178" s="214"/>
      <c r="Y178" s="214"/>
    </row>
    <row r="179" spans="2:25" x14ac:dyDescent="0.3">
      <c r="B179" s="177" t="s">
        <v>573</v>
      </c>
      <c r="G179" s="303">
        <f>G172/H28</f>
        <v>22.821165803108798</v>
      </c>
      <c r="H179" s="303">
        <f t="shared" ref="H179:Q179" si="40">H172/I28</f>
        <v>21.904113538062294</v>
      </c>
      <c r="I179" s="303">
        <f t="shared" si="40"/>
        <v>28.98239968237165</v>
      </c>
      <c r="J179" s="303">
        <f t="shared" si="40"/>
        <v>18.323441468019837</v>
      </c>
      <c r="K179" s="303">
        <f t="shared" si="40"/>
        <v>21.172114330915264</v>
      </c>
      <c r="L179" s="303">
        <f t="shared" si="40"/>
        <v>26.469057817683819</v>
      </c>
      <c r="M179" s="303">
        <f t="shared" si="40"/>
        <v>22.930133927566409</v>
      </c>
      <c r="N179" s="303">
        <f t="shared" si="40"/>
        <v>21.148314080772366</v>
      </c>
      <c r="O179" s="303">
        <f t="shared" si="40"/>
        <v>41.842285671739994</v>
      </c>
      <c r="P179" s="303">
        <f t="shared" si="40"/>
        <v>25.321750223242763</v>
      </c>
      <c r="Q179" s="303">
        <f t="shared" si="40"/>
        <v>31.779160864282325</v>
      </c>
      <c r="R179" s="303">
        <f>R172/S28</f>
        <v>50.920635816971981</v>
      </c>
      <c r="S179" s="303">
        <f>S172/T28</f>
        <v>41.359091286800719</v>
      </c>
      <c r="T179" s="303">
        <f>T172/U28</f>
        <v>27.169480832192892</v>
      </c>
      <c r="U179" s="303">
        <f>U172/V28</f>
        <v>33.745822330481701</v>
      </c>
      <c r="V179" s="303">
        <f>V172/W28</f>
        <v>8223.378493479504</v>
      </c>
      <c r="W179" s="214"/>
      <c r="X179" s="180" t="s">
        <v>494</v>
      </c>
      <c r="Y179" s="214"/>
    </row>
    <row r="180" spans="2:25" x14ac:dyDescent="0.3">
      <c r="B180" s="180" t="s">
        <v>461</v>
      </c>
      <c r="G180" s="182">
        <f>G174/G118</f>
        <v>3.8516472610655255</v>
      </c>
      <c r="H180" s="182">
        <f t="shared" ref="H180:R180" si="41">H174/H118</f>
        <v>4.0831165042728204</v>
      </c>
      <c r="I180" s="182">
        <f t="shared" si="41"/>
        <v>4.6007187500000013</v>
      </c>
      <c r="J180" s="182">
        <f t="shared" si="41"/>
        <v>3.8965083295996101</v>
      </c>
      <c r="K180" s="182">
        <f t="shared" si="41"/>
        <v>5.1304486888014544</v>
      </c>
      <c r="L180" s="182">
        <f t="shared" si="41"/>
        <v>5.9381087728717459</v>
      </c>
      <c r="M180" s="182">
        <f t="shared" si="41"/>
        <v>6.497667699051795</v>
      </c>
      <c r="N180" s="182">
        <f t="shared" si="41"/>
        <v>9.1477933056384941</v>
      </c>
      <c r="O180" s="182">
        <f t="shared" si="41"/>
        <v>23.893274633650869</v>
      </c>
      <c r="P180" s="182">
        <f t="shared" si="41"/>
        <v>22.736127820402228</v>
      </c>
      <c r="Q180" s="182">
        <f t="shared" si="41"/>
        <v>17.898064780262256</v>
      </c>
      <c r="R180" s="182">
        <f t="shared" si="41"/>
        <v>26.891216823259445</v>
      </c>
      <c r="S180" s="182">
        <f>S174/S118</f>
        <v>25.359623128175702</v>
      </c>
      <c r="T180" s="182">
        <f>T174/T118</f>
        <v>21.202210733876768</v>
      </c>
      <c r="U180" s="182">
        <f>U174/U118</f>
        <v>13.906138252517072</v>
      </c>
      <c r="V180" s="182">
        <f>V174/V118</f>
        <v>11.478561905996131</v>
      </c>
      <c r="W180" s="214"/>
      <c r="X180" s="180" t="s">
        <v>495</v>
      </c>
      <c r="Y180" s="214"/>
    </row>
    <row r="181" spans="2:25" x14ac:dyDescent="0.3">
      <c r="B181" s="180" t="s">
        <v>462</v>
      </c>
      <c r="G181" s="182">
        <f>G174/G167</f>
        <v>31.763930188229676</v>
      </c>
      <c r="H181" s="182">
        <f t="shared" ref="H181:R181" si="42">H174/H167</f>
        <v>46.203978084048806</v>
      </c>
      <c r="I181" s="182">
        <f t="shared" si="42"/>
        <v>23.353811841946033</v>
      </c>
      <c r="J181" s="182">
        <f t="shared" si="42"/>
        <v>32.112512923799947</v>
      </c>
      <c r="K181" s="182">
        <f t="shared" si="42"/>
        <v>37.860554166951999</v>
      </c>
      <c r="L181" s="182">
        <f t="shared" si="42"/>
        <v>28.063301487901924</v>
      </c>
      <c r="M181" s="182">
        <f t="shared" si="42"/>
        <v>34.228552208835346</v>
      </c>
      <c r="N181" s="182">
        <f t="shared" si="42"/>
        <v>34.973340309372162</v>
      </c>
      <c r="O181" s="182">
        <f t="shared" si="42"/>
        <v>24.460364519711266</v>
      </c>
      <c r="P181" s="182">
        <f t="shared" si="42"/>
        <v>27.948862922915943</v>
      </c>
      <c r="Q181" s="182">
        <f t="shared" si="42"/>
        <v>74.147550705222955</v>
      </c>
      <c r="R181" s="182">
        <f t="shared" si="42"/>
        <v>54.701988858429402</v>
      </c>
      <c r="S181" s="182">
        <f>S174/S167</f>
        <v>44.490474096106929</v>
      </c>
      <c r="T181" s="182">
        <f>T174/T167</f>
        <v>68.730376003521386</v>
      </c>
      <c r="U181" s="182">
        <f>U174/U167</f>
        <v>42.147687523219254</v>
      </c>
      <c r="V181" s="182">
        <f>V174/V167</f>
        <v>23.582207352944344</v>
      </c>
      <c r="W181" s="214"/>
      <c r="X181" s="180" t="s">
        <v>496</v>
      </c>
      <c r="Y181" s="214"/>
    </row>
    <row r="182" spans="2:25" x14ac:dyDescent="0.3">
      <c r="B182" s="180" t="s">
        <v>463</v>
      </c>
      <c r="G182" s="182">
        <f>G176/G8</f>
        <v>4.557654507584834</v>
      </c>
      <c r="H182" s="182">
        <f t="shared" ref="H182:R182" si="43">H176/H8</f>
        <v>4.9646741201782687</v>
      </c>
      <c r="I182" s="182">
        <f t="shared" si="43"/>
        <v>5.7759184161974755</v>
      </c>
      <c r="J182" s="182">
        <f t="shared" si="43"/>
        <v>5.5230279625596053</v>
      </c>
      <c r="K182" s="182">
        <f t="shared" si="43"/>
        <v>6.0782042296306127</v>
      </c>
      <c r="L182" s="182">
        <f t="shared" si="43"/>
        <v>6.2241981199744156</v>
      </c>
      <c r="M182" s="182">
        <f t="shared" si="43"/>
        <v>6.7860245179739245</v>
      </c>
      <c r="N182" s="182">
        <f t="shared" si="43"/>
        <v>8.8825912336175818</v>
      </c>
      <c r="O182" s="182">
        <f t="shared" si="43"/>
        <v>12.857231784965878</v>
      </c>
      <c r="P182" s="182">
        <f t="shared" si="43"/>
        <v>9.3139446191920054</v>
      </c>
      <c r="Q182" s="182">
        <f t="shared" si="43"/>
        <v>8.6504500117930956</v>
      </c>
      <c r="R182" s="182">
        <f t="shared" si="43"/>
        <v>17.295108959094787</v>
      </c>
      <c r="S182" s="182">
        <f>S176/S8</f>
        <v>14.745028805652153</v>
      </c>
      <c r="T182" s="182">
        <f>T176/T8</f>
        <v>12.811773817326923</v>
      </c>
      <c r="U182" s="182">
        <f>U176/U8</f>
        <v>9.7880510965505678</v>
      </c>
      <c r="V182" s="182">
        <f>V176/V8</f>
        <v>10.97951657031685</v>
      </c>
      <c r="W182" s="214"/>
      <c r="Y182" s="214"/>
    </row>
    <row r="183" spans="2:25" x14ac:dyDescent="0.3">
      <c r="B183" s="177" t="s">
        <v>464</v>
      </c>
      <c r="G183" s="303">
        <f>G176/H8</f>
        <v>4.2222295647422436</v>
      </c>
      <c r="H183" s="303">
        <f t="shared" ref="H183:R183" si="44">H176/I8</f>
        <v>4.6242677497852842</v>
      </c>
      <c r="I183" s="303">
        <f t="shared" si="44"/>
        <v>5.3446031450521003</v>
      </c>
      <c r="J183" s="303">
        <f t="shared" si="44"/>
        <v>4.1454434429126907</v>
      </c>
      <c r="K183" s="303">
        <f t="shared" si="44"/>
        <v>5.0278478846856727</v>
      </c>
      <c r="L183" s="303">
        <f t="shared" si="44"/>
        <v>5.7629611269976913</v>
      </c>
      <c r="M183" s="303">
        <f t="shared" si="44"/>
        <v>5.7381482286957013</v>
      </c>
      <c r="N183" s="303">
        <f t="shared" si="44"/>
        <v>6.6715605448390738</v>
      </c>
      <c r="O183" s="303">
        <f t="shared" si="44"/>
        <v>11.301252550369803</v>
      </c>
      <c r="P183" s="303">
        <f t="shared" si="44"/>
        <v>7.1559727488796563</v>
      </c>
      <c r="Q183" s="303">
        <f t="shared" si="44"/>
        <v>8.4348537004341395</v>
      </c>
      <c r="R183" s="303">
        <f t="shared" si="44"/>
        <v>14.963325139589557</v>
      </c>
      <c r="S183" s="303">
        <f>S176/T8</f>
        <v>12.785581121207043</v>
      </c>
      <c r="T183" s="303">
        <f>T176/U8</f>
        <v>10.053030602912472</v>
      </c>
      <c r="U183" s="303"/>
      <c r="V183" s="303"/>
      <c r="W183" s="214"/>
      <c r="X183" s="180" t="s">
        <v>497</v>
      </c>
      <c r="Y183" s="214"/>
    </row>
    <row r="184" spans="2:25" x14ac:dyDescent="0.3">
      <c r="B184" s="180" t="s">
        <v>465</v>
      </c>
      <c r="G184" s="182">
        <f>G176/G17</f>
        <v>16.97558904297679</v>
      </c>
      <c r="H184" s="182">
        <f t="shared" ref="H184:R184" si="45">H176/H17</f>
        <v>18.918936133524202</v>
      </c>
      <c r="I184" s="182">
        <f t="shared" si="45"/>
        <v>19.503495945220202</v>
      </c>
      <c r="J184" s="182">
        <f t="shared" si="45"/>
        <v>18.627951156557142</v>
      </c>
      <c r="K184" s="182">
        <f t="shared" si="45"/>
        <v>18.88484306895014</v>
      </c>
      <c r="L184" s="182">
        <f t="shared" si="45"/>
        <v>20.105556146694212</v>
      </c>
      <c r="M184" s="182">
        <f t="shared" si="45"/>
        <v>24.763091969991663</v>
      </c>
      <c r="N184" s="182">
        <f t="shared" si="45"/>
        <v>27.335743318215844</v>
      </c>
      <c r="O184" s="182">
        <f t="shared" si="45"/>
        <v>33.13704847599395</v>
      </c>
      <c r="P184" s="182">
        <f t="shared" si="45"/>
        <v>27.837312790254508</v>
      </c>
      <c r="Q184" s="182">
        <f t="shared" si="45"/>
        <v>24.370373094734266</v>
      </c>
      <c r="R184" s="182">
        <f t="shared" si="45"/>
        <v>49.1701137689615</v>
      </c>
      <c r="S184" s="182">
        <f>S176/S17</f>
        <v>38.950169060713918</v>
      </c>
      <c r="T184" s="182">
        <f>T176/T17</f>
        <v>32.878497788676228</v>
      </c>
      <c r="U184" s="182">
        <f>U176/U17</f>
        <v>21.937673776221928</v>
      </c>
      <c r="V184" s="182">
        <f>V176/V17</f>
        <v>26.703733165313331</v>
      </c>
      <c r="W184" s="214"/>
      <c r="Y184" s="214"/>
    </row>
    <row r="185" spans="2:25" x14ac:dyDescent="0.3">
      <c r="B185" s="177" t="s">
        <v>466</v>
      </c>
      <c r="G185" s="303">
        <f>G176/H17</f>
        <v>16.089694820406038</v>
      </c>
      <c r="H185" s="303">
        <f t="shared" ref="H185:R185" si="46">H176/I17</f>
        <v>15.614726664876478</v>
      </c>
      <c r="I185" s="303">
        <f t="shared" si="46"/>
        <v>18.026163729772669</v>
      </c>
      <c r="J185" s="303">
        <f t="shared" si="46"/>
        <v>12.87979901843018</v>
      </c>
      <c r="K185" s="303">
        <f t="shared" si="46"/>
        <v>16.241076520070834</v>
      </c>
      <c r="L185" s="303">
        <f t="shared" si="46"/>
        <v>21.029799705165019</v>
      </c>
      <c r="M185" s="303">
        <f t="shared" si="46"/>
        <v>17.658872616793623</v>
      </c>
      <c r="N185" s="303">
        <f t="shared" si="46"/>
        <v>17.194667474484497</v>
      </c>
      <c r="O185" s="303">
        <f t="shared" si="46"/>
        <v>33.776935018279858</v>
      </c>
      <c r="P185" s="303">
        <f t="shared" si="46"/>
        <v>20.160075546150626</v>
      </c>
      <c r="Q185" s="303">
        <f t="shared" si="46"/>
        <v>23.980347105983185</v>
      </c>
      <c r="R185" s="303">
        <f t="shared" si="46"/>
        <v>39.52681622934724</v>
      </c>
      <c r="S185" s="303">
        <f>S176/T17</f>
        <v>32.811280203216491</v>
      </c>
      <c r="T185" s="303">
        <f>T176/U17</f>
        <v>22.531564624421563</v>
      </c>
      <c r="U185" s="303"/>
      <c r="V185" s="303"/>
      <c r="W185" s="214"/>
      <c r="Y185" s="214"/>
    </row>
    <row r="186" spans="2:25" x14ac:dyDescent="0.3">
      <c r="B186" s="180" t="s">
        <v>467</v>
      </c>
      <c r="G186" s="182">
        <f>G176/G241</f>
        <v>3.718627695731946</v>
      </c>
      <c r="H186" s="182">
        <f t="shared" ref="H186:R186" si="47">H176/H241</f>
        <v>3.8081207415945189</v>
      </c>
      <c r="I186" s="182">
        <f t="shared" si="47"/>
        <v>4.5725899584487539</v>
      </c>
      <c r="J186" s="182">
        <f t="shared" si="47"/>
        <v>3.4838349795766801</v>
      </c>
      <c r="K186" s="182">
        <f t="shared" si="47"/>
        <v>4.9276646442484218</v>
      </c>
      <c r="L186" s="182">
        <f t="shared" si="47"/>
        <v>6.0774269269202295</v>
      </c>
      <c r="M186" s="182">
        <f t="shared" si="47"/>
        <v>6.5861536794048563</v>
      </c>
      <c r="N186" s="182">
        <f t="shared" si="47"/>
        <v>9.8152134590757445</v>
      </c>
      <c r="O186" s="182">
        <f t="shared" si="47"/>
        <v>16.410466882239575</v>
      </c>
      <c r="P186" s="182">
        <f t="shared" si="47"/>
        <v>10.217759902593198</v>
      </c>
      <c r="Q186" s="182">
        <f t="shared" si="47"/>
        <v>11.005651938968654</v>
      </c>
      <c r="R186" s="182">
        <f t="shared" si="47"/>
        <v>20.430671088763773</v>
      </c>
      <c r="S186" s="182">
        <f>S176/S241</f>
        <v>20.109330981505448</v>
      </c>
      <c r="T186" s="182">
        <f>T176/T241</f>
        <v>16.028228981272111</v>
      </c>
      <c r="U186" s="182">
        <f>U176/U241</f>
        <v>12.76050342807221</v>
      </c>
      <c r="V186" s="182">
        <f>V176/V241</f>
        <v>14.527184854701964</v>
      </c>
      <c r="W186" s="214"/>
      <c r="Y186" s="214"/>
    </row>
    <row r="187" spans="2:25" x14ac:dyDescent="0.3">
      <c r="B187" s="180" t="s">
        <v>365</v>
      </c>
      <c r="G187" s="188">
        <f>-G149/G174</f>
        <v>8.1049729391043483E-3</v>
      </c>
      <c r="H187" s="188">
        <f t="shared" ref="H187:R187" si="48">-H149/H174</f>
        <v>8.736807284487811E-3</v>
      </c>
      <c r="I187" s="188">
        <f t="shared" si="48"/>
        <v>7.8327203612118968E-3</v>
      </c>
      <c r="J187" s="188">
        <f t="shared" si="48"/>
        <v>1.1652864211825875E-2</v>
      </c>
      <c r="K187" s="188">
        <f t="shared" si="48"/>
        <v>9.3456477933642722E-3</v>
      </c>
      <c r="L187" s="188">
        <f t="shared" si="48"/>
        <v>8.6379091760153664E-3</v>
      </c>
      <c r="M187" s="188">
        <f t="shared" si="48"/>
        <v>1.6202653565663229E-2</v>
      </c>
      <c r="N187" s="188">
        <f t="shared" si="48"/>
        <v>8.4075873925524396E-3</v>
      </c>
      <c r="O187" s="188">
        <f t="shared" si="48"/>
        <v>5.6473148314448596E-3</v>
      </c>
      <c r="P187" s="188">
        <f t="shared" si="48"/>
        <v>1.2778831836857862E-2</v>
      </c>
      <c r="Q187" s="188">
        <f t="shared" si="48"/>
        <v>9.7536288082861484E-3</v>
      </c>
      <c r="R187" s="188">
        <f t="shared" si="48"/>
        <v>4.9367670065047116E-3</v>
      </c>
      <c r="S187" s="188">
        <f>-S149/S174</f>
        <v>5.1984285148968835E-3</v>
      </c>
      <c r="T187" s="188">
        <f>-T149/T174</f>
        <v>7.6757462586272687E-3</v>
      </c>
      <c r="U187" s="188">
        <f>-U149/U174</f>
        <v>7.6757462586272678E-3</v>
      </c>
      <c r="V187" s="188">
        <f>-V149/V174</f>
        <v>7.6757462586272678E-3</v>
      </c>
      <c r="W187" s="214"/>
      <c r="X187" s="180" t="s">
        <v>503</v>
      </c>
      <c r="Y187" s="214"/>
    </row>
    <row r="188" spans="2:25" x14ac:dyDescent="0.3">
      <c r="B188" s="180" t="s">
        <v>366</v>
      </c>
      <c r="G188" s="188">
        <f>G167/G174</f>
        <v>3.1482250278038838E-2</v>
      </c>
      <c r="H188" s="188">
        <f t="shared" ref="H188:R188" si="49">H167/H174</f>
        <v>2.1643158045415882E-2</v>
      </c>
      <c r="I188" s="188">
        <f t="shared" si="49"/>
        <v>4.2819562252526554E-2</v>
      </c>
      <c r="J188" s="188">
        <f>J167/J174</f>
        <v>3.1140509071118427E-2</v>
      </c>
      <c r="K188" s="188">
        <f t="shared" si="49"/>
        <v>2.6412714288077892E-2</v>
      </c>
      <c r="L188" s="188">
        <f t="shared" si="49"/>
        <v>3.5633726146978809E-2</v>
      </c>
      <c r="M188" s="188">
        <f t="shared" si="49"/>
        <v>2.9215375336321472E-2</v>
      </c>
      <c r="N188" s="188">
        <f t="shared" si="49"/>
        <v>2.8593208173827756E-2</v>
      </c>
      <c r="O188" s="188">
        <f t="shared" si="49"/>
        <v>4.0882465148634833E-2</v>
      </c>
      <c r="P188" s="188">
        <f t="shared" si="49"/>
        <v>3.5779630919441661E-2</v>
      </c>
      <c r="Q188" s="188">
        <f t="shared" si="49"/>
        <v>1.3486622153920453E-2</v>
      </c>
      <c r="R188" s="188">
        <f t="shared" si="49"/>
        <v>1.8280870967745503E-2</v>
      </c>
      <c r="S188" s="188">
        <f>S167/S174</f>
        <v>2.2476721597522904E-2</v>
      </c>
      <c r="T188" s="188">
        <f>T167/T174</f>
        <v>1.4549607584698291E-2</v>
      </c>
      <c r="U188" s="188">
        <f>U167/U174</f>
        <v>2.3726094093515754E-2</v>
      </c>
      <c r="V188" s="188">
        <f>V167/V174</f>
        <v>4.2404851464218234E-2</v>
      </c>
      <c r="W188" s="214"/>
      <c r="X188" s="180" t="s">
        <v>503</v>
      </c>
      <c r="Y188" s="214"/>
    </row>
    <row r="189" spans="2:25" x14ac:dyDescent="0.3">
      <c r="W189" s="214"/>
      <c r="Y189" s="214"/>
    </row>
    <row r="190" spans="2:25" x14ac:dyDescent="0.3">
      <c r="B190" s="289" t="s">
        <v>468</v>
      </c>
      <c r="W190" s="214"/>
      <c r="Y190" s="214"/>
    </row>
    <row r="191" spans="2:25" x14ac:dyDescent="0.3">
      <c r="B191" s="177" t="s">
        <v>506</v>
      </c>
      <c r="G191" s="303">
        <f>G28</f>
        <v>2.7584217812644214</v>
      </c>
      <c r="H191" s="303">
        <f t="shared" ref="H191:R191" si="50">H28</f>
        <v>2.7183098591549308</v>
      </c>
      <c r="I191" s="303">
        <f t="shared" si="50"/>
        <v>3.2033252511257344</v>
      </c>
      <c r="J191" s="303">
        <f t="shared" si="50"/>
        <v>3.0920144978370137</v>
      </c>
      <c r="K191" s="303">
        <f t="shared" si="50"/>
        <v>4.9067747539085094</v>
      </c>
      <c r="L191" s="303">
        <f t="shared" si="50"/>
        <v>6.0764361078546312</v>
      </c>
      <c r="M191" s="303">
        <f t="shared" si="50"/>
        <v>6.1459308873214393</v>
      </c>
      <c r="N191" s="303">
        <f t="shared" si="50"/>
        <v>8.4796277515957765</v>
      </c>
      <c r="O191" s="303">
        <f t="shared" si="50"/>
        <v>14.337029365176072</v>
      </c>
      <c r="P191" s="303">
        <f t="shared" si="50"/>
        <v>14.132043470067211</v>
      </c>
      <c r="Q191" s="303">
        <f t="shared" si="50"/>
        <v>19.895939086294415</v>
      </c>
      <c r="R191" s="303">
        <f t="shared" si="50"/>
        <v>19.236788617886173</v>
      </c>
      <c r="S191" s="303">
        <f>S28</f>
        <v>24.811159164255869</v>
      </c>
      <c r="T191" s="303">
        <f>T28</f>
        <v>30.547092808182654</v>
      </c>
      <c r="U191" s="303">
        <f>U28</f>
        <v>46.500704514861688</v>
      </c>
      <c r="V191" s="303">
        <f>V28</f>
        <v>37.438708342241362</v>
      </c>
      <c r="W191" s="214"/>
      <c r="Y191" s="214"/>
    </row>
    <row r="192" spans="2:25" x14ac:dyDescent="0.3">
      <c r="B192" s="180" t="s">
        <v>469</v>
      </c>
      <c r="G192" s="182">
        <f>-G149/G173</f>
        <v>0.50279199627733828</v>
      </c>
      <c r="H192" s="182">
        <f t="shared" ref="H192:R192" si="51">-H149/H173</f>
        <v>0.61302681992337171</v>
      </c>
      <c r="I192" s="182">
        <f t="shared" si="51"/>
        <v>0.70192140244964296</v>
      </c>
      <c r="J192" s="182">
        <f t="shared" si="51"/>
        <v>1.0476973684210524</v>
      </c>
      <c r="K192" s="182">
        <f t="shared" si="51"/>
        <v>1.2023269342641072</v>
      </c>
      <c r="L192" s="182">
        <f t="shared" si="51"/>
        <v>1.4051891510266519</v>
      </c>
      <c r="M192" s="182">
        <f t="shared" si="51"/>
        <v>3.1504277566539929</v>
      </c>
      <c r="N192" s="182">
        <f t="shared" si="51"/>
        <v>2.5492141277714699</v>
      </c>
      <c r="O192" s="182">
        <f t="shared" si="51"/>
        <v>3.3393532641854797</v>
      </c>
      <c r="P192" s="182">
        <f t="shared" si="51"/>
        <v>6.4379754794089914</v>
      </c>
      <c r="Q192" s="182">
        <f t="shared" si="51"/>
        <v>5.9626761457407627</v>
      </c>
      <c r="R192" s="182">
        <f t="shared" si="51"/>
        <v>6.2371114360180533</v>
      </c>
      <c r="S192" s="182">
        <f>-S149/S173</f>
        <v>6.567694585720723</v>
      </c>
      <c r="T192" s="182">
        <f>-T149/T173</f>
        <v>9.6975378231496911</v>
      </c>
      <c r="U192" s="182">
        <f>-U149/U173</f>
        <v>9.6975378231496911</v>
      </c>
      <c r="V192" s="182">
        <f>-V149/V173</f>
        <v>9.6975378231496911</v>
      </c>
      <c r="W192" s="214"/>
      <c r="Y192" s="214"/>
    </row>
    <row r="193" spans="2:25" x14ac:dyDescent="0.3">
      <c r="B193" s="180" t="s">
        <v>470</v>
      </c>
      <c r="G193" s="182">
        <f>G167/G$173</f>
        <v>1.9530013959981394</v>
      </c>
      <c r="H193" s="182">
        <f t="shared" ref="H193:R193" si="52">H167/H$173</f>
        <v>1.5186138274146508</v>
      </c>
      <c r="I193" s="182">
        <f t="shared" si="52"/>
        <v>3.8372322516979152</v>
      </c>
      <c r="J193" s="182">
        <f t="shared" si="52"/>
        <v>2.7998120300751865</v>
      </c>
      <c r="K193" s="182">
        <f t="shared" si="52"/>
        <v>3.3980221058755089</v>
      </c>
      <c r="L193" s="182">
        <f t="shared" si="52"/>
        <v>5.7967876684120707</v>
      </c>
      <c r="M193" s="182">
        <f t="shared" si="52"/>
        <v>5.6806083650190109</v>
      </c>
      <c r="N193" s="182">
        <f t="shared" si="52"/>
        <v>8.669575091137272</v>
      </c>
      <c r="O193" s="182">
        <f t="shared" si="52"/>
        <v>24.174496644295306</v>
      </c>
      <c r="P193" s="182">
        <f t="shared" si="52"/>
        <v>18.025778057214708</v>
      </c>
      <c r="Q193" s="182">
        <f t="shared" si="52"/>
        <v>8.2447632347340356</v>
      </c>
      <c r="R193" s="182">
        <f t="shared" si="52"/>
        <v>23.09605238064967</v>
      </c>
      <c r="S193" s="182">
        <f>S167/S$173</f>
        <v>28.39709006631044</v>
      </c>
      <c r="T193" s="182">
        <f>T167/T$173</f>
        <v>18.381974222507822</v>
      </c>
      <c r="U193" s="182">
        <f>U167/U$173</f>
        <v>29.975547277747808</v>
      </c>
      <c r="V193" s="182">
        <f>V167/V$173</f>
        <v>53.574289339893326</v>
      </c>
      <c r="W193" s="214"/>
      <c r="X193" s="180" t="s">
        <v>496</v>
      </c>
      <c r="Y193" s="214"/>
    </row>
    <row r="194" spans="2:25" x14ac:dyDescent="0.3">
      <c r="B194" s="180" t="s">
        <v>471</v>
      </c>
      <c r="G194" s="182">
        <f>G119/G$173</f>
        <v>16.106095858538858</v>
      </c>
      <c r="H194" s="182">
        <f t="shared" ref="H194:R194" si="53">H119/H$173</f>
        <v>17.184422714016129</v>
      </c>
      <c r="I194" s="182">
        <f t="shared" si="53"/>
        <v>19.478123875312011</v>
      </c>
      <c r="J194" s="182">
        <f t="shared" si="53"/>
        <v>23.074248120300751</v>
      </c>
      <c r="K194" s="182">
        <f t="shared" si="53"/>
        <v>25.075974403723094</v>
      </c>
      <c r="L194" s="182">
        <f t="shared" si="53"/>
        <v>27.395422721656761</v>
      </c>
      <c r="M194" s="182">
        <f t="shared" si="53"/>
        <v>29.924429657794679</v>
      </c>
      <c r="N194" s="182">
        <f t="shared" si="53"/>
        <v>33.145042729934858</v>
      </c>
      <c r="O194" s="182">
        <f t="shared" si="53"/>
        <v>24.748261134838316</v>
      </c>
      <c r="P194" s="182">
        <f t="shared" si="53"/>
        <v>22.158566488525622</v>
      </c>
      <c r="Q194" s="182">
        <f t="shared" si="53"/>
        <v>34.156150818839656</v>
      </c>
      <c r="R194" s="182">
        <f t="shared" si="53"/>
        <v>46.981882906363232</v>
      </c>
      <c r="S194" s="182">
        <f>S119/S$173</f>
        <v>49.819352346616888</v>
      </c>
      <c r="T194" s="182">
        <f>T119/T$173</f>
        <v>59.58812577885319</v>
      </c>
      <c r="U194" s="182">
        <f>U119/U$173</f>
        <v>90.851966020927435</v>
      </c>
      <c r="V194" s="182">
        <f>V119/V$173</f>
        <v>110.06605272913409</v>
      </c>
      <c r="W194" s="214"/>
      <c r="Y194" s="214"/>
    </row>
    <row r="195" spans="2:25" x14ac:dyDescent="0.3">
      <c r="W195" s="214"/>
      <c r="Y195" s="214"/>
    </row>
    <row r="196" spans="2:25" x14ac:dyDescent="0.3">
      <c r="W196" s="214"/>
      <c r="Y196" s="214"/>
    </row>
    <row r="197" spans="2:25" x14ac:dyDescent="0.3">
      <c r="B197" s="64" t="s">
        <v>472</v>
      </c>
      <c r="C197" s="64"/>
      <c r="D197" s="64"/>
      <c r="E197" s="81"/>
      <c r="F197" s="81"/>
      <c r="G197" s="81">
        <f t="shared" ref="G197:U197" si="54">G$3</f>
        <v>2013</v>
      </c>
      <c r="H197" s="81">
        <f t="shared" si="54"/>
        <v>2014</v>
      </c>
      <c r="I197" s="81">
        <f t="shared" si="54"/>
        <v>2015</v>
      </c>
      <c r="J197" s="81">
        <f t="shared" si="54"/>
        <v>2016</v>
      </c>
      <c r="K197" s="81">
        <f t="shared" si="54"/>
        <v>2017</v>
      </c>
      <c r="L197" s="81">
        <f t="shared" si="54"/>
        <v>2018</v>
      </c>
      <c r="M197" s="81">
        <f t="shared" si="54"/>
        <v>2019</v>
      </c>
      <c r="N197" s="81">
        <f t="shared" si="54"/>
        <v>2020</v>
      </c>
      <c r="O197" s="81">
        <f t="shared" si="54"/>
        <v>2021</v>
      </c>
      <c r="P197" s="81">
        <f t="shared" si="54"/>
        <v>2022</v>
      </c>
      <c r="Q197" s="81">
        <f t="shared" si="54"/>
        <v>2023</v>
      </c>
      <c r="R197" s="81">
        <f t="shared" si="54"/>
        <v>2024</v>
      </c>
      <c r="S197" s="81">
        <f t="shared" si="54"/>
        <v>2025</v>
      </c>
      <c r="T197" s="81" t="str">
        <f t="shared" si="54"/>
        <v>2026e</v>
      </c>
      <c r="U197" s="81" t="str">
        <f t="shared" si="54"/>
        <v>2027e</v>
      </c>
      <c r="V197" s="81" t="str">
        <f>V$3</f>
        <v>2028e</v>
      </c>
      <c r="W197" s="214"/>
      <c r="Y197" s="214"/>
    </row>
    <row r="198" spans="2:25" x14ac:dyDescent="0.3">
      <c r="W198" s="214"/>
      <c r="Y198" s="214"/>
    </row>
    <row r="199" spans="2:25" x14ac:dyDescent="0.3">
      <c r="B199" s="180" t="s">
        <v>368</v>
      </c>
      <c r="G199" s="184">
        <f>G15/(G100-G90)</f>
        <v>0.27359016064704439</v>
      </c>
      <c r="H199" s="184">
        <f>H15/(H100-H90)</f>
        <v>0.25351444332404061</v>
      </c>
      <c r="I199" s="184">
        <f t="shared" ref="I199:R199" si="55">I15/(I100-I90)</f>
        <v>0.28011239574757479</v>
      </c>
      <c r="J199" s="184">
        <f t="shared" si="55"/>
        <v>0.1916748569116031</v>
      </c>
      <c r="K199" s="184">
        <f t="shared" si="55"/>
        <v>0.26831916242972759</v>
      </c>
      <c r="L199" s="184">
        <f t="shared" si="55"/>
        <v>0.30870855239185885</v>
      </c>
      <c r="M199" s="184">
        <f t="shared" si="55"/>
        <v>0.26580940134304898</v>
      </c>
      <c r="N199" s="184">
        <f t="shared" si="55"/>
        <v>0.3573482456295094</v>
      </c>
      <c r="O199" s="184">
        <f t="shared" si="55"/>
        <v>0.56060228556242098</v>
      </c>
      <c r="P199" s="184">
        <f t="shared" si="55"/>
        <v>0.49115635978995875</v>
      </c>
      <c r="Q199" s="184">
        <f t="shared" si="55"/>
        <v>0.58099025932303583</v>
      </c>
      <c r="R199" s="184">
        <f t="shared" si="55"/>
        <v>0.50540549624135966</v>
      </c>
      <c r="S199" s="184">
        <f>S15/(S100-S90)</f>
        <v>0.56843384977820111</v>
      </c>
      <c r="T199" s="184">
        <f>T15/(T100-T90)</f>
        <v>0.64168518966873023</v>
      </c>
      <c r="U199" s="184">
        <f>U15/(U100-U90)</f>
        <v>0.8957584866792051</v>
      </c>
      <c r="V199" s="184">
        <f>V15/(V100-V90)</f>
        <v>0.6730577797961268</v>
      </c>
      <c r="W199" s="214"/>
      <c r="X199" s="180" t="s">
        <v>510</v>
      </c>
      <c r="Y199" s="214"/>
    </row>
    <row r="200" spans="2:25" x14ac:dyDescent="0.3">
      <c r="B200" s="180" t="s">
        <v>359</v>
      </c>
      <c r="G200" s="184">
        <f>G236/G241</f>
        <v>0.18494901795650742</v>
      </c>
      <c r="H200" s="184">
        <f>H236/H241</f>
        <v>0.17774299597899124</v>
      </c>
      <c r="I200" s="184">
        <f t="shared" ref="I200:R200" si="56">I236/I241</f>
        <v>0.21686917652984128</v>
      </c>
      <c r="J200" s="184">
        <f t="shared" si="56"/>
        <v>0.17157677311548453</v>
      </c>
      <c r="K200" s="184">
        <f t="shared" si="56"/>
        <v>0.19459320288362505</v>
      </c>
      <c r="L200" s="184">
        <f t="shared" si="56"/>
        <v>0.23256202992425265</v>
      </c>
      <c r="M200" s="184">
        <f t="shared" si="56"/>
        <v>0.21289392869459542</v>
      </c>
      <c r="N200" s="184">
        <f t="shared" si="56"/>
        <v>0.27596994513920731</v>
      </c>
      <c r="O200" s="184">
        <f>O236/O241</f>
        <v>0.3921152434968076</v>
      </c>
      <c r="P200" s="184">
        <f t="shared" si="56"/>
        <v>0.28598481904613871</v>
      </c>
      <c r="Q200" s="184">
        <f t="shared" si="56"/>
        <v>0.35163658187525965</v>
      </c>
      <c r="R200" s="184">
        <f t="shared" si="56"/>
        <v>0.30707869911767027</v>
      </c>
      <c r="S200" s="184">
        <f>S236/S241</f>
        <v>0.39048509664760156</v>
      </c>
      <c r="T200" s="184">
        <f>T236/T241</f>
        <v>0.37829648191210646</v>
      </c>
      <c r="U200" s="184">
        <f>U236/U241</f>
        <v>0.46520169461498379</v>
      </c>
      <c r="V200" s="184">
        <f>V236/V241</f>
        <v>0.43358501755324586</v>
      </c>
      <c r="W200" s="214"/>
      <c r="X200" s="180" t="s">
        <v>502</v>
      </c>
      <c r="Y200" s="214"/>
    </row>
    <row r="201" spans="2:25" x14ac:dyDescent="0.3">
      <c r="B201" s="185" t="s">
        <v>367</v>
      </c>
      <c r="G201" s="304" t="s">
        <v>404</v>
      </c>
      <c r="H201" s="186">
        <f>H24/AVERAGE(G119:H119)</f>
        <v>0.16579147904399036</v>
      </c>
      <c r="I201" s="186">
        <f t="shared" ref="I201:R201" si="57">I24/AVERAGE(H119:I119)</f>
        <v>0.17447585081031836</v>
      </c>
      <c r="J201" s="186">
        <f t="shared" si="57"/>
        <v>0.14523474775663486</v>
      </c>
      <c r="K201" s="186">
        <f t="shared" si="57"/>
        <v>0.20571156684533512</v>
      </c>
      <c r="L201" s="186">
        <f t="shared" si="57"/>
        <v>0.23121325399020407</v>
      </c>
      <c r="M201" s="186">
        <f t="shared" si="57"/>
        <v>0.21393790337223315</v>
      </c>
      <c r="N201" s="186">
        <f t="shared" si="57"/>
        <v>0.26862602805999031</v>
      </c>
      <c r="O201" s="186">
        <f t="shared" si="57"/>
        <v>0.49014413063400825</v>
      </c>
      <c r="P201" s="186">
        <f t="shared" si="57"/>
        <v>0.59353926359002485</v>
      </c>
      <c r="Q201" s="186">
        <f>Q24/AVERAGE(P119:Q119)</f>
        <v>0.70421143411549103</v>
      </c>
      <c r="R201" s="186">
        <f t="shared" si="57"/>
        <v>0.47427433195946023</v>
      </c>
      <c r="S201" s="186">
        <f>S24/AVERAGE(R119:S119)</f>
        <v>0.51019036192359657</v>
      </c>
      <c r="T201" s="186">
        <f>T24/AVERAGE(S119:T119)</f>
        <v>0.55580973466585348</v>
      </c>
      <c r="U201" s="186">
        <f>U24/AVERAGE(T119:U119)</f>
        <v>0.61424144075485487</v>
      </c>
      <c r="V201" s="186">
        <f>V24/AVERAGE(U119:V119)</f>
        <v>0.37133233531198234</v>
      </c>
      <c r="W201" s="214"/>
      <c r="X201" s="180" t="s">
        <v>511</v>
      </c>
      <c r="Y201" s="214"/>
    </row>
    <row r="202" spans="2:25" x14ac:dyDescent="0.3">
      <c r="B202" s="180" t="s">
        <v>473</v>
      </c>
      <c r="G202" s="182">
        <f>G17/Financials!FG190</f>
        <v>43.351190476190489</v>
      </c>
      <c r="H202" s="182">
        <f>H17/Financials!FH190</f>
        <v>66.528138528138527</v>
      </c>
      <c r="I202" s="182">
        <f>I17/Financials!FI190</f>
        <v>60.631472351621824</v>
      </c>
      <c r="J202" s="182">
        <f>J17/Financials!FJ190</f>
        <v>15.545738656047329</v>
      </c>
      <c r="K202" s="182">
        <f>K17/Financials!FK190</f>
        <v>45.156855897885784</v>
      </c>
      <c r="L202" s="182">
        <f>L17/Financials!FL190</f>
        <v>64.712556298777955</v>
      </c>
      <c r="M202" s="182">
        <f>M17/Financials!FM190</f>
        <v>69.725916079625861</v>
      </c>
      <c r="N202" s="182">
        <f>N17/Financials!FN190</f>
        <v>46.294748600618874</v>
      </c>
      <c r="O202" s="182">
        <f>O17/Financials!FO190</f>
        <v>58.516121085608518</v>
      </c>
      <c r="P202" s="182">
        <f>P17/Financials!FP190</f>
        <v>45.963801081712631</v>
      </c>
      <c r="Q202" s="182">
        <f>Q17/Financials!FQ190</f>
        <v>42.377408073112619</v>
      </c>
      <c r="R202" s="182">
        <f>R17/Financials!FR190</f>
        <v>40.913520739087197</v>
      </c>
      <c r="S202" s="182">
        <f>S17/Financials!FS190</f>
        <v>40.433136593040544</v>
      </c>
      <c r="T202" s="182">
        <f>T17/Financials!FT190</f>
        <v>49.202092541816889</v>
      </c>
      <c r="U202" s="182">
        <f>U17/Financials!FU190</f>
        <v>97.649009633002862</v>
      </c>
      <c r="V202" s="182">
        <f>V17/Financials!FV190</f>
        <v>77.399208810337527</v>
      </c>
      <c r="W202" s="214"/>
      <c r="Y202" s="214"/>
    </row>
    <row r="203" spans="2:25" x14ac:dyDescent="0.3">
      <c r="B203" s="180" t="s">
        <v>474</v>
      </c>
      <c r="G203" s="182">
        <f>G17/G137</f>
        <v>1.3817112502371467</v>
      </c>
      <c r="H203" s="182">
        <f t="shared" ref="H203:R203" si="58">H17/H137</f>
        <v>1.4990245805696454</v>
      </c>
      <c r="I203" s="182">
        <f t="shared" si="58"/>
        <v>0.9192791903233769</v>
      </c>
      <c r="J203" s="182">
        <f t="shared" si="58"/>
        <v>1.3286288992943345</v>
      </c>
      <c r="K203" s="182">
        <f t="shared" si="58"/>
        <v>1.6024308419952698</v>
      </c>
      <c r="L203" s="182">
        <f t="shared" si="58"/>
        <v>1.102613336804765</v>
      </c>
      <c r="M203" s="182">
        <f t="shared" si="58"/>
        <v>0.98864572841314902</v>
      </c>
      <c r="N203" s="182">
        <f t="shared" si="58"/>
        <v>0.98156672069151829</v>
      </c>
      <c r="O203" s="182">
        <f t="shared" si="58"/>
        <v>0.66579689833852729</v>
      </c>
      <c r="P203" s="182">
        <f t="shared" si="58"/>
        <v>0.83474336616863831</v>
      </c>
      <c r="Q203" s="182">
        <f t="shared" si="58"/>
        <v>1.7970569864422967</v>
      </c>
      <c r="R203" s="182">
        <f t="shared" si="58"/>
        <v>0.89029392273109931</v>
      </c>
      <c r="S203" s="182">
        <f>S17/S137</f>
        <v>0.97693561796421369</v>
      </c>
      <c r="T203" s="182">
        <f>T17/T137</f>
        <v>1.5560695227580534</v>
      </c>
      <c r="U203" s="182">
        <f>U17/U137</f>
        <v>1.5544888990131585</v>
      </c>
      <c r="V203" s="182">
        <f>V17/V137</f>
        <v>0.76509219824475305</v>
      </c>
      <c r="W203" s="214"/>
      <c r="X203" s="180" t="s">
        <v>512</v>
      </c>
      <c r="Y203" s="214"/>
    </row>
    <row r="204" spans="2:25" x14ac:dyDescent="0.3">
      <c r="B204" s="180" t="s">
        <v>475</v>
      </c>
      <c r="G204" s="182" t="str">
        <f>IF(G124&gt;0,"n/a",-G124/G119)</f>
        <v>n/a</v>
      </c>
      <c r="H204" s="182" t="str">
        <f t="shared" ref="H204:R204" si="59">IF(H124&gt;0,"n/a",-H124/H119)</f>
        <v>n/a</v>
      </c>
      <c r="I204" s="182" t="str">
        <f t="shared" si="59"/>
        <v>n/a</v>
      </c>
      <c r="J204" s="182" t="str">
        <f t="shared" si="59"/>
        <v>n/a</v>
      </c>
      <c r="K204" s="182" t="str">
        <f t="shared" si="59"/>
        <v>n/a</v>
      </c>
      <c r="L204" s="182" t="str">
        <f t="shared" si="59"/>
        <v>n/a</v>
      </c>
      <c r="M204" s="182" t="str">
        <f t="shared" si="59"/>
        <v>n/a</v>
      </c>
      <c r="N204" s="182" t="str">
        <f t="shared" si="59"/>
        <v>n/a</v>
      </c>
      <c r="O204" s="182" t="str">
        <f t="shared" si="59"/>
        <v>n/a</v>
      </c>
      <c r="P204" s="182" t="str">
        <f t="shared" si="59"/>
        <v>n/a</v>
      </c>
      <c r="Q204" s="182" t="str">
        <f t="shared" si="59"/>
        <v>n/a</v>
      </c>
      <c r="R204" s="182" t="str">
        <f t="shared" si="59"/>
        <v>n/a</v>
      </c>
      <c r="S204" s="182" t="str">
        <f>IF(S124&gt;0,"n/a",-S124/S119)</f>
        <v>n/a</v>
      </c>
      <c r="T204" s="182" t="str">
        <f>IF(T124&gt;0,"n/a",-T124/T119)</f>
        <v>n/a</v>
      </c>
      <c r="U204" s="182" t="str">
        <f>IF(U124&gt;0,"n/a",-U124/U119)</f>
        <v>n/a</v>
      </c>
      <c r="V204" s="182" t="str">
        <f>IF(V124&gt;0,"n/a",-V124/V119)</f>
        <v>n/a</v>
      </c>
      <c r="W204" s="214"/>
      <c r="Y204" s="214"/>
    </row>
    <row r="205" spans="2:25" x14ac:dyDescent="0.3">
      <c r="B205" s="180" t="s">
        <v>476</v>
      </c>
      <c r="G205" s="184">
        <f>G192/G193</f>
        <v>0.25744579461520123</v>
      </c>
      <c r="H205" s="184">
        <f t="shared" ref="H205:R205" si="60">H192/H193</f>
        <v>0.40367525229703277</v>
      </c>
      <c r="I205" s="184">
        <f t="shared" si="60"/>
        <v>0.18292387752632219</v>
      </c>
      <c r="J205" s="184">
        <f t="shared" si="60"/>
        <v>0.37420275260154429</v>
      </c>
      <c r="K205" s="184">
        <f t="shared" si="60"/>
        <v>0.35383140450592349</v>
      </c>
      <c r="L205" s="184">
        <f t="shared" si="60"/>
        <v>0.24240824943163375</v>
      </c>
      <c r="M205" s="184">
        <f t="shared" si="60"/>
        <v>0.55459337349397608</v>
      </c>
      <c r="N205" s="184">
        <f t="shared" si="60"/>
        <v>0.29404141506052345</v>
      </c>
      <c r="O205" s="184">
        <f t="shared" si="60"/>
        <v>0.13813537933471304</v>
      </c>
      <c r="P205" s="184">
        <f t="shared" si="60"/>
        <v>0.35715381932333462</v>
      </c>
      <c r="Q205" s="184">
        <f t="shared" si="60"/>
        <v>0.7232076866223206</v>
      </c>
      <c r="R205" s="184">
        <f t="shared" si="60"/>
        <v>0.27005097378648263</v>
      </c>
      <c r="S205" s="184">
        <f>S192/S193</f>
        <v>0.23128054918248342</v>
      </c>
      <c r="T205" s="184">
        <f>T192/T193</f>
        <v>0.52755692646307462</v>
      </c>
      <c r="U205" s="184">
        <f>U192/U193</f>
        <v>0.32351495481614134</v>
      </c>
      <c r="V205" s="184">
        <f>V192/V193</f>
        <v>0.18101103985953498</v>
      </c>
      <c r="W205" s="214"/>
      <c r="X205" s="180" t="s">
        <v>498</v>
      </c>
      <c r="Y205" s="214"/>
    </row>
    <row r="206" spans="2:25" x14ac:dyDescent="0.3">
      <c r="B206" s="180" t="s">
        <v>477</v>
      </c>
      <c r="G206" s="184">
        <f>G30/G28</f>
        <v>0.18227524147770671</v>
      </c>
      <c r="H206" s="184">
        <f t="shared" ref="H206:R206" si="61">H30/H28</f>
        <v>0.22551763841740607</v>
      </c>
      <c r="I206" s="184">
        <f t="shared" si="61"/>
        <v>0.21912273884862893</v>
      </c>
      <c r="J206" s="184">
        <f t="shared" si="61"/>
        <v>0.33883973349864893</v>
      </c>
      <c r="K206" s="184">
        <f t="shared" si="61"/>
        <v>0.24503405894195351</v>
      </c>
      <c r="L206" s="184">
        <f t="shared" si="61"/>
        <v>0.231252188961594</v>
      </c>
      <c r="M206" s="184">
        <f t="shared" si="61"/>
        <v>0.51260383730527648</v>
      </c>
      <c r="N206" s="184">
        <f t="shared" si="61"/>
        <v>0.30062807029373839</v>
      </c>
      <c r="O206" s="184">
        <f t="shared" si="61"/>
        <v>0.23291807383031538</v>
      </c>
      <c r="P206" s="184">
        <f t="shared" si="61"/>
        <v>0.45555870904622775</v>
      </c>
      <c r="Q206" s="184">
        <f t="shared" si="61"/>
        <v>0.29969312430435779</v>
      </c>
      <c r="R206" s="184">
        <f t="shared" si="61"/>
        <v>0.32422830857635199</v>
      </c>
      <c r="S206" s="184">
        <f>S30/S28</f>
        <v>0.26470728522762671</v>
      </c>
      <c r="T206" s="184">
        <f>T30/T28</f>
        <v>0.31746189020488425</v>
      </c>
      <c r="U206" s="184">
        <f>U30/U28</f>
        <v>0.20854604084654987</v>
      </c>
      <c r="V206" s="184">
        <f>V30/V28</f>
        <v>0.25902436949749541</v>
      </c>
      <c r="W206" s="214"/>
      <c r="X206" s="180" t="s">
        <v>499</v>
      </c>
      <c r="Y206" s="214"/>
    </row>
    <row r="207" spans="2:25" x14ac:dyDescent="0.3">
      <c r="B207" s="180" t="s">
        <v>478</v>
      </c>
      <c r="G207" s="184">
        <f>-G142/G8</f>
        <v>3.8854994193869466E-2</v>
      </c>
      <c r="H207" s="184">
        <f t="shared" ref="H207:R207" si="62">-H142/H8</f>
        <v>6.1181974967129404E-2</v>
      </c>
      <c r="I207" s="184">
        <f t="shared" si="62"/>
        <v>5.9134141298469958E-2</v>
      </c>
      <c r="J207" s="184">
        <f t="shared" si="62"/>
        <v>4.6550303173014673E-2</v>
      </c>
      <c r="K207" s="184">
        <f t="shared" si="62"/>
        <v>3.7435931424531645E-2</v>
      </c>
      <c r="L207" s="184">
        <f t="shared" si="62"/>
        <v>5.2448830409356724E-2</v>
      </c>
      <c r="M207" s="184">
        <f t="shared" si="62"/>
        <v>6.4856724676181698E-2</v>
      </c>
      <c r="N207" s="184">
        <f t="shared" si="62"/>
        <v>6.8820465861615068E-2</v>
      </c>
      <c r="O207" s="184">
        <f t="shared" si="62"/>
        <v>4.8396109827521364E-2</v>
      </c>
      <c r="P207" s="184">
        <f t="shared" si="62"/>
        <v>6.0538222486705033E-2</v>
      </c>
      <c r="Q207" s="184">
        <f t="shared" si="62"/>
        <v>7.8219061269662715E-2</v>
      </c>
      <c r="R207" s="184">
        <f t="shared" si="62"/>
        <v>7.3141821964483475E-2</v>
      </c>
      <c r="S207" s="184">
        <f>-S142/S8</f>
        <v>4.8170642111965513E-2</v>
      </c>
      <c r="T207" s="184">
        <f>-T142/T8</f>
        <v>6.1550211759721897E-2</v>
      </c>
      <c r="U207" s="184">
        <f>-U142/U8</f>
        <v>4.9999999999999996E-2</v>
      </c>
      <c r="V207" s="184">
        <f>-V142/V8</f>
        <v>5.000000000000001E-2</v>
      </c>
      <c r="W207" s="214"/>
      <c r="X207" s="180" t="s">
        <v>500</v>
      </c>
      <c r="Y207" s="214"/>
    </row>
    <row r="208" spans="2:25" x14ac:dyDescent="0.3">
      <c r="W208" s="214"/>
      <c r="X208" s="214"/>
      <c r="Y208" s="214"/>
    </row>
    <row r="209" spans="2:25" x14ac:dyDescent="0.3">
      <c r="B209" s="289" t="s">
        <v>479</v>
      </c>
      <c r="W209" s="214"/>
      <c r="X209" s="214"/>
      <c r="Y209" s="214"/>
    </row>
    <row r="210" spans="2:25" x14ac:dyDescent="0.3">
      <c r="B210" s="296" t="s">
        <v>480</v>
      </c>
      <c r="H210" s="188">
        <f>H8/G8-1</f>
        <v>7.9442611468490298E-2</v>
      </c>
      <c r="I210" s="188">
        <f t="shared" ref="I210:R210" si="63">I8/H8-1</f>
        <v>7.3613032119256072E-2</v>
      </c>
      <c r="J210" s="188">
        <f t="shared" si="63"/>
        <v>8.0701084709100757E-2</v>
      </c>
      <c r="K210" s="188">
        <f t="shared" si="63"/>
        <v>0.33231294519338328</v>
      </c>
      <c r="L210" s="188">
        <f t="shared" si="63"/>
        <v>0.20890774125132561</v>
      </c>
      <c r="M210" s="188">
        <f t="shared" si="63"/>
        <v>8.0034722222222188E-2</v>
      </c>
      <c r="N210" s="188">
        <f t="shared" si="63"/>
        <v>0.18261575817054299</v>
      </c>
      <c r="O210" s="188">
        <f t="shared" si="63"/>
        <v>0.33141132032278375</v>
      </c>
      <c r="P210" s="188">
        <f t="shared" si="63"/>
        <v>0.13768201601203578</v>
      </c>
      <c r="Q210" s="188">
        <f t="shared" si="63"/>
        <v>0.30156233765007046</v>
      </c>
      <c r="R210" s="188">
        <f t="shared" si="63"/>
        <v>2.556017199775007E-2</v>
      </c>
      <c r="S210" s="188">
        <f>S8/R8-1</f>
        <v>0.15583326551769283</v>
      </c>
      <c r="T210" s="188">
        <f>T8/S8-1</f>
        <v>0.15325448768183358</v>
      </c>
      <c r="U210" s="188">
        <f>U8/T8-1</f>
        <v>0.2744190606179211</v>
      </c>
      <c r="V210" s="188">
        <f>V8/U8-1</f>
        <v>-0.13987198476184293</v>
      </c>
      <c r="W210" s="214"/>
      <c r="X210" s="214"/>
      <c r="Y210" s="214"/>
    </row>
    <row r="211" spans="2:25" x14ac:dyDescent="0.3">
      <c r="B211" s="180" t="s">
        <v>513</v>
      </c>
      <c r="H211" s="188">
        <f>H15/G15-1</f>
        <v>4.4221842169557712E-2</v>
      </c>
      <c r="I211" s="188">
        <f t="shared" ref="I211:R211" si="64">I15/H15-1</f>
        <v>0.22063640617688285</v>
      </c>
      <c r="J211" s="188">
        <f t="shared" si="64"/>
        <v>5.9165548527250422E-2</v>
      </c>
      <c r="K211" s="188">
        <f t="shared" si="64"/>
        <v>0.50582131869457703</v>
      </c>
      <c r="L211" s="188">
        <f t="shared" si="64"/>
        <v>0.18792564698341563</v>
      </c>
      <c r="M211" s="188">
        <f t="shared" si="64"/>
        <v>-5.8914780966512925E-2</v>
      </c>
      <c r="N211" s="188">
        <f t="shared" si="64"/>
        <v>0.45180247975345811</v>
      </c>
      <c r="O211" s="188">
        <f t="shared" si="64"/>
        <v>0.66611541689292597</v>
      </c>
      <c r="P211" s="188">
        <f t="shared" si="64"/>
        <v>-3.6947600776285006E-2</v>
      </c>
      <c r="Q211" s="188">
        <f t="shared" si="64"/>
        <v>0.3909732798006369</v>
      </c>
      <c r="R211" s="188">
        <f t="shared" si="64"/>
        <v>-2.1786492374727962E-3</v>
      </c>
      <c r="S211" s="188">
        <f>S15/R15-1</f>
        <v>0.25690372176534493</v>
      </c>
      <c r="T211" s="188">
        <f>T15/S15-1</f>
        <v>0.20676112224332654</v>
      </c>
      <c r="U211" s="188">
        <f>U15/T15-1</f>
        <v>0.48110979440456481</v>
      </c>
      <c r="V211" s="188">
        <f>V15/U15-1</f>
        <v>-0.2112106794823474</v>
      </c>
      <c r="W211" s="214"/>
      <c r="X211" s="214"/>
      <c r="Y211" s="214"/>
    </row>
    <row r="212" spans="2:25" x14ac:dyDescent="0.3">
      <c r="B212" s="180" t="s">
        <v>515</v>
      </c>
      <c r="H212" s="188">
        <f>H17/G17-1</f>
        <v>5.505972813401061E-2</v>
      </c>
      <c r="I212" s="188">
        <f t="shared" ref="I212:R212" si="65">I17/H17-1</f>
        <v>0.21160853722019746</v>
      </c>
      <c r="J212" s="188">
        <f t="shared" si="65"/>
        <v>8.1954887218044892E-2</v>
      </c>
      <c r="K212" s="188">
        <f t="shared" si="65"/>
        <v>0.44629206790429876</v>
      </c>
      <c r="L212" s="188">
        <f t="shared" si="65"/>
        <v>0.16278271613412576</v>
      </c>
      <c r="M212" s="188">
        <f t="shared" si="65"/>
        <v>-4.3949232585596465E-2</v>
      </c>
      <c r="N212" s="188">
        <f t="shared" si="65"/>
        <v>0.40230310888827137</v>
      </c>
      <c r="O212" s="188">
        <f t="shared" si="65"/>
        <v>0.58978028268240079</v>
      </c>
      <c r="P212" s="188">
        <f t="shared" si="65"/>
        <v>-1.894448214261002E-2</v>
      </c>
      <c r="Q212" s="188">
        <f t="shared" si="65"/>
        <v>0.38081391245430019</v>
      </c>
      <c r="R212" s="188">
        <f t="shared" si="65"/>
        <v>1.6264401304423526E-2</v>
      </c>
      <c r="S212" s="188">
        <f>S17/R17-1</f>
        <v>0.24396848670180682</v>
      </c>
      <c r="T212" s="188">
        <f>T17/S17-1</f>
        <v>0.1870969014154964</v>
      </c>
      <c r="U212" s="188">
        <f>U17/T17-1</f>
        <v>0.45921946996258778</v>
      </c>
      <c r="V212" s="188">
        <f>V17/U17-1</f>
        <v>-0.20737333536480052</v>
      </c>
      <c r="W212" s="214"/>
      <c r="X212" s="214"/>
      <c r="Y212" s="214"/>
    </row>
    <row r="213" spans="2:25" x14ac:dyDescent="0.3">
      <c r="B213" s="180" t="s">
        <v>514</v>
      </c>
      <c r="H213" s="188">
        <f>H28/G28-1</f>
        <v>-1.4541620277919831E-2</v>
      </c>
      <c r="I213" s="188">
        <f t="shared" ref="I213:R213" si="66">I28/H28-1</f>
        <v>0.17842535145039906</v>
      </c>
      <c r="J213" s="188">
        <f t="shared" si="66"/>
        <v>-3.4748501810611732E-2</v>
      </c>
      <c r="K213" s="188">
        <f t="shared" si="66"/>
        <v>0.58691841753684937</v>
      </c>
      <c r="L213" s="188">
        <f t="shared" si="66"/>
        <v>0.23837681829890878</v>
      </c>
      <c r="M213" s="188">
        <f t="shared" si="66"/>
        <v>1.143676626122625E-2</v>
      </c>
      <c r="N213" s="188">
        <f t="shared" si="66"/>
        <v>0.37971414047114749</v>
      </c>
      <c r="O213" s="188">
        <f t="shared" si="66"/>
        <v>0.69076164487031799</v>
      </c>
      <c r="P213" s="188">
        <f t="shared" si="66"/>
        <v>-1.4297654687571493E-2</v>
      </c>
      <c r="Q213" s="188">
        <f t="shared" si="66"/>
        <v>0.40786002593578141</v>
      </c>
      <c r="R213" s="188">
        <f t="shared" si="66"/>
        <v>-3.3129899802633922E-2</v>
      </c>
      <c r="S213" s="188">
        <f>S28/R28-1</f>
        <v>0.28977656599016233</v>
      </c>
      <c r="T213" s="188">
        <f>T28/S28-1</f>
        <v>0.23118362209332988</v>
      </c>
      <c r="U213" s="188">
        <f>U28/T28-1</f>
        <v>0.52226284860749628</v>
      </c>
      <c r="V213" s="188">
        <f>V28/U28-1</f>
        <v>-0.19487868554172338</v>
      </c>
      <c r="W213" s="214"/>
      <c r="X213" s="214"/>
      <c r="Y213" s="214"/>
    </row>
    <row r="214" spans="2:25" x14ac:dyDescent="0.3">
      <c r="B214" s="180" t="s">
        <v>481</v>
      </c>
      <c r="H214" s="188">
        <f>H167/G167-1</f>
        <v>-0.20907791279485388</v>
      </c>
      <c r="I214" s="188">
        <f t="shared" ref="I214:R214" si="67">I167/H167-1</f>
        <v>1.4892303057689413</v>
      </c>
      <c r="J214" s="188">
        <f t="shared" si="67"/>
        <v>-0.27895437492436181</v>
      </c>
      <c r="K214" s="188">
        <f t="shared" si="67"/>
        <v>0.22549513259483089</v>
      </c>
      <c r="L214" s="188">
        <f t="shared" si="67"/>
        <v>0.68677668972128969</v>
      </c>
      <c r="M214" s="188">
        <f t="shared" si="67"/>
        <v>-2.9555050341019684E-2</v>
      </c>
      <c r="N214" s="188">
        <f t="shared" si="67"/>
        <v>0.51719377510040143</v>
      </c>
      <c r="O214" s="188">
        <f t="shared" si="67"/>
        <v>1.7312708522899616</v>
      </c>
      <c r="P214" s="188">
        <f t="shared" si="67"/>
        <v>-0.27641209429105051</v>
      </c>
      <c r="Q214" s="188">
        <f t="shared" si="67"/>
        <v>-0.54695500523194962</v>
      </c>
      <c r="R214" s="188">
        <f t="shared" si="67"/>
        <v>1.7972099039172202</v>
      </c>
      <c r="S214" s="188">
        <f>S167/R167-1</f>
        <v>0.21404586539837744</v>
      </c>
      <c r="T214" s="188">
        <f>T167/S167-1</f>
        <v>-0.35953601933587875</v>
      </c>
      <c r="U214" s="188">
        <f>U167/T167-1</f>
        <v>0.60382812912968653</v>
      </c>
      <c r="V214" s="188">
        <f>V167/U167-1</f>
        <v>0.77229187791122733</v>
      </c>
      <c r="W214" s="214"/>
      <c r="X214" s="214"/>
      <c r="Y214" s="214"/>
    </row>
    <row r="215" spans="2:25" x14ac:dyDescent="0.3">
      <c r="B215" s="180" t="s">
        <v>482</v>
      </c>
      <c r="H215" s="188">
        <f>H149/G149-1</f>
        <v>0.24016658954187875</v>
      </c>
      <c r="I215" s="188">
        <f t="shared" ref="I215:R215" si="68">I149/H149-1</f>
        <v>0.12798507462686581</v>
      </c>
      <c r="J215" s="188">
        <f t="shared" si="68"/>
        <v>0.47502480979159767</v>
      </c>
      <c r="K215" s="188">
        <f t="shared" si="68"/>
        <v>0.15877999551468958</v>
      </c>
      <c r="L215" s="188">
        <f t="shared" si="68"/>
        <v>0.15560286433133341</v>
      </c>
      <c r="M215" s="188">
        <f t="shared" si="68"/>
        <v>1.220231117065818</v>
      </c>
      <c r="N215" s="188">
        <f t="shared" si="68"/>
        <v>-0.19559478011616505</v>
      </c>
      <c r="O215" s="188">
        <f t="shared" si="68"/>
        <v>0.28310202550637675</v>
      </c>
      <c r="P215" s="188">
        <f t="shared" si="68"/>
        <v>0.87086165314623964</v>
      </c>
      <c r="Q215" s="188">
        <f t="shared" si="68"/>
        <v>-8.2620414859955638E-2</v>
      </c>
      <c r="R215" s="188">
        <f t="shared" si="68"/>
        <v>4.4498381877022597E-2</v>
      </c>
      <c r="S215" s="188">
        <f>S149/R149-1</f>
        <v>3.9748868686044991E-2</v>
      </c>
      <c r="T215" s="188">
        <f>T149/S149-1</f>
        <v>0.46091493791324889</v>
      </c>
      <c r="U215" s="188">
        <f>U149/T149-1</f>
        <v>-1.6480765010742582E-2</v>
      </c>
      <c r="V215" s="188">
        <f>V149/U149-1</f>
        <v>-8.3784660352486107E-3</v>
      </c>
      <c r="W215" s="214"/>
      <c r="X215" s="214"/>
      <c r="Y215" s="214"/>
    </row>
    <row r="216" spans="2:25" x14ac:dyDescent="0.3">
      <c r="W216" s="214"/>
      <c r="X216" s="214"/>
      <c r="Y216" s="214"/>
    </row>
    <row r="217" spans="2:25" x14ac:dyDescent="0.3">
      <c r="B217" s="289" t="s">
        <v>483</v>
      </c>
      <c r="W217" s="214"/>
      <c r="X217" s="214"/>
      <c r="Y217" s="214"/>
    </row>
    <row r="218" spans="2:25" x14ac:dyDescent="0.3">
      <c r="B218" s="296" t="s">
        <v>343</v>
      </c>
      <c r="G218" s="188">
        <f>G10/G$8</f>
        <v>0.43448288573903748</v>
      </c>
      <c r="H218" s="188">
        <f t="shared" ref="H218:R218" si="69">H10/H$8</f>
        <v>0.4433516042552465</v>
      </c>
      <c r="I218" s="188">
        <f t="shared" si="69"/>
        <v>0.46055603270032119</v>
      </c>
      <c r="J218" s="188">
        <f t="shared" si="69"/>
        <v>0.44806322481897914</v>
      </c>
      <c r="K218" s="188">
        <f t="shared" si="69"/>
        <v>0.45032476139978783</v>
      </c>
      <c r="L218" s="188">
        <f t="shared" si="69"/>
        <v>0.45953947368421061</v>
      </c>
      <c r="M218" s="188">
        <f t="shared" si="69"/>
        <v>0.4466789059129096</v>
      </c>
      <c r="N218" s="188">
        <f t="shared" si="69"/>
        <v>0.48625736851141765</v>
      </c>
      <c r="O218" s="188">
        <f t="shared" si="69"/>
        <v>0.52705389285906179</v>
      </c>
      <c r="P218" s="188">
        <f t="shared" si="69"/>
        <v>0.50535577658760522</v>
      </c>
      <c r="Q218" s="188">
        <f t="shared" si="69"/>
        <v>0.51294881796904757</v>
      </c>
      <c r="R218" s="188">
        <f t="shared" si="69"/>
        <v>0.51275700653506895</v>
      </c>
      <c r="S218" s="188">
        <f>S10/S$8</f>
        <v>0.52949562619385804</v>
      </c>
      <c r="T218" s="188">
        <f>T10/T$8</f>
        <v>0.52538455568150588</v>
      </c>
      <c r="U218" s="188">
        <f>U10/U$8</f>
        <v>0.55515097472858088</v>
      </c>
      <c r="V218" s="188">
        <f>V10/V$8</f>
        <v>0.55120243862544271</v>
      </c>
      <c r="W218" s="214"/>
      <c r="X218" s="214"/>
      <c r="Y218" s="214"/>
    </row>
    <row r="219" spans="2:25" x14ac:dyDescent="0.3">
      <c r="B219" s="296" t="s">
        <v>516</v>
      </c>
      <c r="G219" s="188">
        <f>G15/G$8</f>
        <v>0.22632849796324633</v>
      </c>
      <c r="H219" s="188">
        <f t="shared" ref="H219:R219" si="70">H15/H$8</f>
        <v>0.2189437016546284</v>
      </c>
      <c r="I219" s="188">
        <f t="shared" si="70"/>
        <v>0.24892642427712561</v>
      </c>
      <c r="J219" s="188">
        <f t="shared" si="70"/>
        <v>0.24396597398010234</v>
      </c>
      <c r="K219" s="188">
        <f t="shared" si="70"/>
        <v>0.27573789324849762</v>
      </c>
      <c r="L219" s="188">
        <f t="shared" si="70"/>
        <v>0.27095211988304102</v>
      </c>
      <c r="M219" s="188">
        <f t="shared" si="70"/>
        <v>0.23609336796419597</v>
      </c>
      <c r="N219" s="188">
        <f t="shared" si="70"/>
        <v>0.28983288502260635</v>
      </c>
      <c r="O219" s="188">
        <f t="shared" si="70"/>
        <v>0.3626941056364516</v>
      </c>
      <c r="P219" s="188">
        <f t="shared" si="70"/>
        <v>0.30702201819263791</v>
      </c>
      <c r="Q219" s="188">
        <f t="shared" si="70"/>
        <v>0.3281129234174574</v>
      </c>
      <c r="R219" s="188">
        <f t="shared" si="70"/>
        <v>0.31923829472559428</v>
      </c>
      <c r="S219" s="188">
        <f>S15/S$8</f>
        <v>0.34715370524562866</v>
      </c>
      <c r="T219" s="188">
        <f>T15/T$8</f>
        <v>0.36326032060386054</v>
      </c>
      <c r="U219" s="188">
        <f>U15/U$8</f>
        <v>0.42217543301969224</v>
      </c>
      <c r="V219" s="188">
        <f>V15/V$8</f>
        <v>0.38716036107560547</v>
      </c>
      <c r="W219" s="214"/>
      <c r="X219" s="214"/>
      <c r="Y219" s="214"/>
    </row>
    <row r="220" spans="2:25" x14ac:dyDescent="0.3">
      <c r="B220" s="296" t="s">
        <v>392</v>
      </c>
      <c r="G220" s="188">
        <f>G17/G$8</f>
        <v>0.26848284887471668</v>
      </c>
      <c r="H220" s="188">
        <f t="shared" ref="H220:R220" si="71">H17/H$8</f>
        <v>0.26241825043115963</v>
      </c>
      <c r="I220" s="188">
        <f t="shared" si="71"/>
        <v>0.29614785125807164</v>
      </c>
      <c r="J220" s="188">
        <f t="shared" si="71"/>
        <v>0.29649143462647898</v>
      </c>
      <c r="K220" s="188">
        <f t="shared" si="71"/>
        <v>0.321856221279604</v>
      </c>
      <c r="L220" s="188">
        <f t="shared" si="71"/>
        <v>0.30957602339181295</v>
      </c>
      <c r="M220" s="188">
        <f t="shared" si="71"/>
        <v>0.27403785142006276</v>
      </c>
      <c r="N220" s="188">
        <f t="shared" si="71"/>
        <v>0.32494419962227439</v>
      </c>
      <c r="O220" s="188">
        <f t="shared" si="71"/>
        <v>0.38800171941325023</v>
      </c>
      <c r="P220" s="188">
        <f t="shared" si="71"/>
        <v>0.33458490369992538</v>
      </c>
      <c r="Q220" s="188">
        <f t="shared" si="71"/>
        <v>0.3549576355752308</v>
      </c>
      <c r="R220" s="188">
        <f t="shared" si="71"/>
        <v>0.35174026727618185</v>
      </c>
      <c r="S220" s="188">
        <f>S17/S$8</f>
        <v>0.37856135573296762</v>
      </c>
      <c r="T220" s="188">
        <f>T17/T$8</f>
        <v>0.3896702914979121</v>
      </c>
      <c r="U220" s="188">
        <f>U17/U$8</f>
        <v>0.44617543301969226</v>
      </c>
      <c r="V220" s="188">
        <f>V17/V$8</f>
        <v>0.41116036107560544</v>
      </c>
      <c r="W220" s="214"/>
      <c r="X220" s="214"/>
      <c r="Y220" s="214"/>
    </row>
    <row r="221" spans="2:25" x14ac:dyDescent="0.3">
      <c r="B221" s="296" t="s">
        <v>336</v>
      </c>
      <c r="G221" s="188">
        <f>G20/G$8</f>
        <v>0.22183105081746635</v>
      </c>
      <c r="H221" s="188">
        <f t="shared" ref="H221:R221" si="72">H20/H$8</f>
        <v>0.21747519765039364</v>
      </c>
      <c r="I221" s="188">
        <f t="shared" si="72"/>
        <v>0.24630212806565505</v>
      </c>
      <c r="J221" s="188">
        <f t="shared" si="72"/>
        <v>0.22690881262141627</v>
      </c>
      <c r="K221" s="188">
        <f t="shared" si="72"/>
        <v>0.27018160127253432</v>
      </c>
      <c r="L221" s="188">
        <f t="shared" si="72"/>
        <v>0.26836622807017546</v>
      </c>
      <c r="M221" s="188">
        <f t="shared" si="72"/>
        <v>0.23397829084848434</v>
      </c>
      <c r="N221" s="188">
        <f t="shared" si="72"/>
        <v>0.28733617581411319</v>
      </c>
      <c r="O221" s="188">
        <f t="shared" si="72"/>
        <v>0.36029767341894581</v>
      </c>
      <c r="P221" s="188">
        <f t="shared" si="72"/>
        <v>0.30491560165112824</v>
      </c>
      <c r="Q221" s="188">
        <f t="shared" si="72"/>
        <v>0.32960792495963132</v>
      </c>
      <c r="R221" s="188">
        <f t="shared" si="72"/>
        <v>0.31993885977730518</v>
      </c>
      <c r="S221" s="188">
        <f>S20/S$8</f>
        <v>0.3503556937845913</v>
      </c>
      <c r="T221" s="188">
        <f>T20/T$8</f>
        <v>0.36387802869001884</v>
      </c>
      <c r="U221" s="188">
        <f>U20/U$8</f>
        <v>0.42321351377917316</v>
      </c>
      <c r="V221" s="188">
        <f>V20/V$8</f>
        <v>0.39294119047334186</v>
      </c>
      <c r="W221" s="214"/>
      <c r="X221" s="214"/>
      <c r="Y221" s="214"/>
    </row>
    <row r="222" spans="2:25" x14ac:dyDescent="0.3">
      <c r="B222" s="296" t="s">
        <v>517</v>
      </c>
      <c r="G222" s="188">
        <f>G24/G$8</f>
        <v>0.2203564779827844</v>
      </c>
      <c r="H222" s="188">
        <f t="shared" ref="H222:R222" si="73">H24/H$8</f>
        <v>0.20432696412410573</v>
      </c>
      <c r="I222" s="188">
        <f t="shared" si="73"/>
        <v>0.22063173966981572</v>
      </c>
      <c r="J222" s="188">
        <f t="shared" si="73"/>
        <v>0.19460469771001343</v>
      </c>
      <c r="K222" s="188">
        <f t="shared" si="73"/>
        <v>0.23401599505125478</v>
      </c>
      <c r="L222" s="188">
        <f t="shared" si="73"/>
        <v>0.2368055555555556</v>
      </c>
      <c r="M222" s="188">
        <f t="shared" si="73"/>
        <v>0.2193081159739084</v>
      </c>
      <c r="N222" s="188">
        <f t="shared" si="73"/>
        <v>0.25422079780232359</v>
      </c>
      <c r="O222" s="188">
        <f t="shared" si="73"/>
        <v>0.31611412605448397</v>
      </c>
      <c r="P222" s="188">
        <f t="shared" si="73"/>
        <v>0.26562573795422556</v>
      </c>
      <c r="Q222" s="188">
        <f t="shared" si="73"/>
        <v>0.28444944391022736</v>
      </c>
      <c r="R222" s="188">
        <f t="shared" si="73"/>
        <v>0.26789890634011365</v>
      </c>
      <c r="S222" s="188">
        <f>S24/S$8</f>
        <v>0.29535557133761087</v>
      </c>
      <c r="T222" s="188">
        <f>T24/T$8</f>
        <v>0.31159417833200576</v>
      </c>
      <c r="U222" s="188">
        <f>U24/U$8</f>
        <v>0.36605892780379523</v>
      </c>
      <c r="V222" s="188">
        <f>V24/V$8</f>
        <v>0.339778513171486</v>
      </c>
      <c r="W222" s="214"/>
      <c r="X222" s="214"/>
      <c r="Y222" s="214"/>
    </row>
    <row r="223" spans="2:25" x14ac:dyDescent="0.3">
      <c r="U223" s="214"/>
      <c r="V223" s="214"/>
      <c r="W223" s="214"/>
      <c r="X223" s="214"/>
      <c r="Y223" s="214"/>
    </row>
    <row r="224" spans="2:25" x14ac:dyDescent="0.3">
      <c r="B224" s="296"/>
      <c r="U224" s="214"/>
      <c r="V224" s="214"/>
      <c r="W224" s="214"/>
      <c r="X224" s="214"/>
      <c r="Y224" s="214"/>
    </row>
    <row r="225" spans="2:25" x14ac:dyDescent="0.3">
      <c r="U225" s="214"/>
      <c r="V225" s="214"/>
      <c r="W225" s="214"/>
      <c r="X225" s="214"/>
      <c r="Y225" s="214"/>
    </row>
    <row r="226" spans="2:25" x14ac:dyDescent="0.3">
      <c r="U226" s="214"/>
      <c r="V226" s="214"/>
      <c r="W226" s="214"/>
      <c r="X226" s="214"/>
      <c r="Y226" s="214"/>
    </row>
    <row r="227" spans="2:25" x14ac:dyDescent="0.3">
      <c r="U227" s="214"/>
      <c r="V227" s="214"/>
      <c r="W227" s="214"/>
      <c r="X227" s="214"/>
      <c r="Y227" s="214"/>
    </row>
    <row r="228" spans="2:25" x14ac:dyDescent="0.3">
      <c r="U228" s="214"/>
      <c r="V228" s="214"/>
      <c r="W228" s="214"/>
      <c r="X228" s="214"/>
      <c r="Y228" s="214"/>
    </row>
    <row r="229" spans="2:25" x14ac:dyDescent="0.3">
      <c r="U229" s="214"/>
      <c r="V229" s="214"/>
      <c r="W229" s="214"/>
      <c r="X229" s="214"/>
      <c r="Y229" s="214"/>
    </row>
    <row r="230" spans="2:25" outlineLevel="1" x14ac:dyDescent="0.3">
      <c r="U230" s="214"/>
      <c r="V230" s="214"/>
      <c r="W230" s="214"/>
      <c r="X230" s="214"/>
      <c r="Y230" s="214"/>
    </row>
    <row r="231" spans="2:25" outlineLevel="1" x14ac:dyDescent="0.3">
      <c r="B231" s="286" t="s">
        <v>484</v>
      </c>
      <c r="C231" s="187"/>
      <c r="D231" s="187"/>
      <c r="E231" s="187"/>
      <c r="F231" s="187"/>
      <c r="G231" s="187"/>
      <c r="H231" s="187"/>
      <c r="I231" s="187"/>
      <c r="J231" s="187"/>
      <c r="K231" s="187"/>
      <c r="L231" s="187"/>
      <c r="M231" s="187"/>
      <c r="N231" s="187"/>
      <c r="O231" s="187"/>
      <c r="P231" s="187"/>
      <c r="Q231" s="187"/>
      <c r="R231" s="187"/>
      <c r="S231" s="187"/>
      <c r="T231" s="187"/>
      <c r="U231" s="187"/>
      <c r="V231" s="187"/>
      <c r="W231" s="214"/>
      <c r="X231" s="214"/>
      <c r="Y231" s="214"/>
    </row>
    <row r="232" spans="2:25" outlineLevel="1" x14ac:dyDescent="0.3">
      <c r="B232" s="297" t="s">
        <v>501</v>
      </c>
      <c r="C232" s="187"/>
      <c r="D232" s="187"/>
      <c r="E232" s="187"/>
      <c r="F232" s="187"/>
      <c r="G232" s="299">
        <f>G15</f>
        <v>1227.9000000000003</v>
      </c>
      <c r="H232" s="299">
        <f t="shared" ref="H232:R232" si="74">H15</f>
        <v>1282.2000000000003</v>
      </c>
      <c r="I232" s="299">
        <f t="shared" si="74"/>
        <v>1565.0999999999995</v>
      </c>
      <c r="J232" s="299">
        <f t="shared" si="74"/>
        <v>1657.6999999999991</v>
      </c>
      <c r="K232" s="299">
        <f>K15</f>
        <v>2496.1999999999989</v>
      </c>
      <c r="L232" s="299">
        <f t="shared" si="74"/>
        <v>2965.3000000000006</v>
      </c>
      <c r="M232" s="299">
        <f t="shared" si="74"/>
        <v>2790.6</v>
      </c>
      <c r="N232" s="299">
        <f t="shared" si="74"/>
        <v>4051.4</v>
      </c>
      <c r="O232" s="299">
        <f t="shared" si="74"/>
        <v>6750.1</v>
      </c>
      <c r="P232" s="299">
        <f t="shared" si="74"/>
        <v>6500.6999999999989</v>
      </c>
      <c r="Q232" s="299">
        <f t="shared" si="74"/>
        <v>9042.2999999999993</v>
      </c>
      <c r="R232" s="299">
        <f t="shared" si="74"/>
        <v>9022.5999999999985</v>
      </c>
      <c r="S232" s="299">
        <f>S15</f>
        <v>11340.53952</v>
      </c>
      <c r="T232" s="299">
        <f>T15</f>
        <v>13685.322197999996</v>
      </c>
      <c r="U232" s="299">
        <f>U15</f>
        <v>20269.464747040001</v>
      </c>
      <c r="V232" s="299">
        <f>V15</f>
        <v>15988.337325074195</v>
      </c>
      <c r="W232" s="214"/>
      <c r="X232" s="214"/>
      <c r="Y232" s="214"/>
    </row>
    <row r="233" spans="2:25" outlineLevel="1" x14ac:dyDescent="0.3">
      <c r="B233" s="297" t="s">
        <v>485</v>
      </c>
      <c r="C233" s="187"/>
      <c r="D233" s="187"/>
      <c r="E233" s="187"/>
      <c r="F233" s="187"/>
      <c r="G233" s="299">
        <f>G22</f>
        <v>-8</v>
      </c>
      <c r="H233" s="299">
        <f t="shared" ref="H233:R233" si="75">H22</f>
        <v>-77</v>
      </c>
      <c r="I233" s="299">
        <f t="shared" si="75"/>
        <v>-161.4</v>
      </c>
      <c r="J233" s="299">
        <f t="shared" si="75"/>
        <v>-219.5</v>
      </c>
      <c r="K233" s="299">
        <f t="shared" si="75"/>
        <v>-310.70000000000005</v>
      </c>
      <c r="L233" s="299">
        <f t="shared" si="75"/>
        <v>-351.6</v>
      </c>
      <c r="M233" s="299">
        <f t="shared" si="75"/>
        <v>-191.6</v>
      </c>
      <c r="N233" s="299">
        <f t="shared" si="75"/>
        <v>-551.59999999999991</v>
      </c>
      <c r="O233" s="299">
        <f t="shared" si="75"/>
        <v>-1021.4</v>
      </c>
      <c r="P233" s="299">
        <f t="shared" si="75"/>
        <v>-969.90000000000009</v>
      </c>
      <c r="Q233" s="299">
        <f t="shared" si="75"/>
        <v>-1435.8000000000002</v>
      </c>
      <c r="R233" s="299">
        <f t="shared" si="75"/>
        <v>-1680.6</v>
      </c>
      <c r="S233" s="299">
        <f>S22</f>
        <v>-2013.4</v>
      </c>
      <c r="T233" s="299">
        <f>T22</f>
        <v>-2299.3206034283894</v>
      </c>
      <c r="U233" s="299">
        <f>U22</f>
        <v>-3149.4922790326141</v>
      </c>
      <c r="V233" s="299">
        <f>V22</f>
        <v>-2515.195058027804</v>
      </c>
      <c r="W233" s="214"/>
      <c r="X233" s="214"/>
      <c r="Y233" s="214"/>
    </row>
    <row r="234" spans="2:25" outlineLevel="1" x14ac:dyDescent="0.3">
      <c r="B234" s="297" t="s">
        <v>486</v>
      </c>
      <c r="C234" s="187"/>
      <c r="D234" s="187"/>
      <c r="E234" s="187"/>
      <c r="F234" s="187"/>
      <c r="G234" s="299">
        <f>-G19</f>
        <v>24.4</v>
      </c>
      <c r="H234" s="299">
        <f t="shared" ref="H234:R234" si="76">-H19</f>
        <v>8.6</v>
      </c>
      <c r="I234" s="299">
        <f t="shared" si="76"/>
        <v>16.5</v>
      </c>
      <c r="J234" s="299">
        <f t="shared" si="76"/>
        <v>115.9</v>
      </c>
      <c r="K234" s="299">
        <f t="shared" si="76"/>
        <v>50.3</v>
      </c>
      <c r="L234" s="299">
        <f t="shared" si="76"/>
        <v>28.299999999999997</v>
      </c>
      <c r="M234" s="299">
        <f t="shared" si="76"/>
        <v>25.000000000000004</v>
      </c>
      <c r="N234" s="299">
        <f t="shared" si="76"/>
        <v>34.9</v>
      </c>
      <c r="O234" s="299">
        <f t="shared" si="76"/>
        <v>44.599999999999994</v>
      </c>
      <c r="P234" s="299">
        <f t="shared" si="76"/>
        <v>44.6</v>
      </c>
      <c r="Q234" s="299">
        <f t="shared" si="76"/>
        <v>-41.2</v>
      </c>
      <c r="R234" s="299">
        <f t="shared" si="76"/>
        <v>-19.799999999999997</v>
      </c>
      <c r="S234" s="299">
        <f>-S19</f>
        <v>-104.60000000000001</v>
      </c>
      <c r="T234" s="299">
        <f>-T19</f>
        <v>-23.271284266152065</v>
      </c>
      <c r="U234" s="299">
        <f>-U19</f>
        <v>-49.840278976860759</v>
      </c>
      <c r="V234" s="299">
        <f>-V19</f>
        <v>-238.7275654277675</v>
      </c>
      <c r="W234" s="214"/>
      <c r="X234" s="214"/>
      <c r="Y234" s="214"/>
    </row>
    <row r="235" spans="2:25" outlineLevel="1" x14ac:dyDescent="0.3">
      <c r="B235" s="297" t="s">
        <v>360</v>
      </c>
      <c r="C235" s="288">
        <v>-0.25</v>
      </c>
      <c r="D235" s="187"/>
      <c r="E235" s="187"/>
      <c r="F235" s="187"/>
      <c r="G235" s="299">
        <f>$C$235*G234</f>
        <v>-6.1</v>
      </c>
      <c r="H235" s="299">
        <f t="shared" ref="H235:S235" si="77">$C$235*H234</f>
        <v>-2.15</v>
      </c>
      <c r="I235" s="299">
        <f t="shared" si="77"/>
        <v>-4.125</v>
      </c>
      <c r="J235" s="299">
        <f t="shared" si="77"/>
        <v>-28.975000000000001</v>
      </c>
      <c r="K235" s="299">
        <f t="shared" si="77"/>
        <v>-12.574999999999999</v>
      </c>
      <c r="L235" s="299">
        <f t="shared" si="77"/>
        <v>-7.0749999999999993</v>
      </c>
      <c r="M235" s="299">
        <f t="shared" si="77"/>
        <v>-6.2500000000000009</v>
      </c>
      <c r="N235" s="299">
        <f t="shared" si="77"/>
        <v>-8.7249999999999996</v>
      </c>
      <c r="O235" s="299">
        <f t="shared" si="77"/>
        <v>-11.149999999999999</v>
      </c>
      <c r="P235" s="299">
        <f t="shared" si="77"/>
        <v>-11.15</v>
      </c>
      <c r="Q235" s="299">
        <f t="shared" si="77"/>
        <v>10.3</v>
      </c>
      <c r="R235" s="299">
        <f t="shared" si="77"/>
        <v>4.9499999999999993</v>
      </c>
      <c r="S235" s="299">
        <f t="shared" si="77"/>
        <v>26.150000000000002</v>
      </c>
      <c r="T235" s="299">
        <f>$C$235*T234</f>
        <v>5.8178210665380163</v>
      </c>
      <c r="U235" s="299">
        <f>$C$235*U234</f>
        <v>12.46006974421519</v>
      </c>
      <c r="V235" s="299">
        <f>$C$235*V234</f>
        <v>59.681891356941875</v>
      </c>
      <c r="W235" s="214"/>
      <c r="X235" s="214"/>
      <c r="Y235" s="214"/>
    </row>
    <row r="236" spans="2:25" outlineLevel="1" x14ac:dyDescent="0.3">
      <c r="B236" s="287" t="s">
        <v>487</v>
      </c>
      <c r="C236" s="187"/>
      <c r="D236" s="187"/>
      <c r="E236" s="187"/>
      <c r="F236" s="187"/>
      <c r="G236" s="300">
        <f>G232-G233+G235</f>
        <v>1229.8000000000004</v>
      </c>
      <c r="H236" s="300">
        <f>H232-H233+H235</f>
        <v>1357.0500000000002</v>
      </c>
      <c r="I236" s="300">
        <f>I232-I233+I235</f>
        <v>1722.3749999999995</v>
      </c>
      <c r="J236" s="300">
        <f>J232-J233+J235</f>
        <v>1848.2249999999992</v>
      </c>
      <c r="K236" s="300">
        <f>K232+K233+K235</f>
        <v>2172.9249999999993</v>
      </c>
      <c r="L236" s="300">
        <f t="shared" ref="L236:S236" si="78">L232+L233+L235</f>
        <v>2606.6250000000009</v>
      </c>
      <c r="M236" s="300">
        <f t="shared" si="78"/>
        <v>2592.75</v>
      </c>
      <c r="N236" s="300">
        <f t="shared" si="78"/>
        <v>3491.0750000000003</v>
      </c>
      <c r="O236" s="300">
        <f t="shared" si="78"/>
        <v>5717.5500000000011</v>
      </c>
      <c r="P236" s="300">
        <f t="shared" si="78"/>
        <v>5519.65</v>
      </c>
      <c r="Q236" s="300">
        <f t="shared" si="78"/>
        <v>7616.7999999999993</v>
      </c>
      <c r="R236" s="300">
        <f t="shared" si="78"/>
        <v>7346.949999999998</v>
      </c>
      <c r="S236" s="300">
        <f t="shared" si="78"/>
        <v>9353.2895200000003</v>
      </c>
      <c r="T236" s="300">
        <f>T232+T233+T235</f>
        <v>11391.819415638145</v>
      </c>
      <c r="U236" s="300">
        <f>U232+U233+U235</f>
        <v>17132.432537751603</v>
      </c>
      <c r="V236" s="300">
        <f>V232+V233+V235</f>
        <v>13532.824158403333</v>
      </c>
      <c r="W236" s="214"/>
      <c r="X236" s="214"/>
      <c r="Y236" s="214"/>
    </row>
    <row r="237" spans="2:25" outlineLevel="1" x14ac:dyDescent="0.3">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214"/>
      <c r="X237" s="214"/>
      <c r="Y237" s="214"/>
    </row>
    <row r="238" spans="2:25" outlineLevel="1" x14ac:dyDescent="0.3">
      <c r="B238" s="187" t="s">
        <v>488</v>
      </c>
      <c r="C238" s="187"/>
      <c r="D238" s="187"/>
      <c r="E238" s="187"/>
      <c r="F238" s="187"/>
      <c r="G238" s="301">
        <f>G86+G87-G103</f>
        <v>2645.4</v>
      </c>
      <c r="H238" s="301">
        <f t="shared" ref="H238:R238" si="79">H86+H87-H103</f>
        <v>3106.1000000000004</v>
      </c>
      <c r="I238" s="301">
        <f t="shared" si="79"/>
        <v>2958.4999999999995</v>
      </c>
      <c r="J238" s="301">
        <f t="shared" si="79"/>
        <v>2887.9000000000005</v>
      </c>
      <c r="K238" s="301">
        <f>K86+K87-K103</f>
        <v>3858.5999999999995</v>
      </c>
      <c r="L238" s="301">
        <f t="shared" si="79"/>
        <v>3973.7</v>
      </c>
      <c r="M238" s="301">
        <f t="shared" si="79"/>
        <v>4533.8</v>
      </c>
      <c r="N238" s="301">
        <f t="shared" si="79"/>
        <v>4501.7999999999993</v>
      </c>
      <c r="O238" s="301">
        <f t="shared" si="79"/>
        <v>6090.9000000000005</v>
      </c>
      <c r="P238" s="301">
        <f t="shared" si="79"/>
        <v>9958.2999999999993</v>
      </c>
      <c r="Q238" s="301">
        <f t="shared" si="79"/>
        <v>10837.5</v>
      </c>
      <c r="R238" s="301">
        <f t="shared" si="79"/>
        <v>11868.6</v>
      </c>
      <c r="S238" s="301">
        <f>S86+S87-S103</f>
        <v>10930.5</v>
      </c>
      <c r="T238" s="301">
        <f>T86+T87-T103</f>
        <v>15714.309889333326</v>
      </c>
      <c r="U238" s="301">
        <f>U86+U87-U103</f>
        <v>21127.696903444445</v>
      </c>
      <c r="V238" s="301">
        <f>V86+V87-V103</f>
        <v>14384.689499257376</v>
      </c>
      <c r="W238" s="214"/>
      <c r="X238" s="214"/>
      <c r="Y238" s="214"/>
    </row>
    <row r="239" spans="2:25" outlineLevel="1" x14ac:dyDescent="0.3">
      <c r="B239" s="187" t="s">
        <v>69</v>
      </c>
      <c r="C239" s="187"/>
      <c r="D239" s="187"/>
      <c r="E239" s="187"/>
      <c r="F239" s="187"/>
      <c r="G239" s="301">
        <f>G92</f>
        <v>1217.8</v>
      </c>
      <c r="H239" s="301">
        <f t="shared" ref="H239:R239" si="80">H92</f>
        <v>1447.5</v>
      </c>
      <c r="I239" s="301">
        <f t="shared" si="80"/>
        <v>1620.7</v>
      </c>
      <c r="J239" s="301">
        <f t="shared" si="80"/>
        <v>1687.2</v>
      </c>
      <c r="K239" s="301">
        <f>K92</f>
        <v>1600.8</v>
      </c>
      <c r="L239" s="301">
        <f t="shared" si="80"/>
        <v>1589.5</v>
      </c>
      <c r="M239" s="301">
        <f t="shared" si="80"/>
        <v>1999.3</v>
      </c>
      <c r="N239" s="301">
        <f t="shared" si="80"/>
        <v>2470.3000000000002</v>
      </c>
      <c r="O239" s="301">
        <f t="shared" si="80"/>
        <v>2982.7</v>
      </c>
      <c r="P239" s="301">
        <f t="shared" si="80"/>
        <v>3944.2</v>
      </c>
      <c r="Q239" s="301">
        <f t="shared" si="80"/>
        <v>5493.2</v>
      </c>
      <c r="R239" s="301">
        <f t="shared" si="80"/>
        <v>6846.8</v>
      </c>
      <c r="S239" s="301">
        <f t="shared" ref="S239:U240" si="81">S92</f>
        <v>7893.8</v>
      </c>
      <c r="T239" s="301">
        <f t="shared" si="81"/>
        <v>9416.6509120605697</v>
      </c>
      <c r="U239" s="301">
        <f t="shared" si="81"/>
        <v>10895.418896600569</v>
      </c>
      <c r="V239" s="301">
        <f>V92</f>
        <v>12167.34866814069</v>
      </c>
      <c r="W239" s="214"/>
      <c r="X239" s="214"/>
      <c r="Y239" s="214"/>
    </row>
    <row r="240" spans="2:25" outlineLevel="1" x14ac:dyDescent="0.3">
      <c r="B240" s="187" t="s">
        <v>489</v>
      </c>
      <c r="C240" s="187"/>
      <c r="D240" s="187"/>
      <c r="E240" s="187"/>
      <c r="F240" s="187"/>
      <c r="G240" s="301">
        <f>G93</f>
        <v>2786.2</v>
      </c>
      <c r="H240" s="301">
        <f t="shared" ref="H240:R240" si="82">H93</f>
        <v>3081.3</v>
      </c>
      <c r="I240" s="301">
        <f t="shared" si="82"/>
        <v>3362.8</v>
      </c>
      <c r="J240" s="301">
        <f t="shared" si="82"/>
        <v>6196.9</v>
      </c>
      <c r="K240" s="301">
        <f>K93</f>
        <v>5707.1</v>
      </c>
      <c r="L240" s="301">
        <f t="shared" si="82"/>
        <v>5645.1</v>
      </c>
      <c r="M240" s="301">
        <f t="shared" si="82"/>
        <v>5645.5</v>
      </c>
      <c r="N240" s="301">
        <f t="shared" si="82"/>
        <v>5678.1</v>
      </c>
      <c r="O240" s="301">
        <f t="shared" si="82"/>
        <v>5507.7000000000007</v>
      </c>
      <c r="P240" s="301">
        <f t="shared" si="82"/>
        <v>5398</v>
      </c>
      <c r="Q240" s="301">
        <f t="shared" si="82"/>
        <v>5330.3</v>
      </c>
      <c r="R240" s="301">
        <f t="shared" si="82"/>
        <v>5209.9000000000005</v>
      </c>
      <c r="S240" s="301">
        <f t="shared" si="81"/>
        <v>5128.7000000000007</v>
      </c>
      <c r="T240" s="301">
        <f t="shared" si="81"/>
        <v>4982.508290515143</v>
      </c>
      <c r="U240" s="301">
        <f t="shared" si="81"/>
        <v>4804.8509422751431</v>
      </c>
      <c r="V240" s="301">
        <f>V93</f>
        <v>4659.4281207364229</v>
      </c>
      <c r="W240" s="214"/>
      <c r="X240" s="214"/>
      <c r="Y240" s="214"/>
    </row>
    <row r="241" spans="2:25" outlineLevel="1" x14ac:dyDescent="0.3">
      <c r="B241" s="298" t="s">
        <v>490</v>
      </c>
      <c r="C241" s="187"/>
      <c r="D241" s="187"/>
      <c r="E241" s="187"/>
      <c r="F241" s="187"/>
      <c r="G241" s="302">
        <f>SUM(G238:G240)</f>
        <v>6649.4</v>
      </c>
      <c r="H241" s="302">
        <f t="shared" ref="H241:S241" si="83">SUM(H238:H240)</f>
        <v>7634.9000000000005</v>
      </c>
      <c r="I241" s="302">
        <f t="shared" si="83"/>
        <v>7942</v>
      </c>
      <c r="J241" s="302">
        <f t="shared" si="83"/>
        <v>10772</v>
      </c>
      <c r="K241" s="302">
        <f t="shared" si="83"/>
        <v>11166.5</v>
      </c>
      <c r="L241" s="302">
        <f t="shared" si="83"/>
        <v>11208.3</v>
      </c>
      <c r="M241" s="302">
        <f t="shared" si="83"/>
        <v>12178.6</v>
      </c>
      <c r="N241" s="302">
        <f t="shared" si="83"/>
        <v>12650.2</v>
      </c>
      <c r="O241" s="302">
        <f t="shared" si="83"/>
        <v>14581.300000000001</v>
      </c>
      <c r="P241" s="302">
        <f t="shared" si="83"/>
        <v>19300.5</v>
      </c>
      <c r="Q241" s="302">
        <f t="shared" si="83"/>
        <v>21661</v>
      </c>
      <c r="R241" s="302">
        <f t="shared" si="83"/>
        <v>23925.300000000003</v>
      </c>
      <c r="S241" s="302">
        <f t="shared" si="83"/>
        <v>23953</v>
      </c>
      <c r="T241" s="302">
        <f>SUM(T238:T240)</f>
        <v>30113.469091909039</v>
      </c>
      <c r="U241" s="302">
        <f>SUM(U238:U240)</f>
        <v>36827.966742320161</v>
      </c>
      <c r="V241" s="302">
        <f>SUM(V238:V240)</f>
        <v>31211.466288134488</v>
      </c>
      <c r="W241" s="214"/>
      <c r="X241" s="214"/>
      <c r="Y241" s="214"/>
    </row>
    <row r="242" spans="2:25" outlineLevel="1" x14ac:dyDescent="0.3">
      <c r="U242" s="214"/>
      <c r="V242" s="214"/>
      <c r="W242" s="214"/>
      <c r="X242" s="214"/>
      <c r="Y242" s="214"/>
    </row>
    <row r="243" spans="2:25" outlineLevel="1" x14ac:dyDescent="0.3">
      <c r="U243" s="214"/>
      <c r="V243" s="214"/>
      <c r="W243" s="214"/>
      <c r="X243" s="214"/>
      <c r="Y243" s="214"/>
    </row>
    <row r="244" spans="2:25" outlineLevel="1" x14ac:dyDescent="0.3">
      <c r="U244" s="214"/>
      <c r="V244" s="214"/>
      <c r="W244" s="214"/>
      <c r="X244" s="214"/>
      <c r="Y244" s="214"/>
    </row>
    <row r="245" spans="2:25" x14ac:dyDescent="0.3">
      <c r="O245" s="380"/>
      <c r="U245" s="214"/>
      <c r="V245" s="214"/>
      <c r="W245" s="214"/>
      <c r="X245" s="214"/>
      <c r="Y245" s="214"/>
    </row>
    <row r="246" spans="2:25" x14ac:dyDescent="0.3">
      <c r="U246" s="214"/>
      <c r="V246" s="214"/>
      <c r="W246" s="214"/>
      <c r="X246" s="214"/>
      <c r="Y246" s="214"/>
    </row>
    <row r="247" spans="2:25" x14ac:dyDescent="0.3">
      <c r="B247" s="177" t="s">
        <v>526</v>
      </c>
      <c r="U247" s="214"/>
      <c r="V247" s="214"/>
      <c r="W247" s="214"/>
      <c r="X247" s="214"/>
      <c r="Y247" s="214"/>
    </row>
    <row r="248" spans="2:25" x14ac:dyDescent="0.3">
      <c r="B248" s="180" t="s">
        <v>527</v>
      </c>
      <c r="G248" s="313">
        <f t="shared" ref="G248:S248" si="84">MAX(-G41,0)</f>
        <v>0</v>
      </c>
      <c r="H248" s="313">
        <f t="shared" si="84"/>
        <v>0</v>
      </c>
      <c r="I248" s="313">
        <f t="shared" si="84"/>
        <v>0</v>
      </c>
      <c r="J248" s="313">
        <f t="shared" si="84"/>
        <v>0</v>
      </c>
      <c r="K248" s="313">
        <f t="shared" si="84"/>
        <v>0</v>
      </c>
      <c r="L248" s="313">
        <f t="shared" si="84"/>
        <v>0</v>
      </c>
      <c r="M248" s="313">
        <f t="shared" si="84"/>
        <v>0</v>
      </c>
      <c r="N248" s="313">
        <f t="shared" si="84"/>
        <v>0</v>
      </c>
      <c r="O248" s="313">
        <f t="shared" si="84"/>
        <v>0</v>
      </c>
      <c r="P248" s="313">
        <f t="shared" si="84"/>
        <v>0</v>
      </c>
      <c r="Q248" s="313">
        <f t="shared" si="84"/>
        <v>0</v>
      </c>
      <c r="R248" s="313">
        <f t="shared" si="84"/>
        <v>0</v>
      </c>
      <c r="S248" s="313">
        <f t="shared" si="84"/>
        <v>0</v>
      </c>
      <c r="T248" s="313">
        <f>MAX(-T41,0)</f>
        <v>0</v>
      </c>
      <c r="U248" s="313">
        <f>MAX(-U41,0)</f>
        <v>0</v>
      </c>
      <c r="V248" s="313">
        <f>MAX(-V41,0)</f>
        <v>0</v>
      </c>
      <c r="W248" s="214"/>
      <c r="X248" s="214"/>
      <c r="Y248" s="214"/>
    </row>
    <row r="249" spans="2:25" x14ac:dyDescent="0.3">
      <c r="B249" s="180" t="s">
        <v>528</v>
      </c>
      <c r="G249" s="201">
        <f>Financials!FG50</f>
        <v>429.8</v>
      </c>
      <c r="H249" s="201">
        <f>Financials!FH50</f>
        <v>437.17499999999995</v>
      </c>
      <c r="I249" s="201">
        <f>Financials!FI50</f>
        <v>430.67500000000001</v>
      </c>
      <c r="J249" s="201">
        <f>Financials!FJ50</f>
        <v>425.6</v>
      </c>
      <c r="K249" s="201">
        <f>Financials!FK50</f>
        <v>429.75</v>
      </c>
      <c r="L249" s="201">
        <f>Financials!FL50</f>
        <v>424.92500000000001</v>
      </c>
      <c r="M249" s="201">
        <f>Financials!FM50</f>
        <v>420.79999999999995</v>
      </c>
      <c r="N249" s="201">
        <f>Financials!FN50</f>
        <v>418.32499999999999</v>
      </c>
      <c r="O249" s="201">
        <f>Financials!FO50</f>
        <v>409.74999999999994</v>
      </c>
      <c r="P249" s="201">
        <f>Financials!FP50</f>
        <v>397.625</v>
      </c>
      <c r="Q249" s="201">
        <f>Financials!FQ50</f>
        <v>393.85</v>
      </c>
      <c r="R249" s="201">
        <f>Financials!FR50</f>
        <v>393.27499999999998</v>
      </c>
      <c r="S249" s="201">
        <f>Financials!FS50</f>
        <v>388.32499999999999</v>
      </c>
      <c r="T249" s="201">
        <f>Financials!FT50</f>
        <v>384.21272756055083</v>
      </c>
      <c r="U249" s="201">
        <f>Financials!FU50</f>
        <v>377.88060788348895</v>
      </c>
      <c r="V249" s="201">
        <f>Financials!FV50</f>
        <v>374.71454804495801</v>
      </c>
      <c r="W249" s="214"/>
      <c r="X249" s="214"/>
      <c r="Y249" s="214"/>
    </row>
    <row r="250" spans="2:25" x14ac:dyDescent="0.3">
      <c r="B250" s="180" t="s">
        <v>529</v>
      </c>
      <c r="G250" s="201">
        <f>Financials!FG50</f>
        <v>429.8</v>
      </c>
      <c r="H250" s="201">
        <f>Financials!FH50</f>
        <v>437.17499999999995</v>
      </c>
      <c r="I250" s="201">
        <f>Financials!FI50</f>
        <v>430.67500000000001</v>
      </c>
      <c r="J250" s="201">
        <f>Financials!FJ50</f>
        <v>425.6</v>
      </c>
      <c r="K250" s="201">
        <f>Financials!FK50</f>
        <v>429.75</v>
      </c>
      <c r="L250" s="201">
        <f>Financials!FL50</f>
        <v>424.92500000000001</v>
      </c>
      <c r="M250" s="201">
        <f>Financials!FM50</f>
        <v>420.79999999999995</v>
      </c>
      <c r="N250" s="201">
        <f>Financials!FN50</f>
        <v>418.32499999999999</v>
      </c>
      <c r="O250" s="201">
        <f>Financials!FO50</f>
        <v>409.74999999999994</v>
      </c>
      <c r="P250" s="201">
        <f>Financials!FP50</f>
        <v>397.625</v>
      </c>
      <c r="Q250" s="201">
        <f>Financials!FQ50</f>
        <v>393.85</v>
      </c>
      <c r="R250" s="201">
        <f>Financials!FR50</f>
        <v>393.27499999999998</v>
      </c>
      <c r="S250" s="201">
        <f>Financials!FS50</f>
        <v>388.32499999999999</v>
      </c>
      <c r="T250" s="201">
        <f>Financials!FT50</f>
        <v>384.21272756055083</v>
      </c>
      <c r="U250" s="201">
        <f>Financials!FU50</f>
        <v>377.88060788348895</v>
      </c>
      <c r="V250" s="201">
        <f>Financials!FV50</f>
        <v>374.71454804495801</v>
      </c>
      <c r="W250" s="214"/>
      <c r="X250" s="214"/>
      <c r="Y250" s="214"/>
    </row>
    <row r="251" spans="2:25" x14ac:dyDescent="0.3">
      <c r="B251" s="180" t="s">
        <v>530</v>
      </c>
      <c r="G251" s="201">
        <f>Financials!FG52</f>
        <v>433.4</v>
      </c>
      <c r="H251" s="201">
        <f>Financials!FH52</f>
        <v>440.19999999999993</v>
      </c>
      <c r="I251" s="201">
        <f>Financials!FI52</f>
        <v>433.05</v>
      </c>
      <c r="J251" s="201">
        <f>Financials!FJ52</f>
        <v>427.65000000000003</v>
      </c>
      <c r="K251" s="201">
        <f>Financials!FK52</f>
        <v>431.75</v>
      </c>
      <c r="L251" s="201">
        <f>Financials!FL52</f>
        <v>426.5</v>
      </c>
      <c r="M251" s="201">
        <f>Financials!FM52</f>
        <v>421.77499999999998</v>
      </c>
      <c r="N251" s="201">
        <f>Financials!FN52</f>
        <v>419.07499999999999</v>
      </c>
      <c r="O251" s="201">
        <f>Financials!FO52</f>
        <v>410.34999999999997</v>
      </c>
      <c r="P251" s="201">
        <f>Financials!FP52</f>
        <v>397.97500000000002</v>
      </c>
      <c r="Q251" s="201">
        <f>Financials!FQ52</f>
        <v>394</v>
      </c>
      <c r="R251" s="201">
        <f>Financials!FR52</f>
        <v>393.6</v>
      </c>
      <c r="S251" s="201">
        <f>Financials!FS52</f>
        <v>388.875</v>
      </c>
      <c r="T251" s="201">
        <f>Financials!FT52</f>
        <v>384.28772756055082</v>
      </c>
      <c r="U251" s="201">
        <f>Financials!FU52</f>
        <v>377.95560788348899</v>
      </c>
      <c r="V251" s="201">
        <f>Financials!FV52</f>
        <v>374.78954804495805</v>
      </c>
      <c r="W251" s="214"/>
      <c r="X251" s="214"/>
      <c r="Y251" s="214"/>
    </row>
    <row r="252" spans="2:25" x14ac:dyDescent="0.3">
      <c r="B252" s="180" t="s">
        <v>531</v>
      </c>
      <c r="G252" s="197" t="s">
        <v>532</v>
      </c>
      <c r="H252" s="197" t="s">
        <v>532</v>
      </c>
      <c r="I252" s="197" t="s">
        <v>532</v>
      </c>
      <c r="J252" s="197" t="s">
        <v>532</v>
      </c>
      <c r="K252" s="197" t="s">
        <v>532</v>
      </c>
      <c r="L252" s="197" t="s">
        <v>532</v>
      </c>
      <c r="M252" s="197" t="s">
        <v>532</v>
      </c>
      <c r="N252" s="197" t="s">
        <v>532</v>
      </c>
      <c r="O252" s="197" t="s">
        <v>532</v>
      </c>
      <c r="P252" s="197" t="s">
        <v>532</v>
      </c>
      <c r="Q252" s="197" t="s">
        <v>532</v>
      </c>
      <c r="R252" s="197" t="s">
        <v>532</v>
      </c>
      <c r="S252" s="197" t="s">
        <v>532</v>
      </c>
      <c r="T252" s="197" t="s">
        <v>532</v>
      </c>
      <c r="U252" s="197" t="s">
        <v>532</v>
      </c>
      <c r="V252" s="197" t="s">
        <v>532</v>
      </c>
      <c r="W252" s="214"/>
      <c r="X252" s="214"/>
      <c r="Y252" s="214"/>
    </row>
    <row r="253" spans="2:25" x14ac:dyDescent="0.3">
      <c r="B253" s="180" t="s">
        <v>533</v>
      </c>
      <c r="G253" s="201">
        <f t="shared" ref="G253:R253" si="85">G119-G254</f>
        <v>2545.8000000000002</v>
      </c>
      <c r="H253" s="201">
        <f t="shared" si="85"/>
        <v>2864.1000000000004</v>
      </c>
      <c r="I253" s="201">
        <f t="shared" si="85"/>
        <v>3104.4260000000004</v>
      </c>
      <c r="J253" s="201">
        <f t="shared" si="85"/>
        <v>3537.8999999999996</v>
      </c>
      <c r="K253" s="201">
        <f t="shared" si="85"/>
        <v>3464.8999999999996</v>
      </c>
      <c r="L253" s="201">
        <f t="shared" si="85"/>
        <v>2443.1000000000004</v>
      </c>
      <c r="M253" s="201">
        <f t="shared" si="85"/>
        <v>3068.3999999999996</v>
      </c>
      <c r="N253" s="201">
        <f t="shared" si="85"/>
        <v>3133.8999999999996</v>
      </c>
      <c r="O253" s="201">
        <f t="shared" si="85"/>
        <v>1823.2999999999993</v>
      </c>
      <c r="P253" s="201">
        <f t="shared" si="85"/>
        <v>-235.89999999999964</v>
      </c>
      <c r="Q253" s="201">
        <f t="shared" si="85"/>
        <v>1072.8999999999996</v>
      </c>
      <c r="R253" s="201">
        <f t="shared" si="85"/>
        <v>4062.5</v>
      </c>
      <c r="S253" s="201">
        <f>S119-S254</f>
        <v>1623.0000000000036</v>
      </c>
      <c r="T253" s="201">
        <f>T119-T254</f>
        <v>-2974.427391588295</v>
      </c>
      <c r="U253" s="201">
        <f>U119-U254</f>
        <v>-2082.8688050595374</v>
      </c>
      <c r="V253" s="201">
        <f>V119-V254</f>
        <v>-3589.6956963530683</v>
      </c>
      <c r="W253" s="214"/>
      <c r="X253" s="214"/>
      <c r="Y253" s="214"/>
    </row>
    <row r="254" spans="2:25" x14ac:dyDescent="0.3">
      <c r="B254" s="180" t="s">
        <v>534</v>
      </c>
      <c r="G254" s="201">
        <f>Financials!FG265</f>
        <v>4376.6000000000004</v>
      </c>
      <c r="H254" s="201">
        <f>Financials!FH265</f>
        <v>4648.5</v>
      </c>
      <c r="I254" s="201">
        <f>Financials!FI265</f>
        <v>5284.3149999999996</v>
      </c>
      <c r="J254" s="201">
        <f>Financials!FJ265</f>
        <v>6282.5</v>
      </c>
      <c r="K254" s="201">
        <f>Financials!FK265</f>
        <v>7311.5</v>
      </c>
      <c r="L254" s="201">
        <f>Financials!FL265</f>
        <v>9197.9</v>
      </c>
      <c r="M254" s="201">
        <f>Financials!FM265</f>
        <v>9523.7999999999993</v>
      </c>
      <c r="N254" s="201">
        <f>Financials!FN265</f>
        <v>10731.5</v>
      </c>
      <c r="O254" s="201">
        <f>Financials!FO265</f>
        <v>8317.2999999999993</v>
      </c>
      <c r="P254" s="201">
        <f>Financials!FP265</f>
        <v>9046.7000000000007</v>
      </c>
      <c r="Q254" s="201">
        <f>Financials!FQ265</f>
        <v>12379.5</v>
      </c>
      <c r="R254" s="201">
        <f>Financials!FR265</f>
        <v>14414.3</v>
      </c>
      <c r="S254" s="201">
        <f>Financials!FS265</f>
        <v>17723.099999999999</v>
      </c>
      <c r="T254" s="201">
        <f>Financials!FT265</f>
        <v>25868.943727302652</v>
      </c>
      <c r="U254" s="201">
        <f>Financials!FU265</f>
        <v>36414.06495245768</v>
      </c>
      <c r="V254" s="201">
        <f>Financials!FV265</f>
        <v>44833.046899843066</v>
      </c>
      <c r="W254" s="214"/>
      <c r="X254" s="214"/>
      <c r="Y254" s="214"/>
    </row>
    <row r="255" spans="2:25" x14ac:dyDescent="0.3">
      <c r="B255" s="180" t="s">
        <v>535</v>
      </c>
      <c r="G255" s="180">
        <v>1</v>
      </c>
      <c r="H255" s="180">
        <v>1</v>
      </c>
      <c r="I255" s="180">
        <v>1</v>
      </c>
      <c r="J255" s="180">
        <v>1</v>
      </c>
      <c r="K255" s="180">
        <v>1</v>
      </c>
      <c r="L255" s="180">
        <v>1</v>
      </c>
      <c r="M255" s="180">
        <v>1</v>
      </c>
      <c r="N255" s="180">
        <v>1</v>
      </c>
      <c r="O255" s="180">
        <v>1</v>
      </c>
      <c r="P255" s="180">
        <v>1</v>
      </c>
      <c r="Q255" s="180">
        <v>1</v>
      </c>
      <c r="R255" s="180">
        <v>1</v>
      </c>
      <c r="S255" s="180">
        <v>1</v>
      </c>
      <c r="T255" s="180">
        <v>2</v>
      </c>
      <c r="U255" s="180">
        <v>3</v>
      </c>
      <c r="V255" s="180">
        <v>3</v>
      </c>
      <c r="W255" s="214"/>
      <c r="X255" s="214"/>
      <c r="Y255" s="214"/>
    </row>
    <row r="256" spans="2:25" x14ac:dyDescent="0.3">
      <c r="B256" s="180" t="s">
        <v>536</v>
      </c>
      <c r="H256" s="201">
        <f t="shared" ref="H256:Q256" si="86">G84-H84+H153+H154</f>
        <v>-3.872457909892546E-13</v>
      </c>
      <c r="I256" s="201">
        <f t="shared" si="86"/>
        <v>-3.4106051316484809E-13</v>
      </c>
      <c r="J256" s="201">
        <f t="shared" si="86"/>
        <v>-149.10000000000028</v>
      </c>
      <c r="K256" s="201">
        <f t="shared" si="86"/>
        <v>-0.59999999999977049</v>
      </c>
      <c r="L256" s="201">
        <f t="shared" si="86"/>
        <v>-2.7267077484793845E-13</v>
      </c>
      <c r="M256" s="201">
        <f t="shared" si="86"/>
        <v>-0.10000000000049969</v>
      </c>
      <c r="N256" s="201">
        <f t="shared" si="86"/>
        <v>-0.10000000000063736</v>
      </c>
      <c r="O256" s="201">
        <f t="shared" si="86"/>
        <v>1.6378010059270309E-12</v>
      </c>
      <c r="P256" s="201">
        <f t="shared" si="86"/>
        <v>3.6415315207705135E-13</v>
      </c>
      <c r="Q256" s="201">
        <f t="shared" si="86"/>
        <v>-0.19999999999845386</v>
      </c>
      <c r="R256" s="201">
        <f>Q84-R84+R153+R154</f>
        <v>-1.4557244298885053E-12</v>
      </c>
      <c r="S256" s="201">
        <f>R84-S84+S153+S154</f>
        <v>2.1813661987835076E-12</v>
      </c>
      <c r="T256" s="201">
        <f>S84-T84+T153+T154</f>
        <v>4875.065688568664</v>
      </c>
      <c r="U256" s="201">
        <f>T84-U84+U153+U154</f>
        <v>-4875.0656885686649</v>
      </c>
      <c r="V256" s="201">
        <f>U84-V84+V153+V154</f>
        <v>0</v>
      </c>
      <c r="W256" s="214"/>
      <c r="X256" s="214"/>
      <c r="Y256" s="214"/>
    </row>
    <row r="257" spans="2:25" x14ac:dyDescent="0.3">
      <c r="B257" s="180" t="s">
        <v>537</v>
      </c>
      <c r="G257" s="201">
        <f t="shared" ref="G257:T257" si="87">G147+G148</f>
        <v>-268.2</v>
      </c>
      <c r="H257" s="201">
        <f t="shared" si="87"/>
        <v>-660.3</v>
      </c>
      <c r="I257" s="201">
        <f t="shared" si="87"/>
        <v>-531.69999999999993</v>
      </c>
      <c r="J257" s="201">
        <f t="shared" si="87"/>
        <v>182.69999999999993</v>
      </c>
      <c r="K257" s="201">
        <f t="shared" si="87"/>
        <v>-449.4</v>
      </c>
      <c r="L257" s="201">
        <f t="shared" si="87"/>
        <v>-1124.3999999999999</v>
      </c>
      <c r="M257" s="201">
        <f t="shared" si="87"/>
        <v>-382.8</v>
      </c>
      <c r="N257" s="201">
        <f t="shared" si="87"/>
        <v>-1169.5999999999999</v>
      </c>
      <c r="O257" s="201">
        <f t="shared" si="87"/>
        <v>-8511.4</v>
      </c>
      <c r="P257" s="201">
        <f t="shared" si="87"/>
        <v>-4557.8</v>
      </c>
      <c r="Q257" s="201">
        <f t="shared" si="87"/>
        <v>-900.5</v>
      </c>
      <c r="R257" s="201">
        <f>R147+R148</f>
        <v>-376</v>
      </c>
      <c r="S257" s="201">
        <f t="shared" si="87"/>
        <v>-5807.6</v>
      </c>
      <c r="T257" s="201">
        <f t="shared" si="87"/>
        <v>-3860</v>
      </c>
      <c r="U257" s="201">
        <f>U147+U148</f>
        <v>-7860</v>
      </c>
      <c r="V257" s="201">
        <f>V147+V148</f>
        <v>-3860</v>
      </c>
      <c r="W257" s="214"/>
      <c r="X257" s="214"/>
      <c r="Y257" s="214"/>
    </row>
    <row r="258" spans="2:25" x14ac:dyDescent="0.3">
      <c r="B258" s="180" t="s">
        <v>539</v>
      </c>
      <c r="P258" s="201">
        <f>P173</f>
        <v>397.625</v>
      </c>
      <c r="W258" s="214"/>
      <c r="X258" s="214"/>
      <c r="Y258" s="214"/>
    </row>
    <row r="259" spans="2:25" x14ac:dyDescent="0.3">
      <c r="B259" s="180" t="s">
        <v>540</v>
      </c>
      <c r="P259" s="201">
        <f t="shared" ref="P259:R259" si="88">-P124-P175</f>
        <v>0</v>
      </c>
      <c r="Q259" s="201">
        <f t="shared" si="88"/>
        <v>0</v>
      </c>
      <c r="R259" s="201">
        <f t="shared" si="88"/>
        <v>0</v>
      </c>
      <c r="S259" s="201">
        <f>-S124-S175</f>
        <v>0</v>
      </c>
      <c r="T259" s="201">
        <f>-T124-T175</f>
        <v>0</v>
      </c>
      <c r="U259" s="201">
        <f>-U124-U175</f>
        <v>0</v>
      </c>
      <c r="V259" s="201">
        <f>-V124-V175</f>
        <v>0</v>
      </c>
      <c r="W259" s="214"/>
      <c r="X259" s="214"/>
      <c r="Y259" s="214"/>
    </row>
    <row r="260" spans="2:25" x14ac:dyDescent="0.3">
      <c r="U260" s="214"/>
      <c r="V260" s="214"/>
      <c r="W260" s="214"/>
      <c r="X260" s="214"/>
      <c r="Y260" s="214"/>
    </row>
    <row r="261" spans="2:25" x14ac:dyDescent="0.3">
      <c r="B261" s="177" t="s">
        <v>538</v>
      </c>
      <c r="U261" s="214"/>
      <c r="V261" s="214"/>
      <c r="W261" s="214"/>
      <c r="X261" s="214"/>
      <c r="Y261" s="214"/>
    </row>
    <row r="262" spans="2:25" x14ac:dyDescent="0.3">
      <c r="U262" s="214"/>
      <c r="V262" s="214"/>
      <c r="W262" s="214"/>
      <c r="X262" s="214"/>
      <c r="Y262" s="214"/>
    </row>
    <row r="263" spans="2:25" x14ac:dyDescent="0.3">
      <c r="U263" s="214"/>
      <c r="V263" s="214"/>
      <c r="W263" s="214"/>
      <c r="X263" s="214"/>
      <c r="Y263" s="214"/>
    </row>
    <row r="264" spans="2:25" x14ac:dyDescent="0.3">
      <c r="U264" s="214"/>
      <c r="V264" s="214"/>
      <c r="W264" s="214"/>
      <c r="X264" s="214"/>
      <c r="Y264" s="214"/>
    </row>
    <row r="265" spans="2:25" x14ac:dyDescent="0.3">
      <c r="U265" s="214"/>
      <c r="V265" s="214"/>
      <c r="W265" s="214"/>
      <c r="X265" s="214"/>
      <c r="Y265" s="214"/>
    </row>
    <row r="266" spans="2:25" x14ac:dyDescent="0.3">
      <c r="U266" s="214"/>
      <c r="V266" s="214"/>
      <c r="W266" s="214"/>
      <c r="X266" s="214"/>
      <c r="Y266" s="214"/>
    </row>
    <row r="267" spans="2:25" x14ac:dyDescent="0.3">
      <c r="U267" s="214"/>
      <c r="V267" s="214"/>
      <c r="W267" s="214"/>
      <c r="X267" s="214"/>
      <c r="Y267" s="214"/>
    </row>
    <row r="268" spans="2:25" x14ac:dyDescent="0.3">
      <c r="U268" s="214"/>
      <c r="V268" s="214"/>
      <c r="W268" s="214"/>
      <c r="X268" s="214"/>
      <c r="Y268" s="214"/>
    </row>
    <row r="269" spans="2:25" x14ac:dyDescent="0.3">
      <c r="U269" s="214"/>
      <c r="V269" s="214"/>
      <c r="W269" s="214"/>
      <c r="X269" s="214"/>
      <c r="Y269" s="214"/>
    </row>
    <row r="270" spans="2:25" customFormat="1" x14ac:dyDescent="0.3"/>
    <row r="280" spans="2:21" ht="15.6" x14ac:dyDescent="0.3">
      <c r="B280" s="321" t="s">
        <v>553</v>
      </c>
    </row>
    <row r="281" spans="2:21" x14ac:dyDescent="0.3">
      <c r="B281" s="309" t="s">
        <v>570</v>
      </c>
    </row>
    <row r="282" spans="2:21" x14ac:dyDescent="0.3">
      <c r="B282" s="64" t="s">
        <v>569</v>
      </c>
      <c r="C282" s="63"/>
      <c r="D282" s="63"/>
      <c r="E282" s="63"/>
      <c r="F282" s="63"/>
      <c r="G282" s="63"/>
      <c r="H282" s="63"/>
      <c r="I282" s="63"/>
      <c r="J282" s="63"/>
      <c r="K282" s="81">
        <f>K$3</f>
        <v>2017</v>
      </c>
      <c r="L282" s="81">
        <f t="shared" ref="L282:T282" si="89">L$3</f>
        <v>2018</v>
      </c>
      <c r="M282" s="81">
        <f t="shared" si="89"/>
        <v>2019</v>
      </c>
      <c r="N282" s="81">
        <f t="shared" si="89"/>
        <v>2020</v>
      </c>
      <c r="O282" s="81">
        <f t="shared" si="89"/>
        <v>2021</v>
      </c>
      <c r="P282" s="81">
        <f t="shared" si="89"/>
        <v>2022</v>
      </c>
      <c r="Q282" s="81">
        <f t="shared" si="89"/>
        <v>2023</v>
      </c>
      <c r="R282" s="81">
        <f t="shared" si="89"/>
        <v>2024</v>
      </c>
      <c r="S282" s="81">
        <f t="shared" si="89"/>
        <v>2025</v>
      </c>
      <c r="T282" s="81" t="str">
        <f t="shared" si="89"/>
        <v>2026e</v>
      </c>
    </row>
    <row r="283" spans="2:21" x14ac:dyDescent="0.3">
      <c r="B283" s="322" t="s">
        <v>151</v>
      </c>
    </row>
    <row r="285" spans="2:21" x14ac:dyDescent="0.3">
      <c r="B285" s="177" t="s">
        <v>554</v>
      </c>
      <c r="C285" s="868" cm="1">
        <f t="array" ref="C285">_xll.FDS("ASML-NL","P_PRICE(NOW)")</f>
        <v>908.1</v>
      </c>
    </row>
    <row r="286" spans="2:21" x14ac:dyDescent="0.3">
      <c r="B286" s="177" t="s">
        <v>555</v>
      </c>
      <c r="C286" s="869" cm="1">
        <f t="array" ref="C286">_xll.FDS("ASML-NL","P_MARKET_VAL_SEC(NOW)")</f>
        <v>352476.89912700001</v>
      </c>
    </row>
    <row r="288" spans="2:21" x14ac:dyDescent="0.3">
      <c r="B288" s="870" t="s">
        <v>106</v>
      </c>
      <c r="C288" s="870"/>
      <c r="D288" s="870"/>
      <c r="E288" s="870"/>
      <c r="F288" s="870"/>
      <c r="G288" s="870"/>
      <c r="H288" s="870"/>
      <c r="I288" s="870"/>
      <c r="J288" s="871"/>
      <c r="K288" s="871">
        <f>K$3</f>
        <v>2017</v>
      </c>
      <c r="L288" s="871">
        <f t="shared" ref="L288:U288" si="90">L$3</f>
        <v>2018</v>
      </c>
      <c r="M288" s="871">
        <f t="shared" si="90"/>
        <v>2019</v>
      </c>
      <c r="N288" s="871">
        <f t="shared" si="90"/>
        <v>2020</v>
      </c>
      <c r="O288" s="871">
        <f t="shared" si="90"/>
        <v>2021</v>
      </c>
      <c r="P288" s="871">
        <f t="shared" si="90"/>
        <v>2022</v>
      </c>
      <c r="Q288" s="871">
        <f t="shared" si="90"/>
        <v>2023</v>
      </c>
      <c r="R288" s="871">
        <f t="shared" si="90"/>
        <v>2024</v>
      </c>
      <c r="S288" s="872">
        <f t="shared" si="90"/>
        <v>2025</v>
      </c>
      <c r="T288" s="872" t="str">
        <f t="shared" si="90"/>
        <v>2026e</v>
      </c>
      <c r="U288" s="872" t="str">
        <f t="shared" si="90"/>
        <v>2027e</v>
      </c>
    </row>
    <row r="289" spans="2:21" x14ac:dyDescent="0.3">
      <c r="B289" s="177" t="s">
        <v>556</v>
      </c>
      <c r="J289" s="248"/>
      <c r="K289" s="248">
        <f t="shared" ref="K289:U289" si="91">K8</f>
        <v>9052.7999999999993</v>
      </c>
      <c r="L289" s="248">
        <f t="shared" si="91"/>
        <v>10944</v>
      </c>
      <c r="M289" s="248">
        <f t="shared" si="91"/>
        <v>11819.9</v>
      </c>
      <c r="N289" s="248">
        <f t="shared" si="91"/>
        <v>13978.4</v>
      </c>
      <c r="O289" s="248">
        <f t="shared" si="91"/>
        <v>18611</v>
      </c>
      <c r="P289" s="248">
        <f t="shared" si="91"/>
        <v>21173.399999999998</v>
      </c>
      <c r="Q289" s="248">
        <f t="shared" si="91"/>
        <v>27558.5</v>
      </c>
      <c r="R289" s="248">
        <f t="shared" si="91"/>
        <v>28262.899999999998</v>
      </c>
      <c r="S289" s="248">
        <f t="shared" si="91"/>
        <v>32667.200000000001</v>
      </c>
      <c r="T289" s="248">
        <f t="shared" si="91"/>
        <v>37673.594999999994</v>
      </c>
      <c r="U289" s="248">
        <f t="shared" si="91"/>
        <v>48011.947549999997</v>
      </c>
    </row>
    <row r="290" spans="2:21" x14ac:dyDescent="0.3">
      <c r="B290" s="270" t="s">
        <v>257</v>
      </c>
      <c r="J290" s="323"/>
      <c r="K290" s="215">
        <f t="shared" ref="K290:U290" si="92">K33</f>
        <v>0.33231294519338328</v>
      </c>
      <c r="L290" s="215">
        <f t="shared" si="92"/>
        <v>0.20890774125132561</v>
      </c>
      <c r="M290" s="215">
        <f t="shared" si="92"/>
        <v>8.0034722222222188E-2</v>
      </c>
      <c r="N290" s="215">
        <f t="shared" si="92"/>
        <v>0.18261575817054299</v>
      </c>
      <c r="O290" s="215">
        <f t="shared" si="92"/>
        <v>0.33141132032278375</v>
      </c>
      <c r="P290" s="215">
        <f t="shared" si="92"/>
        <v>0.13768201601203578</v>
      </c>
      <c r="Q290" s="215">
        <f t="shared" si="92"/>
        <v>0.30156233765007046</v>
      </c>
      <c r="R290" s="215">
        <f t="shared" si="92"/>
        <v>2.556017199775007E-2</v>
      </c>
      <c r="S290" s="215">
        <f t="shared" si="92"/>
        <v>0.15583326551769283</v>
      </c>
      <c r="T290" s="215">
        <f t="shared" si="92"/>
        <v>0.15325448768183358</v>
      </c>
      <c r="U290" s="215">
        <f t="shared" si="92"/>
        <v>0.2744190606179211</v>
      </c>
    </row>
    <row r="291" spans="2:21" x14ac:dyDescent="0.3">
      <c r="B291" s="270" t="s">
        <v>557</v>
      </c>
      <c r="J291" s="188"/>
      <c r="K291" s="184">
        <f t="shared" ref="K291:U291" si="93">-K12/K$289</f>
        <v>0.13915031813361611</v>
      </c>
      <c r="L291" s="184">
        <f t="shared" si="93"/>
        <v>0.1439967105263158</v>
      </c>
      <c r="M291" s="184">
        <f t="shared" si="93"/>
        <v>0.16654117209113445</v>
      </c>
      <c r="N291" s="184">
        <f t="shared" si="93"/>
        <v>0.15744291192124996</v>
      </c>
      <c r="O291" s="184">
        <f t="shared" si="93"/>
        <v>0.13685454838536348</v>
      </c>
      <c r="P291" s="184">
        <f t="shared" si="93"/>
        <v>0.15365978066819691</v>
      </c>
      <c r="Q291" s="184">
        <f t="shared" si="93"/>
        <v>0.14443819511221584</v>
      </c>
      <c r="R291" s="184">
        <f t="shared" si="93"/>
        <v>0.15227382894182834</v>
      </c>
      <c r="S291" s="184">
        <f t="shared" si="93"/>
        <v>0.14383846794338051</v>
      </c>
      <c r="T291" s="184">
        <f t="shared" si="93"/>
        <v>0.1283098663666157</v>
      </c>
      <c r="U291" s="184">
        <f t="shared" si="93"/>
        <v>0.10565263222695494</v>
      </c>
    </row>
    <row r="292" spans="2:21" x14ac:dyDescent="0.3">
      <c r="B292" s="270" t="s">
        <v>558</v>
      </c>
      <c r="J292" s="188"/>
      <c r="K292" s="184">
        <f t="shared" ref="K292:U292" si="94">-K13/K$289</f>
        <v>4.6018911276069281E-2</v>
      </c>
      <c r="L292" s="184">
        <f t="shared" si="94"/>
        <v>4.4590643274853799E-2</v>
      </c>
      <c r="M292" s="184">
        <f t="shared" si="94"/>
        <v>4.4044365857579169E-2</v>
      </c>
      <c r="N292" s="184">
        <f t="shared" si="94"/>
        <v>3.8981571567561379E-2</v>
      </c>
      <c r="O292" s="184">
        <f t="shared" si="94"/>
        <v>3.8987695448928057E-2</v>
      </c>
      <c r="P292" s="184">
        <f t="shared" si="94"/>
        <v>4.4673977726770384E-2</v>
      </c>
      <c r="Q292" s="184">
        <f t="shared" si="94"/>
        <v>4.0397699439374428E-2</v>
      </c>
      <c r="R292" s="184">
        <f t="shared" si="94"/>
        <v>4.1244882867646278E-2</v>
      </c>
      <c r="S292" s="184">
        <f t="shared" si="94"/>
        <v>3.8503453004848899E-2</v>
      </c>
      <c r="T292" s="184">
        <f t="shared" si="94"/>
        <v>3.3814368711029573E-2</v>
      </c>
      <c r="U292" s="184">
        <f t="shared" si="94"/>
        <v>2.7322909481933735E-2</v>
      </c>
    </row>
    <row r="293" spans="2:21" x14ac:dyDescent="0.3">
      <c r="B293" s="324" t="s">
        <v>361</v>
      </c>
      <c r="J293" s="248"/>
      <c r="K293" s="248">
        <f t="shared" ref="K293:U293" si="95">K15</f>
        <v>2496.1999999999989</v>
      </c>
      <c r="L293" s="248">
        <f t="shared" si="95"/>
        <v>2965.3000000000006</v>
      </c>
      <c r="M293" s="248">
        <f t="shared" si="95"/>
        <v>2790.6</v>
      </c>
      <c r="N293" s="248">
        <f t="shared" si="95"/>
        <v>4051.4</v>
      </c>
      <c r="O293" s="248">
        <f t="shared" si="95"/>
        <v>6750.1</v>
      </c>
      <c r="P293" s="248">
        <f t="shared" si="95"/>
        <v>6500.6999999999989</v>
      </c>
      <c r="Q293" s="248">
        <f t="shared" si="95"/>
        <v>9042.2999999999993</v>
      </c>
      <c r="R293" s="248">
        <f t="shared" si="95"/>
        <v>9022.5999999999985</v>
      </c>
      <c r="S293" s="248">
        <f t="shared" si="95"/>
        <v>11340.53952</v>
      </c>
      <c r="T293" s="248">
        <f t="shared" si="95"/>
        <v>13685.322197999996</v>
      </c>
      <c r="U293" s="248">
        <f t="shared" si="95"/>
        <v>20269.464747040001</v>
      </c>
    </row>
    <row r="294" spans="2:21" x14ac:dyDescent="0.3">
      <c r="B294" s="325" t="s">
        <v>516</v>
      </c>
      <c r="J294" s="188"/>
      <c r="K294" s="184">
        <f>K293/K289</f>
        <v>0.27573789324849762</v>
      </c>
      <c r="L294" s="184">
        <f t="shared" ref="L294:R294" si="96">L293/L289</f>
        <v>0.27095211988304102</v>
      </c>
      <c r="M294" s="184">
        <f t="shared" si="96"/>
        <v>0.23609336796419597</v>
      </c>
      <c r="N294" s="184">
        <f t="shared" si="96"/>
        <v>0.28983288502260635</v>
      </c>
      <c r="O294" s="184">
        <f t="shared" si="96"/>
        <v>0.3626941056364516</v>
      </c>
      <c r="P294" s="184">
        <f t="shared" si="96"/>
        <v>0.30702201819263791</v>
      </c>
      <c r="Q294" s="184">
        <f t="shared" si="96"/>
        <v>0.3281129234174574</v>
      </c>
      <c r="R294" s="184">
        <f t="shared" si="96"/>
        <v>0.31923829472559428</v>
      </c>
      <c r="S294" s="184">
        <f>S293/S289</f>
        <v>0.34715370524562866</v>
      </c>
      <c r="T294" s="184">
        <f>T293/T289</f>
        <v>0.36326032060386054</v>
      </c>
      <c r="U294" s="184">
        <f>U293/U289</f>
        <v>0.42217543301969224</v>
      </c>
    </row>
    <row r="295" spans="2:21" x14ac:dyDescent="0.3">
      <c r="B295" s="177" t="s">
        <v>571</v>
      </c>
      <c r="J295" s="317"/>
      <c r="K295" s="317">
        <f t="shared" ref="K295:S295" si="97">K28</f>
        <v>4.9067747539085094</v>
      </c>
      <c r="L295" s="317">
        <f t="shared" si="97"/>
        <v>6.0764361078546312</v>
      </c>
      <c r="M295" s="317">
        <f t="shared" si="97"/>
        <v>6.1459308873214393</v>
      </c>
      <c r="N295" s="317">
        <f t="shared" si="97"/>
        <v>8.4796277515957765</v>
      </c>
      <c r="O295" s="317">
        <f t="shared" si="97"/>
        <v>14.337029365176072</v>
      </c>
      <c r="P295" s="317">
        <f t="shared" si="97"/>
        <v>14.132043470067211</v>
      </c>
      <c r="Q295" s="317">
        <f t="shared" si="97"/>
        <v>19.895939086294415</v>
      </c>
      <c r="R295" s="317">
        <f t="shared" si="97"/>
        <v>19.236788617886173</v>
      </c>
      <c r="S295" s="317">
        <f t="shared" si="97"/>
        <v>24.811159164255869</v>
      </c>
      <c r="T295" s="317">
        <f>T28</f>
        <v>30.547092808182654</v>
      </c>
      <c r="U295" s="317">
        <f>U28</f>
        <v>46.500704514861688</v>
      </c>
    </row>
    <row r="297" spans="2:21" x14ac:dyDescent="0.3">
      <c r="B297" s="870" t="s">
        <v>559</v>
      </c>
      <c r="C297" s="870"/>
      <c r="D297" s="870"/>
      <c r="E297" s="870"/>
      <c r="F297" s="870"/>
      <c r="G297" s="870"/>
      <c r="H297" s="870"/>
      <c r="I297" s="870"/>
      <c r="J297" s="871"/>
      <c r="K297" s="871">
        <f>K$3</f>
        <v>2017</v>
      </c>
      <c r="L297" s="871">
        <f t="shared" ref="L297:U297" si="98">L$3</f>
        <v>2018</v>
      </c>
      <c r="M297" s="871">
        <f t="shared" si="98"/>
        <v>2019</v>
      </c>
      <c r="N297" s="871">
        <f t="shared" si="98"/>
        <v>2020</v>
      </c>
      <c r="O297" s="871">
        <f t="shared" si="98"/>
        <v>2021</v>
      </c>
      <c r="P297" s="871">
        <f t="shared" si="98"/>
        <v>2022</v>
      </c>
      <c r="Q297" s="871">
        <f t="shared" si="98"/>
        <v>2023</v>
      </c>
      <c r="R297" s="871">
        <f t="shared" si="98"/>
        <v>2024</v>
      </c>
      <c r="S297" s="872">
        <f t="shared" si="98"/>
        <v>2025</v>
      </c>
      <c r="T297" s="872" t="str">
        <f t="shared" si="98"/>
        <v>2026e</v>
      </c>
      <c r="U297" s="872" t="str">
        <f t="shared" si="98"/>
        <v>2027e</v>
      </c>
    </row>
    <row r="298" spans="2:21" x14ac:dyDescent="0.3">
      <c r="B298" s="180" t="s">
        <v>560</v>
      </c>
      <c r="J298" s="191"/>
      <c r="K298" s="191">
        <f t="shared" ref="K298:R298" si="99">K137</f>
        <v>1818.3</v>
      </c>
      <c r="L298" s="191">
        <f t="shared" si="99"/>
        <v>3072.6999999999994</v>
      </c>
      <c r="M298" s="191">
        <f t="shared" si="99"/>
        <v>3276.2999999999997</v>
      </c>
      <c r="N298" s="191">
        <f t="shared" si="99"/>
        <v>4627.4999999999991</v>
      </c>
      <c r="O298" s="191">
        <f t="shared" si="99"/>
        <v>10845.800000000001</v>
      </c>
      <c r="P298" s="191">
        <f t="shared" si="99"/>
        <v>8486.7999999999993</v>
      </c>
      <c r="Q298" s="191">
        <f t="shared" si="99"/>
        <v>5443.4000000000005</v>
      </c>
      <c r="R298" s="191">
        <f t="shared" si="99"/>
        <v>11166.199999999997</v>
      </c>
      <c r="S298" s="191">
        <f>S137</f>
        <v>12658.500000000002</v>
      </c>
      <c r="T298" s="191">
        <f>T137</f>
        <v>9434.2062039774646</v>
      </c>
      <c r="U298" s="191">
        <f>U137</f>
        <v>13780.575404455603</v>
      </c>
    </row>
    <row r="299" spans="2:21" x14ac:dyDescent="0.3">
      <c r="B299" s="177" t="s">
        <v>561</v>
      </c>
      <c r="J299" s="248">
        <f>-J147</f>
        <v>-582.69999999999993</v>
      </c>
      <c r="K299" s="248">
        <f t="shared" ref="K299:U299" si="100">-K142</f>
        <v>338.90000000000003</v>
      </c>
      <c r="L299" s="248">
        <f t="shared" si="100"/>
        <v>574</v>
      </c>
      <c r="M299" s="248">
        <f t="shared" si="100"/>
        <v>766.6</v>
      </c>
      <c r="N299" s="248">
        <f t="shared" si="100"/>
        <v>962</v>
      </c>
      <c r="O299" s="248">
        <f t="shared" si="100"/>
        <v>900.7</v>
      </c>
      <c r="P299" s="248">
        <f t="shared" si="100"/>
        <v>1281.8000000000002</v>
      </c>
      <c r="Q299" s="248">
        <f t="shared" si="100"/>
        <v>2155.6</v>
      </c>
      <c r="R299" s="248">
        <f t="shared" si="100"/>
        <v>2067.1999999999998</v>
      </c>
      <c r="S299" s="248">
        <f t="shared" si="100"/>
        <v>1573.6</v>
      </c>
      <c r="T299" s="248">
        <f t="shared" si="100"/>
        <v>2318.8177499999997</v>
      </c>
      <c r="U299" s="248">
        <f t="shared" si="100"/>
        <v>2400.5973774999998</v>
      </c>
    </row>
    <row r="300" spans="2:21" x14ac:dyDescent="0.3">
      <c r="B300" s="325" t="s">
        <v>478</v>
      </c>
      <c r="J300" s="188"/>
      <c r="K300" s="188">
        <f>K299/K289</f>
        <v>3.7435931424531645E-2</v>
      </c>
      <c r="L300" s="188">
        <f t="shared" ref="L300:R300" si="101">L299/L289</f>
        <v>5.2448830409356724E-2</v>
      </c>
      <c r="M300" s="188">
        <f t="shared" si="101"/>
        <v>6.4856724676181698E-2</v>
      </c>
      <c r="N300" s="188">
        <f t="shared" si="101"/>
        <v>6.8820465861615068E-2</v>
      </c>
      <c r="O300" s="188">
        <f t="shared" si="101"/>
        <v>4.8396109827521364E-2</v>
      </c>
      <c r="P300" s="188">
        <f t="shared" si="101"/>
        <v>6.0538222486705033E-2</v>
      </c>
      <c r="Q300" s="188">
        <f t="shared" si="101"/>
        <v>7.8219061269662715E-2</v>
      </c>
      <c r="R300" s="188">
        <f t="shared" si="101"/>
        <v>7.3141821964483475E-2</v>
      </c>
      <c r="S300" s="188">
        <f>S299/S289</f>
        <v>4.8170642111965513E-2</v>
      </c>
      <c r="T300" s="188">
        <f>T299/T289</f>
        <v>6.1550211759721897E-2</v>
      </c>
      <c r="U300" s="188">
        <f>U299/U289</f>
        <v>4.9999999999999996E-2</v>
      </c>
    </row>
    <row r="302" spans="2:21" x14ac:dyDescent="0.3">
      <c r="B302" s="870" t="s">
        <v>98</v>
      </c>
      <c r="C302" s="870"/>
      <c r="D302" s="870"/>
      <c r="E302" s="870"/>
      <c r="F302" s="870"/>
      <c r="G302" s="870"/>
      <c r="H302" s="870"/>
      <c r="I302" s="870"/>
      <c r="J302" s="871"/>
      <c r="K302" s="871">
        <f>K$3</f>
        <v>2017</v>
      </c>
      <c r="L302" s="871">
        <f t="shared" ref="L302:U302" si="102">L$3</f>
        <v>2018</v>
      </c>
      <c r="M302" s="871">
        <f t="shared" si="102"/>
        <v>2019</v>
      </c>
      <c r="N302" s="871">
        <f t="shared" si="102"/>
        <v>2020</v>
      </c>
      <c r="O302" s="871">
        <f t="shared" si="102"/>
        <v>2021</v>
      </c>
      <c r="P302" s="871">
        <f t="shared" si="102"/>
        <v>2022</v>
      </c>
      <c r="Q302" s="871">
        <f t="shared" si="102"/>
        <v>2023</v>
      </c>
      <c r="R302" s="871">
        <f t="shared" si="102"/>
        <v>2024</v>
      </c>
      <c r="S302" s="872">
        <f t="shared" si="102"/>
        <v>2025</v>
      </c>
      <c r="T302" s="872" t="str">
        <f t="shared" si="102"/>
        <v>2026e</v>
      </c>
      <c r="U302" s="872" t="str">
        <f t="shared" si="102"/>
        <v>2027e</v>
      </c>
    </row>
    <row r="303" spans="2:21" x14ac:dyDescent="0.3">
      <c r="B303" s="180" t="s">
        <v>562</v>
      </c>
      <c r="J303" s="191">
        <f>J92</f>
        <v>1687.2</v>
      </c>
      <c r="K303" s="191">
        <f t="shared" ref="K303:U303" si="103">K87</f>
        <v>2955.6</v>
      </c>
      <c r="L303" s="191">
        <f t="shared" si="103"/>
        <v>3439.5</v>
      </c>
      <c r="M303" s="191">
        <f t="shared" si="103"/>
        <v>3809.2</v>
      </c>
      <c r="N303" s="191">
        <f t="shared" si="103"/>
        <v>4569.3999999999996</v>
      </c>
      <c r="O303" s="191">
        <f t="shared" si="103"/>
        <v>5179.2</v>
      </c>
      <c r="P303" s="191">
        <f t="shared" si="103"/>
        <v>7199.7</v>
      </c>
      <c r="Q303" s="191">
        <f t="shared" si="103"/>
        <v>8850.7000000000007</v>
      </c>
      <c r="R303" s="191">
        <f t="shared" si="103"/>
        <v>10891.5</v>
      </c>
      <c r="S303" s="191">
        <f t="shared" si="103"/>
        <v>11429.3</v>
      </c>
      <c r="T303" s="191">
        <f t="shared" si="103"/>
        <v>9732.6639472222178</v>
      </c>
      <c r="U303" s="191">
        <f t="shared" si="103"/>
        <v>13052.152708833333</v>
      </c>
    </row>
    <row r="304" spans="2:21" x14ac:dyDescent="0.3">
      <c r="B304" s="270" t="s">
        <v>563</v>
      </c>
      <c r="J304" s="183"/>
      <c r="K304" s="183">
        <f t="shared" ref="K304:U304" si="104">-K303/K9*365</f>
        <v>216.79508048471692</v>
      </c>
      <c r="L304" s="183">
        <f t="shared" si="104"/>
        <v>212.25020288090892</v>
      </c>
      <c r="M304" s="183">
        <f t="shared" si="104"/>
        <v>212.58646524571117</v>
      </c>
      <c r="N304" s="183">
        <f t="shared" si="104"/>
        <v>232.24638992939998</v>
      </c>
      <c r="O304" s="183">
        <f t="shared" si="104"/>
        <v>214.77027948193592</v>
      </c>
      <c r="P304" s="183">
        <f t="shared" si="104"/>
        <v>250.91332244851196</v>
      </c>
      <c r="Q304" s="183">
        <f t="shared" si="104"/>
        <v>240.68016897127188</v>
      </c>
      <c r="R304" s="183">
        <f t="shared" si="104"/>
        <v>288.68102302681746</v>
      </c>
      <c r="S304" s="183">
        <f t="shared" si="104"/>
        <v>271.41692158130007</v>
      </c>
      <c r="T304" s="183">
        <f t="shared" si="104"/>
        <v>198.67611616337973</v>
      </c>
      <c r="U304" s="183">
        <f t="shared" si="104"/>
        <v>223.05555555555557</v>
      </c>
    </row>
    <row r="305" spans="2:21" x14ac:dyDescent="0.3">
      <c r="B305" s="177" t="s">
        <v>564</v>
      </c>
      <c r="C305" s="177"/>
      <c r="D305" s="177"/>
      <c r="E305" s="177"/>
      <c r="F305" s="177"/>
      <c r="G305" s="177"/>
      <c r="H305" s="177"/>
      <c r="I305" s="177"/>
      <c r="J305" s="248">
        <f>-J129</f>
        <v>-1322.299999999999</v>
      </c>
      <c r="K305" s="248">
        <f t="shared" ref="K305:R305" si="105">-K124</f>
        <v>-263.00000000000045</v>
      </c>
      <c r="L305" s="248">
        <f t="shared" si="105"/>
        <v>-1007.8999999999996</v>
      </c>
      <c r="M305" s="248">
        <f t="shared" si="105"/>
        <v>-1609.8000000000002</v>
      </c>
      <c r="N305" s="248">
        <f t="shared" si="105"/>
        <v>-2673.3999999999996</v>
      </c>
      <c r="O305" s="248">
        <f t="shared" si="105"/>
        <v>-3006.2</v>
      </c>
      <c r="P305" s="248">
        <f t="shared" si="105"/>
        <v>-3115.6000000000004</v>
      </c>
      <c r="Q305" s="248">
        <f t="shared" si="105"/>
        <v>-2378.4999999999991</v>
      </c>
      <c r="R305" s="248">
        <f t="shared" si="105"/>
        <v>-8053.6999999999989</v>
      </c>
      <c r="S305" s="248">
        <f>-S124</f>
        <v>-8931</v>
      </c>
      <c r="T305" s="248">
        <f>-T124</f>
        <v>-2748.7819744215185</v>
      </c>
      <c r="U305" s="248">
        <f>-U124</f>
        <v>-7470.9641356941866</v>
      </c>
    </row>
    <row r="306" spans="2:21" x14ac:dyDescent="0.3">
      <c r="B306" s="180" t="s">
        <v>565</v>
      </c>
      <c r="J306" s="182"/>
      <c r="K306" s="182">
        <f t="shared" ref="K306:R306" si="106">K305/K17</f>
        <v>-9.0263239180423713E-2</v>
      </c>
      <c r="L306" s="182">
        <f t="shared" si="106"/>
        <v>-0.29749114521841774</v>
      </c>
      <c r="M306" s="182">
        <f t="shared" si="106"/>
        <v>-0.49698990460313058</v>
      </c>
      <c r="N306" s="182">
        <f t="shared" si="106"/>
        <v>-0.58856941570164234</v>
      </c>
      <c r="O306" s="182">
        <f t="shared" si="106"/>
        <v>-0.41630776474498343</v>
      </c>
      <c r="P306" s="182">
        <f t="shared" si="106"/>
        <v>-0.43978939344748258</v>
      </c>
      <c r="Q306" s="182">
        <f t="shared" si="106"/>
        <v>-0.24314819926191711</v>
      </c>
      <c r="R306" s="182">
        <f t="shared" si="106"/>
        <v>-0.81013358548263792</v>
      </c>
      <c r="S306" s="182">
        <f>S305/S17</f>
        <v>-0.72219071354247366</v>
      </c>
      <c r="T306" s="182">
        <f>T305/T17</f>
        <v>-0.18724314759976851</v>
      </c>
      <c r="U306" s="182">
        <f>U305/U17</f>
        <v>-0.34875598943417657</v>
      </c>
    </row>
    <row r="308" spans="2:21" x14ac:dyDescent="0.3">
      <c r="B308" s="870" t="s">
        <v>566</v>
      </c>
      <c r="C308" s="870"/>
      <c r="D308" s="870"/>
      <c r="E308" s="870"/>
      <c r="F308" s="870"/>
      <c r="G308" s="870"/>
      <c r="H308" s="870"/>
      <c r="I308" s="870"/>
      <c r="J308" s="871"/>
      <c r="K308" s="871">
        <f>K$3</f>
        <v>2017</v>
      </c>
      <c r="L308" s="871">
        <f t="shared" ref="L308:U308" si="107">L$3</f>
        <v>2018</v>
      </c>
      <c r="M308" s="871">
        <f t="shared" si="107"/>
        <v>2019</v>
      </c>
      <c r="N308" s="871">
        <f t="shared" si="107"/>
        <v>2020</v>
      </c>
      <c r="O308" s="871">
        <f t="shared" si="107"/>
        <v>2021</v>
      </c>
      <c r="P308" s="871">
        <f t="shared" si="107"/>
        <v>2022</v>
      </c>
      <c r="Q308" s="871">
        <f t="shared" si="107"/>
        <v>2023</v>
      </c>
      <c r="R308" s="871">
        <f t="shared" si="107"/>
        <v>2024</v>
      </c>
      <c r="S308" s="872">
        <f t="shared" si="107"/>
        <v>2025</v>
      </c>
      <c r="T308" s="872" t="str">
        <f t="shared" si="107"/>
        <v>2026e</v>
      </c>
      <c r="U308" s="872" t="str">
        <f t="shared" si="107"/>
        <v>2027e</v>
      </c>
    </row>
    <row r="309" spans="2:21" x14ac:dyDescent="0.3">
      <c r="B309" s="177" t="s">
        <v>572</v>
      </c>
      <c r="J309" s="303"/>
      <c r="K309" s="303">
        <f>K179</f>
        <v>21.172114330915264</v>
      </c>
      <c r="L309" s="303">
        <f t="shared" ref="L309:R309" si="108">L179</f>
        <v>26.469057817683819</v>
      </c>
      <c r="M309" s="303">
        <f t="shared" si="108"/>
        <v>22.930133927566409</v>
      </c>
      <c r="N309" s="303">
        <f t="shared" si="108"/>
        <v>21.148314080772366</v>
      </c>
      <c r="O309" s="303">
        <f t="shared" si="108"/>
        <v>41.842285671739994</v>
      </c>
      <c r="P309" s="303">
        <f t="shared" si="108"/>
        <v>25.321750223242763</v>
      </c>
      <c r="Q309" s="303">
        <f t="shared" si="108"/>
        <v>31.779160864282325</v>
      </c>
      <c r="R309" s="303">
        <f t="shared" si="108"/>
        <v>50.920635816971981</v>
      </c>
      <c r="S309" s="303">
        <f>S179</f>
        <v>41.359091286800719</v>
      </c>
      <c r="T309" s="303">
        <f>T179</f>
        <v>27.169480832192892</v>
      </c>
      <c r="U309" s="303"/>
    </row>
    <row r="310" spans="2:21" x14ac:dyDescent="0.3">
      <c r="B310" s="177" t="s">
        <v>464</v>
      </c>
      <c r="J310" s="303"/>
      <c r="K310" s="303">
        <f>K183</f>
        <v>5.0278478846856727</v>
      </c>
      <c r="L310" s="303">
        <f t="shared" ref="L310:R310" si="109">L183</f>
        <v>5.7629611269976913</v>
      </c>
      <c r="M310" s="303">
        <f t="shared" si="109"/>
        <v>5.7381482286957013</v>
      </c>
      <c r="N310" s="303">
        <f t="shared" si="109"/>
        <v>6.6715605448390738</v>
      </c>
      <c r="O310" s="303">
        <f t="shared" si="109"/>
        <v>11.301252550369803</v>
      </c>
      <c r="P310" s="303">
        <f t="shared" si="109"/>
        <v>7.1559727488796563</v>
      </c>
      <c r="Q310" s="303">
        <f t="shared" si="109"/>
        <v>8.4348537004341395</v>
      </c>
      <c r="R310" s="303">
        <f t="shared" si="109"/>
        <v>14.963325139589557</v>
      </c>
      <c r="S310" s="303">
        <f>S183</f>
        <v>12.785581121207043</v>
      </c>
      <c r="T310" s="303">
        <f>T183</f>
        <v>10.053030602912472</v>
      </c>
    </row>
    <row r="311" spans="2:21" x14ac:dyDescent="0.3">
      <c r="B311" s="177" t="s">
        <v>466</v>
      </c>
      <c r="J311" s="303"/>
      <c r="K311" s="303">
        <f>K185</f>
        <v>16.241076520070834</v>
      </c>
      <c r="L311" s="303">
        <f t="shared" ref="L311:R311" si="110">L185</f>
        <v>21.029799705165019</v>
      </c>
      <c r="M311" s="303">
        <f t="shared" si="110"/>
        <v>17.658872616793623</v>
      </c>
      <c r="N311" s="303">
        <f t="shared" si="110"/>
        <v>17.194667474484497</v>
      </c>
      <c r="O311" s="303">
        <f t="shared" si="110"/>
        <v>33.776935018279858</v>
      </c>
      <c r="P311" s="303">
        <f t="shared" si="110"/>
        <v>20.160075546150626</v>
      </c>
      <c r="Q311" s="303">
        <f t="shared" si="110"/>
        <v>23.980347105983185</v>
      </c>
      <c r="R311" s="303">
        <f t="shared" si="110"/>
        <v>39.52681622934724</v>
      </c>
      <c r="S311" s="303">
        <f>S185</f>
        <v>32.811280203216491</v>
      </c>
      <c r="T311" s="303">
        <f>T185</f>
        <v>22.531564624421563</v>
      </c>
    </row>
    <row r="312" spans="2:21" x14ac:dyDescent="0.3">
      <c r="B312" s="180" t="s">
        <v>567</v>
      </c>
      <c r="J312" s="182"/>
      <c r="K312" s="182">
        <f>K172/K194</f>
        <v>5.1304486888014553</v>
      </c>
      <c r="L312" s="182">
        <f t="shared" ref="L312:R312" si="111">L172/L194</f>
        <v>5.9381087728717468</v>
      </c>
      <c r="M312" s="182">
        <f t="shared" si="111"/>
        <v>6.4976676990517932</v>
      </c>
      <c r="N312" s="182">
        <f t="shared" si="111"/>
        <v>9.1477933056384959</v>
      </c>
      <c r="O312" s="182">
        <f t="shared" si="111"/>
        <v>23.893274633650869</v>
      </c>
      <c r="P312" s="182">
        <f t="shared" si="111"/>
        <v>22.736127820402231</v>
      </c>
      <c r="Q312" s="182">
        <f t="shared" si="111"/>
        <v>17.89806478026226</v>
      </c>
      <c r="R312" s="182">
        <f t="shared" si="111"/>
        <v>26.891216823259441</v>
      </c>
      <c r="S312" s="182">
        <f>S172/S194</f>
        <v>25.359623128175702</v>
      </c>
      <c r="T312" s="182">
        <f>T172/T194</f>
        <v>21.202210733876768</v>
      </c>
      <c r="U312" s="182">
        <f>U172/U194</f>
        <v>13.906138252517071</v>
      </c>
    </row>
    <row r="313" spans="2:21" x14ac:dyDescent="0.3">
      <c r="B313" s="180" t="s">
        <v>568</v>
      </c>
      <c r="J313" s="323"/>
      <c r="K313" s="323">
        <f>K188</f>
        <v>2.6412714288077892E-2</v>
      </c>
      <c r="L313" s="323">
        <f t="shared" ref="L313:R313" si="112">L188</f>
        <v>3.5633726146978809E-2</v>
      </c>
      <c r="M313" s="323">
        <f t="shared" si="112"/>
        <v>2.9215375336321472E-2</v>
      </c>
      <c r="N313" s="323">
        <f t="shared" si="112"/>
        <v>2.8593208173827756E-2</v>
      </c>
      <c r="O313" s="323">
        <f t="shared" si="112"/>
        <v>4.0882465148634833E-2</v>
      </c>
      <c r="P313" s="323">
        <f t="shared" si="112"/>
        <v>3.5779630919441661E-2</v>
      </c>
      <c r="Q313" s="323">
        <f t="shared" si="112"/>
        <v>1.3486622153920453E-2</v>
      </c>
      <c r="R313" s="323">
        <f t="shared" si="112"/>
        <v>1.8280870967745503E-2</v>
      </c>
      <c r="S313" s="323">
        <f>S188</f>
        <v>2.2476721597522904E-2</v>
      </c>
      <c r="T313" s="323">
        <f>T188</f>
        <v>1.4549607584698291E-2</v>
      </c>
      <c r="U313" s="323">
        <f>U188</f>
        <v>2.3726094093515754E-2</v>
      </c>
    </row>
  </sheetData>
  <phoneticPr fontId="75" type="noConversion"/>
  <pageMargins left="0" right="0" top="0" bottom="0" header="0" footer="0"/>
  <pageSetup paperSize="5" scale="15"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C0F6-08A5-49E8-80FA-F0DA858C371D}">
  <dimension ref="A1:B44"/>
  <sheetViews>
    <sheetView workbookViewId="0"/>
  </sheetViews>
  <sheetFormatPr defaultRowHeight="14.4" x14ac:dyDescent="0.3"/>
  <cols>
    <col min="1" max="1" width="29.109375" customWidth="1"/>
  </cols>
  <sheetData>
    <row r="1" spans="1:2" x14ac:dyDescent="0.3">
      <c r="A1" s="900" t="s">
        <v>1108</v>
      </c>
      <c r="B1" s="908" t="s">
        <v>1109</v>
      </c>
    </row>
    <row r="2" spans="1:2" x14ac:dyDescent="0.3">
      <c r="A2" s="900" t="s">
        <v>1110</v>
      </c>
      <c r="B2" s="900" t="s">
        <v>1111</v>
      </c>
    </row>
    <row r="3" spans="1:2" x14ac:dyDescent="0.3">
      <c r="A3" s="900" t="s">
        <v>1112</v>
      </c>
      <c r="B3" s="900" t="s">
        <v>1113</v>
      </c>
    </row>
    <row r="4" spans="1:2" x14ac:dyDescent="0.3">
      <c r="A4" s="900" t="s">
        <v>1114</v>
      </c>
      <c r="B4" s="900" t="s">
        <v>1115</v>
      </c>
    </row>
    <row r="5" spans="1:2" x14ac:dyDescent="0.3">
      <c r="A5" s="900" t="s">
        <v>1116</v>
      </c>
      <c r="B5" s="900" t="s">
        <v>1117</v>
      </c>
    </row>
    <row r="6" spans="1:2" x14ac:dyDescent="0.3">
      <c r="A6" s="900" t="s">
        <v>1118</v>
      </c>
      <c r="B6" s="900"/>
    </row>
    <row r="7" spans="1:2" x14ac:dyDescent="0.3">
      <c r="A7" s="900" t="s">
        <v>1119</v>
      </c>
      <c r="B7" s="900" t="s">
        <v>525</v>
      </c>
    </row>
    <row r="8" spans="1:2" x14ac:dyDescent="0.3">
      <c r="A8" s="900" t="s">
        <v>1120</v>
      </c>
      <c r="B8" s="900" t="s">
        <v>1121</v>
      </c>
    </row>
    <row r="9" spans="1:2" x14ac:dyDescent="0.3">
      <c r="A9" s="900" t="s">
        <v>1122</v>
      </c>
      <c r="B9" s="900" t="s">
        <v>1123</v>
      </c>
    </row>
    <row r="10" spans="1:2" x14ac:dyDescent="0.3">
      <c r="A10" s="900" t="s">
        <v>1124</v>
      </c>
      <c r="B10" s="900"/>
    </row>
    <row r="11" spans="1:2" x14ac:dyDescent="0.3">
      <c r="A11" s="900" t="s">
        <v>1125</v>
      </c>
      <c r="B11" s="900"/>
    </row>
    <row r="12" spans="1:2" x14ac:dyDescent="0.3">
      <c r="A12" s="900" t="s">
        <v>1126</v>
      </c>
      <c r="B12" s="900"/>
    </row>
    <row r="13" spans="1:2" x14ac:dyDescent="0.3">
      <c r="A13" s="900" t="s">
        <v>1127</v>
      </c>
      <c r="B13" s="900"/>
    </row>
    <row r="14" spans="1:2" x14ac:dyDescent="0.3">
      <c r="A14" s="900" t="s">
        <v>1128</v>
      </c>
      <c r="B14" s="900"/>
    </row>
    <row r="15" spans="1:2" x14ac:dyDescent="0.3">
      <c r="A15" s="900" t="s">
        <v>1129</v>
      </c>
      <c r="B15" s="900"/>
    </row>
    <row r="16" spans="1:2" x14ac:dyDescent="0.3">
      <c r="A16" s="900" t="s">
        <v>1130</v>
      </c>
      <c r="B16" s="900"/>
    </row>
    <row r="17" spans="1:2" x14ac:dyDescent="0.3">
      <c r="A17" s="900" t="s">
        <v>1131</v>
      </c>
      <c r="B17" s="900" t="s">
        <v>1132</v>
      </c>
    </row>
    <row r="18" spans="1:2" x14ac:dyDescent="0.3">
      <c r="A18" s="900" t="s">
        <v>1133</v>
      </c>
      <c r="B18" s="900" t="s">
        <v>1134</v>
      </c>
    </row>
    <row r="19" spans="1:2" x14ac:dyDescent="0.3">
      <c r="A19" s="900" t="s">
        <v>1135</v>
      </c>
      <c r="B19" s="900" t="s">
        <v>35</v>
      </c>
    </row>
    <row r="20" spans="1:2" x14ac:dyDescent="0.3">
      <c r="A20" s="900" t="s">
        <v>1136</v>
      </c>
      <c r="B20" s="900" t="s">
        <v>1137</v>
      </c>
    </row>
    <row r="21" spans="1:2" x14ac:dyDescent="0.3">
      <c r="A21" s="900" t="s">
        <v>1138</v>
      </c>
      <c r="B21" s="900" t="s">
        <v>35</v>
      </c>
    </row>
    <row r="22" spans="1:2" x14ac:dyDescent="0.3">
      <c r="A22" s="900" t="s">
        <v>1139</v>
      </c>
      <c r="B22" s="900" t="s">
        <v>1140</v>
      </c>
    </row>
    <row r="23" spans="1:2" x14ac:dyDescent="0.3">
      <c r="A23" s="900" t="s">
        <v>1141</v>
      </c>
      <c r="B23" s="908" t="s">
        <v>1142</v>
      </c>
    </row>
    <row r="24" spans="1:2" x14ac:dyDescent="0.3">
      <c r="A24" s="900" t="s">
        <v>1143</v>
      </c>
      <c r="B24" s="900" t="s">
        <v>29</v>
      </c>
    </row>
    <row r="25" spans="1:2" x14ac:dyDescent="0.3">
      <c r="A25" s="900" t="s">
        <v>1144</v>
      </c>
      <c r="B25" s="900" t="s">
        <v>1145</v>
      </c>
    </row>
    <row r="26" spans="1:2" x14ac:dyDescent="0.3">
      <c r="A26" s="900" t="s">
        <v>1146</v>
      </c>
      <c r="B26" s="900" t="s">
        <v>1147</v>
      </c>
    </row>
    <row r="27" spans="1:2" x14ac:dyDescent="0.3">
      <c r="A27" s="900" t="s">
        <v>1148</v>
      </c>
      <c r="B27" s="900" t="s">
        <v>1149</v>
      </c>
    </row>
    <row r="28" spans="1:2" x14ac:dyDescent="0.3">
      <c r="A28" s="900" t="s">
        <v>1150</v>
      </c>
      <c r="B28" s="900" t="s">
        <v>1151</v>
      </c>
    </row>
    <row r="29" spans="1:2" x14ac:dyDescent="0.3">
      <c r="A29" s="900" t="s">
        <v>1152</v>
      </c>
      <c r="B29" s="900"/>
    </row>
    <row r="30" spans="1:2" x14ac:dyDescent="0.3">
      <c r="A30" s="900" t="s">
        <v>1153</v>
      </c>
      <c r="B30" s="900"/>
    </row>
    <row r="31" spans="1:2" x14ac:dyDescent="0.3">
      <c r="A31" s="900" t="s">
        <v>1154</v>
      </c>
      <c r="B31" s="900"/>
    </row>
    <row r="32" spans="1:2" x14ac:dyDescent="0.3">
      <c r="A32" s="900" t="s">
        <v>1155</v>
      </c>
      <c r="B32" s="900"/>
    </row>
    <row r="33" spans="1:2" x14ac:dyDescent="0.3">
      <c r="A33" s="900" t="s">
        <v>1156</v>
      </c>
      <c r="B33" s="900"/>
    </row>
    <row r="34" spans="1:2" x14ac:dyDescent="0.3">
      <c r="A34" s="900" t="s">
        <v>1157</v>
      </c>
      <c r="B34" s="900"/>
    </row>
    <row r="35" spans="1:2" x14ac:dyDescent="0.3">
      <c r="A35" s="900" t="s">
        <v>1158</v>
      </c>
      <c r="B35" s="900" t="s">
        <v>1159</v>
      </c>
    </row>
    <row r="36" spans="1:2" x14ac:dyDescent="0.3">
      <c r="A36" s="900" t="s">
        <v>1160</v>
      </c>
      <c r="B36" s="900" t="s">
        <v>541</v>
      </c>
    </row>
    <row r="37" spans="1:2" x14ac:dyDescent="0.3">
      <c r="A37" s="900" t="s">
        <v>1161</v>
      </c>
      <c r="B37" s="900" t="s">
        <v>1162</v>
      </c>
    </row>
    <row r="38" spans="1:2" x14ac:dyDescent="0.3">
      <c r="A38" s="900" t="s">
        <v>1163</v>
      </c>
      <c r="B38" s="900" t="s">
        <v>1164</v>
      </c>
    </row>
    <row r="39" spans="1:2" x14ac:dyDescent="0.3">
      <c r="A39" s="900" t="s">
        <v>1165</v>
      </c>
      <c r="B39" s="900" t="s">
        <v>1166</v>
      </c>
    </row>
    <row r="40" spans="1:2" x14ac:dyDescent="0.3">
      <c r="A40" s="900" t="s">
        <v>1167</v>
      </c>
      <c r="B40" s="900" t="s">
        <v>1168</v>
      </c>
    </row>
    <row r="41" spans="1:2" x14ac:dyDescent="0.3">
      <c r="A41" s="900" t="s">
        <v>1169</v>
      </c>
      <c r="B41" s="900" t="s">
        <v>1170</v>
      </c>
    </row>
    <row r="42" spans="1:2" x14ac:dyDescent="0.3">
      <c r="A42" s="900" t="s">
        <v>1171</v>
      </c>
      <c r="B42" s="900"/>
    </row>
    <row r="43" spans="1:2" x14ac:dyDescent="0.3">
      <c r="A43" s="900" t="s">
        <v>1172</v>
      </c>
      <c r="B43" s="900"/>
    </row>
    <row r="44" spans="1:2" x14ac:dyDescent="0.3">
      <c r="A44" s="900" t="s">
        <v>1173</v>
      </c>
      <c r="B44" s="900" t="s">
        <v>1174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D025B-18C0-4957-B367-F77E85F46AF0}">
  <dimension ref="A1:A13"/>
  <sheetViews>
    <sheetView workbookViewId="0"/>
  </sheetViews>
  <sheetFormatPr defaultRowHeight="14.4" x14ac:dyDescent="0.3"/>
  <cols>
    <col min="1" max="1" width="35.109375" customWidth="1"/>
  </cols>
  <sheetData>
    <row r="1" spans="1:1" x14ac:dyDescent="0.3">
      <c r="A1" s="900" t="s">
        <v>1175</v>
      </c>
    </row>
    <row r="2" spans="1:1" x14ac:dyDescent="0.3">
      <c r="A2" s="900" t="s">
        <v>1176</v>
      </c>
    </row>
    <row r="3" spans="1:1" x14ac:dyDescent="0.3">
      <c r="A3" s="900" t="s">
        <v>1177</v>
      </c>
    </row>
    <row r="4" spans="1:1" x14ac:dyDescent="0.3">
      <c r="A4" s="900" t="s">
        <v>1178</v>
      </c>
    </row>
    <row r="5" spans="1:1" x14ac:dyDescent="0.3">
      <c r="A5" s="900" t="s">
        <v>1179</v>
      </c>
    </row>
    <row r="6" spans="1:1" x14ac:dyDescent="0.3">
      <c r="A6" s="900" t="s">
        <v>1180</v>
      </c>
    </row>
    <row r="7" spans="1:1" x14ac:dyDescent="0.3">
      <c r="A7" s="900" t="s">
        <v>1181</v>
      </c>
    </row>
    <row r="8" spans="1:1" x14ac:dyDescent="0.3">
      <c r="A8" s="900" t="s">
        <v>1182</v>
      </c>
    </row>
    <row r="9" spans="1:1" x14ac:dyDescent="0.3">
      <c r="A9" s="900" t="s">
        <v>1183</v>
      </c>
    </row>
    <row r="10" spans="1:1" x14ac:dyDescent="0.3">
      <c r="A10" s="900" t="s">
        <v>1184</v>
      </c>
    </row>
    <row r="11" spans="1:1" x14ac:dyDescent="0.3">
      <c r="A11" s="900" t="s">
        <v>1185</v>
      </c>
    </row>
    <row r="12" spans="1:1" x14ac:dyDescent="0.3">
      <c r="A12" s="900" t="s">
        <v>1186</v>
      </c>
    </row>
    <row r="13" spans="1:1" x14ac:dyDescent="0.3">
      <c r="A13" s="900" t="s">
        <v>1187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776318708"><![CDATA[{"ASML-NL^P_PRICE(0)":1263.4,"ASML-NL^P_PRICE(NOW)":908.1,"ASML-NL^P_MARKET_VAL_SEC(NOW)":352476.899127,"ASML-NL^FREF_SHARES_COMPANY(NOW,,,,0,\"LEGACY\")":388.147674560547,"ASML-NL^FREF_MARKET_VALUE_COMPANY(NOW,,,,,0,,\"LEGACY\")":352476.90625,"ASML-NL^FF_MKT_VAL_PUBLIC(ANN_R,NOW)":266500.458383314,"ASML-NL^FF_MKT_VAL(ANN_R,NOW)":266921.660764,"ASML-NL^XP_PRICE(0)":1053.2,"CDNS-US^FREF_MARKET_VALUE_COMPANY(0,,,,,0,,\"LEGACY\")":79240.5617451221,"CDNS-US^P_PRICE(0)":290.63,"ASML-US^P_PRICE(0)":1497.8}]]></FdsFormulaCache>
</file>

<file path=customXml/itemProps1.xml><?xml version="1.0" encoding="utf-8"?>
<ds:datastoreItem xmlns:ds="http://schemas.openxmlformats.org/officeDocument/2006/customXml" ds:itemID="{8931A15F-47B1-4767-A251-B8FBBC664178}">
  <ds:schemaRefs>
    <ds:schemaRef ds:uri="urn:fdsformulacach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CircularReferenceAlert</vt:lpstr>
      <vt:lpstr>ImportantDisclosures</vt:lpstr>
      <vt:lpstr>Cover</vt:lpstr>
      <vt:lpstr>Sales</vt:lpstr>
      <vt:lpstr>Financials</vt:lpstr>
      <vt:lpstr>Summary</vt:lpstr>
      <vt:lpstr>IndexInformation</vt:lpstr>
      <vt:lpstr>ModPubIndex</vt:lpstr>
      <vt:lpstr>Linking_13</vt:lpstr>
      <vt:lpstr>Linking_14</vt:lpstr>
      <vt:lpstr>Linking_15</vt:lpstr>
      <vt:lpstr>Linking_18</vt:lpstr>
      <vt:lpstr>Linking_2</vt:lpstr>
      <vt:lpstr>Linking_22</vt:lpstr>
      <vt:lpstr>Linking_3</vt:lpstr>
      <vt:lpstr>Linking_4</vt:lpstr>
      <vt:lpstr>Linking_5</vt:lpstr>
    </vt:vector>
  </TitlesOfParts>
  <Company>Morgan Stanley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Simpson, Lee (Research)</dc:creator>
  <cp:lastModifiedBy>Dawes, Katherine (Research)</cp:lastModifiedBy>
  <cp:lastPrinted>2026-04-15T17:18:10Z</cp:lastPrinted>
  <dcterms:created xsi:type="dcterms:W3CDTF">2022-08-15T11:54:13Z</dcterms:created>
  <dcterms:modified xsi:type="dcterms:W3CDTF">2026-04-16T06:04:49Z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7f119e6-c6cd-44b0-a5ee-ac1aff68c56e_Enabled">
    <vt:lpwstr>true</vt:lpwstr>
  </property>
  <property fmtid="{D5CDD505-2E9C-101B-9397-08002B2CF9AE}" pid="3" name="MSIP_Label_07f119e6-c6cd-44b0-a5ee-ac1aff68c56e_SetDate">
    <vt:lpwstr>2022-08-16T10:43:07Z</vt:lpwstr>
  </property>
  <property fmtid="{D5CDD505-2E9C-101B-9397-08002B2CF9AE}" pid="4" name="MSIP_Label_07f119e6-c6cd-44b0-a5ee-ac1aff68c56e_Method">
    <vt:lpwstr>Standard</vt:lpwstr>
  </property>
  <property fmtid="{D5CDD505-2E9C-101B-9397-08002B2CF9AE}" pid="5" name="MSIP_Label_07f119e6-c6cd-44b0-a5ee-ac1aff68c56e_Name">
    <vt:lpwstr>Confidential v1</vt:lpwstr>
  </property>
  <property fmtid="{D5CDD505-2E9C-101B-9397-08002B2CF9AE}" pid="6" name="MSIP_Label_07f119e6-c6cd-44b0-a5ee-ac1aff68c56e_SiteId">
    <vt:lpwstr>e29b8111-49f8-418d-ac2a-935335a52614</vt:lpwstr>
  </property>
  <property fmtid="{D5CDD505-2E9C-101B-9397-08002B2CF9AE}" pid="7" name="MSIP_Label_07f119e6-c6cd-44b0-a5ee-ac1aff68c56e_ActionId">
    <vt:lpwstr>5cc9fd6b-2137-4438-9149-9d27e31f2c7d</vt:lpwstr>
  </property>
  <property fmtid="{D5CDD505-2E9C-101B-9397-08002B2CF9AE}" pid="8" name="MSIP_Label_07f119e6-c6cd-44b0-a5ee-ac1aff68c56e_ContentBits">
    <vt:lpwstr>0</vt:lpwstr>
  </property>
  <property fmtid="{D5CDD505-2E9C-101B-9397-08002B2CF9AE}" pid="9" name="ERModPubTicket">
    <vt:lpwstr>NA</vt:lpwstr>
  </property>
  <property fmtid="{D5CDD505-2E9C-101B-9397-08002B2CF9AE}" pid="10" name="ERModPubConfirmEmail">
    <vt:bool>false</vt:bool>
  </property>
  <property fmtid="{D5CDD505-2E9C-101B-9397-08002B2CF9AE}" pid="11" name="ERModPubUserEmail">
    <vt:lpwstr>sciclame@ms.com</vt:lpwstr>
  </property>
  <property fmtid="{D5CDD505-2E9C-101B-9397-08002B2CF9AE}" pid="12" name="ERModPubGCIMTagged">
    <vt:bool>true</vt:bool>
  </property>
  <property fmtid="{D5CDD505-2E9C-101B-9397-08002B2CF9AE}" pid="13" name="ERCompanyUploadState">
    <vt:lpwstr>P</vt:lpwstr>
  </property>
  <property fmtid="{D5CDD505-2E9C-101B-9397-08002B2CF9AE}" pid="14" name="ERModPubCurrentYear">
    <vt:i4>2026</vt:i4>
  </property>
  <property fmtid="{D5CDD505-2E9C-101B-9397-08002B2CF9AE}" pid="15" name="ModelId">
    <vt:lpwstr>9808150</vt:lpwstr>
  </property>
  <property fmtid="{D5CDD505-2E9C-101B-9397-08002B2CF9AE}" pid="16" name="ERModPubCompanyName">
    <vt:lpwstr>ASML Holding NV</vt:lpwstr>
  </property>
</Properties>
</file>