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CF Model" sheetId="2" state="visible" r:id="rId4"/>
    <sheet name="Sensitivity" sheetId="3" state="visible" r:id="rId5"/>
    <sheet name="Valuation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<sst xmlns="http://schemas.openxmlformats.org/spreadsheetml/2006/main" count="142" uniqueCount="125">
  <si>
    <t xml:space="preserve">CN Rail (CNR.TO) — DCF Assumptions</t>
  </si>
  <si>
    <t xml:space="preserve">All figures in C$ millions unless noted</t>
  </si>
  <si>
    <t xml:space="preserve">Currency: CAD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</si>
  <si>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</si>
  <si>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</si>
  <si>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</si>
  <si>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</si>
  <si>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</si>
  <si>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</si>
  <si>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</si>
  <si>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</si>
  <si>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</si>
  <si>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</si>
  <si>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</si>
  <si>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</si>
  <si>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</si>
  <si>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Revenue</t>
  </si>
  <si>
    <t xml:space="preserve">Total Revenue (C$M)</t>
  </si>
  <si>
    <t xml:space="preserve">Revenue Growth Rate</t>
  </si>
  <si>
    <t xml:space="preserve">Operating Metrics</t>
  </si>
  <si>
    <t xml:space="preserve">Operating Ratio</t>
  </si>
  <si>
    <t xml:space="preserve">EBIT Margin (1 - OR)</t>
  </si>
  <si>
    <t xml:space="preserve">D&amp;A Assumptions</t>
  </si>
  <si>
    <t xml:space="preserve">D&amp;A % of Revenue</t>
  </si>
  <si>
    <t xml:space="preserve">Capital Expenditure</t>
  </si>
  <si>
    <t xml:space="preserve">Capex % of Revenue</t>
  </si>
  <si>
    <t xml:space="preserve">Tax &amp; Working Capital</t>
  </si>
  <si>
    <t xml:space="preserve">Effective Tax Rate</t>
  </si>
  <si>
    <t xml:space="preserve">Change in NWC % of Rev Growth</t>
  </si>
  <si>
    <t xml:space="preserve">WACC Inputs</t>
  </si>
  <si>
    <t xml:space="preserve">Risk-Free Rate (10Y GoC)</t>
  </si>
  <si>
    <t xml:space="preserve">Source: Bank of Canada, Mar 2026</t>
  </si>
  <si>
    <t xml:space="preserve">Equity Risk Premium</t>
  </si>
  <si>
    <t xml:space="preserve">Source: Damodaran, Jan 2026</t>
  </si>
  <si>
    <t xml:space="preserve">Beta (5Y Monthly)</t>
  </si>
  <si>
    <t xml:space="preserve">Source: Bloomberg, Mar 2026</t>
  </si>
  <si>
    <t xml:space="preserve">Cost of Equity (CAPM)</t>
  </si>
  <si>
    <t xml:space="preserve">Pre-Tax Cost of Debt</t>
  </si>
  <si>
    <t xml:space="preserve">Source: CN 2025 10-K, weighted avg coupon</t>
  </si>
  <si>
    <t xml:space="preserve">Tax Rate for WACC</t>
  </si>
  <si>
    <t xml:space="preserve">Source: Canadian statutory rate</t>
  </si>
  <si>
    <t xml:space="preserve">After-Tax Cost of Debt</t>
  </si>
  <si>
    <t xml:space="preserve">Equity Weight</t>
  </si>
  <si>
    <t xml:space="preserve">Source: Market cap / (Market cap + Net debt)</t>
  </si>
  <si>
    <t xml:space="preserve">Debt Weight</t>
  </si>
  <si>
    <t xml:space="preserve">Source: Net debt / (Market cap + Net debt)</t>
  </si>
  <si>
    <t xml:space="preserve">WACC</t>
  </si>
  <si>
    <t xml:space="preserve">Terminal Value</t>
  </si>
  <si>
    <t xml:space="preserve">Terminal Growth Rate</t>
  </si>
  <si>
    <t xml:space="preserve">Long-term nominal GDP proxy</t>
  </si>
  <si>
    <t xml:space="preserve">Share Data</t>
  </si>
  <si>
    <t xml:space="preserve">Diluted Shares Outstanding (M)</t>
  </si>
  <si>
    <t xml:space="preserve">Source: CN Q4 2025 press release</t>
  </si>
  <si>
    <t xml:space="preserve">Current Share Price (C$)</t>
  </si>
  <si>
    <t xml:space="preserve">Source: TSX, Mar 2026</t>
  </si>
  <si>
    <t xml:space="preserve">Net Debt (C$M)</t>
  </si>
  <si>
    <t xml:space="preserve">Source: CN FY2025 balance sheet (est.)</t>
  </si>
  <si>
    <t xml:space="preserve">Minority Interest (C$M)</t>
  </si>
  <si>
    <t xml:space="preserve">CN Rail — Unlevered Free Cash Flow Projection</t>
  </si>
  <si>
    <t xml:space="preserve">10-Year DCF Model · C$ Millions</t>
  </si>
  <si>
    <t xml:space="preserve">Projection Year</t>
  </si>
  <si>
    <t xml:space="preserve">Total Revenue</t>
  </si>
  <si>
    <t xml:space="preserve">Revenue Growth</t>
  </si>
  <si>
    <t xml:space="preserve">Operating Income</t>
  </si>
  <si>
    <t xml:space="preserve">EBIT (Revenue × EBIT Margin)</t>
  </si>
  <si>
    <t xml:space="preserve">UFCF Build</t>
  </si>
  <si>
    <t xml:space="preserve">EBIT</t>
  </si>
  <si>
    <t xml:space="preserve">Less: Taxes on EBIT</t>
  </si>
  <si>
    <t xml:space="preserve">NOPAT (EBIT × (1-t))</t>
  </si>
  <si>
    <t xml:space="preserve">Plus: D&amp;A</t>
  </si>
  <si>
    <t xml:space="preserve">Less: Capex</t>
  </si>
  <si>
    <t xml:space="preserve">Less: Change in NWC</t>
  </si>
  <si>
    <t xml:space="preserve">Unlevered Free Cash Flow (UFCF)</t>
  </si>
  <si>
    <t xml:space="preserve">UFCF Margin</t>
  </si>
  <si>
    <t xml:space="preserve">Discounted Cash Flow Valuation</t>
  </si>
  <si>
    <t xml:space="preserve">Discount Factor</t>
  </si>
  <si>
    <t xml:space="preserve">PV of UFCF</t>
  </si>
  <si>
    <t xml:space="preserve">Terminal Value Calculation</t>
  </si>
  <si>
    <t xml:space="preserve">Terminal Growth Rate (g)</t>
  </si>
  <si>
    <t xml:space="preserve">Terminal Year UFCF (Year 10)</t>
  </si>
  <si>
    <t xml:space="preserve">Terminal Value (Gordon Growth)</t>
  </si>
  <si>
    <t xml:space="preserve">PV of Terminal Value</t>
  </si>
  <si>
    <t xml:space="preserve">TV as % of Enterprise Value</t>
  </si>
  <si>
    <t xml:space="preserve">Valuation Summary</t>
  </si>
  <si>
    <t xml:space="preserve">Sum of PV of UFCFs</t>
  </si>
  <si>
    <t xml:space="preserve">Enterprise Value</t>
  </si>
  <si>
    <t xml:space="preserve">Less: Net Debt</t>
  </si>
  <si>
    <t xml:space="preserve">Less: Minority Interest</t>
  </si>
  <si>
    <t xml:space="preserve">Equity Value</t>
  </si>
  <si>
    <t xml:space="preserve">Implied Share Price (C$)</t>
  </si>
  <si>
    <t xml:space="preserve">Upside / (Downside)</t>
  </si>
  <si>
    <t xml:space="preserve">Implied EV/EBITDA (Year 1)</t>
  </si>
  <si>
    <t xml:space="preserve">CN Rail — Sensitivity Analysis</t>
  </si>
  <si>
    <t xml:space="preserve">WACC →</t>
  </si>
  <si>
    <t xml:space="preserve">Terminal g ↓</t>
  </si>
  <si>
    <t xml:space="preserve">Implied Share Price: Rev Growth (2027) vs Operating Ratio (2027)</t>
  </si>
  <si>
    <t xml:space="preserve">Rev Growth →</t>
  </si>
  <si>
    <t xml:space="preserve">Op. Ratio ↓</t>
  </si>
  <si>
    <t xml:space="preserve">CN Rail — Valuation Summary</t>
  </si>
  <si>
    <t xml:space="preserve">Multiple Approaches · C$ per share</t>
  </si>
  <si>
    <t xml:space="preserve">Methodology</t>
  </si>
  <si>
    <t xml:space="preserve">Low</t>
  </si>
  <si>
    <t xml:space="preserve">Mid</t>
  </si>
  <si>
    <t xml:space="preserve">High</t>
  </si>
  <si>
    <t xml:space="preserve">Commentary</t>
  </si>
  <si>
    <t xml:space="preserve">DCF (Base Case)</t>
  </si>
  <si>
    <t xml:space="preserve">Gordon Growth TV; WACC range ±50bps</t>
  </si>
  <si>
    <t xml:space="preserve">Forward P/E (Consensus 2026 EPS)</t>
  </si>
  <si>
    <t xml:space="preserve">17x / 19.5x / 22x FY2026E EPS of C$8.17</t>
  </si>
  <si>
    <t xml:space="preserve">EV/EBITDA (FY2026E)</t>
  </si>
  <si>
    <t xml:space="preserve">10.5x / 12.0x / 13.5x FY2026E EBITDA</t>
  </si>
  <si>
    <t xml:space="preserve">Dividend Discount (DDM)</t>
  </si>
  <si>
    <t xml:space="preserve">4%/5%/6% dividend growth; Ke from CAPM ± 50bps</t>
  </si>
  <si>
    <t xml:space="preserve">Morningstar Fair Value (ref.)</t>
  </si>
  <si>
    <t xml:space="preserve">~US$123 ≈ C$171 at 0.72 FX; Source: Morningstar Mar 2026</t>
  </si>
  <si>
    <t xml:space="preserve">Current Price (C$)</t>
  </si>
  <si>
    <t xml:space="preserve">52-Week Range (C$)</t>
  </si>
  <si>
    <t xml:space="preserve">Key Assumptions Behind Base Case DCF</t>
  </si>
  <si>
    <t xml:space="preserve">• Revenue CAGR of ~3.5% (FY2026-2035), driven by potash ramp, intermodal recovery, and pricing</t>
  </si>
  <si>
    <t xml:space="preserve">• Operating ratio improving from 61.2% to 58.5% terminal (industry floor ~high 58s per consensus)</t>
  </si>
  <si>
    <t xml:space="preserve">• Capex declining from 21% to 18% of revenue as major projects (Prince Rupert, Edmonton) complete</t>
  </si>
  <si>
    <t xml:space="preserve">• WACC of ~7.9% reflecting 0.85 beta, 5.5% ERP, 3.2% risk-free rate</t>
  </si>
  <si>
    <t xml:space="preserve">• Terminal growth of 2.5% (long-term nominal GDP; CN is inflation-protected via pricing escalators)</t>
  </si>
  <si>
    <t xml:space="preserve">• Tax rate held flat at 25.5% (Canadian statutory); no material tax structure changes assumed</t>
  </si>
  <si>
    <t xml:space="preserve">• Net debt of C$16.5B; management targets return to 2.5x leverage by 2027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</si>
</sst>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"/>
    <numFmt numFmtId="168" formatCode="0.0000"/>
    <numFmt numFmtId="169" formatCode="\$#,##0.00"/>
    <numFmt numFmtId="170" formatCode="0.0\x"/>
    <numFmt numFmtId="171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N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13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F2" s="3" t="s">
        <v>2</v>
      </c>
    </row>
    <row r="4" customFormat="false" ht="15" hidden="false" customHeight="true" outlineLevel="0" collapsed="false">
      <c r="A4" s="4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customFormat="false" ht="15" hidden="false" customHeight="true" outlineLevel="0" collapsed="false">
      <c r="A5" s="6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customFormat="false" ht="15" hidden="false" customHeight="true" outlineLevel="0" collapsed="false">
      <c r="A6" s="8" t="s">
        <v>17</v>
      </c>
      <c r="B6" s="9" t="n">
        <v>16811</v>
      </c>
      <c r="C6" s="9" t="n">
        <v>17047</v>
      </c>
      <c r="D6" s="9" t="n">
        <v>17300</v>
      </c>
      <c r="E6" s="9" t="n">
        <f aca="false">D6*(1+E7)</f>
        <v>17646</v>
      </c>
      <c r="F6" s="9" t="n">
        <f aca="false">E6*(1+F7)</f>
        <v>18351.84</v>
      </c>
      <c r="G6" s="9" t="n">
        <f aca="false">F6*(1+G7)</f>
        <v>19177.6728</v>
      </c>
      <c r="H6" s="9" t="n">
        <f aca="false">G6*(1+H7)</f>
        <v>20040.668076</v>
      </c>
      <c r="I6" s="9" t="n">
        <f aca="false">H6*(1+I7)</f>
        <v>20842.29479904</v>
      </c>
      <c r="J6" s="9" t="n">
        <f aca="false">I6*(1+J7)</f>
        <v>21571.7751170064</v>
      </c>
      <c r="K6" s="9" t="n">
        <f aca="false">J6*(1+K7)</f>
        <v>22326.7872461016</v>
      </c>
      <c r="L6" s="9" t="n">
        <f aca="false">K6*(1+L7)</f>
        <v>22996.5908634847</v>
      </c>
      <c r="M6" s="9" t="n">
        <f aca="false">L6*(1+M7)</f>
        <v>23686.4885893892</v>
      </c>
      <c r="N6" s="9" t="n">
        <f aca="false">M6*(1+N7)</f>
        <v>24397.0832470709</v>
      </c>
    </row>
    <row r="7" customFormat="false" ht="15" hidden="false" customHeight="true" outlineLevel="0" collapsed="false">
      <c r="A7" s="10" t="s">
        <v>18</v>
      </c>
      <c r="B7" s="11"/>
      <c r="C7" s="11" t="n">
        <v>0.014</v>
      </c>
      <c r="D7" s="11" t="n">
        <v>0.015</v>
      </c>
      <c r="E7" s="12" t="n">
        <v>0.02</v>
      </c>
      <c r="F7" s="12" t="n">
        <v>0.04</v>
      </c>
      <c r="G7" s="12" t="n">
        <v>0.045</v>
      </c>
      <c r="H7" s="12" t="n">
        <v>0.045</v>
      </c>
      <c r="I7" s="12" t="n">
        <v>0.04</v>
      </c>
      <c r="J7" s="12" t="n">
        <v>0.035</v>
      </c>
      <c r="K7" s="12" t="n">
        <v>0.035</v>
      </c>
      <c r="L7" s="12" t="n">
        <v>0.03</v>
      </c>
      <c r="M7" s="12" t="n">
        <v>0.03</v>
      </c>
      <c r="N7" s="12" t="n">
        <v>0.03</v>
      </c>
    </row>
    <row r="9" customFormat="false" ht="15" hidden="false" customHeight="true" outlineLevel="0" collapsed="false">
      <c r="A9" s="6" t="s">
        <v>19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customFormat="false" ht="15" hidden="false" customHeight="true" outlineLevel="0" collapsed="false">
      <c r="A10" s="10" t="s">
        <v>20</v>
      </c>
      <c r="B10" s="11" t="n">
        <v>0.608</v>
      </c>
      <c r="C10" s="11" t="n">
        <v>0.629</v>
      </c>
      <c r="D10" s="11" t="n">
        <v>0.617</v>
      </c>
      <c r="E10" s="12" t="n">
        <v>0.612</v>
      </c>
      <c r="F10" s="12" t="n">
        <v>0.605</v>
      </c>
      <c r="G10" s="12" t="n">
        <v>0.598</v>
      </c>
      <c r="H10" s="12" t="n">
        <v>0.594</v>
      </c>
      <c r="I10" s="12" t="n">
        <v>0.59</v>
      </c>
      <c r="J10" s="12" t="n">
        <v>0.588</v>
      </c>
      <c r="K10" s="12" t="n">
        <v>0.586</v>
      </c>
      <c r="L10" s="12" t="n">
        <v>0.585</v>
      </c>
      <c r="M10" s="12" t="n">
        <v>0.585</v>
      </c>
      <c r="N10" s="12" t="n">
        <v>0.585</v>
      </c>
    </row>
    <row r="11" customFormat="false" ht="15" hidden="false" customHeight="true" outlineLevel="0" collapsed="false">
      <c r="A11" s="8" t="s">
        <v>21</v>
      </c>
      <c r="B11" s="11" t="n">
        <f aca="false">1-B10</f>
        <v>0.392</v>
      </c>
      <c r="C11" s="11" t="n">
        <f aca="false">1-C10</f>
        <v>0.371</v>
      </c>
      <c r="D11" s="11" t="n">
        <f aca="false">1-D10</f>
        <v>0.383</v>
      </c>
      <c r="E11" s="11" t="n">
        <f aca="false">1-E10</f>
        <v>0.388</v>
      </c>
      <c r="F11" s="11" t="n">
        <f aca="false">1-F10</f>
        <v>0.395</v>
      </c>
      <c r="G11" s="11" t="n">
        <f aca="false">1-G10</f>
        <v>0.402</v>
      </c>
      <c r="H11" s="11" t="n">
        <f aca="false">1-H10</f>
        <v>0.406</v>
      </c>
      <c r="I11" s="11" t="n">
        <f aca="false">1-I10</f>
        <v>0.41</v>
      </c>
      <c r="J11" s="11" t="n">
        <f aca="false">1-J10</f>
        <v>0.412</v>
      </c>
      <c r="K11" s="11" t="n">
        <f aca="false">1-K10</f>
        <v>0.414</v>
      </c>
      <c r="L11" s="11" t="n">
        <f aca="false">1-L10</f>
        <v>0.415</v>
      </c>
      <c r="M11" s="11" t="n">
        <f aca="false">1-M10</f>
        <v>0.415</v>
      </c>
      <c r="N11" s="11" t="n">
        <f aca="false">1-N10</f>
        <v>0.415</v>
      </c>
    </row>
    <row r="13" customFormat="false" ht="15" hidden="false" customHeight="true" outlineLevel="0" collapsed="false">
      <c r="A13" s="6" t="s">
        <v>22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Format="false" ht="15" hidden="false" customHeight="true" outlineLevel="0" collapsed="false">
      <c r="A14" s="10" t="s">
        <v>23</v>
      </c>
      <c r="B14" s="11" t="n">
        <v>0.1</v>
      </c>
      <c r="C14" s="11" t="n">
        <v>0.103</v>
      </c>
      <c r="D14" s="11" t="n">
        <v>0.1</v>
      </c>
      <c r="E14" s="13" t="n">
        <v>0.098</v>
      </c>
      <c r="F14" s="13" t="n">
        <v>0.096</v>
      </c>
      <c r="G14" s="13" t="n">
        <v>0.095</v>
      </c>
      <c r="H14" s="13" t="n">
        <v>0.094</v>
      </c>
      <c r="I14" s="13" t="n">
        <v>0.093</v>
      </c>
      <c r="J14" s="13" t="n">
        <v>0.092</v>
      </c>
      <c r="K14" s="13" t="n">
        <v>0.092</v>
      </c>
      <c r="L14" s="13" t="n">
        <v>0.092</v>
      </c>
      <c r="M14" s="13" t="n">
        <v>0.092</v>
      </c>
      <c r="N14" s="13" t="n">
        <v>0.092</v>
      </c>
    </row>
    <row r="16" customFormat="false" ht="15" hidden="false" customHeight="true" outlineLevel="0" collapsed="false">
      <c r="A16" s="6" t="s">
        <v>24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5" hidden="false" customHeight="true" outlineLevel="0" collapsed="false">
      <c r="A17" s="10" t="s">
        <v>25</v>
      </c>
      <c r="B17" s="11" t="n">
        <v>0.19</v>
      </c>
      <c r="C17" s="11" t="n">
        <v>0.21</v>
      </c>
      <c r="D17" s="11" t="n">
        <v>0.196</v>
      </c>
      <c r="E17" s="12" t="n">
        <v>0.16</v>
      </c>
      <c r="F17" s="12" t="n">
        <v>0.17</v>
      </c>
      <c r="G17" s="12" t="n">
        <v>0.175</v>
      </c>
      <c r="H17" s="12" t="n">
        <v>0.178</v>
      </c>
      <c r="I17" s="12" t="n">
        <v>0.18</v>
      </c>
      <c r="J17" s="12" t="n">
        <v>0.18</v>
      </c>
      <c r="K17" s="12" t="n">
        <v>0.18</v>
      </c>
      <c r="L17" s="12" t="n">
        <v>0.18</v>
      </c>
      <c r="M17" s="12" t="n">
        <v>0.18</v>
      </c>
      <c r="N17" s="12" t="n">
        <v>0.18</v>
      </c>
    </row>
    <row r="19" customFormat="false" ht="15" hidden="false" customHeight="true" outlineLevel="0" collapsed="false">
      <c r="A19" s="6" t="s">
        <v>26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customFormat="false" ht="15" hidden="false" customHeight="true" outlineLevel="0" collapsed="false">
      <c r="A20" s="10" t="s">
        <v>27</v>
      </c>
      <c r="B20" s="13" t="n">
        <v>0.255</v>
      </c>
      <c r="C20" s="13" t="n">
        <v>0.255</v>
      </c>
      <c r="D20" s="13" t="n">
        <v>0.255</v>
      </c>
      <c r="E20" s="12" t="n">
        <v>0.255</v>
      </c>
      <c r="F20" s="12" t="n">
        <v>0.255</v>
      </c>
      <c r="G20" s="12" t="n">
        <v>0.255</v>
      </c>
      <c r="H20" s="12" t="n">
        <v>0.255</v>
      </c>
      <c r="I20" s="12" t="n">
        <v>0.255</v>
      </c>
      <c r="J20" s="12" t="n">
        <v>0.255</v>
      </c>
      <c r="K20" s="12" t="n">
        <v>0.255</v>
      </c>
      <c r="L20" s="12" t="n">
        <v>0.255</v>
      </c>
      <c r="M20" s="12" t="n">
        <v>0.255</v>
      </c>
      <c r="N20" s="12" t="n">
        <v>0.255</v>
      </c>
    </row>
    <row r="21" customFormat="false" ht="15" hidden="false" customHeight="true" outlineLevel="0" collapsed="false">
      <c r="A21" s="10" t="s">
        <v>28</v>
      </c>
      <c r="B21" s="13" t="n">
        <v>0.02</v>
      </c>
      <c r="C21" s="13" t="n">
        <v>0.02</v>
      </c>
      <c r="D21" s="13" t="n">
        <v>0.02</v>
      </c>
      <c r="E21" s="12" t="n">
        <v>0.02</v>
      </c>
      <c r="F21" s="12" t="n">
        <v>0.02</v>
      </c>
      <c r="G21" s="12" t="n">
        <v>0.02</v>
      </c>
      <c r="H21" s="12" t="n">
        <v>0.02</v>
      </c>
      <c r="I21" s="12" t="n">
        <v>0.02</v>
      </c>
      <c r="J21" s="12" t="n">
        <v>0.02</v>
      </c>
      <c r="K21" s="12" t="n">
        <v>0.02</v>
      </c>
      <c r="L21" s="12" t="n">
        <v>0.02</v>
      </c>
      <c r="M21" s="12" t="n">
        <v>0.02</v>
      </c>
      <c r="N21" s="12" t="n">
        <v>0.02</v>
      </c>
    </row>
    <row r="23" customFormat="false" ht="15" hidden="false" customHeight="true" outlineLevel="0" collapsed="false">
      <c r="A23" s="6" t="s">
        <v>29</v>
      </c>
      <c r="B23" s="7"/>
      <c r="C23" s="7"/>
      <c r="D23" s="7"/>
      <c r="E23" s="7"/>
    </row>
    <row r="24" customFormat="false" ht="15" hidden="false" customHeight="true" outlineLevel="0" collapsed="false">
      <c r="A24" s="8" t="s">
        <v>30</v>
      </c>
      <c r="B24" s="12" t="n">
        <v>0.032</v>
      </c>
      <c r="C24" s="3" t="s">
        <v>31</v>
      </c>
    </row>
    <row r="25" customFormat="false" ht="15" hidden="false" customHeight="true" outlineLevel="0" collapsed="false">
      <c r="A25" s="8" t="s">
        <v>32</v>
      </c>
      <c r="B25" s="12" t="n">
        <v>0.055</v>
      </c>
      <c r="C25" s="3" t="s">
        <v>33</v>
      </c>
    </row>
    <row r="26" customFormat="false" ht="15" hidden="false" customHeight="true" outlineLevel="0" collapsed="false">
      <c r="A26" s="8" t="s">
        <v>34</v>
      </c>
      <c r="B26" s="12" t="n">
        <v>0.85</v>
      </c>
      <c r="C26" s="3" t="s">
        <v>35</v>
      </c>
    </row>
    <row r="27" customFormat="false" ht="15" hidden="false" customHeight="true" outlineLevel="0" collapsed="false">
      <c r="A27" s="8" t="s">
        <v>36</v>
      </c>
      <c r="B27" s="11" t="n">
        <f aca="false">B24+B26*B25</f>
        <v>0.07875</v>
      </c>
    </row>
    <row r="28" customFormat="false" ht="15" hidden="false" customHeight="true" outlineLevel="0" collapsed="false">
      <c r="A28" s="8" t="s">
        <v>37</v>
      </c>
      <c r="B28" s="12" t="n">
        <v>0.042</v>
      </c>
      <c r="C28" s="3" t="s">
        <v>38</v>
      </c>
    </row>
    <row r="29" customFormat="false" ht="15" hidden="false" customHeight="true" outlineLevel="0" collapsed="false">
      <c r="A29" s="8" t="s">
        <v>39</v>
      </c>
      <c r="B29" s="12" t="n">
        <v>0.255</v>
      </c>
      <c r="C29" s="3" t="s">
        <v>40</v>
      </c>
    </row>
    <row r="30" customFormat="false" ht="15" hidden="false" customHeight="true" outlineLevel="0" collapsed="false">
      <c r="A30" s="8" t="s">
        <v>41</v>
      </c>
      <c r="B30" s="11" t="n">
        <f aca="false">B28*(1-B29)</f>
        <v>0.03129</v>
      </c>
    </row>
    <row r="31" customFormat="false" ht="15" hidden="false" customHeight="true" outlineLevel="0" collapsed="false">
      <c r="A31" s="8" t="s">
        <v>42</v>
      </c>
      <c r="B31" s="12" t="n">
        <v>0.82</v>
      </c>
      <c r="C31" s="3" t="s">
        <v>43</v>
      </c>
    </row>
    <row r="32" customFormat="false" ht="15" hidden="false" customHeight="true" outlineLevel="0" collapsed="false">
      <c r="A32" s="8" t="s">
        <v>44</v>
      </c>
      <c r="B32" s="12" t="n">
        <v>0.18</v>
      </c>
      <c r="C32" s="3" t="s">
        <v>45</v>
      </c>
    </row>
    <row r="33" customFormat="false" ht="15" hidden="false" customHeight="true" outlineLevel="0" collapsed="false">
      <c r="A33" s="8" t="s">
        <v>46</v>
      </c>
      <c r="B33" s="11" t="n">
        <f aca="false">B31*B27+B32*B30</f>
        <v>0.0702072</v>
      </c>
    </row>
    <row r="35" customFormat="false" ht="15" hidden="false" customHeight="true" outlineLevel="0" collapsed="false">
      <c r="A35" s="6" t="s">
        <v>47</v>
      </c>
      <c r="B35" s="7"/>
      <c r="C35" s="7"/>
      <c r="D35" s="7"/>
      <c r="E35" s="7"/>
    </row>
    <row r="36" customFormat="false" ht="15" hidden="false" customHeight="true" outlineLevel="0" collapsed="false">
      <c r="A36" s="8" t="s">
        <v>48</v>
      </c>
      <c r="B36" s="12" t="n">
        <v>0.025</v>
      </c>
      <c r="C36" s="3" t="s">
        <v>49</v>
      </c>
    </row>
    <row r="38" customFormat="false" ht="15" hidden="false" customHeight="true" outlineLevel="0" collapsed="false">
      <c r="A38" s="6" t="s">
        <v>50</v>
      </c>
      <c r="B38" s="7"/>
      <c r="C38" s="7"/>
      <c r="D38" s="7"/>
      <c r="E38" s="7"/>
    </row>
    <row r="39" customFormat="false" ht="15" hidden="false" customHeight="true" outlineLevel="0" collapsed="false">
      <c r="A39" s="8" t="s">
        <v>51</v>
      </c>
      <c r="B39" s="14" t="n">
        <v>620</v>
      </c>
      <c r="C39" s="3" t="s">
        <v>52</v>
      </c>
    </row>
    <row r="40" customFormat="false" ht="15" hidden="false" customHeight="true" outlineLevel="0" collapsed="false">
      <c r="A40" s="8" t="s">
        <v>53</v>
      </c>
      <c r="B40" s="15" t="n">
        <v>141</v>
      </c>
      <c r="C40" s="3" t="s">
        <v>54</v>
      </c>
    </row>
    <row r="41" customFormat="false" ht="15" hidden="false" customHeight="true" outlineLevel="0" collapsed="false">
      <c r="A41" s="8" t="s">
        <v>55</v>
      </c>
      <c r="B41" s="14" t="n">
        <v>16500</v>
      </c>
      <c r="C41" s="3" t="s">
        <v>56</v>
      </c>
    </row>
    <row r="42" customFormat="false" ht="15" hidden="false" customHeight="true" outlineLevel="0" collapsed="false">
      <c r="A42" s="8" t="s">
        <v>57</v>
      </c>
      <c r="B42" s="1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13" min="2" style="1" width="14"/>
  </cols>
  <sheetData>
    <row r="1" customFormat="false" ht="17.25" hidden="false" customHeight="true" outlineLevel="0" collapsed="false">
      <c r="A1" s="2" t="s">
        <v>58</v>
      </c>
    </row>
    <row r="2" customFormat="false" ht="15" hidden="false" customHeight="true" outlineLevel="0" collapsed="false">
      <c r="A2" s="3" t="s">
        <v>59</v>
      </c>
    </row>
    <row r="4" customFormat="false" ht="15" hidden="false" customHeight="true" outlineLevel="0" collapsed="false">
      <c r="A4" s="4"/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</row>
    <row r="5" customFormat="false" ht="15" hidden="false" customHeight="true" outlineLevel="0" collapsed="false">
      <c r="A5" s="3" t="s">
        <v>60</v>
      </c>
      <c r="B5" s="16" t="n">
        <v>1</v>
      </c>
      <c r="C5" s="16" t="n">
        <v>2</v>
      </c>
      <c r="D5" s="16" t="n">
        <v>3</v>
      </c>
      <c r="E5" s="16" t="n">
        <v>4</v>
      </c>
      <c r="F5" s="16" t="n">
        <v>5</v>
      </c>
      <c r="G5" s="16" t="n">
        <v>6</v>
      </c>
      <c r="H5" s="16" t="n">
        <v>7</v>
      </c>
      <c r="I5" s="16" t="n">
        <v>8</v>
      </c>
      <c r="J5" s="16" t="n">
        <v>9</v>
      </c>
      <c r="K5" s="16" t="n">
        <v>10</v>
      </c>
    </row>
    <row r="7" customFormat="false" ht="15" hidden="false" customHeight="true" outlineLevel="0" collapsed="false">
      <c r="A7" s="6" t="s">
        <v>16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customFormat="false" ht="15" hidden="false" customHeight="true" outlineLevel="0" collapsed="false">
      <c r="A8" s="8" t="s">
        <v>61</v>
      </c>
      <c r="B8" s="17" t="n">
        <f aca="false">Assumptions!E6</f>
        <v>17646</v>
      </c>
      <c r="C8" s="17" t="n">
        <f aca="false">Assumptions!F6</f>
        <v>18351.84</v>
      </c>
      <c r="D8" s="17" t="n">
        <f aca="false">Assumptions!G6</f>
        <v>19177.6728</v>
      </c>
      <c r="E8" s="17" t="n">
        <f aca="false">Assumptions!H6</f>
        <v>20040.668076</v>
      </c>
      <c r="F8" s="17" t="n">
        <f aca="false">Assumptions!I6</f>
        <v>20842.29479904</v>
      </c>
      <c r="G8" s="17" t="n">
        <f aca="false">Assumptions!J6</f>
        <v>21571.7751170064</v>
      </c>
      <c r="H8" s="17" t="n">
        <f aca="false">Assumptions!K6</f>
        <v>22326.7872461016</v>
      </c>
      <c r="I8" s="17" t="n">
        <f aca="false">Assumptions!L6</f>
        <v>22996.5908634847</v>
      </c>
      <c r="J8" s="17" t="n">
        <f aca="false">Assumptions!M6</f>
        <v>23686.4885893892</v>
      </c>
      <c r="K8" s="17" t="n">
        <f aca="false">Assumptions!N6</f>
        <v>24397.0832470709</v>
      </c>
    </row>
    <row r="9" customFormat="false" ht="15" hidden="false" customHeight="true" outlineLevel="0" collapsed="false">
      <c r="A9" s="18" t="s">
        <v>62</v>
      </c>
      <c r="B9" s="19" t="n">
        <f aca="false">Assumptions!E7</f>
        <v>0.02</v>
      </c>
      <c r="C9" s="19" t="n">
        <f aca="false">Assumptions!F7</f>
        <v>0.04</v>
      </c>
      <c r="D9" s="19" t="n">
        <f aca="false">Assumptions!G7</f>
        <v>0.045</v>
      </c>
      <c r="E9" s="19" t="n">
        <f aca="false">Assumptions!H7</f>
        <v>0.045</v>
      </c>
      <c r="F9" s="19" t="n">
        <f aca="false">Assumptions!I7</f>
        <v>0.04</v>
      </c>
      <c r="G9" s="19" t="n">
        <f aca="false">Assumptions!J7</f>
        <v>0.035</v>
      </c>
      <c r="H9" s="19" t="n">
        <f aca="false">Assumptions!K7</f>
        <v>0.035</v>
      </c>
      <c r="I9" s="19" t="n">
        <f aca="false">Assumptions!L7</f>
        <v>0.03</v>
      </c>
      <c r="J9" s="19" t="n">
        <f aca="false">Assumptions!M7</f>
        <v>0.03</v>
      </c>
      <c r="K9" s="19" t="n">
        <f aca="false">Assumptions!N7</f>
        <v>0.03</v>
      </c>
    </row>
    <row r="11" customFormat="false" ht="15" hidden="false" customHeight="true" outlineLevel="0" collapsed="false">
      <c r="A11" s="6" t="s">
        <v>63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customFormat="false" ht="15" hidden="false" customHeight="true" outlineLevel="0" collapsed="false">
      <c r="A12" s="18" t="s">
        <v>20</v>
      </c>
      <c r="B12" s="19" t="n">
        <f aca="false">Assumptions!E10</f>
        <v>0.612</v>
      </c>
      <c r="C12" s="19" t="n">
        <f aca="false">Assumptions!F10</f>
        <v>0.605</v>
      </c>
      <c r="D12" s="19" t="n">
        <f aca="false">Assumptions!G10</f>
        <v>0.598</v>
      </c>
      <c r="E12" s="19" t="n">
        <f aca="false">Assumptions!H10</f>
        <v>0.594</v>
      </c>
      <c r="F12" s="19" t="n">
        <f aca="false">Assumptions!I10</f>
        <v>0.59</v>
      </c>
      <c r="G12" s="19" t="n">
        <f aca="false">Assumptions!J10</f>
        <v>0.588</v>
      </c>
      <c r="H12" s="19" t="n">
        <f aca="false">Assumptions!K10</f>
        <v>0.586</v>
      </c>
      <c r="I12" s="19" t="n">
        <f aca="false">Assumptions!L10</f>
        <v>0.585</v>
      </c>
      <c r="J12" s="19" t="n">
        <f aca="false">Assumptions!M10</f>
        <v>0.585</v>
      </c>
      <c r="K12" s="19" t="n">
        <f aca="false">Assumptions!N10</f>
        <v>0.585</v>
      </c>
    </row>
    <row r="13" customFormat="false" ht="15" hidden="false" customHeight="true" outlineLevel="0" collapsed="false">
      <c r="A13" s="8" t="s">
        <v>64</v>
      </c>
      <c r="B13" s="9" t="n">
        <f aca="false">B8*(1-B12)</f>
        <v>6846.648</v>
      </c>
      <c r="C13" s="9" t="n">
        <f aca="false">C8*(1-C12)</f>
        <v>7248.9768</v>
      </c>
      <c r="D13" s="9" t="n">
        <f aca="false">D8*(1-D12)</f>
        <v>7709.4244656</v>
      </c>
      <c r="E13" s="9" t="n">
        <f aca="false">E8*(1-E12)</f>
        <v>8136.511238856</v>
      </c>
      <c r="F13" s="9" t="n">
        <f aca="false">F8*(1-F12)</f>
        <v>8545.3408676064</v>
      </c>
      <c r="G13" s="9" t="n">
        <f aca="false">G8*(1-G12)</f>
        <v>8887.57134820664</v>
      </c>
      <c r="H13" s="9" t="n">
        <f aca="false">H8*(1-H12)</f>
        <v>9243.28991988607</v>
      </c>
      <c r="I13" s="9" t="n">
        <f aca="false">I8*(1-I12)</f>
        <v>9543.58520834614</v>
      </c>
      <c r="J13" s="9" t="n">
        <f aca="false">J8*(1-J12)</f>
        <v>9829.89276459652</v>
      </c>
      <c r="K13" s="9" t="n">
        <f aca="false">K8*(1-K12)</f>
        <v>10124.7895475344</v>
      </c>
    </row>
    <row r="15" customFormat="false" ht="15" hidden="false" customHeight="true" outlineLevel="0" collapsed="false">
      <c r="A15" s="6" t="s">
        <v>65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customFormat="false" ht="15" hidden="false" customHeight="true" outlineLevel="0" collapsed="false">
      <c r="A16" s="8" t="s">
        <v>66</v>
      </c>
      <c r="B16" s="9" t="n">
        <f aca="false">B13</f>
        <v>6846.648</v>
      </c>
      <c r="C16" s="9" t="n">
        <f aca="false">C13</f>
        <v>7248.9768</v>
      </c>
      <c r="D16" s="9" t="n">
        <f aca="false">D13</f>
        <v>7709.4244656</v>
      </c>
      <c r="E16" s="9" t="n">
        <f aca="false">E13</f>
        <v>8136.511238856</v>
      </c>
      <c r="F16" s="9" t="n">
        <f aca="false">F13</f>
        <v>8545.3408676064</v>
      </c>
      <c r="G16" s="9" t="n">
        <f aca="false">G13</f>
        <v>8887.57134820664</v>
      </c>
      <c r="H16" s="9" t="n">
        <f aca="false">H13</f>
        <v>9243.28991988607</v>
      </c>
      <c r="I16" s="9" t="n">
        <f aca="false">I13</f>
        <v>9543.58520834614</v>
      </c>
      <c r="J16" s="9" t="n">
        <f aca="false">J13</f>
        <v>9829.89276459652</v>
      </c>
      <c r="K16" s="9" t="n">
        <f aca="false">K13</f>
        <v>10124.7895475344</v>
      </c>
    </row>
    <row r="17" customFormat="false" ht="15" hidden="false" customHeight="true" outlineLevel="0" collapsed="false">
      <c r="A17" s="8" t="s">
        <v>67</v>
      </c>
      <c r="B17" s="9" t="n">
        <f aca="false">-B16*Assumptions!E20</f>
        <v>-1745.89524</v>
      </c>
      <c r="C17" s="9" t="n">
        <f aca="false">-C16*Assumptions!F20</f>
        <v>-1848.489084</v>
      </c>
      <c r="D17" s="9" t="n">
        <f aca="false">-D16*Assumptions!G20</f>
        <v>-1965.903238728</v>
      </c>
      <c r="E17" s="9" t="n">
        <f aca="false">-E16*Assumptions!H20</f>
        <v>-2074.81036590828</v>
      </c>
      <c r="F17" s="9" t="n">
        <f aca="false">-F16*Assumptions!I20</f>
        <v>-2179.06192123963</v>
      </c>
      <c r="G17" s="9" t="n">
        <f aca="false">-G16*Assumptions!J20</f>
        <v>-2266.33069379269</v>
      </c>
      <c r="H17" s="9" t="n">
        <f aca="false">-H16*Assumptions!K20</f>
        <v>-2357.03892957095</v>
      </c>
      <c r="I17" s="9" t="n">
        <f aca="false">-I16*Assumptions!L20</f>
        <v>-2433.61422812827</v>
      </c>
      <c r="J17" s="9" t="n">
        <f aca="false">-J16*Assumptions!M20</f>
        <v>-2506.62265497211</v>
      </c>
      <c r="K17" s="9" t="n">
        <f aca="false">-K16*Assumptions!N20</f>
        <v>-2581.82133462128</v>
      </c>
    </row>
    <row r="18" customFormat="false" ht="15" hidden="false" customHeight="true" outlineLevel="0" collapsed="false">
      <c r="A18" s="20" t="s">
        <v>68</v>
      </c>
      <c r="B18" s="21" t="n">
        <f aca="false">B16+B17</f>
        <v>5100.75276</v>
      </c>
      <c r="C18" s="21" t="n">
        <f aca="false">C16+C17</f>
        <v>5400.487716</v>
      </c>
      <c r="D18" s="21" t="n">
        <f aca="false">D16+D17</f>
        <v>5743.521226872</v>
      </c>
      <c r="E18" s="21" t="n">
        <f aca="false">E16+E17</f>
        <v>6061.70087294772</v>
      </c>
      <c r="F18" s="21" t="n">
        <f aca="false">F16+F17</f>
        <v>6366.27894636677</v>
      </c>
      <c r="G18" s="21" t="n">
        <f aca="false">G16+G17</f>
        <v>6621.24065441395</v>
      </c>
      <c r="H18" s="21" t="n">
        <f aca="false">H16+H17</f>
        <v>6886.25099031512</v>
      </c>
      <c r="I18" s="21" t="n">
        <f aca="false">I16+I17</f>
        <v>7109.97098021787</v>
      </c>
      <c r="J18" s="21" t="n">
        <f aca="false">J16+J17</f>
        <v>7323.27010962441</v>
      </c>
      <c r="K18" s="21" t="n">
        <f aca="false">K16+K17</f>
        <v>7542.96821291314</v>
      </c>
    </row>
    <row r="19" customFormat="false" ht="15" hidden="false" customHeight="true" outlineLevel="0" collapsed="false">
      <c r="A19" s="8" t="s">
        <v>69</v>
      </c>
      <c r="B19" s="9" t="n">
        <f aca="false">B8*Assumptions!E14</f>
        <v>1729.308</v>
      </c>
      <c r="C19" s="9" t="n">
        <f aca="false">C8*Assumptions!F14</f>
        <v>1761.77664</v>
      </c>
      <c r="D19" s="9" t="n">
        <f aca="false">D8*Assumptions!G14</f>
        <v>1821.878916</v>
      </c>
      <c r="E19" s="9" t="n">
        <f aca="false">E8*Assumptions!H14</f>
        <v>1883.822799144</v>
      </c>
      <c r="F19" s="9" t="n">
        <f aca="false">F8*Assumptions!I14</f>
        <v>1938.33341631072</v>
      </c>
      <c r="G19" s="9" t="n">
        <f aca="false">G8*Assumptions!J14</f>
        <v>1984.60331076459</v>
      </c>
      <c r="H19" s="9" t="n">
        <f aca="false">H8*Assumptions!K14</f>
        <v>2054.06442664135</v>
      </c>
      <c r="I19" s="9" t="n">
        <f aca="false">I8*Assumptions!L14</f>
        <v>2115.68635944059</v>
      </c>
      <c r="J19" s="9" t="n">
        <f aca="false">J8*Assumptions!M14</f>
        <v>2179.15695022381</v>
      </c>
      <c r="K19" s="9" t="n">
        <f aca="false">K8*Assumptions!N14</f>
        <v>2244.53165873052</v>
      </c>
    </row>
    <row r="20" customFormat="false" ht="15" hidden="false" customHeight="true" outlineLevel="0" collapsed="false">
      <c r="A20" s="8" t="s">
        <v>70</v>
      </c>
      <c r="B20" s="9" t="n">
        <f aca="false">-B8*Assumptions!E17</f>
        <v>-2823.36</v>
      </c>
      <c r="C20" s="9" t="n">
        <f aca="false">-C8*Assumptions!F17</f>
        <v>-3119.8128</v>
      </c>
      <c r="D20" s="9" t="n">
        <f aca="false">-D8*Assumptions!G17</f>
        <v>-3356.09274</v>
      </c>
      <c r="E20" s="9" t="n">
        <f aca="false">-E8*Assumptions!H17</f>
        <v>-3567.238917528</v>
      </c>
      <c r="F20" s="9" t="n">
        <f aca="false">-F8*Assumptions!I17</f>
        <v>-3751.6130638272</v>
      </c>
      <c r="G20" s="9" t="n">
        <f aca="false">-G8*Assumptions!J17</f>
        <v>-3882.91952106115</v>
      </c>
      <c r="H20" s="9" t="n">
        <f aca="false">-H8*Assumptions!K17</f>
        <v>-4018.82170429829</v>
      </c>
      <c r="I20" s="9" t="n">
        <f aca="false">-I8*Assumptions!L17</f>
        <v>-4139.38635542724</v>
      </c>
      <c r="J20" s="9" t="n">
        <f aca="false">-J8*Assumptions!M17</f>
        <v>-4263.56794609006</v>
      </c>
      <c r="K20" s="9" t="n">
        <f aca="false">-K8*Assumptions!N17</f>
        <v>-4391.47498447276</v>
      </c>
    </row>
    <row r="21" customFormat="false" ht="15" hidden="false" customHeight="true" outlineLevel="0" collapsed="false">
      <c r="A21" s="8" t="s">
        <v>71</v>
      </c>
      <c r="B21" s="9" t="n">
        <f aca="false">-Assumptions!E21*(B8-Assumptions!D6)</f>
        <v>-6.92</v>
      </c>
      <c r="C21" s="9" t="n">
        <f aca="false">-Assumptions!F21*(C8-B8)</f>
        <v>-14.1168</v>
      </c>
      <c r="D21" s="9" t="n">
        <f aca="false">-Assumptions!G21*(D8-C8)</f>
        <v>-16.516656</v>
      </c>
      <c r="E21" s="9" t="n">
        <f aca="false">-Assumptions!H21*(E8-D8)</f>
        <v>-17.25990552</v>
      </c>
      <c r="F21" s="9" t="n">
        <f aca="false">-Assumptions!I21*(F8-E8)</f>
        <v>-16.0325344608</v>
      </c>
      <c r="G21" s="9" t="n">
        <f aca="false">-Assumptions!J21*(G8-F8)</f>
        <v>-14.589606359328</v>
      </c>
      <c r="H21" s="9" t="n">
        <f aca="false">-Assumptions!K21*(H8-G8)</f>
        <v>-15.1002425819045</v>
      </c>
      <c r="I21" s="9" t="n">
        <f aca="false">-Assumptions!L21*(I8-H8)</f>
        <v>-13.396072347661</v>
      </c>
      <c r="J21" s="9" t="n">
        <f aca="false">-Assumptions!M21*(J8-I8)</f>
        <v>-13.7979545180908</v>
      </c>
      <c r="K21" s="9" t="n">
        <f aca="false">-Assumptions!N21*(K8-J8)</f>
        <v>-14.2118931536336</v>
      </c>
    </row>
    <row r="23" customFormat="false" ht="15" hidden="false" customHeight="true" outlineLevel="0" collapsed="false">
      <c r="A23" s="20" t="s">
        <v>72</v>
      </c>
      <c r="B23" s="22" t="n">
        <f aca="false">B18+B19+B20+B21</f>
        <v>3999.78076</v>
      </c>
      <c r="C23" s="22" t="n">
        <f aca="false">C18+C19+C20+C21</f>
        <v>4028.334756</v>
      </c>
      <c r="D23" s="22" t="n">
        <f aca="false">D18+D19+D20+D21</f>
        <v>4192.790746872</v>
      </c>
      <c r="E23" s="22" t="n">
        <f aca="false">E18+E19+E20+E21</f>
        <v>4361.02484904372</v>
      </c>
      <c r="F23" s="22" t="n">
        <f aca="false">F18+F19+F20+F21</f>
        <v>4536.96676438949</v>
      </c>
      <c r="G23" s="22" t="n">
        <f aca="false">G18+G19+G20+G21</f>
        <v>4708.33483775806</v>
      </c>
      <c r="H23" s="22" t="n">
        <f aca="false">H18+H19+H20+H21</f>
        <v>4906.39347007628</v>
      </c>
      <c r="I23" s="22" t="n">
        <f aca="false">I18+I19+I20+I21</f>
        <v>5072.87491188356</v>
      </c>
      <c r="J23" s="22" t="n">
        <f aca="false">J18+J19+J20+J21</f>
        <v>5225.06115924007</v>
      </c>
      <c r="K23" s="22" t="n">
        <f aca="false">K18+K19+K20+K21</f>
        <v>5381.81299401727</v>
      </c>
    </row>
    <row r="24" customFormat="false" ht="15" hidden="false" customHeight="true" outlineLevel="0" collapsed="false">
      <c r="A24" s="3" t="s">
        <v>73</v>
      </c>
      <c r="B24" s="23" t="n">
        <f aca="false">B23/B8</f>
        <v>0.226667843137255</v>
      </c>
      <c r="C24" s="23" t="n">
        <f aca="false">C23/C8</f>
        <v>0.219505769230769</v>
      </c>
      <c r="D24" s="23" t="n">
        <f aca="false">D23/D8</f>
        <v>0.218628755980861</v>
      </c>
      <c r="E24" s="23" t="n">
        <f aca="false">E23/E8</f>
        <v>0.217608755980861</v>
      </c>
      <c r="F24" s="23" t="n">
        <f aca="false">F23/F8</f>
        <v>0.217680769230769</v>
      </c>
      <c r="G24" s="23" t="n">
        <f aca="false">G23/G8</f>
        <v>0.218263671497585</v>
      </c>
      <c r="H24" s="23" t="n">
        <f aca="false">H23/H8</f>
        <v>0.219753671497585</v>
      </c>
      <c r="I24" s="23" t="n">
        <f aca="false">I23/I8</f>
        <v>0.220592475728155</v>
      </c>
      <c r="J24" s="23" t="n">
        <f aca="false">J23/J8</f>
        <v>0.220592475728155</v>
      </c>
      <c r="K24" s="23" t="n">
        <f aca="false">K23/K8</f>
        <v>0.220592475728155</v>
      </c>
    </row>
    <row r="26" customFormat="false" ht="15" hidden="false" customHeight="true" outlineLevel="0" collapsed="false">
      <c r="A26" s="6" t="s">
        <v>74</v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customFormat="false" ht="15" hidden="false" customHeight="true" outlineLevel="0" collapsed="false">
      <c r="A27" s="24" t="s">
        <v>46</v>
      </c>
      <c r="B27" s="19" t="n">
        <f aca="false">Assumptions!B33</f>
        <v>0.0702072</v>
      </c>
    </row>
    <row r="28" customFormat="false" ht="15" hidden="false" customHeight="true" outlineLevel="0" collapsed="false">
      <c r="A28" s="8" t="s">
        <v>75</v>
      </c>
      <c r="B28" s="25" t="n">
        <f aca="false">1/(1+$B$27)^1</f>
        <v>0.934398497786223</v>
      </c>
      <c r="C28" s="25" t="n">
        <f aca="false">1/(1+$B$27)^2</f>
        <v>0.87310055266515</v>
      </c>
      <c r="D28" s="25" t="n">
        <f aca="false">1/(1+$B$27)^3</f>
        <v>0.815823844826638</v>
      </c>
      <c r="E28" s="25" t="n">
        <f aca="false">1/(1+$B$27)^4</f>
        <v>0.762304575064191</v>
      </c>
      <c r="F28" s="25" t="n">
        <f aca="false">1/(1+$B$27)^5</f>
        <v>0.712296249795545</v>
      </c>
      <c r="G28" s="25" t="n">
        <f aca="false">1/(1+$B$27)^6</f>
        <v>0.665568545787718</v>
      </c>
      <c r="H28" s="25" t="n">
        <f aca="false">1/(1+$B$27)^7</f>
        <v>0.621906249357804</v>
      </c>
      <c r="I28" s="25" t="n">
        <f aca="false">1/(1+$B$27)^8</f>
        <v>0.581108265163797</v>
      </c>
      <c r="J28" s="25" t="n">
        <f aca="false">1/(1+$B$27)^9</f>
        <v>0.54298669002021</v>
      </c>
      <c r="K28" s="25" t="n">
        <f aca="false">1/(1+$B$27)^10</f>
        <v>0.507365947472798</v>
      </c>
    </row>
    <row r="29" customFormat="false" ht="15" hidden="false" customHeight="true" outlineLevel="0" collapsed="false">
      <c r="A29" s="8" t="s">
        <v>76</v>
      </c>
      <c r="B29" s="9" t="n">
        <f aca="false">B23*B28</f>
        <v>3737.38913361824</v>
      </c>
      <c r="C29" s="9" t="n">
        <f aca="false">C23*C28</f>
        <v>3517.14130178383</v>
      </c>
      <c r="D29" s="9" t="n">
        <f aca="false">D23*D28</f>
        <v>3420.57866766667</v>
      </c>
      <c r="E29" s="9" t="n">
        <f aca="false">E23*E28</f>
        <v>3324.42919439465</v>
      </c>
      <c r="F29" s="9" t="n">
        <f aca="false">F23*F28</f>
        <v>3231.66441172166</v>
      </c>
      <c r="G29" s="9" t="n">
        <f aca="false">G23*G28</f>
        <v>3133.71957104828</v>
      </c>
      <c r="H29" s="9" t="n">
        <f aca="false">H23*H28</f>
        <v>3051.31676084876</v>
      </c>
      <c r="I29" s="9" t="n">
        <f aca="false">I23*I28</f>
        <v>2947.8895394376</v>
      </c>
      <c r="J29" s="9" t="n">
        <f aca="false">J23*J28</f>
        <v>2837.13866400892</v>
      </c>
      <c r="K29" s="9" t="n">
        <f aca="false">K23*K28</f>
        <v>2730.54864883099</v>
      </c>
    </row>
    <row r="31" customFormat="false" ht="15" hidden="false" customHeight="true" outlineLevel="0" collapsed="false">
      <c r="A31" s="6" t="s">
        <v>77</v>
      </c>
      <c r="B31" s="7"/>
      <c r="C31" s="7"/>
      <c r="D31" s="7"/>
      <c r="E31" s="7"/>
    </row>
    <row r="32" customFormat="false" ht="15" hidden="false" customHeight="true" outlineLevel="0" collapsed="false">
      <c r="A32" s="24" t="s">
        <v>78</v>
      </c>
      <c r="B32" s="19" t="n">
        <f aca="false">Assumptions!B36</f>
        <v>0.025</v>
      </c>
    </row>
    <row r="33" customFormat="false" ht="15" hidden="false" customHeight="true" outlineLevel="0" collapsed="false">
      <c r="A33" s="8" t="s">
        <v>79</v>
      </c>
      <c r="B33" s="9" t="n">
        <f aca="false">K23</f>
        <v>5381.81299401727</v>
      </c>
    </row>
    <row r="34" customFormat="false" ht="15" hidden="false" customHeight="true" outlineLevel="0" collapsed="false">
      <c r="A34" s="8" t="s">
        <v>80</v>
      </c>
      <c r="B34" s="9" t="n">
        <f aca="false">B33*(1+B32)/(B27-B32)</f>
        <v>122023.888205147</v>
      </c>
    </row>
    <row r="35" customFormat="false" ht="15" hidden="false" customHeight="true" outlineLevel="0" collapsed="false">
      <c r="A35" s="20" t="s">
        <v>81</v>
      </c>
      <c r="B35" s="21" t="n">
        <f aca="false">B34*K28</f>
        <v>61910.7656535189</v>
      </c>
    </row>
    <row r="36" customFormat="false" ht="15" hidden="false" customHeight="true" outlineLevel="0" collapsed="false">
      <c r="A36" s="3" t="s">
        <v>82</v>
      </c>
      <c r="B36" s="23" t="n">
        <f aca="false">B35/B41</f>
        <v>0.659729992856087</v>
      </c>
    </row>
    <row r="38" customFormat="false" ht="15" hidden="false" customHeight="true" outlineLevel="0" collapsed="false">
      <c r="A38" s="6" t="s">
        <v>83</v>
      </c>
      <c r="B38" s="7"/>
      <c r="C38" s="7"/>
      <c r="D38" s="7"/>
      <c r="E38" s="7"/>
    </row>
    <row r="39" customFormat="false" ht="15" hidden="false" customHeight="true" outlineLevel="0" collapsed="false">
      <c r="A39" s="8" t="s">
        <v>84</v>
      </c>
      <c r="B39" s="9" t="n">
        <f aca="false">SUM(B29:K29)</f>
        <v>31931.8158933596</v>
      </c>
    </row>
    <row r="40" customFormat="false" ht="15" hidden="false" customHeight="true" outlineLevel="0" collapsed="false">
      <c r="A40" s="8" t="s">
        <v>81</v>
      </c>
      <c r="B40" s="9" t="n">
        <f aca="false">B35</f>
        <v>61910.7656535189</v>
      </c>
    </row>
    <row r="41" customFormat="false" ht="15" hidden="false" customHeight="true" outlineLevel="0" collapsed="false">
      <c r="A41" s="20" t="s">
        <v>85</v>
      </c>
      <c r="B41" s="22" t="n">
        <f aca="false">B39+B40</f>
        <v>93842.5815468785</v>
      </c>
    </row>
    <row r="42" customFormat="false" ht="15" hidden="false" customHeight="true" outlineLevel="0" collapsed="false">
      <c r="A42" s="8" t="s">
        <v>86</v>
      </c>
      <c r="B42" s="9" t="n">
        <f aca="false">-Assumptions!B41</f>
        <v>-16500</v>
      </c>
    </row>
    <row r="43" customFormat="false" ht="15" hidden="false" customHeight="true" outlineLevel="0" collapsed="false">
      <c r="A43" s="8" t="s">
        <v>87</v>
      </c>
      <c r="B43" s="9" t="n">
        <f aca="false">-Assumptions!B42</f>
        <v>-0</v>
      </c>
    </row>
    <row r="44" customFormat="false" ht="15" hidden="false" customHeight="true" outlineLevel="0" collapsed="false">
      <c r="A44" s="20" t="s">
        <v>88</v>
      </c>
      <c r="B44" s="22" t="n">
        <f aca="false">B41+B42+B43</f>
        <v>77342.5815468785</v>
      </c>
    </row>
    <row r="45" customFormat="false" ht="15" hidden="false" customHeight="true" outlineLevel="0" collapsed="false">
      <c r="A45" s="8" t="s">
        <v>51</v>
      </c>
      <c r="B45" s="9" t="n">
        <f aca="false">Assumptions!B39</f>
        <v>620</v>
      </c>
    </row>
    <row r="46" customFormat="false" ht="15" hidden="false" customHeight="true" outlineLevel="0" collapsed="false">
      <c r="A46" s="20" t="s">
        <v>89</v>
      </c>
      <c r="B46" s="26" t="n">
        <f aca="false">B44/B45</f>
        <v>124.746099269159</v>
      </c>
    </row>
    <row r="48" customFormat="false" ht="15" hidden="false" customHeight="true" outlineLevel="0" collapsed="false">
      <c r="A48" s="24" t="s">
        <v>53</v>
      </c>
      <c r="B48" s="27" t="n">
        <f aca="false">Assumptions!B40</f>
        <v>141</v>
      </c>
    </row>
    <row r="49" customFormat="false" ht="15" hidden="false" customHeight="true" outlineLevel="0" collapsed="false">
      <c r="A49" s="20" t="s">
        <v>90</v>
      </c>
      <c r="B49" s="28" t="n">
        <f aca="false">B46/B48-1</f>
        <v>-0.115275891708093</v>
      </c>
    </row>
    <row r="50" customFormat="false" ht="15" hidden="false" customHeight="true" outlineLevel="0" collapsed="false">
      <c r="A50" s="8" t="s">
        <v>91</v>
      </c>
      <c r="B50" s="29" t="n">
        <f aca="false">B41/(B13+B19)</f>
        <v>10.942521340697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9" min="2" style="1" width="14"/>
  </cols>
  <sheetData>
    <row r="1" customFormat="false" ht="17.25" hidden="false" customHeight="true" outlineLevel="0" collapsed="false">
      <c r="A1" s="2" t="s">
        <v>92</v>
      </c>
    </row>
    <row r="3" customFormat="false" ht="15" hidden="false" customHeight="true" outlineLevel="0" collapsed="false">
      <c r="A3" s="30" t="s">
        <v>89</v>
      </c>
    </row>
    <row r="4" customFormat="false" ht="15" hidden="false" customHeight="true" outlineLevel="0" collapsed="false">
      <c r="A4" s="31" t="s">
        <v>93</v>
      </c>
      <c r="B4" s="32" t="n">
        <v>0.065</v>
      </c>
      <c r="C4" s="32" t="n">
        <v>0.07</v>
      </c>
      <c r="D4" s="32" t="n">
        <v>0.075</v>
      </c>
      <c r="E4" s="32" t="n">
        <v>0.08</v>
      </c>
      <c r="F4" s="32" t="n">
        <v>0.085</v>
      </c>
      <c r="G4" s="32" t="n">
        <v>0.09</v>
      </c>
      <c r="H4" s="32" t="n">
        <v>0.095</v>
      </c>
    </row>
    <row r="5" customFormat="false" ht="15" hidden="false" customHeight="true" outlineLevel="0" collapsed="false">
      <c r="A5" s="3" t="s">
        <v>94</v>
      </c>
    </row>
    <row r="6" customFormat="false" ht="15" hidden="false" customHeight="true" outlineLevel="0" collapsed="false">
      <c r="A6" s="12" t="n">
        <v>0.015</v>
      </c>
      <c r="B6" s="33" t="n">
        <f aca="false">('DCF Model'!B23/(1+B$4)^1+'DCF Model'!C23/(1+B$4)^2+'DCF Model'!D23/(1+B$4)^3+'DCF Model'!E23/(1+B$4)^4+'DCF Model'!F23/(1+B$4)^5+'DCF Model'!G23/(1+B$4)^6+'DCF Model'!H23/(1+B$4)^7+'DCF Model'!I23/(1+B$4)^8+'DCF Model'!J23/(1+B$4)^9+'DCF Model'!K23/(1+B$4)^10+('DCF Model'!K23*(1+$A6)/(B$4-$A6))/(1+B$4)^10-Assumptions!B41)/Assumptions!B39</f>
        <v>120.098630742891</v>
      </c>
      <c r="C6" s="33" t="n">
        <f aca="false">('DCF Model'!B23/(1+C$4)^1+'DCF Model'!C23/(1+C$4)^2+'DCF Model'!D23/(1+C$4)^3+'DCF Model'!E23/(1+C$4)^4+'DCF Model'!F23/(1+C$4)^5+'DCF Model'!G23/(1+C$4)^6+'DCF Model'!H23/(1+C$4)^7+'DCF Model'!I23/(1+C$4)^8+'DCF Model'!J23/(1+C$4)^9+'DCF Model'!K23/(1+C$4)^10+('DCF Model'!K23*(1+$A6)/(C$4-$A6))/(1+C$4)^10-Assumptions!B41)/Assumptions!B39</f>
        <v>106.375622486829</v>
      </c>
      <c r="D6" s="33" t="n">
        <f aca="false">('DCF Model'!B23/(1+D$4)^1+'DCF Model'!C23/(1+D$4)^2+'DCF Model'!D23/(1+D$4)^3+'DCF Model'!E23/(1+D$4)^4+'DCF Model'!F23/(1+D$4)^5+'DCF Model'!G23/(1+D$4)^6+'DCF Model'!H23/(1+D$4)^7+'DCF Model'!I23/(1+D$4)^8+'DCF Model'!J23/(1+D$4)^9+'DCF Model'!K23/(1+D$4)^10+('DCF Model'!K23*(1+$A6)/(D$4-$A6))/(1+D$4)^10-Assumptions!B41)/Assumptions!B39</f>
        <v>94.9510810347908</v>
      </c>
      <c r="E6" s="33" t="n">
        <f aca="false">('DCF Model'!B23/(1+E$4)^1+'DCF Model'!C23/(1+E$4)^2+'DCF Model'!D23/(1+E$4)^3+'DCF Model'!E23/(1+E$4)^4+'DCF Model'!F23/(1+E$4)^5+'DCF Model'!G23/(1+E$4)^6+'DCF Model'!H23/(1+E$4)^7+'DCF Model'!I23/(1+E$4)^8+'DCF Model'!J23/(1+E$4)^9+'DCF Model'!K23/(1+E$4)^10+('DCF Model'!K23*(1+$A6)/(E$4-$A6))/(1+E$4)^10-Assumptions!B41)/Assumptions!B39</f>
        <v>85.2941838545483</v>
      </c>
      <c r="F6" s="33" t="n">
        <f aca="false">('DCF Model'!B23/(1+F$4)^1+'DCF Model'!C23/(1+F$4)^2+'DCF Model'!D23/(1+F$4)^3+'DCF Model'!E23/(1+F$4)^4+'DCF Model'!F23/(1+F$4)^5+'DCF Model'!G23/(1+F$4)^6+'DCF Model'!H23/(1+F$4)^7+'DCF Model'!I23/(1+F$4)^8+'DCF Model'!J23/(1+F$4)^9+'DCF Model'!K23/(1+F$4)^10+('DCF Model'!K23*(1+$A6)/(F$4-$A6))/(1+F$4)^10-Assumptions!B41)/Assumptions!B39</f>
        <v>77.0257891109113</v>
      </c>
      <c r="G6" s="33" t="n">
        <f aca="false">('DCF Model'!B23/(1+G$4)^1+'DCF Model'!C23/(1+G$4)^2+'DCF Model'!D23/(1+G$4)^3+'DCF Model'!E23/(1+G$4)^4+'DCF Model'!F23/(1+G$4)^5+'DCF Model'!G23/(1+G$4)^6+'DCF Model'!H23/(1+G$4)^7+'DCF Model'!I23/(1+G$4)^8+'DCF Model'!J23/(1+G$4)^9+'DCF Model'!K23/(1+G$4)^10+('DCF Model'!K23*(1+$A6)/(G$4-$A6))/(1+G$4)^10-Assumptions!B41)/Assumptions!B39</f>
        <v>69.8678746193437</v>
      </c>
      <c r="H6" s="33" t="n">
        <f aca="false">('DCF Model'!B23/(1+H$4)^1+'DCF Model'!C23/(1+H$4)^2+'DCF Model'!D23/(1+H$4)^3+'DCF Model'!E23/(1+H$4)^4+'DCF Model'!F23/(1+H$4)^5+'DCF Model'!G23/(1+H$4)^6+'DCF Model'!H23/(1+H$4)^7+'DCF Model'!I23/(1+H$4)^8+'DCF Model'!J23/(1+H$4)^9+'DCF Model'!K23/(1+H$4)^10+('DCF Model'!K23*(1+$A6)/(H$4-$A6))/(1+H$4)^10-Assumptions!B41)/Assumptions!B39</f>
        <v>63.6119372349045</v>
      </c>
    </row>
    <row r="7" customFormat="false" ht="15" hidden="false" customHeight="true" outlineLevel="0" collapsed="false">
      <c r="A7" s="12" t="n">
        <v>0.02</v>
      </c>
      <c r="B7" s="33" t="n">
        <f aca="false">('DCF Model'!B23/(1+B$4)^1+'DCF Model'!C23/(1+B$4)^2+'DCF Model'!D23/(1+B$4)^3+'DCF Model'!E23/(1+B$4)^4+'DCF Model'!F23/(1+B$4)^5+'DCF Model'!G23/(1+B$4)^6+'DCF Model'!H23/(1+B$4)^7+'DCF Model'!I23/(1+B$4)^8+'DCF Model'!J23/(1+B$4)^9+'DCF Model'!K23/(1+B$4)^10+('DCF Model'!K23*(1+$A7)/(B$4-$A7))/(1+B$4)^10-Assumptions!B41)/Assumptions!B39</f>
        <v>131.042677243714</v>
      </c>
      <c r="C7" s="33" t="n">
        <f aca="false">('DCF Model'!B23/(1+C$4)^1+'DCF Model'!C23/(1+C$4)^2+'DCF Model'!D23/(1+C$4)^3+'DCF Model'!E23/(1+C$4)^4+'DCF Model'!F23/(1+C$4)^5+'DCF Model'!G23/(1+C$4)^6+'DCF Model'!H23/(1+C$4)^7+'DCF Model'!I23/(1+C$4)^8+'DCF Model'!J23/(1+C$4)^9+'DCF Model'!K23/(1+C$4)^10+('DCF Model'!K23*(1+$A7)/(C$4-$A7))/(1+C$4)^10-Assumptions!B41)/Assumptions!B39</f>
        <v>114.960225664905</v>
      </c>
      <c r="D7" s="33" t="n">
        <f aca="false">('DCF Model'!B23/(1+D$4)^1+'DCF Model'!C23/(1+D$4)^2+'DCF Model'!D23/(1+D$4)^3+'DCF Model'!E23/(1+D$4)^4+'DCF Model'!F23/(1+D$4)^5+'DCF Model'!G23/(1+D$4)^6+'DCF Model'!H23/(1+D$4)^7+'DCF Model'!I23/(1+D$4)^8+'DCF Model'!J23/(1+D$4)^9+'DCF Model'!K23/(1+D$4)^10+('DCF Model'!K23*(1+$A7)/(D$4-$A7))/(1+D$4)^10-Assumptions!B41)/Assumptions!B39</f>
        <v>101.810965472834</v>
      </c>
      <c r="E7" s="33" t="n">
        <f aca="false">('DCF Model'!B23/(1+E$4)^1+'DCF Model'!C23/(1+E$4)^2+'DCF Model'!D23/(1+E$4)^3+'DCF Model'!E23/(1+E$4)^4+'DCF Model'!F23/(1+E$4)^5+'DCF Model'!G23/(1+E$4)^6+'DCF Model'!H23/(1+E$4)^7+'DCF Model'!I23/(1+E$4)^8+'DCF Model'!J23/(1+E$4)^9+'DCF Model'!K23/(1+E$4)^10+('DCF Model'!K23*(1+$A7)/(E$4-$A7))/(1+E$4)^10-Assumptions!B41)/Assumptions!B39</f>
        <v>90.8612773027531</v>
      </c>
      <c r="F7" s="33" t="n">
        <f aca="false">('DCF Model'!B23/(1+F$4)^1+'DCF Model'!C23/(1+F$4)^2+'DCF Model'!D23/(1+F$4)^3+'DCF Model'!E23/(1+F$4)^4+'DCF Model'!F23/(1+F$4)^5+'DCF Model'!G23/(1+F$4)^6+'DCF Model'!H23/(1+F$4)^7+'DCF Model'!I23/(1+F$4)^8+'DCF Model'!J23/(1+F$4)^9+'DCF Model'!K23/(1+F$4)^10+('DCF Model'!K23*(1+$A7)/(F$4-$A7))/(1+F$4)^10-Assumptions!B41)/Assumptions!B39</f>
        <v>81.6032840988149</v>
      </c>
      <c r="G7" s="33" t="n">
        <f aca="false">('DCF Model'!B23/(1+G$4)^1+'DCF Model'!C23/(1+G$4)^2+'DCF Model'!D23/(1+G$4)^3+'DCF Model'!E23/(1+G$4)^4+'DCF Model'!F23/(1+G$4)^5+'DCF Model'!G23/(1+G$4)^6+'DCF Model'!H23/(1+G$4)^7+'DCF Model'!I23/(1+G$4)^8+'DCF Model'!J23/(1+G$4)^9+'DCF Model'!K23/(1+G$4)^10+('DCF Model'!K23*(1+$A7)/(G$4-$A7))/(1+G$4)^10-Assumptions!B41)/Assumptions!B39</f>
        <v>73.6742282393242</v>
      </c>
      <c r="H7" s="33" t="n">
        <f aca="false">('DCF Model'!B23/(1+H$4)^1+'DCF Model'!C23/(1+H$4)^2+'DCF Model'!D23/(1+H$4)^3+'DCF Model'!E23/(1+H$4)^4+'DCF Model'!F23/(1+H$4)^5+'DCF Model'!G23/(1+H$4)^6+'DCF Model'!H23/(1+H$4)^7+'DCF Model'!I23/(1+H$4)^8+'DCF Model'!J23/(1+H$4)^9+'DCF Model'!K23/(1+H$4)^10+('DCF Model'!K23*(1+$A7)/(H$4-$A7))/(1+H$4)^10-Assumptions!B41)/Assumptions!B39</f>
        <v>66.8080978442376</v>
      </c>
    </row>
    <row r="8" customFormat="false" ht="15" hidden="false" customHeight="true" outlineLevel="0" collapsed="false">
      <c r="A8" s="12" t="n">
        <v>0.025</v>
      </c>
      <c r="B8" s="33" t="n">
        <f aca="false">('DCF Model'!B23/(1+B$4)^1+'DCF Model'!C23/(1+B$4)^2+'DCF Model'!D23/(1+B$4)^3+'DCF Model'!E23/(1+B$4)^4+'DCF Model'!F23/(1+B$4)^5+'DCF Model'!G23/(1+B$4)^6+'DCF Model'!H23/(1+B$4)^7+'DCF Model'!I23/(1+B$4)^8+'DCF Model'!J23/(1+B$4)^9+'DCF Model'!K23/(1+B$4)^10+('DCF Model'!K23*(1+$A8)/(B$4-$A8))/(1+B$4)^10-Assumptions!B41)/Assumptions!B39</f>
        <v>144.722735369743</v>
      </c>
      <c r="C8" s="33" t="n">
        <f aca="false">('DCF Model'!B23/(1+C$4)^1+'DCF Model'!C23/(1+C$4)^2+'DCF Model'!D23/(1+C$4)^3+'DCF Model'!E23/(1+C$4)^4+'DCF Model'!F23/(1+C$4)^5+'DCF Model'!G23/(1+C$4)^6+'DCF Model'!H23/(1+C$4)^7+'DCF Model'!I23/(1+C$4)^8+'DCF Model'!J23/(1+C$4)^9+'DCF Model'!K23/(1+C$4)^10+('DCF Model'!K23*(1+$A8)/(C$4-$A8))/(1+C$4)^10-Assumptions!B41)/Assumptions!B39</f>
        <v>125.452518438109</v>
      </c>
      <c r="D8" s="33" t="n">
        <f aca="false">('DCF Model'!B23/(1+D$4)^1+'DCF Model'!C23/(1+D$4)^2+'DCF Model'!D23/(1+D$4)^3+'DCF Model'!E23/(1+D$4)^4+'DCF Model'!F23/(1+D$4)^5+'DCF Model'!G23/(1+D$4)^6+'DCF Model'!H23/(1+D$4)^7+'DCF Model'!I23/(1+D$4)^8+'DCF Model'!J23/(1+D$4)^9+'DCF Model'!K23/(1+D$4)^10+('DCF Model'!K23*(1+$A8)/(D$4-$A8))/(1+D$4)^10-Assumptions!B41)/Assumptions!B39</f>
        <v>110.042826798487</v>
      </c>
      <c r="E8" s="33" t="n">
        <f aca="false">('DCF Model'!B23/(1+E$4)^1+'DCF Model'!C23/(1+E$4)^2+'DCF Model'!D23/(1+E$4)^3+'DCF Model'!E23/(1+E$4)^4+'DCF Model'!F23/(1+E$4)^5+'DCF Model'!G23/(1+E$4)^6+'DCF Model'!H23/(1+E$4)^7+'DCF Model'!I23/(1+E$4)^8+'DCF Model'!J23/(1+E$4)^9+'DCF Model'!K23/(1+E$4)^10+('DCF Model'!K23*(1+$A8)/(E$4-$A8))/(1+E$4)^10-Assumptions!B41)/Assumptions!B39</f>
        <v>97.4405695597223</v>
      </c>
      <c r="F8" s="33" t="n">
        <f aca="false">('DCF Model'!B23/(1+F$4)^1+'DCF Model'!C23/(1+F$4)^2+'DCF Model'!D23/(1+F$4)^3+'DCF Model'!E23/(1+F$4)^4+'DCF Model'!F23/(1+F$4)^5+'DCF Model'!G23/(1+F$4)^6+'DCF Model'!H23/(1+F$4)^7+'DCF Model'!I23/(1+F$4)^8+'DCF Model'!J23/(1+F$4)^9+'DCF Model'!K23/(1+F$4)^10+('DCF Model'!K23*(1+$A8)/(F$4-$A8))/(1+F$4)^10-Assumptions!B41)/Assumptions!B39</f>
        <v>86.9436949180358</v>
      </c>
      <c r="G8" s="33" t="n">
        <f aca="false">('DCF Model'!B23/(1+G$4)^1+'DCF Model'!C23/(1+G$4)^2+'DCF Model'!D23/(1+G$4)^3+'DCF Model'!E23/(1+G$4)^4+'DCF Model'!F23/(1+G$4)^5+'DCF Model'!G23/(1+G$4)^6+'DCF Model'!H23/(1+G$4)^7+'DCF Model'!I23/(1+G$4)^8+'DCF Model'!J23/(1+G$4)^9+'DCF Model'!K23/(1+G$4)^10+('DCF Model'!K23*(1+$A8)/(G$4-$A8))/(1+G$4)^10-Assumptions!B41)/Assumptions!B39</f>
        <v>78.0661747239172</v>
      </c>
      <c r="H8" s="33" t="n">
        <f aca="false">('DCF Model'!B23/(1+H$4)^1+'DCF Model'!C23/(1+H$4)^2+'DCF Model'!D23/(1+H$4)^3+'DCF Model'!E23/(1+H$4)^4+'DCF Model'!F23/(1+H$4)^5+'DCF Model'!G23/(1+H$4)^6+'DCF Model'!H23/(1+H$4)^7+'DCF Model'!I23/(1+H$4)^8+'DCF Model'!J23/(1+H$4)^9+'DCF Model'!K23/(1+H$4)^10+('DCF Model'!K23*(1+$A8)/(H$4-$A8))/(1+H$4)^10-Assumptions!B41)/Assumptions!B39</f>
        <v>70.4608528263325</v>
      </c>
    </row>
    <row r="9" customFormat="false" ht="15" hidden="false" customHeight="true" outlineLevel="0" collapsed="false">
      <c r="A9" s="12" t="n">
        <v>0.03</v>
      </c>
      <c r="B9" s="33" t="n">
        <f aca="false">('DCF Model'!B23/(1+B$4)^1+'DCF Model'!C23/(1+B$4)^2+'DCF Model'!D23/(1+B$4)^3+'DCF Model'!E23/(1+B$4)^4+'DCF Model'!F23/(1+B$4)^5+'DCF Model'!G23/(1+B$4)^6+'DCF Model'!H23/(1+B$4)^7+'DCF Model'!I23/(1+B$4)^8+'DCF Model'!J23/(1+B$4)^9+'DCF Model'!K23/(1+B$4)^10+('DCF Model'!K23*(1+$A9)/(B$4-$A9))/(1+B$4)^10-Assumptions!B41)/Assumptions!B39</f>
        <v>162.311381531781</v>
      </c>
      <c r="C9" s="33" t="n">
        <f aca="false">('DCF Model'!B23/(1+C$4)^1+'DCF Model'!C23/(1+C$4)^2+'DCF Model'!D23/(1+C$4)^3+'DCF Model'!E23/(1+C$4)^4+'DCF Model'!F23/(1+C$4)^5+'DCF Model'!G23/(1+C$4)^6+'DCF Model'!H23/(1+C$4)^7+'DCF Model'!I23/(1+C$4)^8+'DCF Model'!J23/(1+C$4)^9+'DCF Model'!K23/(1+C$4)^10+('DCF Model'!K23*(1+$A9)/(C$4-$A9))/(1+C$4)^10-Assumptions!B41)/Assumptions!B39</f>
        <v>138.567884404613</v>
      </c>
      <c r="D9" s="33" t="n">
        <f aca="false">('DCF Model'!B23/(1+D$4)^1+'DCF Model'!C23/(1+D$4)^2+'DCF Model'!D23/(1+D$4)^3+'DCF Model'!E23/(1+D$4)^4+'DCF Model'!F23/(1+D$4)^5+'DCF Model'!G23/(1+D$4)^6+'DCF Model'!H23/(1+D$4)^7+'DCF Model'!I23/(1+D$4)^8+'DCF Model'!J23/(1+D$4)^9+'DCF Model'!K23/(1+D$4)^10+('DCF Model'!K23*(1+$A9)/(D$4-$A9))/(1+D$4)^10-Assumptions!B41)/Assumptions!B39</f>
        <v>120.103990640951</v>
      </c>
      <c r="E9" s="33" t="n">
        <f aca="false">('DCF Model'!B23/(1+E$4)^1+'DCF Model'!C23/(1+E$4)^2+'DCF Model'!D23/(1+E$4)^3+'DCF Model'!E23/(1+E$4)^4+'DCF Model'!F23/(1+E$4)^5+'DCF Model'!G23/(1+E$4)^6+'DCF Model'!H23/(1+E$4)^7+'DCF Model'!I23/(1+E$4)^8+'DCF Model'!J23/(1+E$4)^9+'DCF Model'!K23/(1+E$4)^10+('DCF Model'!K23*(1+$A9)/(E$4-$A9))/(1+E$4)^10-Assumptions!B41)/Assumptions!B39</f>
        <v>105.335720268085</v>
      </c>
      <c r="F9" s="33" t="n">
        <f aca="false">('DCF Model'!B23/(1+F$4)^1+'DCF Model'!C23/(1+F$4)^2+'DCF Model'!D23/(1+F$4)^3+'DCF Model'!E23/(1+F$4)^4+'DCF Model'!F23/(1+F$4)^5+'DCF Model'!G23/(1+F$4)^6+'DCF Model'!H23/(1+F$4)^7+'DCF Model'!I23/(1+F$4)^8+'DCF Model'!J23/(1+F$4)^9+'DCF Model'!K23/(1+F$4)^10+('DCF Model'!K23*(1+$A9)/(F$4-$A9))/(1+F$4)^10-Assumptions!B41)/Assumptions!B39</f>
        <v>93.2550895225696</v>
      </c>
      <c r="G9" s="33" t="n">
        <f aca="false">('DCF Model'!B23/(1+G$4)^1+'DCF Model'!C23/(1+G$4)^2+'DCF Model'!D23/(1+G$4)^3+'DCF Model'!E23/(1+G$4)^4+'DCF Model'!F23/(1+G$4)^5+'DCF Model'!G23/(1+G$4)^6+'DCF Model'!H23/(1+G$4)^7+'DCF Model'!I23/(1+G$4)^8+'DCF Model'!J23/(1+G$4)^9+'DCF Model'!K23/(1+G$4)^10+('DCF Model'!K23*(1+$A9)/(G$4-$A9))/(1+G$4)^10-Assumptions!B41)/Assumptions!B39</f>
        <v>83.1901122892756</v>
      </c>
      <c r="H9" s="33" t="n">
        <f aca="false">('DCF Model'!B23/(1+H$4)^1+'DCF Model'!C23/(1+H$4)^2+'DCF Model'!D23/(1+H$4)^3+'DCF Model'!E23/(1+H$4)^4+'DCF Model'!F23/(1+H$4)^5+'DCF Model'!G23/(1+H$4)^6+'DCF Model'!H23/(1+H$4)^7+'DCF Model'!I23/(1+H$4)^8+'DCF Model'!J23/(1+H$4)^9+'DCF Model'!K23/(1+H$4)^10+('DCF Model'!K23*(1+$A9)/(H$4-$A9))/(1+H$4)^10-Assumptions!B41)/Assumptions!B39</f>
        <v>74.6755701133651</v>
      </c>
    </row>
    <row r="10" customFormat="false" ht="15" hidden="false" customHeight="true" outlineLevel="0" collapsed="false">
      <c r="A10" s="12" t="n">
        <v>0.035</v>
      </c>
      <c r="B10" s="33" t="n">
        <f aca="false">('DCF Model'!B23/(1+B$4)^1+'DCF Model'!C23/(1+B$4)^2+'DCF Model'!D23/(1+B$4)^3+'DCF Model'!E23/(1+B$4)^4+'DCF Model'!F23/(1+B$4)^5+'DCF Model'!G23/(1+B$4)^6+'DCF Model'!H23/(1+B$4)^7+'DCF Model'!I23/(1+B$4)^8+'DCF Model'!J23/(1+B$4)^9+'DCF Model'!K23/(1+B$4)^10+('DCF Model'!K23*(1+$A10)/(B$4-$A10))/(1+B$4)^10-Assumptions!B41)/Assumptions!B39</f>
        <v>185.762909747831</v>
      </c>
      <c r="C10" s="33" t="n">
        <f aca="false">('DCF Model'!B23/(1+C$4)^1+'DCF Model'!C23/(1+C$4)^2+'DCF Model'!D23/(1+C$4)^3+'DCF Model'!E23/(1+C$4)^4+'DCF Model'!F23/(1+C$4)^5+'DCF Model'!G23/(1+C$4)^6+'DCF Model'!H23/(1+C$4)^7+'DCF Model'!I23/(1+C$4)^8+'DCF Model'!J23/(1+C$4)^9+'DCF Model'!K23/(1+C$4)^10+('DCF Model'!K23*(1+$A10)/(C$4-$A10))/(1+C$4)^10-Assumptions!B41)/Assumptions!B39</f>
        <v>155.430497790119</v>
      </c>
      <c r="D10" s="33" t="n">
        <f aca="false">('DCF Model'!B23/(1+D$4)^1+'DCF Model'!C23/(1+D$4)^2+'DCF Model'!D23/(1+D$4)^3+'DCF Model'!E23/(1+D$4)^4+'DCF Model'!F23/(1+D$4)^5+'DCF Model'!G23/(1+D$4)^6+'DCF Model'!H23/(1+D$4)^7+'DCF Model'!I23/(1+D$4)^8+'DCF Model'!J23/(1+D$4)^9+'DCF Model'!K23/(1+D$4)^10+('DCF Model'!K23*(1+$A10)/(D$4-$A10))/(1+D$4)^10-Assumptions!B41)/Assumptions!B39</f>
        <v>132.680445444031</v>
      </c>
      <c r="E10" s="33" t="n">
        <f aca="false">('DCF Model'!B23/(1+E$4)^1+'DCF Model'!C23/(1+E$4)^2+'DCF Model'!D23/(1+E$4)^3+'DCF Model'!E23/(1+E$4)^4+'DCF Model'!F23/(1+E$4)^5+'DCF Model'!G23/(1+E$4)^6+'DCF Model'!H23/(1+E$4)^7+'DCF Model'!I23/(1+E$4)^8+'DCF Model'!J23/(1+E$4)^9+'DCF Model'!K23/(1+E$4)^10+('DCF Model'!K23*(1+$A10)/(E$4-$A10))/(1+E$4)^10-Assumptions!B41)/Assumptions!B39</f>
        <v>114.98534891164</v>
      </c>
      <c r="F10" s="33" t="n">
        <f aca="false">('DCF Model'!B23/(1+F$4)^1+'DCF Model'!C23/(1+F$4)^2+'DCF Model'!D23/(1+F$4)^3+'DCF Model'!E23/(1+F$4)^4+'DCF Model'!F23/(1+F$4)^5+'DCF Model'!G23/(1+F$4)^6+'DCF Model'!H23/(1+F$4)^7+'DCF Model'!I23/(1+F$4)^8+'DCF Model'!J23/(1+F$4)^9+'DCF Model'!K23/(1+F$4)^10+('DCF Model'!K23*(1+$A10)/(F$4-$A10))/(1+F$4)^10-Assumptions!B41)/Assumptions!B39</f>
        <v>100.82876304801</v>
      </c>
      <c r="G10" s="33" t="n">
        <f aca="false">('DCF Model'!B23/(1+G$4)^1+'DCF Model'!C23/(1+G$4)^2+'DCF Model'!D23/(1+G$4)^3+'DCF Model'!E23/(1+G$4)^4+'DCF Model'!F23/(1+G$4)^5+'DCF Model'!G23/(1+G$4)^6+'DCF Model'!H23/(1+G$4)^7+'DCF Model'!I23/(1+G$4)^8+'DCF Model'!J23/(1+G$4)^9+'DCF Model'!K23/(1+G$4)^10+('DCF Model'!K23*(1+$A10)/(G$4-$A10))/(1+G$4)^10-Assumptions!B41)/Assumptions!B39</f>
        <v>89.2456748665174</v>
      </c>
      <c r="H10" s="33" t="n">
        <f aca="false">('DCF Model'!B23/(1+H$4)^1+'DCF Model'!C23/(1+H$4)^2+'DCF Model'!D23/(1+H$4)^3+'DCF Model'!E23/(1+H$4)^4+'DCF Model'!F23/(1+H$4)^5+'DCF Model'!G23/(1+H$4)^6+'DCF Model'!H23/(1+H$4)^7+'DCF Model'!I23/(1+H$4)^8+'DCF Model'!J23/(1+H$4)^9+'DCF Model'!K23/(1+H$4)^10+('DCF Model'!K23*(1+$A10)/(H$4-$A10))/(1+H$4)^10-Assumptions!B41)/Assumptions!B39</f>
        <v>79.5927402815698</v>
      </c>
    </row>
    <row r="12" customFormat="false" ht="15" hidden="false" customHeight="true" outlineLevel="0" collapsed="false">
      <c r="A12" s="30" t="s">
        <v>95</v>
      </c>
    </row>
    <row r="13" customFormat="false" ht="15" hidden="false" customHeight="true" outlineLevel="0" collapsed="false">
      <c r="A13" s="31" t="s">
        <v>96</v>
      </c>
      <c r="B13" s="32" t="n">
        <v>0.02</v>
      </c>
      <c r="C13" s="32" t="n">
        <v>0.03</v>
      </c>
      <c r="D13" s="32" t="n">
        <v>0.04</v>
      </c>
      <c r="E13" s="32" t="n">
        <v>0.05</v>
      </c>
      <c r="F13" s="32" t="n">
        <v>0.06</v>
      </c>
    </row>
    <row r="14" customFormat="false" ht="15" hidden="false" customHeight="true" outlineLevel="0" collapsed="false">
      <c r="A14" s="3" t="s">
        <v>97</v>
      </c>
    </row>
    <row r="15" customFormat="false" ht="15" hidden="false" customHeight="true" outlineLevel="0" collapsed="false">
      <c r="A15" s="12" t="n">
        <v>0.62</v>
      </c>
      <c r="B15" s="33" t="n">
        <f aca="false">'DCF Model'!B46+(('DCF Model'!B8*(1+B$13)*(1-$A15)-'DCF Model'!B8*(1+Assumptions!F7)*(1-Assumptions!F10))*(1-Assumptions!B20)/(1+Assumptions!B33)^2)/Assumptions!B39</f>
        <v>124.316599330485</v>
      </c>
      <c r="C15" s="33" t="n">
        <f aca="false">'DCF Model'!B46+(('DCF Model'!B8*(1+C$13)*(1-$A15)-'DCF Model'!B8*(1+Assumptions!F7)*(1-Assumptions!F10))*(1-Assumptions!B20)/(1+Assumptions!B33)^2)/Assumptions!B39</f>
        <v>124.386948458371</v>
      </c>
      <c r="D15" s="33" t="n">
        <f aca="false">'DCF Model'!B46+(('DCF Model'!B8*(1+D$13)*(1-$A15)-'DCF Model'!B8*(1+Assumptions!F7)*(1-Assumptions!F10))*(1-Assumptions!B20)/(1+Assumptions!B33)^2)/Assumptions!B39</f>
        <v>124.457297586258</v>
      </c>
      <c r="E15" s="33" t="n">
        <f aca="false">'DCF Model'!B46+(('DCF Model'!B8*(1+E$13)*(1-$A15)-'DCF Model'!B8*(1+Assumptions!F7)*(1-Assumptions!F10))*(1-Assumptions!B20)/(1+Assumptions!B33)^2)/Assumptions!B39</f>
        <v>124.527646714144</v>
      </c>
      <c r="F15" s="33" t="n">
        <f aca="false">'DCF Model'!B46+(('DCF Model'!B8*(1+F$13)*(1-$A15)-'DCF Model'!B8*(1+Assumptions!F7)*(1-Assumptions!F10))*(1-Assumptions!B20)/(1+Assumptions!B33)^2)/Assumptions!B39</f>
        <v>124.59799584203</v>
      </c>
    </row>
    <row r="16" customFormat="false" ht="15" hidden="false" customHeight="true" outlineLevel="0" collapsed="false">
      <c r="A16" s="12" t="n">
        <v>0.61</v>
      </c>
      <c r="B16" s="33" t="n">
        <f aca="false">'DCF Model'!B46+(('DCF Model'!B8*(1+B$13)*(1-$A16)-'DCF Model'!B8*(1+Assumptions!F7)*(1-Assumptions!F10))*(1-Assumptions!B20)/(1+Assumptions!B33)^2)/Assumptions!B39</f>
        <v>124.505431200075</v>
      </c>
      <c r="C16" s="33" t="n">
        <f aca="false">'DCF Model'!B46+(('DCF Model'!B8*(1+C$13)*(1-$A16)-'DCF Model'!B8*(1+Assumptions!F7)*(1-Assumptions!F10))*(1-Assumptions!B20)/(1+Assumptions!B33)^2)/Assumptions!B39</f>
        <v>124.5776316208</v>
      </c>
      <c r="D16" s="33" t="n">
        <f aca="false">'DCF Model'!B46+(('DCF Model'!B8*(1+D$13)*(1-$A16)-'DCF Model'!B8*(1+Assumptions!F7)*(1-Assumptions!F10))*(1-Assumptions!B20)/(1+Assumptions!B33)^2)/Assumptions!B39</f>
        <v>124.649832041525</v>
      </c>
      <c r="E16" s="33" t="n">
        <f aca="false">'DCF Model'!B46+(('DCF Model'!B8*(1+E$13)*(1-$A16)-'DCF Model'!B8*(1+Assumptions!F7)*(1-Assumptions!F10))*(1-Assumptions!B20)/(1+Assumptions!B33)^2)/Assumptions!B39</f>
        <v>124.72203246225</v>
      </c>
      <c r="F16" s="33" t="n">
        <f aca="false">'DCF Model'!B46+(('DCF Model'!B8*(1+F$13)*(1-$A16)-'DCF Model'!B8*(1+Assumptions!F7)*(1-Assumptions!F10))*(1-Assumptions!B20)/(1+Assumptions!B33)^2)/Assumptions!B39</f>
        <v>124.794232882976</v>
      </c>
    </row>
    <row r="17" customFormat="false" ht="15" hidden="false" customHeight="true" outlineLevel="0" collapsed="false">
      <c r="A17" s="12" t="n">
        <v>0.6</v>
      </c>
      <c r="B17" s="33" t="n">
        <f aca="false">'DCF Model'!B46+(('DCF Model'!B8*(1+B$13)*(1-$A17)-'DCF Model'!B8*(1+Assumptions!F7)*(1-Assumptions!F10))*(1-Assumptions!B20)/(1+Assumptions!B33)^2)/Assumptions!B39</f>
        <v>124.694263069664</v>
      </c>
      <c r="C17" s="33" t="n">
        <f aca="false">'DCF Model'!B46+(('DCF Model'!B8*(1+C$13)*(1-$A17)-'DCF Model'!B8*(1+Assumptions!F7)*(1-Assumptions!F10))*(1-Assumptions!B20)/(1+Assumptions!B33)^2)/Assumptions!B39</f>
        <v>124.768314783228</v>
      </c>
      <c r="D17" s="33" t="n">
        <f aca="false">'DCF Model'!B46+(('DCF Model'!B8*(1+D$13)*(1-$A17)-'DCF Model'!B8*(1+Assumptions!F7)*(1-Assumptions!F10))*(1-Assumptions!B20)/(1+Assumptions!B33)^2)/Assumptions!B39</f>
        <v>124.842366496793</v>
      </c>
      <c r="E17" s="33" t="n">
        <f aca="false">'DCF Model'!B46+(('DCF Model'!B8*(1+E$13)*(1-$A17)-'DCF Model'!B8*(1+Assumptions!F7)*(1-Assumptions!F10))*(1-Assumptions!B20)/(1+Assumptions!B33)^2)/Assumptions!B39</f>
        <v>124.916418210357</v>
      </c>
      <c r="F17" s="33" t="n">
        <f aca="false">'DCF Model'!B46+(('DCF Model'!B8*(1+F$13)*(1-$A17)-'DCF Model'!B8*(1+Assumptions!F7)*(1-Assumptions!F10))*(1-Assumptions!B20)/(1+Assumptions!B33)^2)/Assumptions!B39</f>
        <v>124.990469923922</v>
      </c>
    </row>
    <row r="18" customFormat="false" ht="15" hidden="false" customHeight="true" outlineLevel="0" collapsed="false">
      <c r="A18" s="12" t="n">
        <v>0.59</v>
      </c>
      <c r="B18" s="33" t="n">
        <f aca="false">'DCF Model'!B46+(('DCF Model'!B8*(1+B$13)*(1-$A18)-'DCF Model'!B8*(1+Assumptions!F7)*(1-Assumptions!F10))*(1-Assumptions!B20)/(1+Assumptions!B33)^2)/Assumptions!B39</f>
        <v>124.883094939253</v>
      </c>
      <c r="C18" s="33" t="n">
        <f aca="false">'DCF Model'!B46+(('DCF Model'!B8*(1+C$13)*(1-$A18)-'DCF Model'!B8*(1+Assumptions!F7)*(1-Assumptions!F10))*(1-Assumptions!B20)/(1+Assumptions!B33)^2)/Assumptions!B39</f>
        <v>124.958997945657</v>
      </c>
      <c r="D18" s="33" t="n">
        <f aca="false">'DCF Model'!B46+(('DCF Model'!B8*(1+D$13)*(1-$A18)-'DCF Model'!B8*(1+Assumptions!F7)*(1-Assumptions!F10))*(1-Assumptions!B20)/(1+Assumptions!B33)^2)/Assumptions!B39</f>
        <v>125.03490095206</v>
      </c>
      <c r="E18" s="33" t="n">
        <f aca="false">'DCF Model'!B46+(('DCF Model'!B8*(1+E$13)*(1-$A18)-'DCF Model'!B8*(1+Assumptions!F7)*(1-Assumptions!F10))*(1-Assumptions!B20)/(1+Assumptions!B33)^2)/Assumptions!B39</f>
        <v>125.110803958464</v>
      </c>
      <c r="F18" s="33" t="n">
        <f aca="false">'DCF Model'!B46+(('DCF Model'!B8*(1+F$13)*(1-$A18)-'DCF Model'!B8*(1+Assumptions!F7)*(1-Assumptions!F10))*(1-Assumptions!B20)/(1+Assumptions!B33)^2)/Assumptions!B39</f>
        <v>125.186706964867</v>
      </c>
    </row>
    <row r="19" customFormat="false" ht="15" hidden="false" customHeight="true" outlineLevel="0" collapsed="false">
      <c r="A19" s="12" t="n">
        <v>0.58</v>
      </c>
      <c r="B19" s="33" t="n">
        <f aca="false">'DCF Model'!B46+(('DCF Model'!B8*(1+B$13)*(1-$A19)-'DCF Model'!B8*(1+Assumptions!F7)*(1-Assumptions!F10))*(1-Assumptions!B20)/(1+Assumptions!B33)^2)/Assumptions!B39</f>
        <v>125.071926808842</v>
      </c>
      <c r="C19" s="33" t="n">
        <f aca="false">'DCF Model'!B46+(('DCF Model'!B8*(1+C$13)*(1-$A19)-'DCF Model'!B8*(1+Assumptions!F7)*(1-Assumptions!F10))*(1-Assumptions!B20)/(1+Assumptions!B33)^2)/Assumptions!B39</f>
        <v>125.149681108085</v>
      </c>
      <c r="D19" s="33" t="n">
        <f aca="false">'DCF Model'!B46+(('DCF Model'!B8*(1+D$13)*(1-$A19)-'DCF Model'!B8*(1+Assumptions!F7)*(1-Assumptions!F10))*(1-Assumptions!B20)/(1+Assumptions!B33)^2)/Assumptions!B39</f>
        <v>125.227435407328</v>
      </c>
      <c r="E19" s="33" t="n">
        <f aca="false">'DCF Model'!B46+(('DCF Model'!B8*(1+E$13)*(1-$A19)-'DCF Model'!B8*(1+Assumptions!F7)*(1-Assumptions!F10))*(1-Assumptions!B20)/(1+Assumptions!B33)^2)/Assumptions!B39</f>
        <v>125.30518970657</v>
      </c>
      <c r="F19" s="33" t="n">
        <f aca="false">'DCF Model'!B46+(('DCF Model'!B8*(1+F$13)*(1-$A19)-'DCF Model'!B8*(1+Assumptions!F7)*(1-Assumptions!F10))*(1-Assumptions!B20)/(1+Assumptions!B33)^2)/Assumptions!B39</f>
        <v>125.382944005813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98</v>
      </c>
    </row>
    <row r="2" customFormat="false" ht="15" hidden="false" customHeight="true" outlineLevel="0" collapsed="false">
      <c r="A2" s="3" t="s">
        <v>99</v>
      </c>
    </row>
    <row r="4" customFormat="false" ht="15" hidden="false" customHeight="true" outlineLevel="0" collapsed="false">
      <c r="A4" s="31" t="s">
        <v>100</v>
      </c>
      <c r="B4" s="31" t="s">
        <v>101</v>
      </c>
      <c r="C4" s="31" t="s">
        <v>102</v>
      </c>
      <c r="D4" s="31" t="s">
        <v>103</v>
      </c>
      <c r="E4" s="31" t="s">
        <v>104</v>
      </c>
    </row>
    <row r="5" customFormat="false" ht="15" hidden="false" customHeight="true" outlineLevel="0" collapsed="false">
      <c r="A5" s="20" t="s">
        <v>105</v>
      </c>
      <c r="B5" s="34" t="n">
        <f aca="false">'DCF Model'!B46*0.9</f>
        <v>112.271489342243</v>
      </c>
      <c r="C5" s="35" t="n">
        <f aca="false">'DCF Model'!B46</f>
        <v>124.746099269159</v>
      </c>
      <c r="D5" s="34" t="n">
        <f aca="false">'DCF Model'!B46*1.1</f>
        <v>137.220709196075</v>
      </c>
      <c r="E5" s="36" t="s">
        <v>106</v>
      </c>
    </row>
    <row r="6" customFormat="false" ht="15" hidden="false" customHeight="true" outlineLevel="0" collapsed="false">
      <c r="A6" s="8" t="s">
        <v>107</v>
      </c>
      <c r="B6" s="37" t="n">
        <v>138.89</v>
      </c>
      <c r="C6" s="37" t="n">
        <v>159.315</v>
      </c>
      <c r="D6" s="37" t="n">
        <v>179.74</v>
      </c>
      <c r="E6" s="36" t="s">
        <v>108</v>
      </c>
    </row>
    <row r="7" customFormat="false" ht="15" hidden="false" customHeight="true" outlineLevel="0" collapsed="false">
      <c r="A7" s="8" t="s">
        <v>109</v>
      </c>
      <c r="B7" s="34" t="n">
        <f aca="false">(10.5*('DCF Model'!B13+'DCF Model'!B19)-Assumptions!B41)/Assumptions!B39</f>
        <v>118.625061290323</v>
      </c>
      <c r="C7" s="34" t="n">
        <f aca="false">(12*('DCF Model'!B13+'DCF Model'!B19)-Assumptions!B41)/Assumptions!B39</f>
        <v>139.373341935484</v>
      </c>
      <c r="D7" s="34" t="n">
        <f aca="false">(13.5*('DCF Model'!B13+'DCF Model'!B19)-Assumptions!B41)/Assumptions!B39</f>
        <v>160.121622580645</v>
      </c>
      <c r="E7" s="36" t="s">
        <v>110</v>
      </c>
    </row>
    <row r="8" customFormat="false" ht="15" hidden="false" customHeight="true" outlineLevel="0" collapsed="false">
      <c r="A8" s="8" t="s">
        <v>111</v>
      </c>
      <c r="B8" s="34" t="n">
        <f aca="false">3.5256/((Assumptions!B27+0.005)-0.04)</f>
        <v>80.5851428571428</v>
      </c>
      <c r="C8" s="34" t="n">
        <f aca="false">3.5595/((Assumptions!B27+0)-0.05)</f>
        <v>123.808695652174</v>
      </c>
      <c r="D8" s="34" t="n">
        <f aca="false">3.5934/((Assumptions!B27+-0.005)-0.06)</f>
        <v>261.338181818182</v>
      </c>
      <c r="E8" s="36" t="s">
        <v>112</v>
      </c>
    </row>
    <row r="9" customFormat="false" ht="15" hidden="false" customHeight="true" outlineLevel="0" collapsed="false">
      <c r="A9" s="8" t="s">
        <v>113</v>
      </c>
      <c r="B9" s="37" t="n">
        <v>155</v>
      </c>
      <c r="C9" s="37" t="n">
        <v>171</v>
      </c>
      <c r="D9" s="37" t="n">
        <v>171</v>
      </c>
      <c r="E9" s="36" t="s">
        <v>114</v>
      </c>
    </row>
    <row r="11" customFormat="false" ht="15" hidden="false" customHeight="true" outlineLevel="0" collapsed="false">
      <c r="A11" s="20" t="s">
        <v>115</v>
      </c>
      <c r="B11" s="38" t="n">
        <f aca="false">Assumptions!B40</f>
        <v>141</v>
      </c>
    </row>
    <row r="12" customFormat="false" ht="15" hidden="false" customHeight="true" outlineLevel="0" collapsed="false">
      <c r="A12" s="8" t="s">
        <v>116</v>
      </c>
      <c r="B12" s="37" t="n">
        <v>127</v>
      </c>
      <c r="C12" s="37" t="n">
        <v>176</v>
      </c>
    </row>
    <row r="14" customFormat="false" ht="15" hidden="false" customHeight="true" outlineLevel="0" collapsed="false">
      <c r="A14" s="39" t="s">
        <v>117</v>
      </c>
    </row>
    <row r="15" customFormat="false" ht="15" hidden="false" customHeight="true" outlineLevel="0" collapsed="false">
      <c r="A15" s="40" t="s">
        <v>118</v>
      </c>
      <c r="B15" s="40"/>
      <c r="C15" s="40"/>
      <c r="D15" s="40"/>
      <c r="E15" s="40"/>
    </row>
    <row r="16" customFormat="false" ht="15" hidden="false" customHeight="true" outlineLevel="0" collapsed="false">
      <c r="A16" s="40" t="s">
        <v>119</v>
      </c>
      <c r="B16" s="40"/>
      <c r="C16" s="40"/>
      <c r="D16" s="40"/>
      <c r="E16" s="40"/>
    </row>
    <row r="17" customFormat="false" ht="15" hidden="false" customHeight="true" outlineLevel="0" collapsed="false">
      <c r="A17" s="40" t="s">
        <v>120</v>
      </c>
      <c r="B17" s="40"/>
      <c r="C17" s="40"/>
      <c r="D17" s="40"/>
      <c r="E17" s="40"/>
    </row>
    <row r="18" customFormat="false" ht="15" hidden="false" customHeight="true" outlineLevel="0" collapsed="false">
      <c r="A18" s="40" t="s">
        <v>121</v>
      </c>
      <c r="B18" s="40"/>
      <c r="C18" s="40"/>
      <c r="D18" s="40"/>
      <c r="E18" s="40"/>
    </row>
    <row r="19" customFormat="false" ht="15" hidden="false" customHeight="true" outlineLevel="0" collapsed="false">
      <c r="A19" s="40" t="s">
        <v>122</v>
      </c>
      <c r="B19" s="40"/>
      <c r="C19" s="40"/>
      <c r="D19" s="40"/>
      <c r="E19" s="40"/>
    </row>
    <row r="20" customFormat="false" ht="15" hidden="false" customHeight="true" outlineLevel="0" collapsed="false">
      <c r="A20" s="40" t="s">
        <v>123</v>
      </c>
      <c r="B20" s="40"/>
      <c r="C20" s="40"/>
      <c r="D20" s="40"/>
      <c r="E20" s="40"/>
    </row>
    <row r="21" customFormat="false" ht="15" hidden="false" customHeight="true" outlineLevel="0" collapsed="false">
      <c r="A21" s="40" t="s">
        <v>124</v>
      </c>
      <c r="B21" s="40"/>
      <c r="C21" s="40"/>
      <c r="D21" s="40"/>
      <c r="E21" s="40"/>
    </row>
  </sheetData>
  <mergeCells count="7">
    <mergeCell ref="A15:E15"/>
    <mergeCell ref="A16:E16"/>
    <mergeCell ref="A17:E17"/>
    <mergeCell ref="A18:E18"/>
    <mergeCell ref="A19:E19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2026-03-26T20:51:20Z</dcterms:created>
  <dc:creator>openpyxl</dc:creator>
  <dc:description/>
  <dc:language>en-US</dc:language>
  <cp:lastModifiedBy/>
  <dcterms:modified xsi:type="dcterms:W3CDTF">2026-03-26T20:51:38Z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